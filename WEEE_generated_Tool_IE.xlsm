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60716B99-48EF-4627-542C-1B4CF24DBC83}"/>
  <workbookPr updateLinks="never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U:\53.06 WEEE-ROHS\4. IMPLEMENTATION\WEEE2 implementation\STUDIES\12. WEEE calculation tools_2024_Management and update\DELIVERABLES\WEEE_Calculation-Tools_2024\"/>
    </mc:Choice>
  </mc:AlternateContent>
  <xr:revisionPtr revIDLastSave="0" documentId="13_ncr:1_{3D010A84-0A17-4CBD-B39E-DAD63F1B7BCF}" xr6:coauthVersionLast="47" xr6:coauthVersionMax="47" xr10:uidLastSave="{00000000-0000-0000-0000-000000000000}"/>
  <bookViews>
    <workbookView xWindow="2500" yWindow="2500" windowWidth="14400" windowHeight="7360" tabRatio="780" xr2:uid="{00000000-000D-0000-FFFF-FFFF00000000}"/>
  </bookViews>
  <sheets>
    <sheet name="FrontPage" sheetId="10" r:id="rId1"/>
    <sheet name="Indicators" sheetId="43" r:id="rId2"/>
    <sheet name="ResultPOM" sheetId="16" r:id="rId3"/>
    <sheet name="ResultWG" sheetId="9" r:id="rId4"/>
    <sheet name="ResultDetail" sheetId="7" state="hidden" r:id="rId5"/>
    <sheet name="GraphLifespan" sheetId="44" r:id="rId6"/>
    <sheet name="GraphPOM_EU6" sheetId="50" r:id="rId7"/>
    <sheet name="GraphWG_EU6" sheetId="48" r:id="rId8"/>
    <sheet name="UNUkeys" sheetId="2" state="hidden" r:id="rId9"/>
    <sheet name="CN Codes-UNU Key" sheetId="51" state="hidden" r:id="rId10"/>
    <sheet name="POMFlag" sheetId="53" state="hidden" r:id="rId11"/>
    <sheet name="POM" sheetId="1" r:id="rId12"/>
    <sheet name="Benchmark" sheetId="58" r:id="rId13"/>
    <sheet name="Shape" sheetId="4" state="hidden" r:id="rId14"/>
    <sheet name="Scale" sheetId="3" state="hidden" r:id="rId15"/>
    <sheet name="Weibull" sheetId="5" state="hidden" r:id="rId16"/>
    <sheet name="POM_copy" sheetId="30" state="hidden" r:id="rId17"/>
    <sheet name="Shape_copy" sheetId="31" state="hidden" r:id="rId18"/>
    <sheet name="Scale_copy" sheetId="32" state="hidden" r:id="rId19"/>
    <sheet name="inputEU6" sheetId="11" state="hidden" r:id="rId20"/>
    <sheet name="inputEU6PV" sheetId="35" state="hidden" r:id="rId21"/>
    <sheet name="inputEU10" sheetId="55" state="hidden" r:id="rId22"/>
    <sheet name="inputEU10PV" sheetId="54" state="hidden" r:id="rId23"/>
    <sheet name="inputUNUkey" sheetId="15" state="hidden" r:id="rId24"/>
    <sheet name="inputUNUkey_Lifetime" sheetId="52" state="hidden" r:id="rId25"/>
    <sheet name="GraphPOM_EU10" sheetId="57" r:id="rId26"/>
    <sheet name="GraphWG_EU10" sheetId="56" r:id="rId27"/>
  </sheets>
  <definedNames>
    <definedName name="htbl_CN_Match_Key" localSheetId="9">'CN Codes-UNU Key'!$A$3:$C$8990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11" l="1"/>
  <c r="D15" i="9" l="1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C16" i="9"/>
  <c r="C17" i="9"/>
  <c r="C18" i="9"/>
  <c r="C19" i="9"/>
  <c r="C20" i="9"/>
  <c r="C21" i="9"/>
  <c r="C22" i="9"/>
  <c r="C23" i="9"/>
  <c r="C24" i="9"/>
  <c r="C25" i="9"/>
  <c r="C15" i="9"/>
  <c r="C14" i="35" l="1"/>
  <c r="C61" i="15" l="1"/>
  <c r="C17" i="55"/>
  <c r="C18" i="54"/>
  <c r="AQ2" i="1"/>
  <c r="AO2" i="1"/>
  <c r="O58" i="2" s="1"/>
  <c r="M7" i="2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F17" i="16"/>
  <c r="AG17" i="16"/>
  <c r="AH17" i="16"/>
  <c r="AI17" i="16"/>
  <c r="AJ17" i="16"/>
  <c r="AK17" i="16"/>
  <c r="AL17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F19" i="16"/>
  <c r="AG19" i="16"/>
  <c r="AH19" i="16"/>
  <c r="AI19" i="16"/>
  <c r="AJ19" i="16"/>
  <c r="AK19" i="16"/>
  <c r="AL19" i="16"/>
  <c r="O20" i="16"/>
  <c r="P20" i="16"/>
  <c r="Q20" i="16"/>
  <c r="R20" i="16"/>
  <c r="S20" i="16"/>
  <c r="T20" i="16"/>
  <c r="U20" i="16"/>
  <c r="V20" i="16"/>
  <c r="W20" i="16"/>
  <c r="X20" i="16"/>
  <c r="Y20" i="16"/>
  <c r="Z20" i="16"/>
  <c r="AA20" i="16"/>
  <c r="AB20" i="16"/>
  <c r="AC20" i="16"/>
  <c r="AD20" i="16"/>
  <c r="AE20" i="16"/>
  <c r="AF20" i="16"/>
  <c r="AG20" i="16"/>
  <c r="AH20" i="16"/>
  <c r="AI20" i="16"/>
  <c r="AJ20" i="16"/>
  <c r="AK20" i="16"/>
  <c r="AL20" i="16"/>
  <c r="O21" i="16"/>
  <c r="P21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F21" i="16"/>
  <c r="AG21" i="16"/>
  <c r="AH21" i="16"/>
  <c r="AI21" i="16"/>
  <c r="AJ21" i="16"/>
  <c r="AK21" i="16"/>
  <c r="AL21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F22" i="16"/>
  <c r="AG22" i="16"/>
  <c r="AH22" i="16"/>
  <c r="AI22" i="16"/>
  <c r="AJ22" i="16"/>
  <c r="AK22" i="16"/>
  <c r="AL22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O24" i="16"/>
  <c r="P24" i="16"/>
  <c r="Q24" i="16"/>
  <c r="R24" i="16"/>
  <c r="S24" i="16"/>
  <c r="T24" i="16"/>
  <c r="U24" i="16"/>
  <c r="V24" i="16"/>
  <c r="W24" i="16"/>
  <c r="X24" i="16"/>
  <c r="Y24" i="16"/>
  <c r="Z24" i="16"/>
  <c r="AA24" i="16"/>
  <c r="AB24" i="16"/>
  <c r="AC24" i="16"/>
  <c r="AD24" i="16"/>
  <c r="AE24" i="16"/>
  <c r="AF24" i="16"/>
  <c r="AG24" i="16"/>
  <c r="AH24" i="16"/>
  <c r="AI24" i="16"/>
  <c r="AJ24" i="16"/>
  <c r="AK24" i="16"/>
  <c r="AL24" i="16"/>
  <c r="O25" i="16"/>
  <c r="P25" i="16"/>
  <c r="Q25" i="16"/>
  <c r="R25" i="16"/>
  <c r="S25" i="16"/>
  <c r="T25" i="16"/>
  <c r="U25" i="16"/>
  <c r="V25" i="16"/>
  <c r="W25" i="16"/>
  <c r="X25" i="16"/>
  <c r="Y25" i="16"/>
  <c r="Z25" i="16"/>
  <c r="AA25" i="16"/>
  <c r="AB25" i="16"/>
  <c r="AC25" i="16"/>
  <c r="AD25" i="16"/>
  <c r="AE25" i="16"/>
  <c r="AF25" i="16"/>
  <c r="AG25" i="16"/>
  <c r="AH25" i="16"/>
  <c r="AI25" i="16"/>
  <c r="AJ25" i="16"/>
  <c r="AK25" i="16"/>
  <c r="AL25" i="16"/>
  <c r="C15" i="16"/>
  <c r="D15" i="16"/>
  <c r="E15" i="16"/>
  <c r="F15" i="16"/>
  <c r="G15" i="16"/>
  <c r="H15" i="16"/>
  <c r="I15" i="16"/>
  <c r="J15" i="16"/>
  <c r="K15" i="16"/>
  <c r="L15" i="16"/>
  <c r="M15" i="16"/>
  <c r="C16" i="16"/>
  <c r="D16" i="16"/>
  <c r="E16" i="16"/>
  <c r="F16" i="16"/>
  <c r="G16" i="16"/>
  <c r="H16" i="16"/>
  <c r="I16" i="16"/>
  <c r="J16" i="16"/>
  <c r="K16" i="16"/>
  <c r="L16" i="16"/>
  <c r="M16" i="16"/>
  <c r="C17" i="16"/>
  <c r="D17" i="16"/>
  <c r="E17" i="16"/>
  <c r="F17" i="16"/>
  <c r="G17" i="16"/>
  <c r="H17" i="16"/>
  <c r="I17" i="16"/>
  <c r="J17" i="16"/>
  <c r="K17" i="16"/>
  <c r="L17" i="16"/>
  <c r="M17" i="16"/>
  <c r="C18" i="16"/>
  <c r="D18" i="16"/>
  <c r="E18" i="16"/>
  <c r="F18" i="16"/>
  <c r="G18" i="16"/>
  <c r="H18" i="16"/>
  <c r="I18" i="16"/>
  <c r="J18" i="16"/>
  <c r="K18" i="16"/>
  <c r="L18" i="16"/>
  <c r="M18" i="16"/>
  <c r="C19" i="16"/>
  <c r="D19" i="16"/>
  <c r="E19" i="16"/>
  <c r="F19" i="16"/>
  <c r="G19" i="16"/>
  <c r="H19" i="16"/>
  <c r="I19" i="16"/>
  <c r="J19" i="16"/>
  <c r="K19" i="16"/>
  <c r="L19" i="16"/>
  <c r="M19" i="16"/>
  <c r="C20" i="16"/>
  <c r="D20" i="16"/>
  <c r="E20" i="16"/>
  <c r="F20" i="16"/>
  <c r="G20" i="16"/>
  <c r="H20" i="16"/>
  <c r="I20" i="16"/>
  <c r="J20" i="16"/>
  <c r="K20" i="16"/>
  <c r="L20" i="16"/>
  <c r="M20" i="16"/>
  <c r="C21" i="16"/>
  <c r="D21" i="16"/>
  <c r="E21" i="16"/>
  <c r="F21" i="16"/>
  <c r="G21" i="16"/>
  <c r="H21" i="16"/>
  <c r="I21" i="16"/>
  <c r="J21" i="16"/>
  <c r="K21" i="16"/>
  <c r="L21" i="16"/>
  <c r="M21" i="16"/>
  <c r="C22" i="16"/>
  <c r="D22" i="16"/>
  <c r="E22" i="16"/>
  <c r="F22" i="16"/>
  <c r="G22" i="16"/>
  <c r="H22" i="16"/>
  <c r="I22" i="16"/>
  <c r="J22" i="16"/>
  <c r="K22" i="16"/>
  <c r="L22" i="16"/>
  <c r="M22" i="16"/>
  <c r="C23" i="16"/>
  <c r="D23" i="16"/>
  <c r="E23" i="16"/>
  <c r="F23" i="16"/>
  <c r="G23" i="16"/>
  <c r="H23" i="16"/>
  <c r="I23" i="16"/>
  <c r="J23" i="16"/>
  <c r="K23" i="16"/>
  <c r="L23" i="16"/>
  <c r="M23" i="16"/>
  <c r="C24" i="16"/>
  <c r="D24" i="16"/>
  <c r="E24" i="16"/>
  <c r="F24" i="16"/>
  <c r="G24" i="16"/>
  <c r="H24" i="16"/>
  <c r="I24" i="16"/>
  <c r="J24" i="16"/>
  <c r="K24" i="16"/>
  <c r="L24" i="16"/>
  <c r="M24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N16" i="16"/>
  <c r="N17" i="16"/>
  <c r="N18" i="16"/>
  <c r="N19" i="16"/>
  <c r="N20" i="16"/>
  <c r="N21" i="16"/>
  <c r="N22" i="16"/>
  <c r="N23" i="16"/>
  <c r="N24" i="16"/>
  <c r="N15" i="16"/>
  <c r="A4" i="44"/>
  <c r="Q64" i="44"/>
  <c r="R64" i="44"/>
  <c r="S64" i="44"/>
  <c r="T64" i="44"/>
  <c r="U64" i="44"/>
  <c r="V64" i="44"/>
  <c r="W64" i="44"/>
  <c r="X64" i="44"/>
  <c r="Y64" i="44"/>
  <c r="Z64" i="44"/>
  <c r="AA64" i="44"/>
  <c r="AB64" i="44"/>
  <c r="AC64" i="44"/>
  <c r="AD64" i="44"/>
  <c r="AE64" i="44"/>
  <c r="AF64" i="44"/>
  <c r="AG64" i="44"/>
  <c r="AH64" i="44"/>
  <c r="AI64" i="44"/>
  <c r="AJ64" i="44"/>
  <c r="AK64" i="44"/>
  <c r="AL64" i="44"/>
  <c r="AM64" i="44"/>
  <c r="AN64" i="44"/>
  <c r="AO64" i="44"/>
  <c r="AP64" i="44"/>
  <c r="AQ64" i="44"/>
  <c r="AR64" i="44"/>
  <c r="AS64" i="44"/>
  <c r="AT64" i="44"/>
  <c r="AU64" i="44"/>
  <c r="AV64" i="44"/>
  <c r="AW64" i="44"/>
  <c r="AX64" i="44"/>
  <c r="AY64" i="44"/>
  <c r="AZ64" i="44"/>
  <c r="BA64" i="44"/>
  <c r="BB64" i="44"/>
  <c r="BC64" i="44"/>
  <c r="BD64" i="44"/>
  <c r="BE64" i="44"/>
  <c r="BF64" i="44"/>
  <c r="BG64" i="44"/>
  <c r="BH64" i="44"/>
  <c r="BI64" i="44"/>
  <c r="BJ64" i="44"/>
  <c r="BK64" i="44"/>
  <c r="BL64" i="44"/>
  <c r="BM64" i="44"/>
  <c r="BN64" i="44"/>
  <c r="BO64" i="44"/>
  <c r="BP64" i="44"/>
  <c r="BQ64" i="44"/>
  <c r="BR64" i="44"/>
  <c r="BS64" i="44"/>
  <c r="BT64" i="44"/>
  <c r="Q65" i="44"/>
  <c r="R65" i="44"/>
  <c r="S65" i="44"/>
  <c r="T65" i="44"/>
  <c r="U65" i="44"/>
  <c r="V65" i="44"/>
  <c r="W65" i="44"/>
  <c r="X65" i="44"/>
  <c r="Y65" i="44"/>
  <c r="Z65" i="44"/>
  <c r="AA65" i="44"/>
  <c r="AB65" i="44"/>
  <c r="AC65" i="44"/>
  <c r="AD65" i="44"/>
  <c r="AE65" i="44"/>
  <c r="AF65" i="44"/>
  <c r="AG65" i="44"/>
  <c r="AH65" i="44"/>
  <c r="AI65" i="44"/>
  <c r="AJ65" i="44"/>
  <c r="AK65" i="44"/>
  <c r="AL65" i="44"/>
  <c r="AM65" i="44"/>
  <c r="AN65" i="44"/>
  <c r="AO65" i="44"/>
  <c r="AP65" i="44"/>
  <c r="AQ65" i="44"/>
  <c r="AR65" i="44"/>
  <c r="AS65" i="44"/>
  <c r="AT65" i="44"/>
  <c r="AU65" i="44"/>
  <c r="AV65" i="44"/>
  <c r="AW65" i="44"/>
  <c r="AX65" i="44"/>
  <c r="AY65" i="44"/>
  <c r="AZ65" i="44"/>
  <c r="BA65" i="44"/>
  <c r="BB65" i="44"/>
  <c r="BC65" i="44"/>
  <c r="BD65" i="44"/>
  <c r="BE65" i="44"/>
  <c r="BF65" i="44"/>
  <c r="BG65" i="44"/>
  <c r="BH65" i="44"/>
  <c r="BI65" i="44"/>
  <c r="BJ65" i="44"/>
  <c r="BK65" i="44"/>
  <c r="BL65" i="44"/>
  <c r="BM65" i="44"/>
  <c r="BN65" i="44"/>
  <c r="BO65" i="44"/>
  <c r="BP65" i="44"/>
  <c r="BQ65" i="44"/>
  <c r="BR65" i="44"/>
  <c r="BS65" i="44"/>
  <c r="BT65" i="44"/>
  <c r="Q66" i="44"/>
  <c r="R66" i="44"/>
  <c r="S66" i="44"/>
  <c r="T66" i="44"/>
  <c r="U66" i="44"/>
  <c r="V66" i="44"/>
  <c r="W66" i="44"/>
  <c r="X66" i="44"/>
  <c r="Y66" i="44"/>
  <c r="Z66" i="44"/>
  <c r="AA66" i="44"/>
  <c r="AB66" i="44"/>
  <c r="AC66" i="44"/>
  <c r="AD66" i="44"/>
  <c r="AE66" i="44"/>
  <c r="AF66" i="44"/>
  <c r="AG66" i="44"/>
  <c r="AH66" i="44"/>
  <c r="AI66" i="44"/>
  <c r="AJ66" i="44"/>
  <c r="AK66" i="44"/>
  <c r="AL66" i="44"/>
  <c r="AM66" i="44"/>
  <c r="AN66" i="44"/>
  <c r="AO66" i="44"/>
  <c r="AP66" i="44"/>
  <c r="AQ66" i="44"/>
  <c r="AR66" i="44"/>
  <c r="AS66" i="44"/>
  <c r="AT66" i="44"/>
  <c r="AU66" i="44"/>
  <c r="AV66" i="44"/>
  <c r="AW66" i="44"/>
  <c r="AX66" i="44"/>
  <c r="AY66" i="44"/>
  <c r="AZ66" i="44"/>
  <c r="BA66" i="44"/>
  <c r="BB66" i="44"/>
  <c r="BC66" i="44"/>
  <c r="BD66" i="44"/>
  <c r="BE66" i="44"/>
  <c r="BF66" i="44"/>
  <c r="BG66" i="44"/>
  <c r="BH66" i="44"/>
  <c r="BI66" i="44"/>
  <c r="BJ66" i="44"/>
  <c r="BK66" i="44"/>
  <c r="BL66" i="44"/>
  <c r="BM66" i="44"/>
  <c r="BN66" i="44"/>
  <c r="BO66" i="44"/>
  <c r="BP66" i="44"/>
  <c r="BQ66" i="44"/>
  <c r="BR66" i="44"/>
  <c r="BS66" i="44"/>
  <c r="BT66" i="44"/>
  <c r="Q67" i="44"/>
  <c r="R67" i="44"/>
  <c r="S67" i="44"/>
  <c r="T67" i="44"/>
  <c r="U67" i="44"/>
  <c r="V67" i="44"/>
  <c r="W67" i="44"/>
  <c r="X67" i="44"/>
  <c r="Y67" i="44"/>
  <c r="Z67" i="44"/>
  <c r="AA67" i="44"/>
  <c r="AB67" i="44"/>
  <c r="AC67" i="44"/>
  <c r="AD67" i="44"/>
  <c r="AE67" i="44"/>
  <c r="AF67" i="44"/>
  <c r="AG67" i="44"/>
  <c r="AH67" i="44"/>
  <c r="AI67" i="44"/>
  <c r="AJ67" i="44"/>
  <c r="AK67" i="44"/>
  <c r="AL67" i="44"/>
  <c r="AM67" i="44"/>
  <c r="AN67" i="44"/>
  <c r="AO67" i="44"/>
  <c r="AP67" i="44"/>
  <c r="AQ67" i="44"/>
  <c r="AR67" i="44"/>
  <c r="AS67" i="44"/>
  <c r="AT67" i="44"/>
  <c r="AU67" i="44"/>
  <c r="AV67" i="44"/>
  <c r="AW67" i="44"/>
  <c r="AX67" i="44"/>
  <c r="AY67" i="44"/>
  <c r="AZ67" i="44"/>
  <c r="BA67" i="44"/>
  <c r="BB67" i="44"/>
  <c r="BC67" i="44"/>
  <c r="BD67" i="44"/>
  <c r="BE67" i="44"/>
  <c r="BF67" i="44"/>
  <c r="BG67" i="44"/>
  <c r="BH67" i="44"/>
  <c r="BI67" i="44"/>
  <c r="BJ67" i="44"/>
  <c r="BK67" i="44"/>
  <c r="BL67" i="44"/>
  <c r="BM67" i="44"/>
  <c r="BN67" i="44"/>
  <c r="BO67" i="44"/>
  <c r="BP67" i="44"/>
  <c r="BQ67" i="44"/>
  <c r="BR67" i="44"/>
  <c r="BS67" i="44"/>
  <c r="BT67" i="44"/>
  <c r="Q68" i="44"/>
  <c r="R68" i="44"/>
  <c r="S68" i="44"/>
  <c r="T68" i="44"/>
  <c r="U68" i="44"/>
  <c r="V68" i="44"/>
  <c r="W68" i="44"/>
  <c r="X68" i="44"/>
  <c r="Y68" i="44"/>
  <c r="Z68" i="44"/>
  <c r="AA68" i="44"/>
  <c r="AB68" i="44"/>
  <c r="AC68" i="44"/>
  <c r="AD68" i="44"/>
  <c r="AE68" i="44"/>
  <c r="AF68" i="44"/>
  <c r="AG68" i="44"/>
  <c r="AH68" i="44"/>
  <c r="AI68" i="44"/>
  <c r="AJ68" i="44"/>
  <c r="AK68" i="44"/>
  <c r="AL68" i="44"/>
  <c r="AM68" i="44"/>
  <c r="AN68" i="44"/>
  <c r="AO68" i="44"/>
  <c r="AP68" i="44"/>
  <c r="AQ68" i="44"/>
  <c r="AR68" i="44"/>
  <c r="AS68" i="44"/>
  <c r="AT68" i="44"/>
  <c r="AU68" i="44"/>
  <c r="AV68" i="44"/>
  <c r="AW68" i="44"/>
  <c r="AX68" i="44"/>
  <c r="AY68" i="44"/>
  <c r="AZ68" i="44"/>
  <c r="BA68" i="44"/>
  <c r="BB68" i="44"/>
  <c r="BC68" i="44"/>
  <c r="BD68" i="44"/>
  <c r="BE68" i="44"/>
  <c r="BF68" i="44"/>
  <c r="BG68" i="44"/>
  <c r="BH68" i="44"/>
  <c r="BI68" i="44"/>
  <c r="BJ68" i="44"/>
  <c r="BK68" i="44"/>
  <c r="BL68" i="44"/>
  <c r="BM68" i="44"/>
  <c r="BN68" i="44"/>
  <c r="BO68" i="44"/>
  <c r="BP68" i="44"/>
  <c r="BQ68" i="44"/>
  <c r="BR68" i="44"/>
  <c r="BS68" i="44"/>
  <c r="BT68" i="44"/>
  <c r="Q69" i="44"/>
  <c r="R69" i="44"/>
  <c r="S69" i="44"/>
  <c r="T69" i="44"/>
  <c r="U69" i="44"/>
  <c r="V69" i="44"/>
  <c r="W69" i="44"/>
  <c r="X69" i="44"/>
  <c r="Y69" i="44"/>
  <c r="Z69" i="44"/>
  <c r="AA69" i="44"/>
  <c r="AB69" i="44"/>
  <c r="AC69" i="44"/>
  <c r="AD69" i="44"/>
  <c r="AE69" i="44"/>
  <c r="AF69" i="44"/>
  <c r="AG69" i="44"/>
  <c r="AH69" i="44"/>
  <c r="AI69" i="44"/>
  <c r="AJ69" i="44"/>
  <c r="AK69" i="44"/>
  <c r="AL69" i="44"/>
  <c r="AM69" i="44"/>
  <c r="AN69" i="44"/>
  <c r="AO69" i="44"/>
  <c r="AP69" i="44"/>
  <c r="AQ69" i="44"/>
  <c r="AR69" i="44"/>
  <c r="AS69" i="44"/>
  <c r="AT69" i="44"/>
  <c r="AU69" i="44"/>
  <c r="AV69" i="44"/>
  <c r="AW69" i="44"/>
  <c r="AX69" i="44"/>
  <c r="AY69" i="44"/>
  <c r="AZ69" i="44"/>
  <c r="BA69" i="44"/>
  <c r="BB69" i="44"/>
  <c r="BC69" i="44"/>
  <c r="BD69" i="44"/>
  <c r="BE69" i="44"/>
  <c r="BF69" i="44"/>
  <c r="BG69" i="44"/>
  <c r="BH69" i="44"/>
  <c r="BI69" i="44"/>
  <c r="BJ69" i="44"/>
  <c r="BK69" i="44"/>
  <c r="BL69" i="44"/>
  <c r="BM69" i="44"/>
  <c r="BN69" i="44"/>
  <c r="BO69" i="44"/>
  <c r="BP69" i="44"/>
  <c r="BQ69" i="44"/>
  <c r="BR69" i="44"/>
  <c r="BS69" i="44"/>
  <c r="BT69" i="44"/>
  <c r="Q70" i="44"/>
  <c r="R70" i="44"/>
  <c r="S70" i="44"/>
  <c r="T70" i="44"/>
  <c r="U70" i="44"/>
  <c r="V70" i="44"/>
  <c r="W70" i="44"/>
  <c r="X70" i="44"/>
  <c r="Y70" i="44"/>
  <c r="Z70" i="44"/>
  <c r="AA70" i="44"/>
  <c r="AB70" i="44"/>
  <c r="AC70" i="44"/>
  <c r="AD70" i="44"/>
  <c r="AE70" i="44"/>
  <c r="AF70" i="44"/>
  <c r="AG70" i="44"/>
  <c r="AH70" i="44"/>
  <c r="AI70" i="44"/>
  <c r="AJ70" i="44"/>
  <c r="AK70" i="44"/>
  <c r="AL70" i="44"/>
  <c r="AM70" i="44"/>
  <c r="AN70" i="44"/>
  <c r="AO70" i="44"/>
  <c r="AP70" i="44"/>
  <c r="AQ70" i="44"/>
  <c r="AR70" i="44"/>
  <c r="AS70" i="44"/>
  <c r="AT70" i="44"/>
  <c r="AU70" i="44"/>
  <c r="AV70" i="44"/>
  <c r="AW70" i="44"/>
  <c r="AX70" i="44"/>
  <c r="AY70" i="44"/>
  <c r="AZ70" i="44"/>
  <c r="BA70" i="44"/>
  <c r="BB70" i="44"/>
  <c r="BC70" i="44"/>
  <c r="BD70" i="44"/>
  <c r="BE70" i="44"/>
  <c r="BF70" i="44"/>
  <c r="BG70" i="44"/>
  <c r="BH70" i="44"/>
  <c r="BI70" i="44"/>
  <c r="BJ70" i="44"/>
  <c r="BK70" i="44"/>
  <c r="BL70" i="44"/>
  <c r="BM70" i="44"/>
  <c r="BN70" i="44"/>
  <c r="BO70" i="44"/>
  <c r="BP70" i="44"/>
  <c r="BQ70" i="44"/>
  <c r="BR70" i="44"/>
  <c r="BS70" i="44"/>
  <c r="BT70" i="44"/>
  <c r="Q71" i="44"/>
  <c r="R71" i="44"/>
  <c r="S71" i="44"/>
  <c r="T71" i="44"/>
  <c r="U71" i="44"/>
  <c r="V71" i="44"/>
  <c r="W71" i="44"/>
  <c r="X71" i="44"/>
  <c r="Y71" i="44"/>
  <c r="Z71" i="44"/>
  <c r="AA71" i="44"/>
  <c r="AB71" i="44"/>
  <c r="AC71" i="44"/>
  <c r="AD71" i="44"/>
  <c r="AE71" i="44"/>
  <c r="AF71" i="44"/>
  <c r="AG71" i="44"/>
  <c r="AH71" i="44"/>
  <c r="AI71" i="44"/>
  <c r="AJ71" i="44"/>
  <c r="AK71" i="44"/>
  <c r="AL71" i="44"/>
  <c r="AM71" i="44"/>
  <c r="AN71" i="44"/>
  <c r="AO71" i="44"/>
  <c r="AP71" i="44"/>
  <c r="AQ71" i="44"/>
  <c r="AR71" i="44"/>
  <c r="AS71" i="44"/>
  <c r="AT71" i="44"/>
  <c r="AU71" i="44"/>
  <c r="AV71" i="44"/>
  <c r="AW71" i="44"/>
  <c r="AX71" i="44"/>
  <c r="AY71" i="44"/>
  <c r="AZ71" i="44"/>
  <c r="BA71" i="44"/>
  <c r="BB71" i="44"/>
  <c r="BC71" i="44"/>
  <c r="BD71" i="44"/>
  <c r="BE71" i="44"/>
  <c r="BF71" i="44"/>
  <c r="BG71" i="44"/>
  <c r="BH71" i="44"/>
  <c r="BI71" i="44"/>
  <c r="BJ71" i="44"/>
  <c r="BK71" i="44"/>
  <c r="BL71" i="44"/>
  <c r="BM71" i="44"/>
  <c r="BN71" i="44"/>
  <c r="BO71" i="44"/>
  <c r="BP71" i="44"/>
  <c r="BQ71" i="44"/>
  <c r="BR71" i="44"/>
  <c r="BS71" i="44"/>
  <c r="BT71" i="44"/>
  <c r="Q72" i="44"/>
  <c r="R72" i="44"/>
  <c r="S72" i="44"/>
  <c r="T72" i="44"/>
  <c r="U72" i="44"/>
  <c r="V72" i="44"/>
  <c r="W72" i="44"/>
  <c r="X72" i="44"/>
  <c r="Y72" i="44"/>
  <c r="Z72" i="44"/>
  <c r="AA72" i="44"/>
  <c r="AB72" i="44"/>
  <c r="AC72" i="44"/>
  <c r="AD72" i="44"/>
  <c r="AE72" i="44"/>
  <c r="AF72" i="44"/>
  <c r="AG72" i="44"/>
  <c r="AH72" i="44"/>
  <c r="AI72" i="44"/>
  <c r="AJ72" i="44"/>
  <c r="AK72" i="44"/>
  <c r="AL72" i="44"/>
  <c r="AM72" i="44"/>
  <c r="AN72" i="44"/>
  <c r="AO72" i="44"/>
  <c r="AP72" i="44"/>
  <c r="AQ72" i="44"/>
  <c r="AR72" i="44"/>
  <c r="AS72" i="44"/>
  <c r="AT72" i="44"/>
  <c r="AU72" i="44"/>
  <c r="AV72" i="44"/>
  <c r="AW72" i="44"/>
  <c r="AX72" i="44"/>
  <c r="AY72" i="44"/>
  <c r="AZ72" i="44"/>
  <c r="BA72" i="44"/>
  <c r="BB72" i="44"/>
  <c r="BC72" i="44"/>
  <c r="BD72" i="44"/>
  <c r="BE72" i="44"/>
  <c r="BF72" i="44"/>
  <c r="BG72" i="44"/>
  <c r="BH72" i="44"/>
  <c r="BI72" i="44"/>
  <c r="BJ72" i="44"/>
  <c r="BK72" i="44"/>
  <c r="BL72" i="44"/>
  <c r="BM72" i="44"/>
  <c r="BN72" i="44"/>
  <c r="BO72" i="44"/>
  <c r="BP72" i="44"/>
  <c r="BQ72" i="44"/>
  <c r="BR72" i="44"/>
  <c r="BS72" i="44"/>
  <c r="BT72" i="44"/>
  <c r="Q73" i="44"/>
  <c r="R73" i="44"/>
  <c r="S73" i="44"/>
  <c r="T73" i="44"/>
  <c r="U73" i="44"/>
  <c r="V73" i="44"/>
  <c r="W73" i="44"/>
  <c r="X73" i="44"/>
  <c r="Y73" i="44"/>
  <c r="Z73" i="44"/>
  <c r="AA73" i="44"/>
  <c r="AB73" i="44"/>
  <c r="AC73" i="44"/>
  <c r="AD73" i="44"/>
  <c r="AE73" i="44"/>
  <c r="AF73" i="44"/>
  <c r="AG73" i="44"/>
  <c r="AH73" i="44"/>
  <c r="AI73" i="44"/>
  <c r="AJ73" i="44"/>
  <c r="AK73" i="44"/>
  <c r="AL73" i="44"/>
  <c r="AM73" i="44"/>
  <c r="AN73" i="44"/>
  <c r="AO73" i="44"/>
  <c r="AP73" i="44"/>
  <c r="AQ73" i="44"/>
  <c r="AR73" i="44"/>
  <c r="AS73" i="44"/>
  <c r="AT73" i="44"/>
  <c r="AU73" i="44"/>
  <c r="AV73" i="44"/>
  <c r="AW73" i="44"/>
  <c r="AX73" i="44"/>
  <c r="AY73" i="44"/>
  <c r="AZ73" i="44"/>
  <c r="BA73" i="44"/>
  <c r="BB73" i="44"/>
  <c r="BC73" i="44"/>
  <c r="BD73" i="44"/>
  <c r="BE73" i="44"/>
  <c r="BF73" i="44"/>
  <c r="BG73" i="44"/>
  <c r="BH73" i="44"/>
  <c r="BI73" i="44"/>
  <c r="BJ73" i="44"/>
  <c r="BK73" i="44"/>
  <c r="BL73" i="44"/>
  <c r="BM73" i="44"/>
  <c r="BN73" i="44"/>
  <c r="BO73" i="44"/>
  <c r="BP73" i="44"/>
  <c r="BQ73" i="44"/>
  <c r="BR73" i="44"/>
  <c r="BS73" i="44"/>
  <c r="BT73" i="44"/>
  <c r="Q74" i="44"/>
  <c r="R74" i="44"/>
  <c r="S74" i="44"/>
  <c r="T74" i="44"/>
  <c r="U74" i="44"/>
  <c r="V74" i="44"/>
  <c r="W74" i="44"/>
  <c r="X74" i="44"/>
  <c r="Y74" i="44"/>
  <c r="Z74" i="44"/>
  <c r="AA74" i="44"/>
  <c r="AB74" i="44"/>
  <c r="AC74" i="44"/>
  <c r="AD74" i="44"/>
  <c r="AE74" i="44"/>
  <c r="AF74" i="44"/>
  <c r="AG74" i="44"/>
  <c r="AH74" i="44"/>
  <c r="AI74" i="44"/>
  <c r="AJ74" i="44"/>
  <c r="AK74" i="44"/>
  <c r="AL74" i="44"/>
  <c r="AM74" i="44"/>
  <c r="AN74" i="44"/>
  <c r="AO74" i="44"/>
  <c r="AP74" i="44"/>
  <c r="AQ74" i="44"/>
  <c r="AR74" i="44"/>
  <c r="AS74" i="44"/>
  <c r="AT74" i="44"/>
  <c r="AU74" i="44"/>
  <c r="AV74" i="44"/>
  <c r="AW74" i="44"/>
  <c r="AX74" i="44"/>
  <c r="AY74" i="44"/>
  <c r="AZ74" i="44"/>
  <c r="BA74" i="44"/>
  <c r="BB74" i="44"/>
  <c r="BC74" i="44"/>
  <c r="BD74" i="44"/>
  <c r="BE74" i="44"/>
  <c r="BF74" i="44"/>
  <c r="BG74" i="44"/>
  <c r="BH74" i="44"/>
  <c r="BI74" i="44"/>
  <c r="BJ74" i="44"/>
  <c r="BK74" i="44"/>
  <c r="BL74" i="44"/>
  <c r="BM74" i="44"/>
  <c r="BN74" i="44"/>
  <c r="BO74" i="44"/>
  <c r="BP74" i="44"/>
  <c r="BQ74" i="44"/>
  <c r="BR74" i="44"/>
  <c r="BS74" i="44"/>
  <c r="BT74" i="44"/>
  <c r="Q75" i="44"/>
  <c r="R75" i="44"/>
  <c r="S75" i="44"/>
  <c r="T75" i="44"/>
  <c r="U75" i="44"/>
  <c r="V75" i="44"/>
  <c r="W75" i="44"/>
  <c r="X75" i="44"/>
  <c r="Y75" i="44"/>
  <c r="Z75" i="44"/>
  <c r="AA75" i="44"/>
  <c r="AB75" i="44"/>
  <c r="AC75" i="44"/>
  <c r="AD75" i="44"/>
  <c r="AE75" i="44"/>
  <c r="AF75" i="44"/>
  <c r="AG75" i="44"/>
  <c r="AH75" i="44"/>
  <c r="AI75" i="44"/>
  <c r="AJ75" i="44"/>
  <c r="AK75" i="44"/>
  <c r="AL75" i="44"/>
  <c r="AM75" i="44"/>
  <c r="AN75" i="44"/>
  <c r="AO75" i="44"/>
  <c r="AP75" i="44"/>
  <c r="AQ75" i="44"/>
  <c r="AR75" i="44"/>
  <c r="AS75" i="44"/>
  <c r="AT75" i="44"/>
  <c r="AU75" i="44"/>
  <c r="AV75" i="44"/>
  <c r="AW75" i="44"/>
  <c r="AX75" i="44"/>
  <c r="AY75" i="44"/>
  <c r="AZ75" i="44"/>
  <c r="BA75" i="44"/>
  <c r="BB75" i="44"/>
  <c r="BC75" i="44"/>
  <c r="BD75" i="44"/>
  <c r="BE75" i="44"/>
  <c r="BF75" i="44"/>
  <c r="BG75" i="44"/>
  <c r="BH75" i="44"/>
  <c r="BI75" i="44"/>
  <c r="BJ75" i="44"/>
  <c r="BK75" i="44"/>
  <c r="BL75" i="44"/>
  <c r="BM75" i="44"/>
  <c r="BN75" i="44"/>
  <c r="BO75" i="44"/>
  <c r="BP75" i="44"/>
  <c r="BQ75" i="44"/>
  <c r="BR75" i="44"/>
  <c r="BS75" i="44"/>
  <c r="BT75" i="44"/>
  <c r="Q76" i="44"/>
  <c r="R76" i="44"/>
  <c r="S76" i="44"/>
  <c r="T76" i="44"/>
  <c r="U76" i="44"/>
  <c r="V76" i="44"/>
  <c r="W76" i="44"/>
  <c r="X76" i="44"/>
  <c r="Y76" i="44"/>
  <c r="Z76" i="44"/>
  <c r="AA76" i="44"/>
  <c r="AB76" i="44"/>
  <c r="AC76" i="44"/>
  <c r="AD76" i="44"/>
  <c r="AE76" i="44"/>
  <c r="AF76" i="44"/>
  <c r="AG76" i="44"/>
  <c r="AH76" i="44"/>
  <c r="AI76" i="44"/>
  <c r="AJ76" i="44"/>
  <c r="AK76" i="44"/>
  <c r="AL76" i="44"/>
  <c r="AM76" i="44"/>
  <c r="AN76" i="44"/>
  <c r="AO76" i="44"/>
  <c r="AP76" i="44"/>
  <c r="AQ76" i="44"/>
  <c r="AR76" i="44"/>
  <c r="AS76" i="44"/>
  <c r="AT76" i="44"/>
  <c r="AU76" i="44"/>
  <c r="AV76" i="44"/>
  <c r="AW76" i="44"/>
  <c r="AX76" i="44"/>
  <c r="AY76" i="44"/>
  <c r="AZ76" i="44"/>
  <c r="BA76" i="44"/>
  <c r="BB76" i="44"/>
  <c r="BC76" i="44"/>
  <c r="BD76" i="44"/>
  <c r="BE76" i="44"/>
  <c r="BF76" i="44"/>
  <c r="BG76" i="44"/>
  <c r="BH76" i="44"/>
  <c r="BI76" i="44"/>
  <c r="BJ76" i="44"/>
  <c r="BK76" i="44"/>
  <c r="BL76" i="44"/>
  <c r="BM76" i="44"/>
  <c r="BN76" i="44"/>
  <c r="BO76" i="44"/>
  <c r="BP76" i="44"/>
  <c r="BQ76" i="44"/>
  <c r="BR76" i="44"/>
  <c r="BS76" i="44"/>
  <c r="BT76" i="44"/>
  <c r="Q77" i="44"/>
  <c r="R77" i="44"/>
  <c r="S77" i="44"/>
  <c r="T77" i="44"/>
  <c r="U77" i="44"/>
  <c r="V77" i="44"/>
  <c r="W77" i="44"/>
  <c r="X77" i="44"/>
  <c r="Y77" i="44"/>
  <c r="Z77" i="44"/>
  <c r="AA77" i="44"/>
  <c r="AB77" i="44"/>
  <c r="AC77" i="44"/>
  <c r="AD77" i="44"/>
  <c r="AE77" i="44"/>
  <c r="AF77" i="44"/>
  <c r="AG77" i="44"/>
  <c r="AH77" i="44"/>
  <c r="AI77" i="44"/>
  <c r="AJ77" i="44"/>
  <c r="AK77" i="44"/>
  <c r="AL77" i="44"/>
  <c r="AM77" i="44"/>
  <c r="AN77" i="44"/>
  <c r="AO77" i="44"/>
  <c r="AP77" i="44"/>
  <c r="AQ77" i="44"/>
  <c r="AR77" i="44"/>
  <c r="AS77" i="44"/>
  <c r="AT77" i="44"/>
  <c r="AU77" i="44"/>
  <c r="AV77" i="44"/>
  <c r="AW77" i="44"/>
  <c r="AX77" i="44"/>
  <c r="AY77" i="44"/>
  <c r="AZ77" i="44"/>
  <c r="BA77" i="44"/>
  <c r="BB77" i="44"/>
  <c r="BC77" i="44"/>
  <c r="BD77" i="44"/>
  <c r="BE77" i="44"/>
  <c r="BF77" i="44"/>
  <c r="BG77" i="44"/>
  <c r="BH77" i="44"/>
  <c r="BI77" i="44"/>
  <c r="BJ77" i="44"/>
  <c r="BK77" i="44"/>
  <c r="BL77" i="44"/>
  <c r="BM77" i="44"/>
  <c r="BN77" i="44"/>
  <c r="BO77" i="44"/>
  <c r="BP77" i="44"/>
  <c r="BQ77" i="44"/>
  <c r="BR77" i="44"/>
  <c r="BS77" i="44"/>
  <c r="BT77" i="44"/>
  <c r="Q78" i="44"/>
  <c r="R78" i="44"/>
  <c r="S78" i="44"/>
  <c r="T78" i="44"/>
  <c r="U78" i="44"/>
  <c r="V78" i="44"/>
  <c r="W78" i="44"/>
  <c r="X78" i="44"/>
  <c r="Y78" i="44"/>
  <c r="Z78" i="44"/>
  <c r="AA78" i="44"/>
  <c r="AB78" i="44"/>
  <c r="AC78" i="44"/>
  <c r="AD78" i="44"/>
  <c r="AE78" i="44"/>
  <c r="AF78" i="44"/>
  <c r="AG78" i="44"/>
  <c r="AH78" i="44"/>
  <c r="AI78" i="44"/>
  <c r="AJ78" i="44"/>
  <c r="AK78" i="44"/>
  <c r="AL78" i="44"/>
  <c r="AM78" i="44"/>
  <c r="AN78" i="44"/>
  <c r="AO78" i="44"/>
  <c r="AP78" i="44"/>
  <c r="AQ78" i="44"/>
  <c r="AR78" i="44"/>
  <c r="AS78" i="44"/>
  <c r="AT78" i="44"/>
  <c r="AU78" i="44"/>
  <c r="AV78" i="44"/>
  <c r="AW78" i="44"/>
  <c r="AX78" i="44"/>
  <c r="AY78" i="44"/>
  <c r="AZ78" i="44"/>
  <c r="BA78" i="44"/>
  <c r="BB78" i="44"/>
  <c r="BC78" i="44"/>
  <c r="BD78" i="44"/>
  <c r="BE78" i="44"/>
  <c r="BF78" i="44"/>
  <c r="BG78" i="44"/>
  <c r="BH78" i="44"/>
  <c r="BI78" i="44"/>
  <c r="BJ78" i="44"/>
  <c r="BK78" i="44"/>
  <c r="BL78" i="44"/>
  <c r="BM78" i="44"/>
  <c r="BN78" i="44"/>
  <c r="BO78" i="44"/>
  <c r="BP78" i="44"/>
  <c r="BQ78" i="44"/>
  <c r="BR78" i="44"/>
  <c r="BS78" i="44"/>
  <c r="BT78" i="44"/>
  <c r="Q79" i="44"/>
  <c r="R79" i="44"/>
  <c r="S79" i="44"/>
  <c r="T79" i="44"/>
  <c r="U79" i="44"/>
  <c r="V79" i="44"/>
  <c r="W79" i="44"/>
  <c r="X79" i="44"/>
  <c r="Y79" i="44"/>
  <c r="Z79" i="44"/>
  <c r="AA79" i="44"/>
  <c r="AB79" i="44"/>
  <c r="AC79" i="44"/>
  <c r="AD79" i="44"/>
  <c r="AE79" i="44"/>
  <c r="AF79" i="44"/>
  <c r="AG79" i="44"/>
  <c r="AH79" i="44"/>
  <c r="AI79" i="44"/>
  <c r="AJ79" i="44"/>
  <c r="AK79" i="44"/>
  <c r="AL79" i="44"/>
  <c r="AM79" i="44"/>
  <c r="AN79" i="44"/>
  <c r="AO79" i="44"/>
  <c r="AP79" i="44"/>
  <c r="AQ79" i="44"/>
  <c r="AR79" i="44"/>
  <c r="AS79" i="44"/>
  <c r="AT79" i="44"/>
  <c r="AU79" i="44"/>
  <c r="AV79" i="44"/>
  <c r="AW79" i="44"/>
  <c r="AX79" i="44"/>
  <c r="AY79" i="44"/>
  <c r="AZ79" i="44"/>
  <c r="BA79" i="44"/>
  <c r="BB79" i="44"/>
  <c r="BC79" i="44"/>
  <c r="BD79" i="44"/>
  <c r="BE79" i="44"/>
  <c r="BF79" i="44"/>
  <c r="BG79" i="44"/>
  <c r="BH79" i="44"/>
  <c r="BI79" i="44"/>
  <c r="BJ79" i="44"/>
  <c r="BK79" i="44"/>
  <c r="BL79" i="44"/>
  <c r="BM79" i="44"/>
  <c r="BN79" i="44"/>
  <c r="BO79" i="44"/>
  <c r="BP79" i="44"/>
  <c r="BQ79" i="44"/>
  <c r="BR79" i="44"/>
  <c r="BS79" i="44"/>
  <c r="BT79" i="44"/>
  <c r="Q80" i="44"/>
  <c r="R80" i="44"/>
  <c r="S80" i="44"/>
  <c r="T80" i="44"/>
  <c r="U80" i="44"/>
  <c r="V80" i="44"/>
  <c r="W80" i="44"/>
  <c r="X80" i="44"/>
  <c r="Y80" i="44"/>
  <c r="Z80" i="44"/>
  <c r="AA80" i="44"/>
  <c r="AB80" i="44"/>
  <c r="AC80" i="44"/>
  <c r="AD80" i="44"/>
  <c r="AE80" i="44"/>
  <c r="AF80" i="44"/>
  <c r="AG80" i="44"/>
  <c r="AH80" i="44"/>
  <c r="AI80" i="44"/>
  <c r="AJ80" i="44"/>
  <c r="AK80" i="44"/>
  <c r="AL80" i="44"/>
  <c r="AM80" i="44"/>
  <c r="AN80" i="44"/>
  <c r="AO80" i="44"/>
  <c r="AP80" i="44"/>
  <c r="AQ80" i="44"/>
  <c r="AR80" i="44"/>
  <c r="AS80" i="44"/>
  <c r="AT80" i="44"/>
  <c r="AU80" i="44"/>
  <c r="AV80" i="44"/>
  <c r="AW80" i="44"/>
  <c r="AX80" i="44"/>
  <c r="AY80" i="44"/>
  <c r="AZ80" i="44"/>
  <c r="BA80" i="44"/>
  <c r="BB80" i="44"/>
  <c r="BC80" i="44"/>
  <c r="BD80" i="44"/>
  <c r="BE80" i="44"/>
  <c r="BF80" i="44"/>
  <c r="BG80" i="44"/>
  <c r="BH80" i="44"/>
  <c r="BI80" i="44"/>
  <c r="BJ80" i="44"/>
  <c r="BK80" i="44"/>
  <c r="BL80" i="44"/>
  <c r="BM80" i="44"/>
  <c r="BN80" i="44"/>
  <c r="BO80" i="44"/>
  <c r="BP80" i="44"/>
  <c r="BQ80" i="44"/>
  <c r="BR80" i="44"/>
  <c r="BS80" i="44"/>
  <c r="BT80" i="44"/>
  <c r="Q81" i="44"/>
  <c r="R81" i="44"/>
  <c r="S81" i="44"/>
  <c r="T81" i="44"/>
  <c r="U81" i="44"/>
  <c r="V81" i="44"/>
  <c r="W81" i="44"/>
  <c r="X81" i="44"/>
  <c r="Y81" i="44"/>
  <c r="Z81" i="44"/>
  <c r="AA81" i="44"/>
  <c r="AB81" i="44"/>
  <c r="AC81" i="44"/>
  <c r="AD81" i="44"/>
  <c r="AE81" i="44"/>
  <c r="AF81" i="44"/>
  <c r="AG81" i="44"/>
  <c r="AH81" i="44"/>
  <c r="AI81" i="44"/>
  <c r="AJ81" i="44"/>
  <c r="AK81" i="44"/>
  <c r="AL81" i="44"/>
  <c r="AM81" i="44"/>
  <c r="AN81" i="44"/>
  <c r="AO81" i="44"/>
  <c r="AP81" i="44"/>
  <c r="AQ81" i="44"/>
  <c r="AR81" i="44"/>
  <c r="AS81" i="44"/>
  <c r="AT81" i="44"/>
  <c r="AU81" i="44"/>
  <c r="AV81" i="44"/>
  <c r="AW81" i="44"/>
  <c r="AX81" i="44"/>
  <c r="AY81" i="44"/>
  <c r="AZ81" i="44"/>
  <c r="BA81" i="44"/>
  <c r="BB81" i="44"/>
  <c r="BC81" i="44"/>
  <c r="BD81" i="44"/>
  <c r="BE81" i="44"/>
  <c r="BF81" i="44"/>
  <c r="BG81" i="44"/>
  <c r="BH81" i="44"/>
  <c r="BI81" i="44"/>
  <c r="BJ81" i="44"/>
  <c r="BK81" i="44"/>
  <c r="BL81" i="44"/>
  <c r="BM81" i="44"/>
  <c r="BN81" i="44"/>
  <c r="BO81" i="44"/>
  <c r="BP81" i="44"/>
  <c r="BQ81" i="44"/>
  <c r="BR81" i="44"/>
  <c r="BS81" i="44"/>
  <c r="BT81" i="44"/>
  <c r="Q82" i="44"/>
  <c r="R82" i="44"/>
  <c r="S82" i="44"/>
  <c r="T82" i="44"/>
  <c r="U82" i="44"/>
  <c r="V82" i="44"/>
  <c r="W82" i="44"/>
  <c r="X82" i="44"/>
  <c r="Y82" i="44"/>
  <c r="Z82" i="44"/>
  <c r="AA82" i="44"/>
  <c r="AB82" i="44"/>
  <c r="AC82" i="44"/>
  <c r="AD82" i="44"/>
  <c r="AE82" i="44"/>
  <c r="AF82" i="44"/>
  <c r="AG82" i="44"/>
  <c r="AH82" i="44"/>
  <c r="AI82" i="44"/>
  <c r="AJ82" i="44"/>
  <c r="AK82" i="44"/>
  <c r="AL82" i="44"/>
  <c r="AM82" i="44"/>
  <c r="AN82" i="44"/>
  <c r="AO82" i="44"/>
  <c r="AP82" i="44"/>
  <c r="AQ82" i="44"/>
  <c r="AR82" i="44"/>
  <c r="AS82" i="44"/>
  <c r="AT82" i="44"/>
  <c r="AU82" i="44"/>
  <c r="AV82" i="44"/>
  <c r="AW82" i="44"/>
  <c r="AX82" i="44"/>
  <c r="AY82" i="44"/>
  <c r="AZ82" i="44"/>
  <c r="BA82" i="44"/>
  <c r="BB82" i="44"/>
  <c r="BC82" i="44"/>
  <c r="BD82" i="44"/>
  <c r="BE82" i="44"/>
  <c r="BF82" i="44"/>
  <c r="BG82" i="44"/>
  <c r="BH82" i="44"/>
  <c r="BI82" i="44"/>
  <c r="BJ82" i="44"/>
  <c r="BK82" i="44"/>
  <c r="BL82" i="44"/>
  <c r="BM82" i="44"/>
  <c r="BN82" i="44"/>
  <c r="BO82" i="44"/>
  <c r="BP82" i="44"/>
  <c r="BQ82" i="44"/>
  <c r="BR82" i="44"/>
  <c r="BS82" i="44"/>
  <c r="BT82" i="44"/>
  <c r="Q83" i="44"/>
  <c r="R83" i="44"/>
  <c r="S83" i="44"/>
  <c r="T83" i="44"/>
  <c r="U83" i="44"/>
  <c r="V83" i="44"/>
  <c r="W83" i="44"/>
  <c r="X83" i="44"/>
  <c r="Y83" i="44"/>
  <c r="Z83" i="44"/>
  <c r="AA83" i="44"/>
  <c r="AB83" i="44"/>
  <c r="AC83" i="44"/>
  <c r="AD83" i="44"/>
  <c r="AE83" i="44"/>
  <c r="AF83" i="44"/>
  <c r="AG83" i="44"/>
  <c r="AH83" i="44"/>
  <c r="AI83" i="44"/>
  <c r="AJ83" i="44"/>
  <c r="AK83" i="44"/>
  <c r="AL83" i="44"/>
  <c r="AM83" i="44"/>
  <c r="AN83" i="44"/>
  <c r="AO83" i="44"/>
  <c r="AP83" i="44"/>
  <c r="AQ83" i="44"/>
  <c r="AR83" i="44"/>
  <c r="AS83" i="44"/>
  <c r="AT83" i="44"/>
  <c r="AU83" i="44"/>
  <c r="AV83" i="44"/>
  <c r="AW83" i="44"/>
  <c r="AX83" i="44"/>
  <c r="AY83" i="44"/>
  <c r="AZ83" i="44"/>
  <c r="BA83" i="44"/>
  <c r="BB83" i="44"/>
  <c r="BC83" i="44"/>
  <c r="BD83" i="44"/>
  <c r="BE83" i="44"/>
  <c r="BF83" i="44"/>
  <c r="BG83" i="44"/>
  <c r="BH83" i="44"/>
  <c r="BI83" i="44"/>
  <c r="BJ83" i="44"/>
  <c r="BK83" i="44"/>
  <c r="BL83" i="44"/>
  <c r="BM83" i="44"/>
  <c r="BN83" i="44"/>
  <c r="BO83" i="44"/>
  <c r="BP83" i="44"/>
  <c r="BQ83" i="44"/>
  <c r="BR83" i="44"/>
  <c r="BS83" i="44"/>
  <c r="BT83" i="44"/>
  <c r="Q84" i="44"/>
  <c r="R84" i="44"/>
  <c r="S84" i="44"/>
  <c r="T84" i="44"/>
  <c r="U84" i="44"/>
  <c r="V84" i="44"/>
  <c r="W84" i="44"/>
  <c r="X84" i="44"/>
  <c r="Y84" i="44"/>
  <c r="Z84" i="44"/>
  <c r="AA84" i="44"/>
  <c r="AB84" i="44"/>
  <c r="AC84" i="44"/>
  <c r="AD84" i="44"/>
  <c r="AE84" i="44"/>
  <c r="AF84" i="44"/>
  <c r="AG84" i="44"/>
  <c r="AH84" i="44"/>
  <c r="AI84" i="44"/>
  <c r="AJ84" i="44"/>
  <c r="AK84" i="44"/>
  <c r="AL84" i="44"/>
  <c r="AM84" i="44"/>
  <c r="AN84" i="44"/>
  <c r="AO84" i="44"/>
  <c r="AP84" i="44"/>
  <c r="AQ84" i="44"/>
  <c r="AR84" i="44"/>
  <c r="AS84" i="44"/>
  <c r="AT84" i="44"/>
  <c r="AU84" i="44"/>
  <c r="AV84" i="44"/>
  <c r="AW84" i="44"/>
  <c r="AX84" i="44"/>
  <c r="AY84" i="44"/>
  <c r="AZ84" i="44"/>
  <c r="BA84" i="44"/>
  <c r="BB84" i="44"/>
  <c r="BC84" i="44"/>
  <c r="BD84" i="44"/>
  <c r="BE84" i="44"/>
  <c r="BF84" i="44"/>
  <c r="BG84" i="44"/>
  <c r="BH84" i="44"/>
  <c r="BI84" i="44"/>
  <c r="BJ84" i="44"/>
  <c r="BK84" i="44"/>
  <c r="BL84" i="44"/>
  <c r="BM84" i="44"/>
  <c r="BN84" i="44"/>
  <c r="BO84" i="44"/>
  <c r="BP84" i="44"/>
  <c r="BQ84" i="44"/>
  <c r="BR84" i="44"/>
  <c r="BS84" i="44"/>
  <c r="BT84" i="44"/>
  <c r="Q85" i="44"/>
  <c r="R85" i="44"/>
  <c r="S85" i="44"/>
  <c r="T85" i="44"/>
  <c r="U85" i="44"/>
  <c r="V85" i="44"/>
  <c r="W85" i="44"/>
  <c r="X85" i="44"/>
  <c r="Y85" i="44"/>
  <c r="Z85" i="44"/>
  <c r="AA85" i="44"/>
  <c r="AB85" i="44"/>
  <c r="AC85" i="44"/>
  <c r="AD85" i="44"/>
  <c r="AE85" i="44"/>
  <c r="AF85" i="44"/>
  <c r="AG85" i="44"/>
  <c r="AH85" i="44"/>
  <c r="AI85" i="44"/>
  <c r="AJ85" i="44"/>
  <c r="AK85" i="44"/>
  <c r="AL85" i="44"/>
  <c r="AM85" i="44"/>
  <c r="AN85" i="44"/>
  <c r="AO85" i="44"/>
  <c r="AP85" i="44"/>
  <c r="AQ85" i="44"/>
  <c r="AR85" i="44"/>
  <c r="AS85" i="44"/>
  <c r="AT85" i="44"/>
  <c r="AU85" i="44"/>
  <c r="AV85" i="44"/>
  <c r="AW85" i="44"/>
  <c r="AX85" i="44"/>
  <c r="AY85" i="44"/>
  <c r="AZ85" i="44"/>
  <c r="BA85" i="44"/>
  <c r="BB85" i="44"/>
  <c r="BC85" i="44"/>
  <c r="BD85" i="44"/>
  <c r="BE85" i="44"/>
  <c r="BF85" i="44"/>
  <c r="BG85" i="44"/>
  <c r="BH85" i="44"/>
  <c r="BI85" i="44"/>
  <c r="BJ85" i="44"/>
  <c r="BK85" i="44"/>
  <c r="BL85" i="44"/>
  <c r="BM85" i="44"/>
  <c r="BN85" i="44"/>
  <c r="BO85" i="44"/>
  <c r="BP85" i="44"/>
  <c r="BQ85" i="44"/>
  <c r="BR85" i="44"/>
  <c r="BS85" i="44"/>
  <c r="BT85" i="44"/>
  <c r="Q86" i="44"/>
  <c r="R86" i="44"/>
  <c r="S86" i="44"/>
  <c r="T86" i="44"/>
  <c r="U86" i="44"/>
  <c r="V86" i="44"/>
  <c r="W86" i="44"/>
  <c r="X86" i="44"/>
  <c r="Y86" i="44"/>
  <c r="Z86" i="44"/>
  <c r="AA86" i="44"/>
  <c r="AB86" i="44"/>
  <c r="AC86" i="44"/>
  <c r="AD86" i="44"/>
  <c r="AE86" i="44"/>
  <c r="AF86" i="44"/>
  <c r="AG86" i="44"/>
  <c r="AH86" i="44"/>
  <c r="AI86" i="44"/>
  <c r="AJ86" i="44"/>
  <c r="AK86" i="44"/>
  <c r="AL86" i="44"/>
  <c r="AM86" i="44"/>
  <c r="AN86" i="44"/>
  <c r="AO86" i="44"/>
  <c r="AP86" i="44"/>
  <c r="AQ86" i="44"/>
  <c r="AR86" i="44"/>
  <c r="AS86" i="44"/>
  <c r="AT86" i="44"/>
  <c r="AU86" i="44"/>
  <c r="AV86" i="44"/>
  <c r="AW86" i="44"/>
  <c r="AX86" i="44"/>
  <c r="AY86" i="44"/>
  <c r="AZ86" i="44"/>
  <c r="BA86" i="44"/>
  <c r="BB86" i="44"/>
  <c r="BC86" i="44"/>
  <c r="BD86" i="44"/>
  <c r="BE86" i="44"/>
  <c r="BF86" i="44"/>
  <c r="BG86" i="44"/>
  <c r="BH86" i="44"/>
  <c r="BI86" i="44"/>
  <c r="BJ86" i="44"/>
  <c r="BK86" i="44"/>
  <c r="BL86" i="44"/>
  <c r="BM86" i="44"/>
  <c r="BN86" i="44"/>
  <c r="BO86" i="44"/>
  <c r="BP86" i="44"/>
  <c r="BQ86" i="44"/>
  <c r="BR86" i="44"/>
  <c r="BS86" i="44"/>
  <c r="BT86" i="44"/>
  <c r="Q87" i="44"/>
  <c r="R87" i="44"/>
  <c r="S87" i="44"/>
  <c r="T87" i="44"/>
  <c r="U87" i="44"/>
  <c r="V87" i="44"/>
  <c r="W87" i="44"/>
  <c r="X87" i="44"/>
  <c r="Y87" i="44"/>
  <c r="Z87" i="44"/>
  <c r="AA87" i="44"/>
  <c r="AB87" i="44"/>
  <c r="AC87" i="44"/>
  <c r="AD87" i="44"/>
  <c r="AE87" i="44"/>
  <c r="AF87" i="44"/>
  <c r="AG87" i="44"/>
  <c r="AH87" i="44"/>
  <c r="AI87" i="44"/>
  <c r="AJ87" i="44"/>
  <c r="AK87" i="44"/>
  <c r="AL87" i="44"/>
  <c r="AM87" i="44"/>
  <c r="AN87" i="44"/>
  <c r="AO87" i="44"/>
  <c r="AP87" i="44"/>
  <c r="AQ87" i="44"/>
  <c r="AR87" i="44"/>
  <c r="AS87" i="44"/>
  <c r="AT87" i="44"/>
  <c r="AU87" i="44"/>
  <c r="AV87" i="44"/>
  <c r="AW87" i="44"/>
  <c r="AX87" i="44"/>
  <c r="AY87" i="44"/>
  <c r="AZ87" i="44"/>
  <c r="BA87" i="44"/>
  <c r="BB87" i="44"/>
  <c r="BC87" i="44"/>
  <c r="BD87" i="44"/>
  <c r="BE87" i="44"/>
  <c r="BF87" i="44"/>
  <c r="BG87" i="44"/>
  <c r="BH87" i="44"/>
  <c r="BI87" i="44"/>
  <c r="BJ87" i="44"/>
  <c r="BK87" i="44"/>
  <c r="BL87" i="44"/>
  <c r="BM87" i="44"/>
  <c r="BN87" i="44"/>
  <c r="BO87" i="44"/>
  <c r="BP87" i="44"/>
  <c r="BQ87" i="44"/>
  <c r="BR87" i="44"/>
  <c r="BS87" i="44"/>
  <c r="BT87" i="44"/>
  <c r="Q88" i="44"/>
  <c r="R88" i="44"/>
  <c r="S88" i="44"/>
  <c r="T88" i="44"/>
  <c r="U88" i="44"/>
  <c r="V88" i="44"/>
  <c r="W88" i="44"/>
  <c r="X88" i="44"/>
  <c r="Y88" i="44"/>
  <c r="Z88" i="44"/>
  <c r="AA88" i="44"/>
  <c r="AB88" i="44"/>
  <c r="AC88" i="44"/>
  <c r="AD88" i="44"/>
  <c r="AE88" i="44"/>
  <c r="AF88" i="44"/>
  <c r="AG88" i="44"/>
  <c r="AH88" i="44"/>
  <c r="AI88" i="44"/>
  <c r="AJ88" i="44"/>
  <c r="AK88" i="44"/>
  <c r="AL88" i="44"/>
  <c r="AM88" i="44"/>
  <c r="AN88" i="44"/>
  <c r="AO88" i="44"/>
  <c r="AP88" i="44"/>
  <c r="AQ88" i="44"/>
  <c r="AR88" i="44"/>
  <c r="AS88" i="44"/>
  <c r="AT88" i="44"/>
  <c r="AU88" i="44"/>
  <c r="AV88" i="44"/>
  <c r="AW88" i="44"/>
  <c r="AX88" i="44"/>
  <c r="AY88" i="44"/>
  <c r="AZ88" i="44"/>
  <c r="BA88" i="44"/>
  <c r="BB88" i="44"/>
  <c r="BC88" i="44"/>
  <c r="BD88" i="44"/>
  <c r="BE88" i="44"/>
  <c r="BF88" i="44"/>
  <c r="BG88" i="44"/>
  <c r="BH88" i="44"/>
  <c r="BI88" i="44"/>
  <c r="BJ88" i="44"/>
  <c r="BK88" i="44"/>
  <c r="BL88" i="44"/>
  <c r="BM88" i="44"/>
  <c r="BN88" i="44"/>
  <c r="BO88" i="44"/>
  <c r="BP88" i="44"/>
  <c r="BQ88" i="44"/>
  <c r="BR88" i="44"/>
  <c r="BS88" i="44"/>
  <c r="BT88" i="44"/>
  <c r="Q89" i="44"/>
  <c r="R89" i="44"/>
  <c r="S89" i="44"/>
  <c r="T89" i="44"/>
  <c r="U89" i="44"/>
  <c r="V89" i="44"/>
  <c r="W89" i="44"/>
  <c r="X89" i="44"/>
  <c r="Y89" i="44"/>
  <c r="Z89" i="44"/>
  <c r="AA89" i="44"/>
  <c r="AB89" i="44"/>
  <c r="AC89" i="44"/>
  <c r="AD89" i="44"/>
  <c r="AE89" i="44"/>
  <c r="AF89" i="44"/>
  <c r="AG89" i="44"/>
  <c r="AH89" i="44"/>
  <c r="AI89" i="44"/>
  <c r="AJ89" i="44"/>
  <c r="AK89" i="44"/>
  <c r="AL89" i="44"/>
  <c r="AM89" i="44"/>
  <c r="AN89" i="44"/>
  <c r="AO89" i="44"/>
  <c r="AP89" i="44"/>
  <c r="AQ89" i="44"/>
  <c r="AR89" i="44"/>
  <c r="AS89" i="44"/>
  <c r="AT89" i="44"/>
  <c r="AU89" i="44"/>
  <c r="AV89" i="44"/>
  <c r="AW89" i="44"/>
  <c r="AX89" i="44"/>
  <c r="AY89" i="44"/>
  <c r="AZ89" i="44"/>
  <c r="BA89" i="44"/>
  <c r="BB89" i="44"/>
  <c r="BC89" i="44"/>
  <c r="BD89" i="44"/>
  <c r="BE89" i="44"/>
  <c r="BF89" i="44"/>
  <c r="BG89" i="44"/>
  <c r="BH89" i="44"/>
  <c r="BI89" i="44"/>
  <c r="BJ89" i="44"/>
  <c r="BK89" i="44"/>
  <c r="BL89" i="44"/>
  <c r="BM89" i="44"/>
  <c r="BN89" i="44"/>
  <c r="BO89" i="44"/>
  <c r="BP89" i="44"/>
  <c r="BQ89" i="44"/>
  <c r="BR89" i="44"/>
  <c r="BS89" i="44"/>
  <c r="BT89" i="44"/>
  <c r="Q90" i="44"/>
  <c r="R90" i="44"/>
  <c r="S90" i="44"/>
  <c r="T90" i="44"/>
  <c r="U90" i="44"/>
  <c r="V90" i="44"/>
  <c r="W90" i="44"/>
  <c r="X90" i="44"/>
  <c r="Y90" i="44"/>
  <c r="Z90" i="44"/>
  <c r="AA90" i="44"/>
  <c r="AB90" i="44"/>
  <c r="AC90" i="44"/>
  <c r="AD90" i="44"/>
  <c r="AE90" i="44"/>
  <c r="AF90" i="44"/>
  <c r="AG90" i="44"/>
  <c r="AH90" i="44"/>
  <c r="AI90" i="44"/>
  <c r="AJ90" i="44"/>
  <c r="AK90" i="44"/>
  <c r="AL90" i="44"/>
  <c r="AM90" i="44"/>
  <c r="AN90" i="44"/>
  <c r="AO90" i="44"/>
  <c r="AP90" i="44"/>
  <c r="AQ90" i="44"/>
  <c r="AR90" i="44"/>
  <c r="AS90" i="44"/>
  <c r="AT90" i="44"/>
  <c r="AU90" i="44"/>
  <c r="AV90" i="44"/>
  <c r="AW90" i="44"/>
  <c r="AX90" i="44"/>
  <c r="AY90" i="44"/>
  <c r="AZ90" i="44"/>
  <c r="BA90" i="44"/>
  <c r="BB90" i="44"/>
  <c r="BC90" i="44"/>
  <c r="BD90" i="44"/>
  <c r="BE90" i="44"/>
  <c r="BF90" i="44"/>
  <c r="BG90" i="44"/>
  <c r="BH90" i="44"/>
  <c r="BI90" i="44"/>
  <c r="BJ90" i="44"/>
  <c r="BK90" i="44"/>
  <c r="BL90" i="44"/>
  <c r="BM90" i="44"/>
  <c r="BN90" i="44"/>
  <c r="BO90" i="44"/>
  <c r="BP90" i="44"/>
  <c r="BQ90" i="44"/>
  <c r="BR90" i="44"/>
  <c r="BS90" i="44"/>
  <c r="BT90" i="44"/>
  <c r="Q91" i="44"/>
  <c r="R91" i="44"/>
  <c r="S91" i="44"/>
  <c r="T91" i="44"/>
  <c r="U91" i="44"/>
  <c r="V91" i="44"/>
  <c r="W91" i="44"/>
  <c r="X91" i="44"/>
  <c r="Y91" i="44"/>
  <c r="Z91" i="44"/>
  <c r="AA91" i="44"/>
  <c r="AB91" i="44"/>
  <c r="AC91" i="44"/>
  <c r="AD91" i="44"/>
  <c r="AE91" i="44"/>
  <c r="AF91" i="44"/>
  <c r="AG91" i="44"/>
  <c r="AH91" i="44"/>
  <c r="AI91" i="44"/>
  <c r="AJ91" i="44"/>
  <c r="AK91" i="44"/>
  <c r="AL91" i="44"/>
  <c r="AM91" i="44"/>
  <c r="AN91" i="44"/>
  <c r="AO91" i="44"/>
  <c r="AP91" i="44"/>
  <c r="AQ91" i="44"/>
  <c r="AR91" i="44"/>
  <c r="AS91" i="44"/>
  <c r="AT91" i="44"/>
  <c r="AU91" i="44"/>
  <c r="AV91" i="44"/>
  <c r="AW91" i="44"/>
  <c r="AX91" i="44"/>
  <c r="AY91" i="44"/>
  <c r="AZ91" i="44"/>
  <c r="BA91" i="44"/>
  <c r="BB91" i="44"/>
  <c r="BC91" i="44"/>
  <c r="BD91" i="44"/>
  <c r="BE91" i="44"/>
  <c r="BF91" i="44"/>
  <c r="BG91" i="44"/>
  <c r="BH91" i="44"/>
  <c r="BI91" i="44"/>
  <c r="BJ91" i="44"/>
  <c r="BK91" i="44"/>
  <c r="BL91" i="44"/>
  <c r="BM91" i="44"/>
  <c r="BN91" i="44"/>
  <c r="BO91" i="44"/>
  <c r="BP91" i="44"/>
  <c r="BQ91" i="44"/>
  <c r="BR91" i="44"/>
  <c r="BS91" i="44"/>
  <c r="BT91" i="44"/>
  <c r="Q92" i="44"/>
  <c r="R92" i="44"/>
  <c r="S92" i="44"/>
  <c r="T92" i="44"/>
  <c r="U92" i="44"/>
  <c r="V92" i="44"/>
  <c r="W92" i="44"/>
  <c r="X92" i="44"/>
  <c r="Y92" i="44"/>
  <c r="Z92" i="44"/>
  <c r="AA92" i="44"/>
  <c r="AB92" i="44"/>
  <c r="AC92" i="44"/>
  <c r="AD92" i="44"/>
  <c r="AE92" i="44"/>
  <c r="AF92" i="44"/>
  <c r="AG92" i="44"/>
  <c r="AH92" i="44"/>
  <c r="AI92" i="44"/>
  <c r="AJ92" i="44"/>
  <c r="AK92" i="44"/>
  <c r="AL92" i="44"/>
  <c r="AM92" i="44"/>
  <c r="AN92" i="44"/>
  <c r="AO92" i="44"/>
  <c r="AP92" i="44"/>
  <c r="AQ92" i="44"/>
  <c r="AR92" i="44"/>
  <c r="AS92" i="44"/>
  <c r="AT92" i="44"/>
  <c r="AU92" i="44"/>
  <c r="AV92" i="44"/>
  <c r="AW92" i="44"/>
  <c r="AX92" i="44"/>
  <c r="AY92" i="44"/>
  <c r="AZ92" i="44"/>
  <c r="BA92" i="44"/>
  <c r="BB92" i="44"/>
  <c r="BC92" i="44"/>
  <c r="BD92" i="44"/>
  <c r="BE92" i="44"/>
  <c r="BF92" i="44"/>
  <c r="BG92" i="44"/>
  <c r="BH92" i="44"/>
  <c r="BI92" i="44"/>
  <c r="BJ92" i="44"/>
  <c r="BK92" i="44"/>
  <c r="BL92" i="44"/>
  <c r="BM92" i="44"/>
  <c r="BN92" i="44"/>
  <c r="BO92" i="44"/>
  <c r="BP92" i="44"/>
  <c r="BQ92" i="44"/>
  <c r="BR92" i="44"/>
  <c r="BS92" i="44"/>
  <c r="BT92" i="44"/>
  <c r="Q93" i="44"/>
  <c r="R93" i="44"/>
  <c r="S93" i="44"/>
  <c r="T93" i="44"/>
  <c r="U93" i="44"/>
  <c r="V93" i="44"/>
  <c r="W93" i="44"/>
  <c r="X93" i="44"/>
  <c r="Y93" i="44"/>
  <c r="Z93" i="44"/>
  <c r="AA93" i="44"/>
  <c r="AB93" i="44"/>
  <c r="AC93" i="44"/>
  <c r="AD93" i="44"/>
  <c r="AE93" i="44"/>
  <c r="AF93" i="44"/>
  <c r="AG93" i="44"/>
  <c r="AH93" i="44"/>
  <c r="AI93" i="44"/>
  <c r="AJ93" i="44"/>
  <c r="AK93" i="44"/>
  <c r="AL93" i="44"/>
  <c r="AM93" i="44"/>
  <c r="AN93" i="44"/>
  <c r="AO93" i="44"/>
  <c r="AP93" i="44"/>
  <c r="AQ93" i="44"/>
  <c r="AR93" i="44"/>
  <c r="AS93" i="44"/>
  <c r="AT93" i="44"/>
  <c r="AU93" i="44"/>
  <c r="AV93" i="44"/>
  <c r="AW93" i="44"/>
  <c r="AX93" i="44"/>
  <c r="AY93" i="44"/>
  <c r="AZ93" i="44"/>
  <c r="BA93" i="44"/>
  <c r="BB93" i="44"/>
  <c r="BC93" i="44"/>
  <c r="BD93" i="44"/>
  <c r="BE93" i="44"/>
  <c r="BF93" i="44"/>
  <c r="BG93" i="44"/>
  <c r="BH93" i="44"/>
  <c r="BI93" i="44"/>
  <c r="BJ93" i="44"/>
  <c r="BK93" i="44"/>
  <c r="BL93" i="44"/>
  <c r="BM93" i="44"/>
  <c r="BN93" i="44"/>
  <c r="BO93" i="44"/>
  <c r="BP93" i="44"/>
  <c r="BQ93" i="44"/>
  <c r="BR93" i="44"/>
  <c r="BS93" i="44"/>
  <c r="BT93" i="44"/>
  <c r="Q94" i="44"/>
  <c r="R94" i="44"/>
  <c r="S94" i="44"/>
  <c r="T94" i="44"/>
  <c r="U94" i="44"/>
  <c r="V94" i="44"/>
  <c r="W94" i="44"/>
  <c r="X94" i="44"/>
  <c r="Y94" i="44"/>
  <c r="Z94" i="44"/>
  <c r="AA94" i="44"/>
  <c r="AB94" i="44"/>
  <c r="AC94" i="44"/>
  <c r="AD94" i="44"/>
  <c r="AE94" i="44"/>
  <c r="AF94" i="44"/>
  <c r="AG94" i="44"/>
  <c r="AH94" i="44"/>
  <c r="AI94" i="44"/>
  <c r="AJ94" i="44"/>
  <c r="AK94" i="44"/>
  <c r="AL94" i="44"/>
  <c r="AM94" i="44"/>
  <c r="AN94" i="44"/>
  <c r="AO94" i="44"/>
  <c r="AP94" i="44"/>
  <c r="AQ94" i="44"/>
  <c r="AR94" i="44"/>
  <c r="AS94" i="44"/>
  <c r="AT94" i="44"/>
  <c r="AU94" i="44"/>
  <c r="AV94" i="44"/>
  <c r="AW94" i="44"/>
  <c r="AX94" i="44"/>
  <c r="AY94" i="44"/>
  <c r="AZ94" i="44"/>
  <c r="BA94" i="44"/>
  <c r="BB94" i="44"/>
  <c r="BC94" i="44"/>
  <c r="BD94" i="44"/>
  <c r="BE94" i="44"/>
  <c r="BF94" i="44"/>
  <c r="BG94" i="44"/>
  <c r="BH94" i="44"/>
  <c r="BI94" i="44"/>
  <c r="BJ94" i="44"/>
  <c r="BK94" i="44"/>
  <c r="BL94" i="44"/>
  <c r="BM94" i="44"/>
  <c r="BN94" i="44"/>
  <c r="BO94" i="44"/>
  <c r="BP94" i="44"/>
  <c r="BQ94" i="44"/>
  <c r="BR94" i="44"/>
  <c r="BS94" i="44"/>
  <c r="BT94" i="44"/>
  <c r="Q95" i="44"/>
  <c r="R95" i="44"/>
  <c r="S95" i="44"/>
  <c r="T95" i="44"/>
  <c r="U95" i="44"/>
  <c r="V95" i="44"/>
  <c r="W95" i="44"/>
  <c r="X95" i="44"/>
  <c r="Y95" i="44"/>
  <c r="Z95" i="44"/>
  <c r="AA95" i="44"/>
  <c r="AB95" i="44"/>
  <c r="AC95" i="44"/>
  <c r="AD95" i="44"/>
  <c r="AE95" i="44"/>
  <c r="AF95" i="44"/>
  <c r="AG95" i="44"/>
  <c r="AH95" i="44"/>
  <c r="AI95" i="44"/>
  <c r="AJ95" i="44"/>
  <c r="AK95" i="44"/>
  <c r="AL95" i="44"/>
  <c r="AM95" i="44"/>
  <c r="AN95" i="44"/>
  <c r="AO95" i="44"/>
  <c r="AP95" i="44"/>
  <c r="AQ95" i="44"/>
  <c r="AR95" i="44"/>
  <c r="AS95" i="44"/>
  <c r="AT95" i="44"/>
  <c r="AU95" i="44"/>
  <c r="AV95" i="44"/>
  <c r="AW95" i="44"/>
  <c r="AX95" i="44"/>
  <c r="AY95" i="44"/>
  <c r="AZ95" i="44"/>
  <c r="BA95" i="44"/>
  <c r="BB95" i="44"/>
  <c r="BC95" i="44"/>
  <c r="BD95" i="44"/>
  <c r="BE95" i="44"/>
  <c r="BF95" i="44"/>
  <c r="BG95" i="44"/>
  <c r="BH95" i="44"/>
  <c r="BI95" i="44"/>
  <c r="BJ95" i="44"/>
  <c r="BK95" i="44"/>
  <c r="BL95" i="44"/>
  <c r="BM95" i="44"/>
  <c r="BN95" i="44"/>
  <c r="BO95" i="44"/>
  <c r="BP95" i="44"/>
  <c r="BQ95" i="44"/>
  <c r="BR95" i="44"/>
  <c r="BS95" i="44"/>
  <c r="BT95" i="44"/>
  <c r="Q96" i="44"/>
  <c r="R96" i="44"/>
  <c r="S96" i="44"/>
  <c r="T96" i="44"/>
  <c r="U96" i="44"/>
  <c r="V96" i="44"/>
  <c r="W96" i="44"/>
  <c r="X96" i="44"/>
  <c r="Y96" i="44"/>
  <c r="Z96" i="44"/>
  <c r="AA96" i="44"/>
  <c r="AB96" i="44"/>
  <c r="AC96" i="44"/>
  <c r="AD96" i="44"/>
  <c r="AE96" i="44"/>
  <c r="AF96" i="44"/>
  <c r="AG96" i="44"/>
  <c r="AH96" i="44"/>
  <c r="AI96" i="44"/>
  <c r="AJ96" i="44"/>
  <c r="AK96" i="44"/>
  <c r="AL96" i="44"/>
  <c r="AM96" i="44"/>
  <c r="AN96" i="44"/>
  <c r="AO96" i="44"/>
  <c r="AP96" i="44"/>
  <c r="AQ96" i="44"/>
  <c r="AR96" i="44"/>
  <c r="AS96" i="44"/>
  <c r="AT96" i="44"/>
  <c r="AU96" i="44"/>
  <c r="AV96" i="44"/>
  <c r="AW96" i="44"/>
  <c r="AX96" i="44"/>
  <c r="AY96" i="44"/>
  <c r="AZ96" i="44"/>
  <c r="BA96" i="44"/>
  <c r="BB96" i="44"/>
  <c r="BC96" i="44"/>
  <c r="BD96" i="44"/>
  <c r="BE96" i="44"/>
  <c r="BF96" i="44"/>
  <c r="BG96" i="44"/>
  <c r="BH96" i="44"/>
  <c r="BI96" i="44"/>
  <c r="BJ96" i="44"/>
  <c r="BK96" i="44"/>
  <c r="BL96" i="44"/>
  <c r="BM96" i="44"/>
  <c r="BN96" i="44"/>
  <c r="BO96" i="44"/>
  <c r="BP96" i="44"/>
  <c r="BQ96" i="44"/>
  <c r="BR96" i="44"/>
  <c r="BS96" i="44"/>
  <c r="BT96" i="44"/>
  <c r="Q97" i="44"/>
  <c r="R97" i="44"/>
  <c r="S97" i="44"/>
  <c r="T97" i="44"/>
  <c r="U97" i="44"/>
  <c r="V97" i="44"/>
  <c r="W97" i="44"/>
  <c r="X97" i="44"/>
  <c r="Y97" i="44"/>
  <c r="Z97" i="44"/>
  <c r="AA97" i="44"/>
  <c r="AB97" i="44"/>
  <c r="AC97" i="44"/>
  <c r="AD97" i="44"/>
  <c r="AE97" i="44"/>
  <c r="AF97" i="44"/>
  <c r="AG97" i="44"/>
  <c r="AH97" i="44"/>
  <c r="AI97" i="44"/>
  <c r="AJ97" i="44"/>
  <c r="AK97" i="44"/>
  <c r="AL97" i="44"/>
  <c r="AM97" i="44"/>
  <c r="AN97" i="44"/>
  <c r="AO97" i="44"/>
  <c r="AP97" i="44"/>
  <c r="AQ97" i="44"/>
  <c r="AR97" i="44"/>
  <c r="AS97" i="44"/>
  <c r="AT97" i="44"/>
  <c r="AU97" i="44"/>
  <c r="AV97" i="44"/>
  <c r="AW97" i="44"/>
  <c r="AX97" i="44"/>
  <c r="AY97" i="44"/>
  <c r="AZ97" i="44"/>
  <c r="BA97" i="44"/>
  <c r="BB97" i="44"/>
  <c r="BC97" i="44"/>
  <c r="BD97" i="44"/>
  <c r="BE97" i="44"/>
  <c r="BF97" i="44"/>
  <c r="BG97" i="44"/>
  <c r="BH97" i="44"/>
  <c r="BI97" i="44"/>
  <c r="BJ97" i="44"/>
  <c r="BK97" i="44"/>
  <c r="BL97" i="44"/>
  <c r="BM97" i="44"/>
  <c r="BN97" i="44"/>
  <c r="BO97" i="44"/>
  <c r="BP97" i="44"/>
  <c r="BQ97" i="44"/>
  <c r="BR97" i="44"/>
  <c r="BS97" i="44"/>
  <c r="BT97" i="44"/>
  <c r="Q98" i="44"/>
  <c r="R98" i="44"/>
  <c r="S98" i="44"/>
  <c r="T98" i="44"/>
  <c r="U98" i="44"/>
  <c r="V98" i="44"/>
  <c r="W98" i="44"/>
  <c r="X98" i="44"/>
  <c r="Y98" i="44"/>
  <c r="Z98" i="44"/>
  <c r="AA98" i="44"/>
  <c r="AB98" i="44"/>
  <c r="AC98" i="44"/>
  <c r="AD98" i="44"/>
  <c r="AE98" i="44"/>
  <c r="AF98" i="44"/>
  <c r="AG98" i="44"/>
  <c r="AH98" i="44"/>
  <c r="AI98" i="44"/>
  <c r="AJ98" i="44"/>
  <c r="AK98" i="44"/>
  <c r="AL98" i="44"/>
  <c r="AM98" i="44"/>
  <c r="AN98" i="44"/>
  <c r="AO98" i="44"/>
  <c r="AP98" i="44"/>
  <c r="AQ98" i="44"/>
  <c r="AR98" i="44"/>
  <c r="AS98" i="44"/>
  <c r="AT98" i="44"/>
  <c r="AU98" i="44"/>
  <c r="AV98" i="44"/>
  <c r="AW98" i="44"/>
  <c r="AX98" i="44"/>
  <c r="AY98" i="44"/>
  <c r="AZ98" i="44"/>
  <c r="BA98" i="44"/>
  <c r="BB98" i="44"/>
  <c r="BC98" i="44"/>
  <c r="BD98" i="44"/>
  <c r="BE98" i="44"/>
  <c r="BF98" i="44"/>
  <c r="BG98" i="44"/>
  <c r="BH98" i="44"/>
  <c r="BI98" i="44"/>
  <c r="BJ98" i="44"/>
  <c r="BK98" i="44"/>
  <c r="BL98" i="44"/>
  <c r="BM98" i="44"/>
  <c r="BN98" i="44"/>
  <c r="BO98" i="44"/>
  <c r="BP98" i="44"/>
  <c r="BQ98" i="44"/>
  <c r="BR98" i="44"/>
  <c r="BS98" i="44"/>
  <c r="BT98" i="44"/>
  <c r="Q99" i="44"/>
  <c r="R99" i="44"/>
  <c r="S99" i="44"/>
  <c r="T99" i="44"/>
  <c r="U99" i="44"/>
  <c r="V99" i="44"/>
  <c r="W99" i="44"/>
  <c r="X99" i="44"/>
  <c r="Y99" i="44"/>
  <c r="Z99" i="44"/>
  <c r="AA99" i="44"/>
  <c r="AB99" i="44"/>
  <c r="AC99" i="44"/>
  <c r="AD99" i="44"/>
  <c r="AE99" i="44"/>
  <c r="AF99" i="44"/>
  <c r="AG99" i="44"/>
  <c r="AH99" i="44"/>
  <c r="AI99" i="44"/>
  <c r="AJ99" i="44"/>
  <c r="AK99" i="44"/>
  <c r="AL99" i="44"/>
  <c r="AM99" i="44"/>
  <c r="AN99" i="44"/>
  <c r="AO99" i="44"/>
  <c r="AP99" i="44"/>
  <c r="AQ99" i="44"/>
  <c r="AR99" i="44"/>
  <c r="AS99" i="44"/>
  <c r="AT99" i="44"/>
  <c r="AU99" i="44"/>
  <c r="AV99" i="44"/>
  <c r="AW99" i="44"/>
  <c r="AX99" i="44"/>
  <c r="AY99" i="44"/>
  <c r="AZ99" i="44"/>
  <c r="BA99" i="44"/>
  <c r="BB99" i="44"/>
  <c r="BC99" i="44"/>
  <c r="BD99" i="44"/>
  <c r="BE99" i="44"/>
  <c r="BF99" i="44"/>
  <c r="BG99" i="44"/>
  <c r="BH99" i="44"/>
  <c r="BI99" i="44"/>
  <c r="BJ99" i="44"/>
  <c r="BK99" i="44"/>
  <c r="BL99" i="44"/>
  <c r="BM99" i="44"/>
  <c r="BN99" i="44"/>
  <c r="BO99" i="44"/>
  <c r="BP99" i="44"/>
  <c r="BQ99" i="44"/>
  <c r="BR99" i="44"/>
  <c r="BS99" i="44"/>
  <c r="BT99" i="44"/>
  <c r="Q100" i="44"/>
  <c r="R100" i="44"/>
  <c r="S100" i="44"/>
  <c r="T100" i="44"/>
  <c r="U100" i="44"/>
  <c r="V100" i="44"/>
  <c r="W100" i="44"/>
  <c r="X100" i="44"/>
  <c r="Y100" i="44"/>
  <c r="Z100" i="44"/>
  <c r="AA100" i="44"/>
  <c r="AB100" i="44"/>
  <c r="AC100" i="44"/>
  <c r="AD100" i="44"/>
  <c r="AE100" i="44"/>
  <c r="AF100" i="44"/>
  <c r="AG100" i="44"/>
  <c r="AH100" i="44"/>
  <c r="AI100" i="44"/>
  <c r="AJ100" i="44"/>
  <c r="AK100" i="44"/>
  <c r="AL100" i="44"/>
  <c r="AM100" i="44"/>
  <c r="AN100" i="44"/>
  <c r="AO100" i="44"/>
  <c r="AP100" i="44"/>
  <c r="AQ100" i="44"/>
  <c r="AR100" i="44"/>
  <c r="AS100" i="44"/>
  <c r="AT100" i="44"/>
  <c r="AU100" i="44"/>
  <c r="AV100" i="44"/>
  <c r="AW100" i="44"/>
  <c r="AX100" i="44"/>
  <c r="AY100" i="44"/>
  <c r="AZ100" i="44"/>
  <c r="BA100" i="44"/>
  <c r="BB100" i="44"/>
  <c r="BC100" i="44"/>
  <c r="BD100" i="44"/>
  <c r="BE100" i="44"/>
  <c r="BF100" i="44"/>
  <c r="BG100" i="44"/>
  <c r="BH100" i="44"/>
  <c r="BI100" i="44"/>
  <c r="BJ100" i="44"/>
  <c r="BK100" i="44"/>
  <c r="BL100" i="44"/>
  <c r="BM100" i="44"/>
  <c r="BN100" i="44"/>
  <c r="BO100" i="44"/>
  <c r="BP100" i="44"/>
  <c r="BQ100" i="44"/>
  <c r="BR100" i="44"/>
  <c r="BS100" i="44"/>
  <c r="BT100" i="44"/>
  <c r="Q101" i="44"/>
  <c r="R101" i="44"/>
  <c r="S101" i="44"/>
  <c r="T101" i="44"/>
  <c r="U101" i="44"/>
  <c r="V101" i="44"/>
  <c r="W101" i="44"/>
  <c r="X101" i="44"/>
  <c r="Y101" i="44"/>
  <c r="Z101" i="44"/>
  <c r="AA101" i="44"/>
  <c r="AB101" i="44"/>
  <c r="AC101" i="44"/>
  <c r="AD101" i="44"/>
  <c r="AE101" i="44"/>
  <c r="AF101" i="44"/>
  <c r="AG101" i="44"/>
  <c r="AH101" i="44"/>
  <c r="AI101" i="44"/>
  <c r="AJ101" i="44"/>
  <c r="AK101" i="44"/>
  <c r="AL101" i="44"/>
  <c r="AM101" i="44"/>
  <c r="AN101" i="44"/>
  <c r="AO101" i="44"/>
  <c r="AP101" i="44"/>
  <c r="AQ101" i="44"/>
  <c r="AR101" i="44"/>
  <c r="AS101" i="44"/>
  <c r="AT101" i="44"/>
  <c r="AU101" i="44"/>
  <c r="AV101" i="44"/>
  <c r="AW101" i="44"/>
  <c r="AX101" i="44"/>
  <c r="AY101" i="44"/>
  <c r="AZ101" i="44"/>
  <c r="BA101" i="44"/>
  <c r="BB101" i="44"/>
  <c r="BC101" i="44"/>
  <c r="BD101" i="44"/>
  <c r="BE101" i="44"/>
  <c r="BF101" i="44"/>
  <c r="BG101" i="44"/>
  <c r="BH101" i="44"/>
  <c r="BI101" i="44"/>
  <c r="BJ101" i="44"/>
  <c r="BK101" i="44"/>
  <c r="BL101" i="44"/>
  <c r="BM101" i="44"/>
  <c r="BN101" i="44"/>
  <c r="BO101" i="44"/>
  <c r="BP101" i="44"/>
  <c r="BQ101" i="44"/>
  <c r="BR101" i="44"/>
  <c r="BS101" i="44"/>
  <c r="BT101" i="44"/>
  <c r="Q102" i="44"/>
  <c r="R102" i="44"/>
  <c r="S102" i="44"/>
  <c r="T102" i="44"/>
  <c r="U102" i="44"/>
  <c r="V102" i="44"/>
  <c r="W102" i="44"/>
  <c r="X102" i="44"/>
  <c r="Y102" i="44"/>
  <c r="Z102" i="44"/>
  <c r="AA102" i="44"/>
  <c r="AB102" i="44"/>
  <c r="AC102" i="44"/>
  <c r="AD102" i="44"/>
  <c r="AE102" i="44"/>
  <c r="AF102" i="44"/>
  <c r="AG102" i="44"/>
  <c r="AH102" i="44"/>
  <c r="AI102" i="44"/>
  <c r="AJ102" i="44"/>
  <c r="AK102" i="44"/>
  <c r="AL102" i="44"/>
  <c r="AM102" i="44"/>
  <c r="AN102" i="44"/>
  <c r="AO102" i="44"/>
  <c r="AP102" i="44"/>
  <c r="AQ102" i="44"/>
  <c r="AR102" i="44"/>
  <c r="AS102" i="44"/>
  <c r="AT102" i="44"/>
  <c r="AU102" i="44"/>
  <c r="AV102" i="44"/>
  <c r="AW102" i="44"/>
  <c r="AX102" i="44"/>
  <c r="AY102" i="44"/>
  <c r="AZ102" i="44"/>
  <c r="BA102" i="44"/>
  <c r="BB102" i="44"/>
  <c r="BC102" i="44"/>
  <c r="BD102" i="44"/>
  <c r="BE102" i="44"/>
  <c r="BF102" i="44"/>
  <c r="BG102" i="44"/>
  <c r="BH102" i="44"/>
  <c r="BI102" i="44"/>
  <c r="BJ102" i="44"/>
  <c r="BK102" i="44"/>
  <c r="BL102" i="44"/>
  <c r="BM102" i="44"/>
  <c r="BN102" i="44"/>
  <c r="BO102" i="44"/>
  <c r="BP102" i="44"/>
  <c r="BQ102" i="44"/>
  <c r="BR102" i="44"/>
  <c r="BS102" i="44"/>
  <c r="BT102" i="44"/>
  <c r="Q103" i="44"/>
  <c r="R103" i="44"/>
  <c r="S103" i="44"/>
  <c r="T103" i="44"/>
  <c r="U103" i="44"/>
  <c r="V103" i="44"/>
  <c r="W103" i="44"/>
  <c r="X103" i="44"/>
  <c r="Y103" i="44"/>
  <c r="Z103" i="44"/>
  <c r="AA103" i="44"/>
  <c r="AB103" i="44"/>
  <c r="AC103" i="44"/>
  <c r="AD103" i="44"/>
  <c r="AE103" i="44"/>
  <c r="AF103" i="44"/>
  <c r="AG103" i="44"/>
  <c r="AH103" i="44"/>
  <c r="AI103" i="44"/>
  <c r="AJ103" i="44"/>
  <c r="AK103" i="44"/>
  <c r="AL103" i="44"/>
  <c r="AM103" i="44"/>
  <c r="AN103" i="44"/>
  <c r="AO103" i="44"/>
  <c r="AP103" i="44"/>
  <c r="AQ103" i="44"/>
  <c r="AR103" i="44"/>
  <c r="AS103" i="44"/>
  <c r="AT103" i="44"/>
  <c r="AU103" i="44"/>
  <c r="AV103" i="44"/>
  <c r="AW103" i="44"/>
  <c r="AX103" i="44"/>
  <c r="AY103" i="44"/>
  <c r="AZ103" i="44"/>
  <c r="BA103" i="44"/>
  <c r="BB103" i="44"/>
  <c r="BC103" i="44"/>
  <c r="BD103" i="44"/>
  <c r="BE103" i="44"/>
  <c r="BF103" i="44"/>
  <c r="BG103" i="44"/>
  <c r="BH103" i="44"/>
  <c r="BI103" i="44"/>
  <c r="BJ103" i="44"/>
  <c r="BK103" i="44"/>
  <c r="BL103" i="44"/>
  <c r="BM103" i="44"/>
  <c r="BN103" i="44"/>
  <c r="BO103" i="44"/>
  <c r="BP103" i="44"/>
  <c r="BQ103" i="44"/>
  <c r="BR103" i="44"/>
  <c r="BS103" i="44"/>
  <c r="BT103" i="44"/>
  <c r="Q104" i="44"/>
  <c r="R104" i="44"/>
  <c r="S104" i="44"/>
  <c r="T104" i="44"/>
  <c r="U104" i="44"/>
  <c r="V104" i="44"/>
  <c r="W104" i="44"/>
  <c r="X104" i="44"/>
  <c r="Y104" i="44"/>
  <c r="Z104" i="44"/>
  <c r="AA104" i="44"/>
  <c r="AB104" i="44"/>
  <c r="AC104" i="44"/>
  <c r="AD104" i="44"/>
  <c r="AE104" i="44"/>
  <c r="AF104" i="44"/>
  <c r="AG104" i="44"/>
  <c r="AH104" i="44"/>
  <c r="AI104" i="44"/>
  <c r="AJ104" i="44"/>
  <c r="AK104" i="44"/>
  <c r="AL104" i="44"/>
  <c r="AM104" i="44"/>
  <c r="AN104" i="44"/>
  <c r="AO104" i="44"/>
  <c r="AP104" i="44"/>
  <c r="AQ104" i="44"/>
  <c r="AR104" i="44"/>
  <c r="AS104" i="44"/>
  <c r="AT104" i="44"/>
  <c r="AU104" i="44"/>
  <c r="AV104" i="44"/>
  <c r="AW104" i="44"/>
  <c r="AX104" i="44"/>
  <c r="AY104" i="44"/>
  <c r="AZ104" i="44"/>
  <c r="BA104" i="44"/>
  <c r="BB104" i="44"/>
  <c r="BC104" i="44"/>
  <c r="BD104" i="44"/>
  <c r="BE104" i="44"/>
  <c r="BF104" i="44"/>
  <c r="BG104" i="44"/>
  <c r="BH104" i="44"/>
  <c r="BI104" i="44"/>
  <c r="BJ104" i="44"/>
  <c r="BK104" i="44"/>
  <c r="BL104" i="44"/>
  <c r="BM104" i="44"/>
  <c r="BN104" i="44"/>
  <c r="BO104" i="44"/>
  <c r="BP104" i="44"/>
  <c r="BQ104" i="44"/>
  <c r="BR104" i="44"/>
  <c r="BS104" i="44"/>
  <c r="BT104" i="44"/>
  <c r="Q105" i="44"/>
  <c r="R105" i="44"/>
  <c r="S105" i="44"/>
  <c r="T105" i="44"/>
  <c r="U105" i="44"/>
  <c r="V105" i="44"/>
  <c r="W105" i="44"/>
  <c r="X105" i="44"/>
  <c r="Y105" i="44"/>
  <c r="Z105" i="44"/>
  <c r="AA105" i="44"/>
  <c r="AB105" i="44"/>
  <c r="AC105" i="44"/>
  <c r="AD105" i="44"/>
  <c r="AE105" i="44"/>
  <c r="AF105" i="44"/>
  <c r="AG105" i="44"/>
  <c r="AH105" i="44"/>
  <c r="AI105" i="44"/>
  <c r="AJ105" i="44"/>
  <c r="AK105" i="44"/>
  <c r="AL105" i="44"/>
  <c r="AM105" i="44"/>
  <c r="AN105" i="44"/>
  <c r="AO105" i="44"/>
  <c r="AP105" i="44"/>
  <c r="AQ105" i="44"/>
  <c r="AR105" i="44"/>
  <c r="AS105" i="44"/>
  <c r="AT105" i="44"/>
  <c r="AU105" i="44"/>
  <c r="AV105" i="44"/>
  <c r="AW105" i="44"/>
  <c r="AX105" i="44"/>
  <c r="AY105" i="44"/>
  <c r="AZ105" i="44"/>
  <c r="BA105" i="44"/>
  <c r="BB105" i="44"/>
  <c r="BC105" i="44"/>
  <c r="BD105" i="44"/>
  <c r="BE105" i="44"/>
  <c r="BF105" i="44"/>
  <c r="BG105" i="44"/>
  <c r="BH105" i="44"/>
  <c r="BI105" i="44"/>
  <c r="BJ105" i="44"/>
  <c r="BK105" i="44"/>
  <c r="BL105" i="44"/>
  <c r="BM105" i="44"/>
  <c r="BN105" i="44"/>
  <c r="BO105" i="44"/>
  <c r="BP105" i="44"/>
  <c r="BQ105" i="44"/>
  <c r="BR105" i="44"/>
  <c r="BS105" i="44"/>
  <c r="BT105" i="44"/>
  <c r="Q106" i="44"/>
  <c r="R106" i="44"/>
  <c r="S106" i="44"/>
  <c r="T106" i="44"/>
  <c r="U106" i="44"/>
  <c r="V106" i="44"/>
  <c r="W106" i="44"/>
  <c r="X106" i="44"/>
  <c r="Y106" i="44"/>
  <c r="Z106" i="44"/>
  <c r="AA106" i="44"/>
  <c r="AB106" i="44"/>
  <c r="AC106" i="44"/>
  <c r="AD106" i="44"/>
  <c r="AE106" i="44"/>
  <c r="AF106" i="44"/>
  <c r="AG106" i="44"/>
  <c r="AH106" i="44"/>
  <c r="AI106" i="44"/>
  <c r="AJ106" i="44"/>
  <c r="AK106" i="44"/>
  <c r="AL106" i="44"/>
  <c r="AM106" i="44"/>
  <c r="AN106" i="44"/>
  <c r="AO106" i="44"/>
  <c r="AP106" i="44"/>
  <c r="AQ106" i="44"/>
  <c r="AR106" i="44"/>
  <c r="AS106" i="44"/>
  <c r="AT106" i="44"/>
  <c r="AU106" i="44"/>
  <c r="AV106" i="44"/>
  <c r="AW106" i="44"/>
  <c r="AX106" i="44"/>
  <c r="AY106" i="44"/>
  <c r="AZ106" i="44"/>
  <c r="BA106" i="44"/>
  <c r="BB106" i="44"/>
  <c r="BC106" i="44"/>
  <c r="BD106" i="44"/>
  <c r="BE106" i="44"/>
  <c r="BF106" i="44"/>
  <c r="BG106" i="44"/>
  <c r="BH106" i="44"/>
  <c r="BI106" i="44"/>
  <c r="BJ106" i="44"/>
  <c r="BK106" i="44"/>
  <c r="BL106" i="44"/>
  <c r="BM106" i="44"/>
  <c r="BN106" i="44"/>
  <c r="BO106" i="44"/>
  <c r="BP106" i="44"/>
  <c r="BQ106" i="44"/>
  <c r="BR106" i="44"/>
  <c r="BS106" i="44"/>
  <c r="BT106" i="44"/>
  <c r="Q107" i="44"/>
  <c r="R107" i="44"/>
  <c r="S107" i="44"/>
  <c r="T107" i="44"/>
  <c r="U107" i="44"/>
  <c r="V107" i="44"/>
  <c r="W107" i="44"/>
  <c r="X107" i="44"/>
  <c r="Y107" i="44"/>
  <c r="Z107" i="44"/>
  <c r="AA107" i="44"/>
  <c r="AB107" i="44"/>
  <c r="AC107" i="44"/>
  <c r="AD107" i="44"/>
  <c r="AE107" i="44"/>
  <c r="AF107" i="44"/>
  <c r="AG107" i="44"/>
  <c r="AH107" i="44"/>
  <c r="AI107" i="44"/>
  <c r="AJ107" i="44"/>
  <c r="AK107" i="44"/>
  <c r="AL107" i="44"/>
  <c r="AM107" i="44"/>
  <c r="AN107" i="44"/>
  <c r="AO107" i="44"/>
  <c r="AP107" i="44"/>
  <c r="AQ107" i="44"/>
  <c r="AR107" i="44"/>
  <c r="AS107" i="44"/>
  <c r="AT107" i="44"/>
  <c r="AU107" i="44"/>
  <c r="AV107" i="44"/>
  <c r="AW107" i="44"/>
  <c r="AX107" i="44"/>
  <c r="AY107" i="44"/>
  <c r="AZ107" i="44"/>
  <c r="BA107" i="44"/>
  <c r="BB107" i="44"/>
  <c r="BC107" i="44"/>
  <c r="BD107" i="44"/>
  <c r="BE107" i="44"/>
  <c r="BF107" i="44"/>
  <c r="BG107" i="44"/>
  <c r="BH107" i="44"/>
  <c r="BI107" i="44"/>
  <c r="BJ107" i="44"/>
  <c r="BK107" i="44"/>
  <c r="BL107" i="44"/>
  <c r="BM107" i="44"/>
  <c r="BN107" i="44"/>
  <c r="BO107" i="44"/>
  <c r="BP107" i="44"/>
  <c r="BQ107" i="44"/>
  <c r="BR107" i="44"/>
  <c r="BS107" i="44"/>
  <c r="BT107" i="44"/>
  <c r="Q108" i="44"/>
  <c r="R108" i="44"/>
  <c r="S108" i="44"/>
  <c r="T108" i="44"/>
  <c r="U108" i="44"/>
  <c r="V108" i="44"/>
  <c r="W108" i="44"/>
  <c r="X108" i="44"/>
  <c r="Y108" i="44"/>
  <c r="Z108" i="44"/>
  <c r="AA108" i="44"/>
  <c r="AB108" i="44"/>
  <c r="AC108" i="44"/>
  <c r="AD108" i="44"/>
  <c r="AE108" i="44"/>
  <c r="AF108" i="44"/>
  <c r="AG108" i="44"/>
  <c r="AH108" i="44"/>
  <c r="AI108" i="44"/>
  <c r="AJ108" i="44"/>
  <c r="AK108" i="44"/>
  <c r="AL108" i="44"/>
  <c r="AM108" i="44"/>
  <c r="AN108" i="44"/>
  <c r="AO108" i="44"/>
  <c r="AP108" i="44"/>
  <c r="AQ108" i="44"/>
  <c r="AR108" i="44"/>
  <c r="AS108" i="44"/>
  <c r="AT108" i="44"/>
  <c r="AU108" i="44"/>
  <c r="AV108" i="44"/>
  <c r="AW108" i="44"/>
  <c r="AX108" i="44"/>
  <c r="AY108" i="44"/>
  <c r="AZ108" i="44"/>
  <c r="BA108" i="44"/>
  <c r="BB108" i="44"/>
  <c r="BC108" i="44"/>
  <c r="BD108" i="44"/>
  <c r="BE108" i="44"/>
  <c r="BF108" i="44"/>
  <c r="BG108" i="44"/>
  <c r="BH108" i="44"/>
  <c r="BI108" i="44"/>
  <c r="BJ108" i="44"/>
  <c r="BK108" i="44"/>
  <c r="BL108" i="44"/>
  <c r="BM108" i="44"/>
  <c r="BN108" i="44"/>
  <c r="BO108" i="44"/>
  <c r="BP108" i="44"/>
  <c r="BQ108" i="44"/>
  <c r="BR108" i="44"/>
  <c r="BS108" i="44"/>
  <c r="BT108" i="44"/>
  <c r="Q109" i="44"/>
  <c r="R109" i="44"/>
  <c r="S109" i="44"/>
  <c r="T109" i="44"/>
  <c r="U109" i="44"/>
  <c r="V109" i="44"/>
  <c r="W109" i="44"/>
  <c r="X109" i="44"/>
  <c r="Y109" i="44"/>
  <c r="Z109" i="44"/>
  <c r="AA109" i="44"/>
  <c r="AB109" i="44"/>
  <c r="AC109" i="44"/>
  <c r="AD109" i="44"/>
  <c r="AE109" i="44"/>
  <c r="AF109" i="44"/>
  <c r="AG109" i="44"/>
  <c r="AH109" i="44"/>
  <c r="AI109" i="44"/>
  <c r="AJ109" i="44"/>
  <c r="AK109" i="44"/>
  <c r="AL109" i="44"/>
  <c r="AM109" i="44"/>
  <c r="AN109" i="44"/>
  <c r="AO109" i="44"/>
  <c r="AP109" i="44"/>
  <c r="AQ109" i="44"/>
  <c r="AR109" i="44"/>
  <c r="AS109" i="44"/>
  <c r="AT109" i="44"/>
  <c r="AU109" i="44"/>
  <c r="AV109" i="44"/>
  <c r="AW109" i="44"/>
  <c r="AX109" i="44"/>
  <c r="AY109" i="44"/>
  <c r="AZ109" i="44"/>
  <c r="BA109" i="44"/>
  <c r="BB109" i="44"/>
  <c r="BC109" i="44"/>
  <c r="BD109" i="44"/>
  <c r="BE109" i="44"/>
  <c r="BF109" i="44"/>
  <c r="BG109" i="44"/>
  <c r="BH109" i="44"/>
  <c r="BI109" i="44"/>
  <c r="BJ109" i="44"/>
  <c r="BK109" i="44"/>
  <c r="BL109" i="44"/>
  <c r="BM109" i="44"/>
  <c r="BN109" i="44"/>
  <c r="BO109" i="44"/>
  <c r="BP109" i="44"/>
  <c r="BQ109" i="44"/>
  <c r="BR109" i="44"/>
  <c r="BS109" i="44"/>
  <c r="BT109" i="44"/>
  <c r="Q110" i="44"/>
  <c r="R110" i="44"/>
  <c r="S110" i="44"/>
  <c r="T110" i="44"/>
  <c r="U110" i="44"/>
  <c r="V110" i="44"/>
  <c r="W110" i="44"/>
  <c r="X110" i="44"/>
  <c r="Y110" i="44"/>
  <c r="Z110" i="44"/>
  <c r="AA110" i="44"/>
  <c r="AB110" i="44"/>
  <c r="AC110" i="44"/>
  <c r="AD110" i="44"/>
  <c r="AE110" i="44"/>
  <c r="AF110" i="44"/>
  <c r="AG110" i="44"/>
  <c r="AH110" i="44"/>
  <c r="AI110" i="44"/>
  <c r="AJ110" i="44"/>
  <c r="AK110" i="44"/>
  <c r="AL110" i="44"/>
  <c r="AM110" i="44"/>
  <c r="AN110" i="44"/>
  <c r="AO110" i="44"/>
  <c r="AP110" i="44"/>
  <c r="AQ110" i="44"/>
  <c r="AR110" i="44"/>
  <c r="AS110" i="44"/>
  <c r="AT110" i="44"/>
  <c r="AU110" i="44"/>
  <c r="AV110" i="44"/>
  <c r="AW110" i="44"/>
  <c r="AX110" i="44"/>
  <c r="AY110" i="44"/>
  <c r="AZ110" i="44"/>
  <c r="BA110" i="44"/>
  <c r="BB110" i="44"/>
  <c r="BC110" i="44"/>
  <c r="BD110" i="44"/>
  <c r="BE110" i="44"/>
  <c r="BF110" i="44"/>
  <c r="BG110" i="44"/>
  <c r="BH110" i="44"/>
  <c r="BI110" i="44"/>
  <c r="BJ110" i="44"/>
  <c r="BK110" i="44"/>
  <c r="BL110" i="44"/>
  <c r="BM110" i="44"/>
  <c r="BN110" i="44"/>
  <c r="BO110" i="44"/>
  <c r="BP110" i="44"/>
  <c r="BQ110" i="44"/>
  <c r="BR110" i="44"/>
  <c r="BS110" i="44"/>
  <c r="BT110" i="44"/>
  <c r="Q111" i="44"/>
  <c r="R111" i="44"/>
  <c r="S111" i="44"/>
  <c r="T111" i="44"/>
  <c r="U111" i="44"/>
  <c r="V111" i="44"/>
  <c r="W111" i="44"/>
  <c r="X111" i="44"/>
  <c r="Y111" i="44"/>
  <c r="Z111" i="44"/>
  <c r="AA111" i="44"/>
  <c r="AB111" i="44"/>
  <c r="AC111" i="44"/>
  <c r="AD111" i="44"/>
  <c r="AE111" i="44"/>
  <c r="AF111" i="44"/>
  <c r="AG111" i="44"/>
  <c r="AH111" i="44"/>
  <c r="AI111" i="44"/>
  <c r="AJ111" i="44"/>
  <c r="AK111" i="44"/>
  <c r="AL111" i="44"/>
  <c r="AM111" i="44"/>
  <c r="AN111" i="44"/>
  <c r="AO111" i="44"/>
  <c r="AP111" i="44"/>
  <c r="AQ111" i="44"/>
  <c r="AR111" i="44"/>
  <c r="AS111" i="44"/>
  <c r="AT111" i="44"/>
  <c r="AU111" i="44"/>
  <c r="AV111" i="44"/>
  <c r="AW111" i="44"/>
  <c r="AX111" i="44"/>
  <c r="AY111" i="44"/>
  <c r="AZ111" i="44"/>
  <c r="BA111" i="44"/>
  <c r="BB111" i="44"/>
  <c r="BC111" i="44"/>
  <c r="BD111" i="44"/>
  <c r="BE111" i="44"/>
  <c r="BF111" i="44"/>
  <c r="BG111" i="44"/>
  <c r="BH111" i="44"/>
  <c r="BI111" i="44"/>
  <c r="BJ111" i="44"/>
  <c r="BK111" i="44"/>
  <c r="BL111" i="44"/>
  <c r="BM111" i="44"/>
  <c r="BN111" i="44"/>
  <c r="BO111" i="44"/>
  <c r="BP111" i="44"/>
  <c r="BQ111" i="44"/>
  <c r="BR111" i="44"/>
  <c r="BS111" i="44"/>
  <c r="BT111" i="44"/>
  <c r="Q112" i="44"/>
  <c r="R112" i="44"/>
  <c r="S112" i="44"/>
  <c r="T112" i="44"/>
  <c r="U112" i="44"/>
  <c r="V112" i="44"/>
  <c r="W112" i="44"/>
  <c r="X112" i="44"/>
  <c r="Y112" i="44"/>
  <c r="Z112" i="44"/>
  <c r="AA112" i="44"/>
  <c r="AB112" i="44"/>
  <c r="AC112" i="44"/>
  <c r="AD112" i="44"/>
  <c r="AE112" i="44"/>
  <c r="AF112" i="44"/>
  <c r="AG112" i="44"/>
  <c r="AH112" i="44"/>
  <c r="AI112" i="44"/>
  <c r="AJ112" i="44"/>
  <c r="AK112" i="44"/>
  <c r="AL112" i="44"/>
  <c r="AM112" i="44"/>
  <c r="AN112" i="44"/>
  <c r="AO112" i="44"/>
  <c r="AP112" i="44"/>
  <c r="AQ112" i="44"/>
  <c r="AR112" i="44"/>
  <c r="AS112" i="44"/>
  <c r="AT112" i="44"/>
  <c r="AU112" i="44"/>
  <c r="AV112" i="44"/>
  <c r="AW112" i="44"/>
  <c r="AX112" i="44"/>
  <c r="AY112" i="44"/>
  <c r="AZ112" i="44"/>
  <c r="BA112" i="44"/>
  <c r="BB112" i="44"/>
  <c r="BC112" i="44"/>
  <c r="BD112" i="44"/>
  <c r="BE112" i="44"/>
  <c r="BF112" i="44"/>
  <c r="BG112" i="44"/>
  <c r="BH112" i="44"/>
  <c r="BI112" i="44"/>
  <c r="BJ112" i="44"/>
  <c r="BK112" i="44"/>
  <c r="BL112" i="44"/>
  <c r="BM112" i="44"/>
  <c r="BN112" i="44"/>
  <c r="BO112" i="44"/>
  <c r="BP112" i="44"/>
  <c r="BQ112" i="44"/>
  <c r="BR112" i="44"/>
  <c r="BS112" i="44"/>
  <c r="BT112" i="44"/>
  <c r="Q113" i="44"/>
  <c r="R113" i="44"/>
  <c r="S113" i="44"/>
  <c r="T113" i="44"/>
  <c r="U113" i="44"/>
  <c r="V113" i="44"/>
  <c r="W113" i="44"/>
  <c r="X113" i="44"/>
  <c r="Y113" i="44"/>
  <c r="Z113" i="44"/>
  <c r="AA113" i="44"/>
  <c r="AB113" i="44"/>
  <c r="AC113" i="44"/>
  <c r="AD113" i="44"/>
  <c r="AE113" i="44"/>
  <c r="AF113" i="44"/>
  <c r="AG113" i="44"/>
  <c r="AH113" i="44"/>
  <c r="AI113" i="44"/>
  <c r="AJ113" i="44"/>
  <c r="AK113" i="44"/>
  <c r="AL113" i="44"/>
  <c r="AM113" i="44"/>
  <c r="AN113" i="44"/>
  <c r="AO113" i="44"/>
  <c r="AP113" i="44"/>
  <c r="AQ113" i="44"/>
  <c r="AR113" i="44"/>
  <c r="AS113" i="44"/>
  <c r="AT113" i="44"/>
  <c r="AU113" i="44"/>
  <c r="AV113" i="44"/>
  <c r="AW113" i="44"/>
  <c r="AX113" i="44"/>
  <c r="AY113" i="44"/>
  <c r="AZ113" i="44"/>
  <c r="BA113" i="44"/>
  <c r="BB113" i="44"/>
  <c r="BC113" i="44"/>
  <c r="BD113" i="44"/>
  <c r="BE113" i="44"/>
  <c r="BF113" i="44"/>
  <c r="BG113" i="44"/>
  <c r="BH113" i="44"/>
  <c r="BI113" i="44"/>
  <c r="BJ113" i="44"/>
  <c r="BK113" i="44"/>
  <c r="BL113" i="44"/>
  <c r="BM113" i="44"/>
  <c r="BN113" i="44"/>
  <c r="BO113" i="44"/>
  <c r="BP113" i="44"/>
  <c r="BQ113" i="44"/>
  <c r="BR113" i="44"/>
  <c r="BS113" i="44"/>
  <c r="BT113" i="44"/>
  <c r="Q114" i="44"/>
  <c r="R114" i="44"/>
  <c r="S114" i="44"/>
  <c r="T114" i="44"/>
  <c r="U114" i="44"/>
  <c r="V114" i="44"/>
  <c r="W114" i="44"/>
  <c r="X114" i="44"/>
  <c r="Y114" i="44"/>
  <c r="Z114" i="44"/>
  <c r="AA114" i="44"/>
  <c r="AB114" i="44"/>
  <c r="AC114" i="44"/>
  <c r="AD114" i="44"/>
  <c r="AE114" i="44"/>
  <c r="AF114" i="44"/>
  <c r="AG114" i="44"/>
  <c r="AH114" i="44"/>
  <c r="AI114" i="44"/>
  <c r="AJ114" i="44"/>
  <c r="AK114" i="44"/>
  <c r="AL114" i="44"/>
  <c r="AM114" i="44"/>
  <c r="AN114" i="44"/>
  <c r="AO114" i="44"/>
  <c r="AP114" i="44"/>
  <c r="AQ114" i="44"/>
  <c r="AR114" i="44"/>
  <c r="AS114" i="44"/>
  <c r="AT114" i="44"/>
  <c r="AU114" i="44"/>
  <c r="AV114" i="44"/>
  <c r="AW114" i="44"/>
  <c r="AX114" i="44"/>
  <c r="AY114" i="44"/>
  <c r="AZ114" i="44"/>
  <c r="BA114" i="44"/>
  <c r="BB114" i="44"/>
  <c r="BC114" i="44"/>
  <c r="BD114" i="44"/>
  <c r="BE114" i="44"/>
  <c r="BF114" i="44"/>
  <c r="BG114" i="44"/>
  <c r="BH114" i="44"/>
  <c r="BI114" i="44"/>
  <c r="BJ114" i="44"/>
  <c r="BK114" i="44"/>
  <c r="BL114" i="44"/>
  <c r="BM114" i="44"/>
  <c r="BN114" i="44"/>
  <c r="BO114" i="44"/>
  <c r="BP114" i="44"/>
  <c r="BQ114" i="44"/>
  <c r="BR114" i="44"/>
  <c r="BS114" i="44"/>
  <c r="BT114" i="44"/>
  <c r="Q115" i="44"/>
  <c r="R115" i="44"/>
  <c r="S115" i="44"/>
  <c r="T115" i="44"/>
  <c r="U115" i="44"/>
  <c r="V115" i="44"/>
  <c r="W115" i="44"/>
  <c r="X115" i="44"/>
  <c r="Y115" i="44"/>
  <c r="Z115" i="44"/>
  <c r="AA115" i="44"/>
  <c r="AB115" i="44"/>
  <c r="AC115" i="44"/>
  <c r="AD115" i="44"/>
  <c r="AE115" i="44"/>
  <c r="AF115" i="44"/>
  <c r="AG115" i="44"/>
  <c r="AH115" i="44"/>
  <c r="AI115" i="44"/>
  <c r="AJ115" i="44"/>
  <c r="AK115" i="44"/>
  <c r="AL115" i="44"/>
  <c r="AM115" i="44"/>
  <c r="AN115" i="44"/>
  <c r="AO115" i="44"/>
  <c r="AP115" i="44"/>
  <c r="AQ115" i="44"/>
  <c r="AR115" i="44"/>
  <c r="AS115" i="44"/>
  <c r="AT115" i="44"/>
  <c r="AU115" i="44"/>
  <c r="AV115" i="44"/>
  <c r="AW115" i="44"/>
  <c r="AX115" i="44"/>
  <c r="AY115" i="44"/>
  <c r="AZ115" i="44"/>
  <c r="BA115" i="44"/>
  <c r="BB115" i="44"/>
  <c r="BC115" i="44"/>
  <c r="BD115" i="44"/>
  <c r="BE115" i="44"/>
  <c r="BF115" i="44"/>
  <c r="BG115" i="44"/>
  <c r="BH115" i="44"/>
  <c r="BI115" i="44"/>
  <c r="BJ115" i="44"/>
  <c r="BK115" i="44"/>
  <c r="BL115" i="44"/>
  <c r="BM115" i="44"/>
  <c r="BN115" i="44"/>
  <c r="BO115" i="44"/>
  <c r="BP115" i="44"/>
  <c r="BQ115" i="44"/>
  <c r="BR115" i="44"/>
  <c r="BS115" i="44"/>
  <c r="BT115" i="44"/>
  <c r="Q116" i="44"/>
  <c r="R116" i="44"/>
  <c r="S116" i="44"/>
  <c r="T116" i="44"/>
  <c r="U116" i="44"/>
  <c r="V116" i="44"/>
  <c r="W116" i="44"/>
  <c r="X116" i="44"/>
  <c r="Y116" i="44"/>
  <c r="Z116" i="44"/>
  <c r="AA116" i="44"/>
  <c r="AB116" i="44"/>
  <c r="AC116" i="44"/>
  <c r="AD116" i="44"/>
  <c r="AE116" i="44"/>
  <c r="AF116" i="44"/>
  <c r="AG116" i="44"/>
  <c r="AH116" i="44"/>
  <c r="AI116" i="44"/>
  <c r="AJ116" i="44"/>
  <c r="AK116" i="44"/>
  <c r="AL116" i="44"/>
  <c r="AM116" i="44"/>
  <c r="AN116" i="44"/>
  <c r="AO116" i="44"/>
  <c r="AP116" i="44"/>
  <c r="AQ116" i="44"/>
  <c r="AR116" i="44"/>
  <c r="AS116" i="44"/>
  <c r="AT116" i="44"/>
  <c r="AU116" i="44"/>
  <c r="AV116" i="44"/>
  <c r="AW116" i="44"/>
  <c r="AX116" i="44"/>
  <c r="AY116" i="44"/>
  <c r="AZ116" i="44"/>
  <c r="BA116" i="44"/>
  <c r="BB116" i="44"/>
  <c r="BC116" i="44"/>
  <c r="BD116" i="44"/>
  <c r="BE116" i="44"/>
  <c r="BF116" i="44"/>
  <c r="BG116" i="44"/>
  <c r="BH116" i="44"/>
  <c r="BI116" i="44"/>
  <c r="BJ116" i="44"/>
  <c r="BK116" i="44"/>
  <c r="BL116" i="44"/>
  <c r="BM116" i="44"/>
  <c r="BN116" i="44"/>
  <c r="BO116" i="44"/>
  <c r="BP116" i="44"/>
  <c r="BQ116" i="44"/>
  <c r="BR116" i="44"/>
  <c r="BS116" i="44"/>
  <c r="BT116" i="44"/>
  <c r="Q117" i="44"/>
  <c r="R117" i="44"/>
  <c r="S117" i="44"/>
  <c r="T117" i="44"/>
  <c r="U117" i="44"/>
  <c r="V117" i="44"/>
  <c r="W117" i="44"/>
  <c r="X117" i="44"/>
  <c r="Y117" i="44"/>
  <c r="Z117" i="44"/>
  <c r="AA117" i="44"/>
  <c r="AB117" i="44"/>
  <c r="AC117" i="44"/>
  <c r="AD117" i="44"/>
  <c r="AE117" i="44"/>
  <c r="AF117" i="44"/>
  <c r="AG117" i="44"/>
  <c r="AH117" i="44"/>
  <c r="AI117" i="44"/>
  <c r="AJ117" i="44"/>
  <c r="AK117" i="44"/>
  <c r="AL117" i="44"/>
  <c r="AM117" i="44"/>
  <c r="AN117" i="44"/>
  <c r="AO117" i="44"/>
  <c r="AP117" i="44"/>
  <c r="AQ117" i="44"/>
  <c r="AR117" i="44"/>
  <c r="AS117" i="44"/>
  <c r="AT117" i="44"/>
  <c r="AU117" i="44"/>
  <c r="AV117" i="44"/>
  <c r="AW117" i="44"/>
  <c r="AX117" i="44"/>
  <c r="AY117" i="44"/>
  <c r="AZ117" i="44"/>
  <c r="BA117" i="44"/>
  <c r="BB117" i="44"/>
  <c r="BC117" i="44"/>
  <c r="BD117" i="44"/>
  <c r="BE117" i="44"/>
  <c r="BF117" i="44"/>
  <c r="BG117" i="44"/>
  <c r="BH117" i="44"/>
  <c r="BI117" i="44"/>
  <c r="BJ117" i="44"/>
  <c r="BK117" i="44"/>
  <c r="BL117" i="44"/>
  <c r="BM117" i="44"/>
  <c r="BN117" i="44"/>
  <c r="BO117" i="44"/>
  <c r="BP117" i="44"/>
  <c r="BQ117" i="44"/>
  <c r="BR117" i="44"/>
  <c r="BS117" i="44"/>
  <c r="BT117" i="44"/>
  <c r="Q118" i="44"/>
  <c r="R118" i="44"/>
  <c r="S118" i="44"/>
  <c r="T118" i="44"/>
  <c r="U118" i="44"/>
  <c r="V118" i="44"/>
  <c r="W118" i="44"/>
  <c r="X118" i="44"/>
  <c r="Y118" i="44"/>
  <c r="Z118" i="44"/>
  <c r="AA118" i="44"/>
  <c r="AB118" i="44"/>
  <c r="AC118" i="44"/>
  <c r="AD118" i="44"/>
  <c r="AE118" i="44"/>
  <c r="AF118" i="44"/>
  <c r="AG118" i="44"/>
  <c r="AH118" i="44"/>
  <c r="AI118" i="44"/>
  <c r="AJ118" i="44"/>
  <c r="AK118" i="44"/>
  <c r="AL118" i="44"/>
  <c r="AM118" i="44"/>
  <c r="AN118" i="44"/>
  <c r="AO118" i="44"/>
  <c r="AP118" i="44"/>
  <c r="AQ118" i="44"/>
  <c r="AR118" i="44"/>
  <c r="AS118" i="44"/>
  <c r="AT118" i="44"/>
  <c r="AU118" i="44"/>
  <c r="AV118" i="44"/>
  <c r="AW118" i="44"/>
  <c r="AX118" i="44"/>
  <c r="AY118" i="44"/>
  <c r="AZ118" i="44"/>
  <c r="BA118" i="44"/>
  <c r="BB118" i="44"/>
  <c r="BC118" i="44"/>
  <c r="BD118" i="44"/>
  <c r="BE118" i="44"/>
  <c r="BF118" i="44"/>
  <c r="BG118" i="44"/>
  <c r="BH118" i="44"/>
  <c r="BI118" i="44"/>
  <c r="BJ118" i="44"/>
  <c r="BK118" i="44"/>
  <c r="BL118" i="44"/>
  <c r="BM118" i="44"/>
  <c r="BN118" i="44"/>
  <c r="BO118" i="44"/>
  <c r="BP118" i="44"/>
  <c r="BQ118" i="44"/>
  <c r="BR118" i="44"/>
  <c r="BS118" i="44"/>
  <c r="BT118" i="44"/>
  <c r="Q119" i="44"/>
  <c r="R119" i="44"/>
  <c r="S119" i="44"/>
  <c r="T119" i="44"/>
  <c r="U119" i="44"/>
  <c r="V119" i="44"/>
  <c r="W119" i="44"/>
  <c r="X119" i="44"/>
  <c r="Y119" i="44"/>
  <c r="Z119" i="44"/>
  <c r="AA119" i="44"/>
  <c r="AB119" i="44"/>
  <c r="AC119" i="44"/>
  <c r="AD119" i="44"/>
  <c r="AE119" i="44"/>
  <c r="AF119" i="44"/>
  <c r="AG119" i="44"/>
  <c r="AH119" i="44"/>
  <c r="AI119" i="44"/>
  <c r="AJ119" i="44"/>
  <c r="AK119" i="44"/>
  <c r="AL119" i="44"/>
  <c r="AM119" i="44"/>
  <c r="AN119" i="44"/>
  <c r="AO119" i="44"/>
  <c r="AP119" i="44"/>
  <c r="AQ119" i="44"/>
  <c r="AR119" i="44"/>
  <c r="AS119" i="44"/>
  <c r="AT119" i="44"/>
  <c r="AU119" i="44"/>
  <c r="AV119" i="44"/>
  <c r="AW119" i="44"/>
  <c r="AX119" i="44"/>
  <c r="AY119" i="44"/>
  <c r="AZ119" i="44"/>
  <c r="BA119" i="44"/>
  <c r="BB119" i="44"/>
  <c r="BC119" i="44"/>
  <c r="BD119" i="44"/>
  <c r="BE119" i="44"/>
  <c r="BF119" i="44"/>
  <c r="BG119" i="44"/>
  <c r="BH119" i="44"/>
  <c r="BI119" i="44"/>
  <c r="BJ119" i="44"/>
  <c r="BK119" i="44"/>
  <c r="BL119" i="44"/>
  <c r="BM119" i="44"/>
  <c r="BN119" i="44"/>
  <c r="BO119" i="44"/>
  <c r="BP119" i="44"/>
  <c r="BQ119" i="44"/>
  <c r="BR119" i="44"/>
  <c r="BS119" i="44"/>
  <c r="BT119" i="44"/>
  <c r="Q120" i="44"/>
  <c r="R120" i="44"/>
  <c r="S120" i="44"/>
  <c r="T120" i="44"/>
  <c r="U120" i="44"/>
  <c r="V120" i="44"/>
  <c r="W120" i="44"/>
  <c r="X120" i="44"/>
  <c r="Y120" i="44"/>
  <c r="Z120" i="44"/>
  <c r="AA120" i="44"/>
  <c r="AB120" i="44"/>
  <c r="AC120" i="44"/>
  <c r="AD120" i="44"/>
  <c r="AE120" i="44"/>
  <c r="AF120" i="44"/>
  <c r="AG120" i="44"/>
  <c r="AH120" i="44"/>
  <c r="AI120" i="44"/>
  <c r="AJ120" i="44"/>
  <c r="AK120" i="44"/>
  <c r="AL120" i="44"/>
  <c r="AM120" i="44"/>
  <c r="AN120" i="44"/>
  <c r="AO120" i="44"/>
  <c r="AP120" i="44"/>
  <c r="AQ120" i="44"/>
  <c r="AR120" i="44"/>
  <c r="AS120" i="44"/>
  <c r="AT120" i="44"/>
  <c r="AU120" i="44"/>
  <c r="AV120" i="44"/>
  <c r="AW120" i="44"/>
  <c r="AX120" i="44"/>
  <c r="AY120" i="44"/>
  <c r="AZ120" i="44"/>
  <c r="BA120" i="44"/>
  <c r="BB120" i="44"/>
  <c r="BC120" i="44"/>
  <c r="BD120" i="44"/>
  <c r="BE120" i="44"/>
  <c r="BF120" i="44"/>
  <c r="BG120" i="44"/>
  <c r="BH120" i="44"/>
  <c r="BI120" i="44"/>
  <c r="BJ120" i="44"/>
  <c r="BK120" i="44"/>
  <c r="BL120" i="44"/>
  <c r="BM120" i="44"/>
  <c r="BN120" i="44"/>
  <c r="BO120" i="44"/>
  <c r="BP120" i="44"/>
  <c r="BQ120" i="44"/>
  <c r="BR120" i="44"/>
  <c r="BS120" i="44"/>
  <c r="BT120" i="44"/>
  <c r="P65" i="44"/>
  <c r="P66" i="44"/>
  <c r="P67" i="44"/>
  <c r="P68" i="44"/>
  <c r="P69" i="44"/>
  <c r="P70" i="44"/>
  <c r="P71" i="44"/>
  <c r="P72" i="44"/>
  <c r="P73" i="44"/>
  <c r="P74" i="44"/>
  <c r="P75" i="44"/>
  <c r="P76" i="44"/>
  <c r="P77" i="44"/>
  <c r="P78" i="44"/>
  <c r="P79" i="44"/>
  <c r="P80" i="44"/>
  <c r="P81" i="44"/>
  <c r="P82" i="44"/>
  <c r="P83" i="44"/>
  <c r="P84" i="44"/>
  <c r="P85" i="44"/>
  <c r="P86" i="44"/>
  <c r="P87" i="44"/>
  <c r="P88" i="44"/>
  <c r="P89" i="44"/>
  <c r="P90" i="44"/>
  <c r="P91" i="44"/>
  <c r="P92" i="44"/>
  <c r="P93" i="44"/>
  <c r="P94" i="44"/>
  <c r="P95" i="44"/>
  <c r="P96" i="44"/>
  <c r="P97" i="44"/>
  <c r="P98" i="44"/>
  <c r="P99" i="44"/>
  <c r="P100" i="44"/>
  <c r="P101" i="44"/>
  <c r="P102" i="44"/>
  <c r="P103" i="44"/>
  <c r="P104" i="44"/>
  <c r="P105" i="44"/>
  <c r="P106" i="44"/>
  <c r="P107" i="44"/>
  <c r="P108" i="44"/>
  <c r="P109" i="44"/>
  <c r="P110" i="44"/>
  <c r="P111" i="44"/>
  <c r="P112" i="44"/>
  <c r="P113" i="44"/>
  <c r="P114" i="44"/>
  <c r="P115" i="44"/>
  <c r="P116" i="44"/>
  <c r="P117" i="44"/>
  <c r="P118" i="44"/>
  <c r="P119" i="44"/>
  <c r="P120" i="44"/>
  <c r="P64" i="44"/>
  <c r="Q7" i="44"/>
  <c r="R7" i="44"/>
  <c r="S7" i="44"/>
  <c r="T7" i="44"/>
  <c r="U7" i="44"/>
  <c r="V7" i="44"/>
  <c r="W7" i="44"/>
  <c r="X7" i="44"/>
  <c r="Y7" i="44"/>
  <c r="Z7" i="44"/>
  <c r="AA7" i="44"/>
  <c r="AB7" i="44"/>
  <c r="AC7" i="44"/>
  <c r="AD7" i="44"/>
  <c r="AE7" i="44"/>
  <c r="AF7" i="44"/>
  <c r="AG7" i="44"/>
  <c r="AH7" i="44"/>
  <c r="AI7" i="44"/>
  <c r="AJ7" i="44"/>
  <c r="AK7" i="44"/>
  <c r="AL7" i="44"/>
  <c r="AM7" i="44"/>
  <c r="AN7" i="44"/>
  <c r="AO7" i="44"/>
  <c r="AP7" i="44"/>
  <c r="AQ7" i="44"/>
  <c r="AR7" i="44"/>
  <c r="AS7" i="44"/>
  <c r="AT7" i="44"/>
  <c r="AU7" i="44"/>
  <c r="AV7" i="44"/>
  <c r="AW7" i="44"/>
  <c r="AX7" i="44"/>
  <c r="AY7" i="44"/>
  <c r="AZ7" i="44"/>
  <c r="BA7" i="44"/>
  <c r="BB7" i="44"/>
  <c r="BC7" i="44"/>
  <c r="BD7" i="44"/>
  <c r="BE7" i="44"/>
  <c r="BF7" i="44"/>
  <c r="BG7" i="44"/>
  <c r="BH7" i="44"/>
  <c r="BI7" i="44"/>
  <c r="BJ7" i="44"/>
  <c r="BK7" i="44"/>
  <c r="BL7" i="44"/>
  <c r="BM7" i="44"/>
  <c r="BN7" i="44"/>
  <c r="BO7" i="44"/>
  <c r="BP7" i="44"/>
  <c r="BQ7" i="44"/>
  <c r="BR7" i="44"/>
  <c r="BS7" i="44"/>
  <c r="BT7" i="44"/>
  <c r="P7" i="44"/>
  <c r="Q8" i="44"/>
  <c r="R8" i="44"/>
  <c r="S8" i="44"/>
  <c r="T8" i="44"/>
  <c r="U8" i="44"/>
  <c r="V8" i="44"/>
  <c r="W8" i="44"/>
  <c r="X8" i="44"/>
  <c r="Y8" i="44"/>
  <c r="Z8" i="44"/>
  <c r="AA8" i="44"/>
  <c r="AB8" i="44"/>
  <c r="AC8" i="44"/>
  <c r="AD8" i="44"/>
  <c r="AE8" i="44"/>
  <c r="AF8" i="44"/>
  <c r="AG8" i="44"/>
  <c r="AH8" i="44"/>
  <c r="AI8" i="44"/>
  <c r="AJ8" i="44"/>
  <c r="AK8" i="44"/>
  <c r="AL8" i="44"/>
  <c r="AM8" i="44"/>
  <c r="AN8" i="44"/>
  <c r="AO8" i="44"/>
  <c r="AP8" i="44"/>
  <c r="AQ8" i="44"/>
  <c r="AR8" i="44"/>
  <c r="AS8" i="44"/>
  <c r="AT8" i="44"/>
  <c r="AU8" i="44"/>
  <c r="AV8" i="44"/>
  <c r="AW8" i="44"/>
  <c r="AX8" i="44"/>
  <c r="AY8" i="44"/>
  <c r="AZ8" i="44"/>
  <c r="BA8" i="44"/>
  <c r="BB8" i="44"/>
  <c r="BC8" i="44"/>
  <c r="BD8" i="44"/>
  <c r="BE8" i="44"/>
  <c r="BF8" i="44"/>
  <c r="BG8" i="44"/>
  <c r="BH8" i="44"/>
  <c r="BI8" i="44"/>
  <c r="BJ8" i="44"/>
  <c r="BK8" i="44"/>
  <c r="BL8" i="44"/>
  <c r="BM8" i="44"/>
  <c r="BN8" i="44"/>
  <c r="BO8" i="44"/>
  <c r="BP8" i="44"/>
  <c r="BQ8" i="44"/>
  <c r="BR8" i="44"/>
  <c r="BS8" i="44"/>
  <c r="BT8" i="44"/>
  <c r="Q9" i="44"/>
  <c r="R9" i="44"/>
  <c r="S9" i="44"/>
  <c r="T9" i="44"/>
  <c r="U9" i="44"/>
  <c r="V9" i="44"/>
  <c r="W9" i="44"/>
  <c r="X9" i="44"/>
  <c r="Y9" i="44"/>
  <c r="Z9" i="44"/>
  <c r="AA9" i="44"/>
  <c r="AB9" i="44"/>
  <c r="AC9" i="44"/>
  <c r="AD9" i="44"/>
  <c r="AE9" i="44"/>
  <c r="AF9" i="44"/>
  <c r="AG9" i="44"/>
  <c r="AH9" i="44"/>
  <c r="AI9" i="44"/>
  <c r="AJ9" i="44"/>
  <c r="AK9" i="44"/>
  <c r="AL9" i="44"/>
  <c r="AM9" i="44"/>
  <c r="AN9" i="44"/>
  <c r="AO9" i="44"/>
  <c r="AP9" i="44"/>
  <c r="AQ9" i="44"/>
  <c r="AR9" i="44"/>
  <c r="AS9" i="44"/>
  <c r="AT9" i="44"/>
  <c r="AU9" i="44"/>
  <c r="AV9" i="44"/>
  <c r="AW9" i="44"/>
  <c r="AX9" i="44"/>
  <c r="AY9" i="44"/>
  <c r="AZ9" i="44"/>
  <c r="BA9" i="44"/>
  <c r="BB9" i="44"/>
  <c r="BC9" i="44"/>
  <c r="BD9" i="44"/>
  <c r="BE9" i="44"/>
  <c r="BF9" i="44"/>
  <c r="BG9" i="44"/>
  <c r="BH9" i="44"/>
  <c r="BI9" i="44"/>
  <c r="BJ9" i="44"/>
  <c r="BK9" i="44"/>
  <c r="BL9" i="44"/>
  <c r="BM9" i="44"/>
  <c r="BN9" i="44"/>
  <c r="BO9" i="44"/>
  <c r="BP9" i="44"/>
  <c r="BQ9" i="44"/>
  <c r="BR9" i="44"/>
  <c r="BS9" i="44"/>
  <c r="BT9" i="44"/>
  <c r="Q10" i="44"/>
  <c r="R10" i="44"/>
  <c r="S10" i="44"/>
  <c r="T10" i="44"/>
  <c r="U10" i="44"/>
  <c r="V10" i="44"/>
  <c r="W10" i="44"/>
  <c r="X10" i="44"/>
  <c r="Y10" i="44"/>
  <c r="Z10" i="44"/>
  <c r="AA10" i="44"/>
  <c r="AB10" i="44"/>
  <c r="AC10" i="44"/>
  <c r="AD10" i="44"/>
  <c r="AE10" i="44"/>
  <c r="AF10" i="44"/>
  <c r="AG10" i="44"/>
  <c r="AH10" i="44"/>
  <c r="AI10" i="44"/>
  <c r="AJ10" i="44"/>
  <c r="AK10" i="44"/>
  <c r="AL10" i="44"/>
  <c r="AM10" i="44"/>
  <c r="AN10" i="44"/>
  <c r="AO10" i="44"/>
  <c r="AP10" i="44"/>
  <c r="AQ10" i="44"/>
  <c r="AR10" i="44"/>
  <c r="AS10" i="44"/>
  <c r="AT10" i="44"/>
  <c r="AU10" i="44"/>
  <c r="AV10" i="44"/>
  <c r="AW10" i="44"/>
  <c r="AX10" i="44"/>
  <c r="AY10" i="44"/>
  <c r="AZ10" i="44"/>
  <c r="BA10" i="44"/>
  <c r="BB10" i="44"/>
  <c r="BC10" i="44"/>
  <c r="BD10" i="44"/>
  <c r="BE10" i="44"/>
  <c r="BF10" i="44"/>
  <c r="BG10" i="44"/>
  <c r="BH10" i="44"/>
  <c r="BI10" i="44"/>
  <c r="BJ10" i="44"/>
  <c r="BK10" i="44"/>
  <c r="BL10" i="44"/>
  <c r="BM10" i="44"/>
  <c r="BN10" i="44"/>
  <c r="BO10" i="44"/>
  <c r="BP10" i="44"/>
  <c r="BQ10" i="44"/>
  <c r="BR10" i="44"/>
  <c r="BS10" i="44"/>
  <c r="BT10" i="44"/>
  <c r="Q11" i="44"/>
  <c r="R11" i="44"/>
  <c r="S11" i="44"/>
  <c r="T11" i="44"/>
  <c r="U11" i="44"/>
  <c r="V11" i="44"/>
  <c r="W11" i="44"/>
  <c r="X11" i="44"/>
  <c r="Y11" i="44"/>
  <c r="Z11" i="44"/>
  <c r="AA11" i="44"/>
  <c r="AB11" i="44"/>
  <c r="AC11" i="44"/>
  <c r="AD11" i="44"/>
  <c r="AE11" i="44"/>
  <c r="AF11" i="44"/>
  <c r="AG11" i="44"/>
  <c r="AH11" i="44"/>
  <c r="AI11" i="44"/>
  <c r="AJ11" i="44"/>
  <c r="AK11" i="44"/>
  <c r="AL11" i="44"/>
  <c r="AM11" i="44"/>
  <c r="AN11" i="44"/>
  <c r="AO11" i="44"/>
  <c r="AP11" i="44"/>
  <c r="AQ11" i="44"/>
  <c r="AR11" i="44"/>
  <c r="AS11" i="44"/>
  <c r="AT11" i="44"/>
  <c r="AU11" i="44"/>
  <c r="AV11" i="44"/>
  <c r="AW11" i="44"/>
  <c r="AX11" i="44"/>
  <c r="AY11" i="44"/>
  <c r="AZ11" i="44"/>
  <c r="BA11" i="44"/>
  <c r="BB11" i="44"/>
  <c r="BC11" i="44"/>
  <c r="BD11" i="44"/>
  <c r="BE11" i="44"/>
  <c r="BF11" i="44"/>
  <c r="BG11" i="44"/>
  <c r="BH11" i="44"/>
  <c r="BI11" i="44"/>
  <c r="BJ11" i="44"/>
  <c r="BK11" i="44"/>
  <c r="BL11" i="44"/>
  <c r="BM11" i="44"/>
  <c r="BN11" i="44"/>
  <c r="BO11" i="44"/>
  <c r="BP11" i="44"/>
  <c r="BQ11" i="44"/>
  <c r="BR11" i="44"/>
  <c r="BS11" i="44"/>
  <c r="BT11" i="44"/>
  <c r="Q12" i="44"/>
  <c r="R12" i="44"/>
  <c r="S12" i="44"/>
  <c r="T12" i="44"/>
  <c r="U12" i="44"/>
  <c r="V12" i="44"/>
  <c r="W12" i="44"/>
  <c r="X12" i="44"/>
  <c r="Y12" i="44"/>
  <c r="Z12" i="44"/>
  <c r="AA12" i="44"/>
  <c r="AB12" i="44"/>
  <c r="AC12" i="44"/>
  <c r="AD12" i="44"/>
  <c r="AE12" i="44"/>
  <c r="AF12" i="44"/>
  <c r="AG12" i="44"/>
  <c r="AH12" i="44"/>
  <c r="AI12" i="44"/>
  <c r="AJ12" i="44"/>
  <c r="AK12" i="44"/>
  <c r="AL12" i="44"/>
  <c r="AM12" i="44"/>
  <c r="AN12" i="44"/>
  <c r="AO12" i="44"/>
  <c r="AP12" i="44"/>
  <c r="AQ12" i="44"/>
  <c r="AR12" i="44"/>
  <c r="AS12" i="44"/>
  <c r="AT12" i="44"/>
  <c r="AU12" i="44"/>
  <c r="AV12" i="44"/>
  <c r="AW12" i="44"/>
  <c r="AX12" i="44"/>
  <c r="AY12" i="44"/>
  <c r="AZ12" i="44"/>
  <c r="BA12" i="44"/>
  <c r="BB12" i="44"/>
  <c r="BC12" i="44"/>
  <c r="BD12" i="44"/>
  <c r="BE12" i="44"/>
  <c r="BF12" i="44"/>
  <c r="BG12" i="44"/>
  <c r="BH12" i="44"/>
  <c r="BI12" i="44"/>
  <c r="BJ12" i="44"/>
  <c r="BK12" i="44"/>
  <c r="BL12" i="44"/>
  <c r="BM12" i="44"/>
  <c r="BN12" i="44"/>
  <c r="BO12" i="44"/>
  <c r="BP12" i="44"/>
  <c r="BQ12" i="44"/>
  <c r="BR12" i="44"/>
  <c r="BS12" i="44"/>
  <c r="BT12" i="44"/>
  <c r="Q13" i="44"/>
  <c r="R13" i="44"/>
  <c r="S13" i="44"/>
  <c r="T13" i="44"/>
  <c r="U13" i="44"/>
  <c r="V13" i="44"/>
  <c r="W13" i="44"/>
  <c r="X13" i="44"/>
  <c r="Y13" i="44"/>
  <c r="Z13" i="44"/>
  <c r="AA13" i="44"/>
  <c r="AB13" i="44"/>
  <c r="AC13" i="44"/>
  <c r="AD13" i="44"/>
  <c r="AE13" i="44"/>
  <c r="AF13" i="44"/>
  <c r="AG13" i="44"/>
  <c r="AH13" i="44"/>
  <c r="AI13" i="44"/>
  <c r="AJ13" i="44"/>
  <c r="AK13" i="44"/>
  <c r="AL13" i="44"/>
  <c r="AM13" i="44"/>
  <c r="AN13" i="44"/>
  <c r="AO13" i="44"/>
  <c r="AP13" i="44"/>
  <c r="AQ13" i="44"/>
  <c r="AR13" i="44"/>
  <c r="AS13" i="44"/>
  <c r="AT13" i="44"/>
  <c r="AU13" i="44"/>
  <c r="AV13" i="44"/>
  <c r="AW13" i="44"/>
  <c r="AX13" i="44"/>
  <c r="AY13" i="44"/>
  <c r="AZ13" i="44"/>
  <c r="BA13" i="44"/>
  <c r="BB13" i="44"/>
  <c r="BC13" i="44"/>
  <c r="BD13" i="44"/>
  <c r="BE13" i="44"/>
  <c r="BF13" i="44"/>
  <c r="BG13" i="44"/>
  <c r="BH13" i="44"/>
  <c r="BI13" i="44"/>
  <c r="BJ13" i="44"/>
  <c r="BK13" i="44"/>
  <c r="BL13" i="44"/>
  <c r="BM13" i="44"/>
  <c r="BN13" i="44"/>
  <c r="BO13" i="44"/>
  <c r="BP13" i="44"/>
  <c r="BQ13" i="44"/>
  <c r="BR13" i="44"/>
  <c r="BS13" i="44"/>
  <c r="BT13" i="44"/>
  <c r="Q14" i="44"/>
  <c r="R14" i="44"/>
  <c r="S14" i="44"/>
  <c r="T14" i="44"/>
  <c r="U14" i="44"/>
  <c r="V14" i="44"/>
  <c r="W14" i="44"/>
  <c r="X14" i="44"/>
  <c r="Y14" i="44"/>
  <c r="Z14" i="44"/>
  <c r="AA14" i="44"/>
  <c r="AB14" i="44"/>
  <c r="AC14" i="44"/>
  <c r="AD14" i="44"/>
  <c r="AE14" i="44"/>
  <c r="AF14" i="44"/>
  <c r="AG14" i="44"/>
  <c r="AH14" i="44"/>
  <c r="AI14" i="44"/>
  <c r="AJ14" i="44"/>
  <c r="AK14" i="44"/>
  <c r="AL14" i="44"/>
  <c r="AM14" i="44"/>
  <c r="AN14" i="44"/>
  <c r="AO14" i="44"/>
  <c r="AP14" i="44"/>
  <c r="AQ14" i="44"/>
  <c r="AR14" i="44"/>
  <c r="AS14" i="44"/>
  <c r="AT14" i="44"/>
  <c r="AU14" i="44"/>
  <c r="AV14" i="44"/>
  <c r="AW14" i="44"/>
  <c r="AX14" i="44"/>
  <c r="AY14" i="44"/>
  <c r="AZ14" i="44"/>
  <c r="BA14" i="44"/>
  <c r="BB14" i="44"/>
  <c r="BC14" i="44"/>
  <c r="BD14" i="44"/>
  <c r="BE14" i="44"/>
  <c r="BF14" i="44"/>
  <c r="BG14" i="44"/>
  <c r="BH14" i="44"/>
  <c r="BI14" i="44"/>
  <c r="BJ14" i="44"/>
  <c r="BK14" i="44"/>
  <c r="BL14" i="44"/>
  <c r="BM14" i="44"/>
  <c r="BN14" i="44"/>
  <c r="BO14" i="44"/>
  <c r="BP14" i="44"/>
  <c r="BQ14" i="44"/>
  <c r="BR14" i="44"/>
  <c r="BS14" i="44"/>
  <c r="BT14" i="44"/>
  <c r="Q15" i="44"/>
  <c r="R15" i="44"/>
  <c r="S15" i="44"/>
  <c r="T15" i="44"/>
  <c r="U15" i="44"/>
  <c r="V15" i="44"/>
  <c r="W15" i="44"/>
  <c r="X15" i="44"/>
  <c r="Y15" i="44"/>
  <c r="Z15" i="44"/>
  <c r="AA15" i="44"/>
  <c r="AB15" i="44"/>
  <c r="AC15" i="44"/>
  <c r="AD15" i="44"/>
  <c r="AE15" i="44"/>
  <c r="AF15" i="44"/>
  <c r="AG15" i="44"/>
  <c r="AH15" i="44"/>
  <c r="AI15" i="44"/>
  <c r="AJ15" i="44"/>
  <c r="AK15" i="44"/>
  <c r="AL15" i="44"/>
  <c r="AM15" i="44"/>
  <c r="AN15" i="44"/>
  <c r="AO15" i="44"/>
  <c r="AP15" i="44"/>
  <c r="AQ15" i="44"/>
  <c r="AR15" i="44"/>
  <c r="AS15" i="44"/>
  <c r="AT15" i="44"/>
  <c r="AU15" i="44"/>
  <c r="AV15" i="44"/>
  <c r="AW15" i="44"/>
  <c r="AX15" i="44"/>
  <c r="AY15" i="44"/>
  <c r="AZ15" i="44"/>
  <c r="BA15" i="44"/>
  <c r="BB15" i="44"/>
  <c r="BC15" i="44"/>
  <c r="BD15" i="44"/>
  <c r="BE15" i="44"/>
  <c r="BF15" i="44"/>
  <c r="BG15" i="44"/>
  <c r="BH15" i="44"/>
  <c r="BI15" i="44"/>
  <c r="BJ15" i="44"/>
  <c r="BK15" i="44"/>
  <c r="BL15" i="44"/>
  <c r="BM15" i="44"/>
  <c r="BN15" i="44"/>
  <c r="BO15" i="44"/>
  <c r="BP15" i="44"/>
  <c r="BQ15" i="44"/>
  <c r="BR15" i="44"/>
  <c r="BS15" i="44"/>
  <c r="BT15" i="44"/>
  <c r="Q16" i="44"/>
  <c r="R16" i="44"/>
  <c r="S16" i="44"/>
  <c r="T16" i="44"/>
  <c r="U16" i="44"/>
  <c r="V16" i="44"/>
  <c r="W16" i="44"/>
  <c r="X16" i="44"/>
  <c r="Y16" i="44"/>
  <c r="Z16" i="44"/>
  <c r="AA16" i="44"/>
  <c r="AB16" i="44"/>
  <c r="AC16" i="44"/>
  <c r="AD16" i="44"/>
  <c r="AE16" i="44"/>
  <c r="AF16" i="44"/>
  <c r="AG16" i="44"/>
  <c r="AH16" i="44"/>
  <c r="AI16" i="44"/>
  <c r="AJ16" i="44"/>
  <c r="AK16" i="44"/>
  <c r="AL16" i="44"/>
  <c r="AM16" i="44"/>
  <c r="AN16" i="44"/>
  <c r="AO16" i="44"/>
  <c r="AP16" i="44"/>
  <c r="AQ16" i="44"/>
  <c r="AR16" i="44"/>
  <c r="AS16" i="44"/>
  <c r="AT16" i="44"/>
  <c r="AU16" i="44"/>
  <c r="AV16" i="44"/>
  <c r="AW16" i="44"/>
  <c r="AX16" i="44"/>
  <c r="AY16" i="44"/>
  <c r="AZ16" i="44"/>
  <c r="BA16" i="44"/>
  <c r="BB16" i="44"/>
  <c r="BC16" i="44"/>
  <c r="BD16" i="44"/>
  <c r="BE16" i="44"/>
  <c r="BF16" i="44"/>
  <c r="BG16" i="44"/>
  <c r="BH16" i="44"/>
  <c r="BI16" i="44"/>
  <c r="BJ16" i="44"/>
  <c r="BK16" i="44"/>
  <c r="BL16" i="44"/>
  <c r="BM16" i="44"/>
  <c r="BN16" i="44"/>
  <c r="BO16" i="44"/>
  <c r="BP16" i="44"/>
  <c r="BQ16" i="44"/>
  <c r="BR16" i="44"/>
  <c r="BS16" i="44"/>
  <c r="BT16" i="44"/>
  <c r="Q17" i="44"/>
  <c r="R17" i="44"/>
  <c r="S17" i="44"/>
  <c r="T17" i="44"/>
  <c r="U17" i="44"/>
  <c r="V17" i="44"/>
  <c r="W17" i="44"/>
  <c r="X17" i="44"/>
  <c r="Y17" i="44"/>
  <c r="Z17" i="44"/>
  <c r="AA17" i="44"/>
  <c r="AB17" i="44"/>
  <c r="AC17" i="44"/>
  <c r="AD17" i="44"/>
  <c r="AE17" i="44"/>
  <c r="AF17" i="44"/>
  <c r="AG17" i="44"/>
  <c r="AH17" i="44"/>
  <c r="AI17" i="44"/>
  <c r="AJ17" i="44"/>
  <c r="AK17" i="44"/>
  <c r="AL17" i="44"/>
  <c r="AM17" i="44"/>
  <c r="AN17" i="44"/>
  <c r="AO17" i="44"/>
  <c r="AP17" i="44"/>
  <c r="AQ17" i="44"/>
  <c r="AR17" i="44"/>
  <c r="AS17" i="44"/>
  <c r="AT17" i="44"/>
  <c r="AU17" i="44"/>
  <c r="AV17" i="44"/>
  <c r="AW17" i="44"/>
  <c r="AX17" i="44"/>
  <c r="AY17" i="44"/>
  <c r="AZ17" i="44"/>
  <c r="BA17" i="44"/>
  <c r="BB17" i="44"/>
  <c r="BC17" i="44"/>
  <c r="BD17" i="44"/>
  <c r="BE17" i="44"/>
  <c r="BF17" i="44"/>
  <c r="BG17" i="44"/>
  <c r="BH17" i="44"/>
  <c r="BI17" i="44"/>
  <c r="BJ17" i="44"/>
  <c r="BK17" i="44"/>
  <c r="BL17" i="44"/>
  <c r="BM17" i="44"/>
  <c r="BN17" i="44"/>
  <c r="BO17" i="44"/>
  <c r="BP17" i="44"/>
  <c r="BQ17" i="44"/>
  <c r="BR17" i="44"/>
  <c r="BS17" i="44"/>
  <c r="BT17" i="44"/>
  <c r="Q18" i="44"/>
  <c r="R18" i="44"/>
  <c r="S18" i="44"/>
  <c r="T18" i="44"/>
  <c r="U18" i="44"/>
  <c r="V18" i="44"/>
  <c r="W18" i="44"/>
  <c r="X18" i="44"/>
  <c r="Y18" i="44"/>
  <c r="Z18" i="44"/>
  <c r="AA18" i="44"/>
  <c r="AB18" i="44"/>
  <c r="AC18" i="44"/>
  <c r="AD18" i="44"/>
  <c r="AE18" i="44"/>
  <c r="AF18" i="44"/>
  <c r="AG18" i="44"/>
  <c r="AH18" i="44"/>
  <c r="AI18" i="44"/>
  <c r="AJ18" i="44"/>
  <c r="AK18" i="44"/>
  <c r="AL18" i="44"/>
  <c r="AM18" i="44"/>
  <c r="AN18" i="44"/>
  <c r="AO18" i="44"/>
  <c r="AP18" i="44"/>
  <c r="AQ18" i="44"/>
  <c r="AR18" i="44"/>
  <c r="AS18" i="44"/>
  <c r="AT18" i="44"/>
  <c r="AU18" i="44"/>
  <c r="AV18" i="44"/>
  <c r="AW18" i="44"/>
  <c r="AX18" i="44"/>
  <c r="AY18" i="44"/>
  <c r="AZ18" i="44"/>
  <c r="BA18" i="44"/>
  <c r="BB18" i="44"/>
  <c r="BC18" i="44"/>
  <c r="BD18" i="44"/>
  <c r="BE18" i="44"/>
  <c r="BF18" i="44"/>
  <c r="BG18" i="44"/>
  <c r="BH18" i="44"/>
  <c r="BI18" i="44"/>
  <c r="BJ18" i="44"/>
  <c r="BK18" i="44"/>
  <c r="BL18" i="44"/>
  <c r="BM18" i="44"/>
  <c r="BN18" i="44"/>
  <c r="BO18" i="44"/>
  <c r="BP18" i="44"/>
  <c r="BQ18" i="44"/>
  <c r="BR18" i="44"/>
  <c r="BS18" i="44"/>
  <c r="BT18" i="44"/>
  <c r="Q19" i="44"/>
  <c r="R19" i="44"/>
  <c r="S19" i="44"/>
  <c r="T19" i="44"/>
  <c r="U19" i="44"/>
  <c r="V19" i="44"/>
  <c r="W19" i="44"/>
  <c r="X19" i="44"/>
  <c r="Y19" i="44"/>
  <c r="Z19" i="44"/>
  <c r="AA19" i="44"/>
  <c r="AB19" i="44"/>
  <c r="AC19" i="44"/>
  <c r="AD19" i="44"/>
  <c r="AE19" i="44"/>
  <c r="AF19" i="44"/>
  <c r="AG19" i="44"/>
  <c r="AH19" i="44"/>
  <c r="AI19" i="44"/>
  <c r="AJ19" i="44"/>
  <c r="AK19" i="44"/>
  <c r="AL19" i="44"/>
  <c r="AM19" i="44"/>
  <c r="AN19" i="44"/>
  <c r="AO19" i="44"/>
  <c r="AP19" i="44"/>
  <c r="AQ19" i="44"/>
  <c r="AR19" i="44"/>
  <c r="AS19" i="44"/>
  <c r="AT19" i="44"/>
  <c r="AU19" i="44"/>
  <c r="AV19" i="44"/>
  <c r="AW19" i="44"/>
  <c r="AX19" i="44"/>
  <c r="AY19" i="44"/>
  <c r="AZ19" i="44"/>
  <c r="BA19" i="44"/>
  <c r="BB19" i="44"/>
  <c r="BC19" i="44"/>
  <c r="BD19" i="44"/>
  <c r="BE19" i="44"/>
  <c r="BF19" i="44"/>
  <c r="BG19" i="44"/>
  <c r="BH19" i="44"/>
  <c r="BI19" i="44"/>
  <c r="BJ19" i="44"/>
  <c r="BK19" i="44"/>
  <c r="BL19" i="44"/>
  <c r="BM19" i="44"/>
  <c r="BN19" i="44"/>
  <c r="BO19" i="44"/>
  <c r="BP19" i="44"/>
  <c r="BQ19" i="44"/>
  <c r="BR19" i="44"/>
  <c r="BS19" i="44"/>
  <c r="BT19" i="44"/>
  <c r="Q20" i="44"/>
  <c r="R20" i="44"/>
  <c r="S20" i="44"/>
  <c r="T20" i="44"/>
  <c r="U20" i="44"/>
  <c r="V20" i="44"/>
  <c r="W20" i="44"/>
  <c r="X20" i="44"/>
  <c r="Y20" i="44"/>
  <c r="Z20" i="44"/>
  <c r="AA20" i="44"/>
  <c r="AB20" i="44"/>
  <c r="AC20" i="44"/>
  <c r="AD20" i="44"/>
  <c r="AE20" i="44"/>
  <c r="AF20" i="44"/>
  <c r="AG20" i="44"/>
  <c r="AH20" i="44"/>
  <c r="AI20" i="44"/>
  <c r="AJ20" i="44"/>
  <c r="AK20" i="44"/>
  <c r="AL20" i="44"/>
  <c r="AM20" i="44"/>
  <c r="AN20" i="44"/>
  <c r="AO20" i="44"/>
  <c r="AP20" i="44"/>
  <c r="AQ20" i="44"/>
  <c r="AR20" i="44"/>
  <c r="AS20" i="44"/>
  <c r="AT20" i="44"/>
  <c r="AU20" i="44"/>
  <c r="AV20" i="44"/>
  <c r="AW20" i="44"/>
  <c r="AX20" i="44"/>
  <c r="AY20" i="44"/>
  <c r="AZ20" i="44"/>
  <c r="BA20" i="44"/>
  <c r="BB20" i="44"/>
  <c r="BC20" i="44"/>
  <c r="BD20" i="44"/>
  <c r="BE20" i="44"/>
  <c r="BF20" i="44"/>
  <c r="BG20" i="44"/>
  <c r="BH20" i="44"/>
  <c r="BI20" i="44"/>
  <c r="BJ20" i="44"/>
  <c r="BK20" i="44"/>
  <c r="BL20" i="44"/>
  <c r="BM20" i="44"/>
  <c r="BN20" i="44"/>
  <c r="BO20" i="44"/>
  <c r="BP20" i="44"/>
  <c r="BQ20" i="44"/>
  <c r="BR20" i="44"/>
  <c r="BS20" i="44"/>
  <c r="BT20" i="44"/>
  <c r="Q21" i="44"/>
  <c r="R21" i="44"/>
  <c r="S21" i="44"/>
  <c r="T21" i="44"/>
  <c r="U21" i="44"/>
  <c r="V21" i="44"/>
  <c r="W21" i="44"/>
  <c r="X21" i="44"/>
  <c r="Y21" i="44"/>
  <c r="Z21" i="44"/>
  <c r="AA21" i="44"/>
  <c r="AB21" i="44"/>
  <c r="AC21" i="44"/>
  <c r="AD21" i="44"/>
  <c r="AE21" i="44"/>
  <c r="AF21" i="44"/>
  <c r="AG21" i="44"/>
  <c r="AH21" i="44"/>
  <c r="AI21" i="44"/>
  <c r="AJ21" i="44"/>
  <c r="AK21" i="44"/>
  <c r="AL21" i="44"/>
  <c r="AM21" i="44"/>
  <c r="AN21" i="44"/>
  <c r="AO21" i="44"/>
  <c r="AP21" i="44"/>
  <c r="AQ21" i="44"/>
  <c r="AR21" i="44"/>
  <c r="AS21" i="44"/>
  <c r="AT21" i="44"/>
  <c r="AU21" i="44"/>
  <c r="AV21" i="44"/>
  <c r="AW21" i="44"/>
  <c r="AX21" i="44"/>
  <c r="AY21" i="44"/>
  <c r="AZ21" i="44"/>
  <c r="BA21" i="44"/>
  <c r="BB21" i="44"/>
  <c r="BC21" i="44"/>
  <c r="BD21" i="44"/>
  <c r="BE21" i="44"/>
  <c r="BF21" i="44"/>
  <c r="BG21" i="44"/>
  <c r="BH21" i="44"/>
  <c r="BI21" i="44"/>
  <c r="BJ21" i="44"/>
  <c r="BK21" i="44"/>
  <c r="BL21" i="44"/>
  <c r="BM21" i="44"/>
  <c r="BN21" i="44"/>
  <c r="BO21" i="44"/>
  <c r="BP21" i="44"/>
  <c r="BQ21" i="44"/>
  <c r="BR21" i="44"/>
  <c r="BS21" i="44"/>
  <c r="BT21" i="44"/>
  <c r="Q22" i="44"/>
  <c r="R22" i="44"/>
  <c r="S22" i="44"/>
  <c r="T22" i="44"/>
  <c r="U22" i="44"/>
  <c r="V22" i="44"/>
  <c r="W22" i="44"/>
  <c r="X22" i="44"/>
  <c r="Y22" i="44"/>
  <c r="Z22" i="44"/>
  <c r="AA22" i="44"/>
  <c r="AB22" i="44"/>
  <c r="AC22" i="44"/>
  <c r="AD22" i="44"/>
  <c r="AE22" i="44"/>
  <c r="AF22" i="44"/>
  <c r="AG22" i="44"/>
  <c r="AH22" i="44"/>
  <c r="AI22" i="44"/>
  <c r="AJ22" i="44"/>
  <c r="AK22" i="44"/>
  <c r="AL22" i="44"/>
  <c r="AM22" i="44"/>
  <c r="AN22" i="44"/>
  <c r="AO22" i="44"/>
  <c r="AP22" i="44"/>
  <c r="AQ22" i="44"/>
  <c r="AR22" i="44"/>
  <c r="AS22" i="44"/>
  <c r="AT22" i="44"/>
  <c r="AU22" i="44"/>
  <c r="AV22" i="44"/>
  <c r="AW22" i="44"/>
  <c r="AX22" i="44"/>
  <c r="AY22" i="44"/>
  <c r="AZ22" i="44"/>
  <c r="BA22" i="44"/>
  <c r="BB22" i="44"/>
  <c r="BC22" i="44"/>
  <c r="BD22" i="44"/>
  <c r="BE22" i="44"/>
  <c r="BF22" i="44"/>
  <c r="BG22" i="44"/>
  <c r="BH22" i="44"/>
  <c r="BI22" i="44"/>
  <c r="BJ22" i="44"/>
  <c r="BK22" i="44"/>
  <c r="BL22" i="44"/>
  <c r="BM22" i="44"/>
  <c r="BN22" i="44"/>
  <c r="BO22" i="44"/>
  <c r="BP22" i="44"/>
  <c r="BQ22" i="44"/>
  <c r="BR22" i="44"/>
  <c r="BS22" i="44"/>
  <c r="BT22" i="44"/>
  <c r="Q23" i="44"/>
  <c r="R23" i="44"/>
  <c r="S23" i="44"/>
  <c r="T23" i="44"/>
  <c r="U23" i="44"/>
  <c r="V23" i="44"/>
  <c r="W23" i="44"/>
  <c r="X23" i="44"/>
  <c r="Y23" i="44"/>
  <c r="Z23" i="44"/>
  <c r="AA23" i="44"/>
  <c r="AB23" i="44"/>
  <c r="AC23" i="44"/>
  <c r="AD23" i="44"/>
  <c r="AE23" i="44"/>
  <c r="AF23" i="44"/>
  <c r="AG23" i="44"/>
  <c r="AH23" i="44"/>
  <c r="AI23" i="44"/>
  <c r="AJ23" i="44"/>
  <c r="AK23" i="44"/>
  <c r="AL23" i="44"/>
  <c r="AM23" i="44"/>
  <c r="AN23" i="44"/>
  <c r="AO23" i="44"/>
  <c r="AP23" i="44"/>
  <c r="AQ23" i="44"/>
  <c r="AR23" i="44"/>
  <c r="AS23" i="44"/>
  <c r="AT23" i="44"/>
  <c r="AU23" i="44"/>
  <c r="AV23" i="44"/>
  <c r="AW23" i="44"/>
  <c r="AX23" i="44"/>
  <c r="AY23" i="44"/>
  <c r="AZ23" i="44"/>
  <c r="BA23" i="44"/>
  <c r="BB23" i="44"/>
  <c r="BC23" i="44"/>
  <c r="BD23" i="44"/>
  <c r="BE23" i="44"/>
  <c r="BF23" i="44"/>
  <c r="BG23" i="44"/>
  <c r="BH23" i="44"/>
  <c r="BI23" i="44"/>
  <c r="BJ23" i="44"/>
  <c r="BK23" i="44"/>
  <c r="BL23" i="44"/>
  <c r="BM23" i="44"/>
  <c r="BN23" i="44"/>
  <c r="BO23" i="44"/>
  <c r="BP23" i="44"/>
  <c r="BQ23" i="44"/>
  <c r="BR23" i="44"/>
  <c r="BS23" i="44"/>
  <c r="BT23" i="44"/>
  <c r="Q24" i="44"/>
  <c r="R24" i="44"/>
  <c r="S24" i="44"/>
  <c r="T24" i="44"/>
  <c r="U24" i="44"/>
  <c r="V24" i="44"/>
  <c r="W24" i="44"/>
  <c r="X24" i="44"/>
  <c r="Y24" i="44"/>
  <c r="Z24" i="44"/>
  <c r="AA24" i="44"/>
  <c r="AB24" i="44"/>
  <c r="AC24" i="44"/>
  <c r="AD24" i="44"/>
  <c r="AE24" i="44"/>
  <c r="AF24" i="44"/>
  <c r="AG24" i="44"/>
  <c r="AH24" i="44"/>
  <c r="AI24" i="44"/>
  <c r="AJ24" i="44"/>
  <c r="AK24" i="44"/>
  <c r="AL24" i="44"/>
  <c r="AM24" i="44"/>
  <c r="AN24" i="44"/>
  <c r="AO24" i="44"/>
  <c r="AP24" i="44"/>
  <c r="AQ24" i="44"/>
  <c r="AR24" i="44"/>
  <c r="AS24" i="44"/>
  <c r="AT24" i="44"/>
  <c r="AU24" i="44"/>
  <c r="AV24" i="44"/>
  <c r="AW24" i="44"/>
  <c r="AX24" i="44"/>
  <c r="AY24" i="44"/>
  <c r="AZ24" i="44"/>
  <c r="BA24" i="44"/>
  <c r="BB24" i="44"/>
  <c r="BC24" i="44"/>
  <c r="BD24" i="44"/>
  <c r="BE24" i="44"/>
  <c r="BF24" i="44"/>
  <c r="BG24" i="44"/>
  <c r="BH24" i="44"/>
  <c r="BI24" i="44"/>
  <c r="BJ24" i="44"/>
  <c r="BK24" i="44"/>
  <c r="BL24" i="44"/>
  <c r="BM24" i="44"/>
  <c r="BN24" i="44"/>
  <c r="BO24" i="44"/>
  <c r="BP24" i="44"/>
  <c r="BQ24" i="44"/>
  <c r="BR24" i="44"/>
  <c r="BS24" i="44"/>
  <c r="BT24" i="44"/>
  <c r="Q25" i="44"/>
  <c r="R25" i="44"/>
  <c r="S25" i="44"/>
  <c r="T25" i="44"/>
  <c r="U25" i="44"/>
  <c r="V25" i="44"/>
  <c r="W25" i="44"/>
  <c r="X25" i="44"/>
  <c r="Y25" i="44"/>
  <c r="Z25" i="44"/>
  <c r="AA25" i="44"/>
  <c r="AB25" i="44"/>
  <c r="AC25" i="44"/>
  <c r="AD25" i="44"/>
  <c r="AE25" i="44"/>
  <c r="AF25" i="44"/>
  <c r="AG25" i="44"/>
  <c r="AH25" i="44"/>
  <c r="AI25" i="44"/>
  <c r="AJ25" i="44"/>
  <c r="AK25" i="44"/>
  <c r="AL25" i="44"/>
  <c r="AM25" i="44"/>
  <c r="AN25" i="44"/>
  <c r="AO25" i="44"/>
  <c r="AP25" i="44"/>
  <c r="AQ25" i="44"/>
  <c r="AR25" i="44"/>
  <c r="AS25" i="44"/>
  <c r="AT25" i="44"/>
  <c r="AU25" i="44"/>
  <c r="AV25" i="44"/>
  <c r="AW25" i="44"/>
  <c r="AX25" i="44"/>
  <c r="AY25" i="44"/>
  <c r="AZ25" i="44"/>
  <c r="BA25" i="44"/>
  <c r="BB25" i="44"/>
  <c r="BC25" i="44"/>
  <c r="BD25" i="44"/>
  <c r="BE25" i="44"/>
  <c r="BF25" i="44"/>
  <c r="BG25" i="44"/>
  <c r="BH25" i="44"/>
  <c r="BI25" i="44"/>
  <c r="BJ25" i="44"/>
  <c r="BK25" i="44"/>
  <c r="BL25" i="44"/>
  <c r="BM25" i="44"/>
  <c r="BN25" i="44"/>
  <c r="BO25" i="44"/>
  <c r="BP25" i="44"/>
  <c r="BQ25" i="44"/>
  <c r="BR25" i="44"/>
  <c r="BS25" i="44"/>
  <c r="BT25" i="44"/>
  <c r="Q26" i="44"/>
  <c r="R26" i="44"/>
  <c r="S26" i="44"/>
  <c r="T26" i="44"/>
  <c r="U26" i="44"/>
  <c r="V26" i="44"/>
  <c r="W26" i="44"/>
  <c r="X26" i="44"/>
  <c r="Y26" i="44"/>
  <c r="Z26" i="44"/>
  <c r="AA26" i="44"/>
  <c r="AB26" i="44"/>
  <c r="AC26" i="44"/>
  <c r="AD26" i="44"/>
  <c r="AE26" i="44"/>
  <c r="AF26" i="44"/>
  <c r="AG26" i="44"/>
  <c r="AH26" i="44"/>
  <c r="AI26" i="44"/>
  <c r="AJ26" i="44"/>
  <c r="AK26" i="44"/>
  <c r="AL26" i="44"/>
  <c r="AM26" i="44"/>
  <c r="AN26" i="44"/>
  <c r="AO26" i="44"/>
  <c r="AP26" i="44"/>
  <c r="AQ26" i="44"/>
  <c r="AR26" i="44"/>
  <c r="AS26" i="44"/>
  <c r="AT26" i="44"/>
  <c r="AU26" i="44"/>
  <c r="AV26" i="44"/>
  <c r="AW26" i="44"/>
  <c r="AX26" i="44"/>
  <c r="AY26" i="44"/>
  <c r="AZ26" i="44"/>
  <c r="BA26" i="44"/>
  <c r="BB26" i="44"/>
  <c r="BC26" i="44"/>
  <c r="BD26" i="44"/>
  <c r="BE26" i="44"/>
  <c r="BF26" i="44"/>
  <c r="BG26" i="44"/>
  <c r="BH26" i="44"/>
  <c r="BI26" i="44"/>
  <c r="BJ26" i="44"/>
  <c r="BK26" i="44"/>
  <c r="BL26" i="44"/>
  <c r="BM26" i="44"/>
  <c r="BN26" i="44"/>
  <c r="BO26" i="44"/>
  <c r="BP26" i="44"/>
  <c r="BQ26" i="44"/>
  <c r="BR26" i="44"/>
  <c r="BS26" i="44"/>
  <c r="BT26" i="44"/>
  <c r="Q27" i="44"/>
  <c r="R27" i="44"/>
  <c r="S27" i="44"/>
  <c r="T27" i="44"/>
  <c r="U27" i="44"/>
  <c r="V27" i="44"/>
  <c r="W27" i="44"/>
  <c r="X27" i="44"/>
  <c r="Y27" i="44"/>
  <c r="Z27" i="44"/>
  <c r="AA27" i="44"/>
  <c r="AB27" i="44"/>
  <c r="AC27" i="44"/>
  <c r="AD27" i="44"/>
  <c r="AE27" i="44"/>
  <c r="AF27" i="44"/>
  <c r="AG27" i="44"/>
  <c r="AH27" i="44"/>
  <c r="AI27" i="44"/>
  <c r="AJ27" i="44"/>
  <c r="AK27" i="44"/>
  <c r="AL27" i="44"/>
  <c r="AM27" i="44"/>
  <c r="AN27" i="44"/>
  <c r="AO27" i="44"/>
  <c r="AP27" i="44"/>
  <c r="AQ27" i="44"/>
  <c r="AR27" i="44"/>
  <c r="AS27" i="44"/>
  <c r="AT27" i="44"/>
  <c r="AU27" i="44"/>
  <c r="AV27" i="44"/>
  <c r="AW27" i="44"/>
  <c r="AX27" i="44"/>
  <c r="AY27" i="44"/>
  <c r="AZ27" i="44"/>
  <c r="BA27" i="44"/>
  <c r="BB27" i="44"/>
  <c r="BC27" i="44"/>
  <c r="BD27" i="44"/>
  <c r="BE27" i="44"/>
  <c r="BF27" i="44"/>
  <c r="BG27" i="44"/>
  <c r="BH27" i="44"/>
  <c r="BI27" i="44"/>
  <c r="BJ27" i="44"/>
  <c r="BK27" i="44"/>
  <c r="BL27" i="44"/>
  <c r="BM27" i="44"/>
  <c r="BN27" i="44"/>
  <c r="BO27" i="44"/>
  <c r="BP27" i="44"/>
  <c r="BQ27" i="44"/>
  <c r="BR27" i="44"/>
  <c r="BS27" i="44"/>
  <c r="BT27" i="44"/>
  <c r="Q28" i="44"/>
  <c r="R28" i="44"/>
  <c r="S28" i="44"/>
  <c r="T28" i="44"/>
  <c r="U28" i="44"/>
  <c r="V28" i="44"/>
  <c r="W28" i="44"/>
  <c r="X28" i="44"/>
  <c r="Y28" i="44"/>
  <c r="Z28" i="44"/>
  <c r="AA28" i="44"/>
  <c r="AB28" i="44"/>
  <c r="AC28" i="44"/>
  <c r="AD28" i="44"/>
  <c r="AE28" i="44"/>
  <c r="AF28" i="44"/>
  <c r="AG28" i="44"/>
  <c r="AH28" i="44"/>
  <c r="AI28" i="44"/>
  <c r="AJ28" i="44"/>
  <c r="AK28" i="44"/>
  <c r="AL28" i="44"/>
  <c r="AM28" i="44"/>
  <c r="AN28" i="44"/>
  <c r="AO28" i="44"/>
  <c r="AP28" i="44"/>
  <c r="AQ28" i="44"/>
  <c r="AR28" i="44"/>
  <c r="AS28" i="44"/>
  <c r="AT28" i="44"/>
  <c r="AU28" i="44"/>
  <c r="AV28" i="44"/>
  <c r="AW28" i="44"/>
  <c r="AX28" i="44"/>
  <c r="AY28" i="44"/>
  <c r="AZ28" i="44"/>
  <c r="BA28" i="44"/>
  <c r="BB28" i="44"/>
  <c r="BC28" i="44"/>
  <c r="BD28" i="44"/>
  <c r="BE28" i="44"/>
  <c r="BF28" i="44"/>
  <c r="BG28" i="44"/>
  <c r="BH28" i="44"/>
  <c r="BI28" i="44"/>
  <c r="BJ28" i="44"/>
  <c r="BK28" i="44"/>
  <c r="BL28" i="44"/>
  <c r="BM28" i="44"/>
  <c r="BN28" i="44"/>
  <c r="BO28" i="44"/>
  <c r="BP28" i="44"/>
  <c r="BQ28" i="44"/>
  <c r="BR28" i="44"/>
  <c r="BS28" i="44"/>
  <c r="BT28" i="44"/>
  <c r="Q29" i="44"/>
  <c r="R29" i="44"/>
  <c r="S29" i="44"/>
  <c r="T29" i="44"/>
  <c r="U29" i="44"/>
  <c r="V29" i="44"/>
  <c r="W29" i="44"/>
  <c r="X29" i="44"/>
  <c r="Y29" i="44"/>
  <c r="Z29" i="44"/>
  <c r="AA29" i="44"/>
  <c r="AB29" i="44"/>
  <c r="AC29" i="44"/>
  <c r="AD29" i="44"/>
  <c r="AE29" i="44"/>
  <c r="AF29" i="44"/>
  <c r="AG29" i="44"/>
  <c r="AH29" i="44"/>
  <c r="AI29" i="44"/>
  <c r="AJ29" i="44"/>
  <c r="AK29" i="44"/>
  <c r="AL29" i="44"/>
  <c r="AM29" i="44"/>
  <c r="AN29" i="44"/>
  <c r="AO29" i="44"/>
  <c r="AP29" i="44"/>
  <c r="AQ29" i="44"/>
  <c r="AR29" i="44"/>
  <c r="AS29" i="44"/>
  <c r="AT29" i="44"/>
  <c r="AU29" i="44"/>
  <c r="AV29" i="44"/>
  <c r="AW29" i="44"/>
  <c r="AX29" i="44"/>
  <c r="AY29" i="44"/>
  <c r="AZ29" i="44"/>
  <c r="BA29" i="44"/>
  <c r="BB29" i="44"/>
  <c r="BC29" i="44"/>
  <c r="BD29" i="44"/>
  <c r="BE29" i="44"/>
  <c r="BF29" i="44"/>
  <c r="BG29" i="44"/>
  <c r="BH29" i="44"/>
  <c r="BI29" i="44"/>
  <c r="BJ29" i="44"/>
  <c r="BK29" i="44"/>
  <c r="BL29" i="44"/>
  <c r="BM29" i="44"/>
  <c r="BN29" i="44"/>
  <c r="BO29" i="44"/>
  <c r="BP29" i="44"/>
  <c r="BQ29" i="44"/>
  <c r="BR29" i="44"/>
  <c r="BS29" i="44"/>
  <c r="BT29" i="44"/>
  <c r="Q30" i="44"/>
  <c r="R30" i="44"/>
  <c r="S30" i="44"/>
  <c r="T30" i="44"/>
  <c r="U30" i="44"/>
  <c r="V30" i="44"/>
  <c r="W30" i="44"/>
  <c r="X30" i="44"/>
  <c r="Y30" i="44"/>
  <c r="Z30" i="44"/>
  <c r="AA30" i="44"/>
  <c r="AB30" i="44"/>
  <c r="AC30" i="44"/>
  <c r="AD30" i="44"/>
  <c r="AE30" i="44"/>
  <c r="AF30" i="44"/>
  <c r="AG30" i="44"/>
  <c r="AH30" i="44"/>
  <c r="AI30" i="44"/>
  <c r="AJ30" i="44"/>
  <c r="AK30" i="44"/>
  <c r="AL30" i="44"/>
  <c r="AM30" i="44"/>
  <c r="AN30" i="44"/>
  <c r="AO30" i="44"/>
  <c r="AP30" i="44"/>
  <c r="AQ30" i="44"/>
  <c r="AR30" i="44"/>
  <c r="AS30" i="44"/>
  <c r="AT30" i="44"/>
  <c r="AU30" i="44"/>
  <c r="AV30" i="44"/>
  <c r="AW30" i="44"/>
  <c r="AX30" i="44"/>
  <c r="AY30" i="44"/>
  <c r="AZ30" i="44"/>
  <c r="BA30" i="44"/>
  <c r="BB30" i="44"/>
  <c r="BC30" i="44"/>
  <c r="BD30" i="44"/>
  <c r="BE30" i="44"/>
  <c r="BF30" i="44"/>
  <c r="BG30" i="44"/>
  <c r="BH30" i="44"/>
  <c r="BI30" i="44"/>
  <c r="BJ30" i="44"/>
  <c r="BK30" i="44"/>
  <c r="BL30" i="44"/>
  <c r="BM30" i="44"/>
  <c r="BN30" i="44"/>
  <c r="BO30" i="44"/>
  <c r="BP30" i="44"/>
  <c r="BQ30" i="44"/>
  <c r="BR30" i="44"/>
  <c r="BS30" i="44"/>
  <c r="BT30" i="44"/>
  <c r="Q31" i="44"/>
  <c r="R31" i="44"/>
  <c r="S31" i="44"/>
  <c r="T31" i="44"/>
  <c r="U31" i="44"/>
  <c r="V31" i="44"/>
  <c r="W31" i="44"/>
  <c r="X31" i="44"/>
  <c r="Y31" i="44"/>
  <c r="Z31" i="44"/>
  <c r="AA31" i="44"/>
  <c r="AB31" i="44"/>
  <c r="AC31" i="44"/>
  <c r="AD31" i="44"/>
  <c r="AE31" i="44"/>
  <c r="AF31" i="44"/>
  <c r="AG31" i="44"/>
  <c r="AH31" i="44"/>
  <c r="AI31" i="44"/>
  <c r="AJ31" i="44"/>
  <c r="AK31" i="44"/>
  <c r="AL31" i="44"/>
  <c r="AM31" i="44"/>
  <c r="AN31" i="44"/>
  <c r="AO31" i="44"/>
  <c r="AP31" i="44"/>
  <c r="AQ31" i="44"/>
  <c r="AR31" i="44"/>
  <c r="AS31" i="44"/>
  <c r="AT31" i="44"/>
  <c r="AU31" i="44"/>
  <c r="AV31" i="44"/>
  <c r="AW31" i="44"/>
  <c r="AX31" i="44"/>
  <c r="AY31" i="44"/>
  <c r="AZ31" i="44"/>
  <c r="BA31" i="44"/>
  <c r="BB31" i="44"/>
  <c r="BC31" i="44"/>
  <c r="BD31" i="44"/>
  <c r="BE31" i="44"/>
  <c r="BF31" i="44"/>
  <c r="BG31" i="44"/>
  <c r="BH31" i="44"/>
  <c r="BI31" i="44"/>
  <c r="BJ31" i="44"/>
  <c r="BK31" i="44"/>
  <c r="BL31" i="44"/>
  <c r="BM31" i="44"/>
  <c r="BN31" i="44"/>
  <c r="BO31" i="44"/>
  <c r="BP31" i="44"/>
  <c r="BQ31" i="44"/>
  <c r="BR31" i="44"/>
  <c r="BS31" i="44"/>
  <c r="BT31" i="44"/>
  <c r="Q32" i="44"/>
  <c r="R32" i="44"/>
  <c r="S32" i="44"/>
  <c r="T32" i="44"/>
  <c r="U32" i="44"/>
  <c r="V32" i="44"/>
  <c r="W32" i="44"/>
  <c r="X32" i="44"/>
  <c r="Y32" i="44"/>
  <c r="Z32" i="44"/>
  <c r="AA32" i="44"/>
  <c r="AB32" i="44"/>
  <c r="AC32" i="44"/>
  <c r="AD32" i="44"/>
  <c r="AE32" i="44"/>
  <c r="AF32" i="44"/>
  <c r="AG32" i="44"/>
  <c r="AH32" i="44"/>
  <c r="AI32" i="44"/>
  <c r="AJ32" i="44"/>
  <c r="AK32" i="44"/>
  <c r="AL32" i="44"/>
  <c r="AM32" i="44"/>
  <c r="AN32" i="44"/>
  <c r="AO32" i="44"/>
  <c r="AP32" i="44"/>
  <c r="AQ32" i="44"/>
  <c r="AR32" i="44"/>
  <c r="AS32" i="44"/>
  <c r="AT32" i="44"/>
  <c r="AU32" i="44"/>
  <c r="AV32" i="44"/>
  <c r="AW32" i="44"/>
  <c r="AX32" i="44"/>
  <c r="AY32" i="44"/>
  <c r="AZ32" i="44"/>
  <c r="BA32" i="44"/>
  <c r="BB32" i="44"/>
  <c r="BC32" i="44"/>
  <c r="BD32" i="44"/>
  <c r="BE32" i="44"/>
  <c r="BF32" i="44"/>
  <c r="BG32" i="44"/>
  <c r="BH32" i="44"/>
  <c r="BI32" i="44"/>
  <c r="BJ32" i="44"/>
  <c r="BK32" i="44"/>
  <c r="BL32" i="44"/>
  <c r="BM32" i="44"/>
  <c r="BN32" i="44"/>
  <c r="BO32" i="44"/>
  <c r="BP32" i="44"/>
  <c r="BQ32" i="44"/>
  <c r="BR32" i="44"/>
  <c r="BS32" i="44"/>
  <c r="BT32" i="44"/>
  <c r="Q33" i="44"/>
  <c r="R33" i="44"/>
  <c r="S33" i="44"/>
  <c r="T33" i="44"/>
  <c r="U33" i="44"/>
  <c r="V33" i="44"/>
  <c r="W33" i="44"/>
  <c r="X33" i="44"/>
  <c r="Y33" i="44"/>
  <c r="Z33" i="44"/>
  <c r="AA33" i="44"/>
  <c r="AB33" i="44"/>
  <c r="AC33" i="44"/>
  <c r="AD33" i="44"/>
  <c r="AE33" i="44"/>
  <c r="AF33" i="44"/>
  <c r="AG33" i="44"/>
  <c r="AH33" i="44"/>
  <c r="AI33" i="44"/>
  <c r="AJ33" i="44"/>
  <c r="AK33" i="44"/>
  <c r="AL33" i="44"/>
  <c r="AM33" i="44"/>
  <c r="AN33" i="44"/>
  <c r="AO33" i="44"/>
  <c r="AP33" i="44"/>
  <c r="AQ33" i="44"/>
  <c r="AR33" i="44"/>
  <c r="AS33" i="44"/>
  <c r="AT33" i="44"/>
  <c r="AU33" i="44"/>
  <c r="AV33" i="44"/>
  <c r="AW33" i="44"/>
  <c r="AX33" i="44"/>
  <c r="AY33" i="44"/>
  <c r="AZ33" i="44"/>
  <c r="BA33" i="44"/>
  <c r="BB33" i="44"/>
  <c r="BC33" i="44"/>
  <c r="BD33" i="44"/>
  <c r="BE33" i="44"/>
  <c r="BF33" i="44"/>
  <c r="BG33" i="44"/>
  <c r="BH33" i="44"/>
  <c r="BI33" i="44"/>
  <c r="BJ33" i="44"/>
  <c r="BK33" i="44"/>
  <c r="BL33" i="44"/>
  <c r="BM33" i="44"/>
  <c r="BN33" i="44"/>
  <c r="BO33" i="44"/>
  <c r="BP33" i="44"/>
  <c r="BQ33" i="44"/>
  <c r="BR33" i="44"/>
  <c r="BS33" i="44"/>
  <c r="BT33" i="44"/>
  <c r="Q34" i="44"/>
  <c r="R34" i="44"/>
  <c r="S34" i="44"/>
  <c r="T34" i="44"/>
  <c r="U34" i="44"/>
  <c r="V34" i="44"/>
  <c r="W34" i="44"/>
  <c r="X34" i="44"/>
  <c r="Y34" i="44"/>
  <c r="Z34" i="44"/>
  <c r="AA34" i="44"/>
  <c r="AB34" i="44"/>
  <c r="AC34" i="44"/>
  <c r="AD34" i="44"/>
  <c r="AE34" i="44"/>
  <c r="AF34" i="44"/>
  <c r="AG34" i="44"/>
  <c r="AH34" i="44"/>
  <c r="AI34" i="44"/>
  <c r="AJ34" i="44"/>
  <c r="AK34" i="44"/>
  <c r="AL34" i="44"/>
  <c r="AM34" i="44"/>
  <c r="AN34" i="44"/>
  <c r="AO34" i="44"/>
  <c r="AP34" i="44"/>
  <c r="AQ34" i="44"/>
  <c r="AR34" i="44"/>
  <c r="AS34" i="44"/>
  <c r="AT34" i="44"/>
  <c r="AU34" i="44"/>
  <c r="AV34" i="44"/>
  <c r="AW34" i="44"/>
  <c r="AX34" i="44"/>
  <c r="AY34" i="44"/>
  <c r="AZ34" i="44"/>
  <c r="BA34" i="44"/>
  <c r="BB34" i="44"/>
  <c r="BC34" i="44"/>
  <c r="BD34" i="44"/>
  <c r="BE34" i="44"/>
  <c r="BF34" i="44"/>
  <c r="BG34" i="44"/>
  <c r="BH34" i="44"/>
  <c r="BI34" i="44"/>
  <c r="BJ34" i="44"/>
  <c r="BK34" i="44"/>
  <c r="BL34" i="44"/>
  <c r="BM34" i="44"/>
  <c r="BN34" i="44"/>
  <c r="BO34" i="44"/>
  <c r="BP34" i="44"/>
  <c r="BQ34" i="44"/>
  <c r="BR34" i="44"/>
  <c r="BS34" i="44"/>
  <c r="BT34" i="44"/>
  <c r="Q35" i="44"/>
  <c r="R35" i="44"/>
  <c r="S35" i="44"/>
  <c r="T35" i="44"/>
  <c r="U35" i="44"/>
  <c r="V35" i="44"/>
  <c r="W35" i="44"/>
  <c r="X35" i="44"/>
  <c r="Y35" i="44"/>
  <c r="Z35" i="44"/>
  <c r="AA35" i="44"/>
  <c r="AB35" i="44"/>
  <c r="AC35" i="44"/>
  <c r="AD35" i="44"/>
  <c r="AE35" i="44"/>
  <c r="AF35" i="44"/>
  <c r="AG35" i="44"/>
  <c r="AH35" i="44"/>
  <c r="AI35" i="44"/>
  <c r="AJ35" i="44"/>
  <c r="AK35" i="44"/>
  <c r="AL35" i="44"/>
  <c r="AM35" i="44"/>
  <c r="AN35" i="44"/>
  <c r="AO35" i="44"/>
  <c r="AP35" i="44"/>
  <c r="AQ35" i="44"/>
  <c r="AR35" i="44"/>
  <c r="AS35" i="44"/>
  <c r="AT35" i="44"/>
  <c r="AU35" i="44"/>
  <c r="AV35" i="44"/>
  <c r="AW35" i="44"/>
  <c r="AX35" i="44"/>
  <c r="AY35" i="44"/>
  <c r="AZ35" i="44"/>
  <c r="BA35" i="44"/>
  <c r="BB35" i="44"/>
  <c r="BC35" i="44"/>
  <c r="BD35" i="44"/>
  <c r="BE35" i="44"/>
  <c r="BF35" i="44"/>
  <c r="BG35" i="44"/>
  <c r="BH35" i="44"/>
  <c r="BI35" i="44"/>
  <c r="BJ35" i="44"/>
  <c r="BK35" i="44"/>
  <c r="BL35" i="44"/>
  <c r="BM35" i="44"/>
  <c r="BN35" i="44"/>
  <c r="BO35" i="44"/>
  <c r="BP35" i="44"/>
  <c r="BQ35" i="44"/>
  <c r="BR35" i="44"/>
  <c r="BS35" i="44"/>
  <c r="BT35" i="44"/>
  <c r="Q36" i="44"/>
  <c r="R36" i="44"/>
  <c r="S36" i="44"/>
  <c r="T36" i="44"/>
  <c r="U36" i="44"/>
  <c r="V36" i="44"/>
  <c r="W36" i="44"/>
  <c r="X36" i="44"/>
  <c r="Y36" i="44"/>
  <c r="Z36" i="44"/>
  <c r="AA36" i="44"/>
  <c r="AB36" i="44"/>
  <c r="AC36" i="44"/>
  <c r="AD36" i="44"/>
  <c r="AE36" i="44"/>
  <c r="AF36" i="44"/>
  <c r="AG36" i="44"/>
  <c r="AH36" i="44"/>
  <c r="AI36" i="44"/>
  <c r="AJ36" i="44"/>
  <c r="AK36" i="44"/>
  <c r="AL36" i="44"/>
  <c r="AM36" i="44"/>
  <c r="AN36" i="44"/>
  <c r="AO36" i="44"/>
  <c r="AP36" i="44"/>
  <c r="AQ36" i="44"/>
  <c r="AR36" i="44"/>
  <c r="AS36" i="44"/>
  <c r="AT36" i="44"/>
  <c r="AU36" i="44"/>
  <c r="AV36" i="44"/>
  <c r="AW36" i="44"/>
  <c r="AX36" i="44"/>
  <c r="AY36" i="44"/>
  <c r="AZ36" i="44"/>
  <c r="BA36" i="44"/>
  <c r="BB36" i="44"/>
  <c r="BC36" i="44"/>
  <c r="BD36" i="44"/>
  <c r="BE36" i="44"/>
  <c r="BF36" i="44"/>
  <c r="BG36" i="44"/>
  <c r="BH36" i="44"/>
  <c r="BI36" i="44"/>
  <c r="BJ36" i="44"/>
  <c r="BK36" i="44"/>
  <c r="BL36" i="44"/>
  <c r="BM36" i="44"/>
  <c r="BN36" i="44"/>
  <c r="BO36" i="44"/>
  <c r="BP36" i="44"/>
  <c r="BQ36" i="44"/>
  <c r="BR36" i="44"/>
  <c r="BS36" i="44"/>
  <c r="BT36" i="44"/>
  <c r="Q37" i="44"/>
  <c r="R37" i="44"/>
  <c r="S37" i="44"/>
  <c r="T37" i="44"/>
  <c r="U37" i="44"/>
  <c r="V37" i="44"/>
  <c r="W37" i="44"/>
  <c r="X37" i="44"/>
  <c r="Y37" i="44"/>
  <c r="Z37" i="44"/>
  <c r="AA37" i="44"/>
  <c r="AB37" i="44"/>
  <c r="AC37" i="44"/>
  <c r="AD37" i="44"/>
  <c r="AE37" i="44"/>
  <c r="AF37" i="44"/>
  <c r="AG37" i="44"/>
  <c r="AH37" i="44"/>
  <c r="AI37" i="44"/>
  <c r="AJ37" i="44"/>
  <c r="AK37" i="44"/>
  <c r="AL37" i="44"/>
  <c r="AM37" i="44"/>
  <c r="AN37" i="44"/>
  <c r="AO37" i="44"/>
  <c r="AP37" i="44"/>
  <c r="AQ37" i="44"/>
  <c r="AR37" i="44"/>
  <c r="AS37" i="44"/>
  <c r="AT37" i="44"/>
  <c r="AU37" i="44"/>
  <c r="AV37" i="44"/>
  <c r="AW37" i="44"/>
  <c r="AX37" i="44"/>
  <c r="AY37" i="44"/>
  <c r="AZ37" i="44"/>
  <c r="BA37" i="44"/>
  <c r="BB37" i="44"/>
  <c r="BC37" i="44"/>
  <c r="BD37" i="44"/>
  <c r="BE37" i="44"/>
  <c r="BF37" i="44"/>
  <c r="BG37" i="44"/>
  <c r="BH37" i="44"/>
  <c r="BI37" i="44"/>
  <c r="BJ37" i="44"/>
  <c r="BK37" i="44"/>
  <c r="BL37" i="44"/>
  <c r="BM37" i="44"/>
  <c r="BN37" i="44"/>
  <c r="BO37" i="44"/>
  <c r="BP37" i="44"/>
  <c r="BQ37" i="44"/>
  <c r="BR37" i="44"/>
  <c r="BS37" i="44"/>
  <c r="BT37" i="44"/>
  <c r="Q38" i="44"/>
  <c r="R38" i="44"/>
  <c r="S38" i="44"/>
  <c r="T38" i="44"/>
  <c r="U38" i="44"/>
  <c r="V38" i="44"/>
  <c r="W38" i="44"/>
  <c r="X38" i="44"/>
  <c r="Y38" i="44"/>
  <c r="Z38" i="44"/>
  <c r="AA38" i="44"/>
  <c r="AB38" i="44"/>
  <c r="AC38" i="44"/>
  <c r="AD38" i="44"/>
  <c r="AE38" i="44"/>
  <c r="AF38" i="44"/>
  <c r="AG38" i="44"/>
  <c r="AH38" i="44"/>
  <c r="AI38" i="44"/>
  <c r="AJ38" i="44"/>
  <c r="AK38" i="44"/>
  <c r="AL38" i="44"/>
  <c r="AM38" i="44"/>
  <c r="AN38" i="44"/>
  <c r="AO38" i="44"/>
  <c r="AP38" i="44"/>
  <c r="AQ38" i="44"/>
  <c r="AR38" i="44"/>
  <c r="AS38" i="44"/>
  <c r="AT38" i="44"/>
  <c r="AU38" i="44"/>
  <c r="AV38" i="44"/>
  <c r="AW38" i="44"/>
  <c r="AX38" i="44"/>
  <c r="AY38" i="44"/>
  <c r="AZ38" i="44"/>
  <c r="BA38" i="44"/>
  <c r="BB38" i="44"/>
  <c r="BC38" i="44"/>
  <c r="BD38" i="44"/>
  <c r="BE38" i="44"/>
  <c r="BF38" i="44"/>
  <c r="BG38" i="44"/>
  <c r="BH38" i="44"/>
  <c r="BI38" i="44"/>
  <c r="BJ38" i="44"/>
  <c r="BK38" i="44"/>
  <c r="BL38" i="44"/>
  <c r="BM38" i="44"/>
  <c r="BN38" i="44"/>
  <c r="BO38" i="44"/>
  <c r="BP38" i="44"/>
  <c r="BQ38" i="44"/>
  <c r="BR38" i="44"/>
  <c r="BS38" i="44"/>
  <c r="BT38" i="44"/>
  <c r="Q39" i="44"/>
  <c r="R39" i="44"/>
  <c r="S39" i="44"/>
  <c r="T39" i="44"/>
  <c r="U39" i="44"/>
  <c r="V39" i="44"/>
  <c r="W39" i="44"/>
  <c r="X39" i="44"/>
  <c r="Y39" i="44"/>
  <c r="Z39" i="44"/>
  <c r="AA39" i="44"/>
  <c r="AB39" i="44"/>
  <c r="AC39" i="44"/>
  <c r="AD39" i="44"/>
  <c r="AE39" i="44"/>
  <c r="AF39" i="44"/>
  <c r="AG39" i="44"/>
  <c r="AH39" i="44"/>
  <c r="AI39" i="44"/>
  <c r="AJ39" i="44"/>
  <c r="AK39" i="44"/>
  <c r="AL39" i="44"/>
  <c r="AM39" i="44"/>
  <c r="AN39" i="44"/>
  <c r="AO39" i="44"/>
  <c r="AP39" i="44"/>
  <c r="AQ39" i="44"/>
  <c r="AR39" i="44"/>
  <c r="AS39" i="44"/>
  <c r="AT39" i="44"/>
  <c r="AU39" i="44"/>
  <c r="AV39" i="44"/>
  <c r="AW39" i="44"/>
  <c r="AX39" i="44"/>
  <c r="AY39" i="44"/>
  <c r="AZ39" i="44"/>
  <c r="BA39" i="44"/>
  <c r="BB39" i="44"/>
  <c r="BC39" i="44"/>
  <c r="BD39" i="44"/>
  <c r="BE39" i="44"/>
  <c r="BF39" i="44"/>
  <c r="BG39" i="44"/>
  <c r="BH39" i="44"/>
  <c r="BI39" i="44"/>
  <c r="BJ39" i="44"/>
  <c r="BK39" i="44"/>
  <c r="BL39" i="44"/>
  <c r="BM39" i="44"/>
  <c r="BN39" i="44"/>
  <c r="BO39" i="44"/>
  <c r="BP39" i="44"/>
  <c r="BQ39" i="44"/>
  <c r="BR39" i="44"/>
  <c r="BS39" i="44"/>
  <c r="BT39" i="44"/>
  <c r="Q40" i="44"/>
  <c r="R40" i="44"/>
  <c r="S40" i="44"/>
  <c r="T40" i="44"/>
  <c r="U40" i="44"/>
  <c r="V40" i="44"/>
  <c r="W40" i="44"/>
  <c r="X40" i="44"/>
  <c r="Y40" i="44"/>
  <c r="Z40" i="44"/>
  <c r="AA40" i="44"/>
  <c r="AB40" i="44"/>
  <c r="AC40" i="44"/>
  <c r="AD40" i="44"/>
  <c r="AE40" i="44"/>
  <c r="AF40" i="44"/>
  <c r="AG40" i="44"/>
  <c r="AH40" i="44"/>
  <c r="AI40" i="44"/>
  <c r="AJ40" i="44"/>
  <c r="AK40" i="44"/>
  <c r="AL40" i="44"/>
  <c r="AM40" i="44"/>
  <c r="AN40" i="44"/>
  <c r="AO40" i="44"/>
  <c r="AP40" i="44"/>
  <c r="AQ40" i="44"/>
  <c r="AR40" i="44"/>
  <c r="AS40" i="44"/>
  <c r="AT40" i="44"/>
  <c r="AU40" i="44"/>
  <c r="AV40" i="44"/>
  <c r="AW40" i="44"/>
  <c r="AX40" i="44"/>
  <c r="AY40" i="44"/>
  <c r="AZ40" i="44"/>
  <c r="BA40" i="44"/>
  <c r="BB40" i="44"/>
  <c r="BC40" i="44"/>
  <c r="BD40" i="44"/>
  <c r="BE40" i="44"/>
  <c r="BF40" i="44"/>
  <c r="BG40" i="44"/>
  <c r="BH40" i="44"/>
  <c r="BI40" i="44"/>
  <c r="BJ40" i="44"/>
  <c r="BK40" i="44"/>
  <c r="BL40" i="44"/>
  <c r="BM40" i="44"/>
  <c r="BN40" i="44"/>
  <c r="BO40" i="44"/>
  <c r="BP40" i="44"/>
  <c r="BQ40" i="44"/>
  <c r="BR40" i="44"/>
  <c r="BS40" i="44"/>
  <c r="BT40" i="44"/>
  <c r="Q41" i="44"/>
  <c r="R41" i="44"/>
  <c r="S41" i="44"/>
  <c r="T41" i="44"/>
  <c r="U41" i="44"/>
  <c r="V41" i="44"/>
  <c r="W41" i="44"/>
  <c r="X41" i="44"/>
  <c r="Y41" i="44"/>
  <c r="Z41" i="44"/>
  <c r="AA41" i="44"/>
  <c r="AB41" i="44"/>
  <c r="AC41" i="44"/>
  <c r="AD41" i="44"/>
  <c r="AE41" i="44"/>
  <c r="AF41" i="44"/>
  <c r="AG41" i="44"/>
  <c r="AH41" i="44"/>
  <c r="AI41" i="44"/>
  <c r="AJ41" i="44"/>
  <c r="AK41" i="44"/>
  <c r="AL41" i="44"/>
  <c r="AM41" i="44"/>
  <c r="AN41" i="44"/>
  <c r="AO41" i="44"/>
  <c r="AP41" i="44"/>
  <c r="AQ41" i="44"/>
  <c r="AR41" i="44"/>
  <c r="AS41" i="44"/>
  <c r="AT41" i="44"/>
  <c r="AU41" i="44"/>
  <c r="AV41" i="44"/>
  <c r="AW41" i="44"/>
  <c r="AX41" i="44"/>
  <c r="AY41" i="44"/>
  <c r="AZ41" i="44"/>
  <c r="BA41" i="44"/>
  <c r="BB41" i="44"/>
  <c r="BC41" i="44"/>
  <c r="BD41" i="44"/>
  <c r="BE41" i="44"/>
  <c r="BF41" i="44"/>
  <c r="BG41" i="44"/>
  <c r="BH41" i="44"/>
  <c r="BI41" i="44"/>
  <c r="BJ41" i="44"/>
  <c r="BK41" i="44"/>
  <c r="BL41" i="44"/>
  <c r="BM41" i="44"/>
  <c r="BN41" i="44"/>
  <c r="BO41" i="44"/>
  <c r="BP41" i="44"/>
  <c r="BQ41" i="44"/>
  <c r="BR41" i="44"/>
  <c r="BS41" i="44"/>
  <c r="BT41" i="44"/>
  <c r="Q42" i="44"/>
  <c r="R42" i="44"/>
  <c r="S42" i="44"/>
  <c r="T42" i="44"/>
  <c r="U42" i="44"/>
  <c r="V42" i="44"/>
  <c r="W42" i="44"/>
  <c r="X42" i="44"/>
  <c r="Y42" i="44"/>
  <c r="Z42" i="44"/>
  <c r="AA42" i="44"/>
  <c r="AB42" i="44"/>
  <c r="AC42" i="44"/>
  <c r="AD42" i="44"/>
  <c r="AE42" i="44"/>
  <c r="AF42" i="44"/>
  <c r="AG42" i="44"/>
  <c r="AH42" i="44"/>
  <c r="AI42" i="44"/>
  <c r="AJ42" i="44"/>
  <c r="AK42" i="44"/>
  <c r="AL42" i="44"/>
  <c r="AM42" i="44"/>
  <c r="AN42" i="44"/>
  <c r="AO42" i="44"/>
  <c r="AP42" i="44"/>
  <c r="AQ42" i="44"/>
  <c r="AR42" i="44"/>
  <c r="AS42" i="44"/>
  <c r="AT42" i="44"/>
  <c r="AU42" i="44"/>
  <c r="AV42" i="44"/>
  <c r="AW42" i="44"/>
  <c r="AX42" i="44"/>
  <c r="AY42" i="44"/>
  <c r="AZ42" i="44"/>
  <c r="BA42" i="44"/>
  <c r="BB42" i="44"/>
  <c r="BC42" i="44"/>
  <c r="BD42" i="44"/>
  <c r="BE42" i="44"/>
  <c r="BF42" i="44"/>
  <c r="BG42" i="44"/>
  <c r="BH42" i="44"/>
  <c r="BI42" i="44"/>
  <c r="BJ42" i="44"/>
  <c r="BK42" i="44"/>
  <c r="BL42" i="44"/>
  <c r="BM42" i="44"/>
  <c r="BN42" i="44"/>
  <c r="BO42" i="44"/>
  <c r="BP42" i="44"/>
  <c r="BQ42" i="44"/>
  <c r="BR42" i="44"/>
  <c r="BS42" i="44"/>
  <c r="BT42" i="44"/>
  <c r="Q43" i="44"/>
  <c r="R43" i="44"/>
  <c r="S43" i="44"/>
  <c r="T43" i="44"/>
  <c r="U43" i="44"/>
  <c r="V43" i="44"/>
  <c r="W43" i="44"/>
  <c r="X43" i="44"/>
  <c r="Y43" i="44"/>
  <c r="Z43" i="44"/>
  <c r="AA43" i="44"/>
  <c r="AB43" i="44"/>
  <c r="AC43" i="44"/>
  <c r="AD43" i="44"/>
  <c r="AE43" i="44"/>
  <c r="AF43" i="44"/>
  <c r="AG43" i="44"/>
  <c r="AH43" i="44"/>
  <c r="AI43" i="44"/>
  <c r="AJ43" i="44"/>
  <c r="AK43" i="44"/>
  <c r="AL43" i="44"/>
  <c r="AM43" i="44"/>
  <c r="AN43" i="44"/>
  <c r="AO43" i="44"/>
  <c r="AP43" i="44"/>
  <c r="AQ43" i="44"/>
  <c r="AR43" i="44"/>
  <c r="AS43" i="44"/>
  <c r="AT43" i="44"/>
  <c r="AU43" i="44"/>
  <c r="AV43" i="44"/>
  <c r="AW43" i="44"/>
  <c r="AX43" i="44"/>
  <c r="AY43" i="44"/>
  <c r="AZ43" i="44"/>
  <c r="BA43" i="44"/>
  <c r="BB43" i="44"/>
  <c r="BC43" i="44"/>
  <c r="BD43" i="44"/>
  <c r="BE43" i="44"/>
  <c r="BF43" i="44"/>
  <c r="BG43" i="44"/>
  <c r="BH43" i="44"/>
  <c r="BI43" i="44"/>
  <c r="BJ43" i="44"/>
  <c r="BK43" i="44"/>
  <c r="BL43" i="44"/>
  <c r="BM43" i="44"/>
  <c r="BN43" i="44"/>
  <c r="BO43" i="44"/>
  <c r="BP43" i="44"/>
  <c r="BQ43" i="44"/>
  <c r="BR43" i="44"/>
  <c r="BS43" i="44"/>
  <c r="BT43" i="44"/>
  <c r="Q44" i="44"/>
  <c r="R44" i="44"/>
  <c r="S44" i="44"/>
  <c r="T44" i="44"/>
  <c r="U44" i="44"/>
  <c r="V44" i="44"/>
  <c r="W44" i="44"/>
  <c r="X44" i="44"/>
  <c r="Y44" i="44"/>
  <c r="Z44" i="44"/>
  <c r="AA44" i="44"/>
  <c r="AB44" i="44"/>
  <c r="AC44" i="44"/>
  <c r="AD44" i="44"/>
  <c r="AE44" i="44"/>
  <c r="AF44" i="44"/>
  <c r="AG44" i="44"/>
  <c r="AH44" i="44"/>
  <c r="AI44" i="44"/>
  <c r="AJ44" i="44"/>
  <c r="AK44" i="44"/>
  <c r="AL44" i="44"/>
  <c r="AM44" i="44"/>
  <c r="AN44" i="44"/>
  <c r="AO44" i="44"/>
  <c r="AP44" i="44"/>
  <c r="AQ44" i="44"/>
  <c r="AR44" i="44"/>
  <c r="AS44" i="44"/>
  <c r="AT44" i="44"/>
  <c r="AU44" i="44"/>
  <c r="AV44" i="44"/>
  <c r="AW44" i="44"/>
  <c r="AX44" i="44"/>
  <c r="AY44" i="44"/>
  <c r="AZ44" i="44"/>
  <c r="BA44" i="44"/>
  <c r="BB44" i="44"/>
  <c r="BC44" i="44"/>
  <c r="BD44" i="44"/>
  <c r="BE44" i="44"/>
  <c r="BF44" i="44"/>
  <c r="BG44" i="44"/>
  <c r="BH44" i="44"/>
  <c r="BI44" i="44"/>
  <c r="BJ44" i="44"/>
  <c r="BK44" i="44"/>
  <c r="BL44" i="44"/>
  <c r="BM44" i="44"/>
  <c r="BN44" i="44"/>
  <c r="BO44" i="44"/>
  <c r="BP44" i="44"/>
  <c r="BQ44" i="44"/>
  <c r="BR44" i="44"/>
  <c r="BS44" i="44"/>
  <c r="BT44" i="44"/>
  <c r="Q45" i="44"/>
  <c r="R45" i="44"/>
  <c r="S45" i="44"/>
  <c r="T45" i="44"/>
  <c r="U45" i="44"/>
  <c r="V45" i="44"/>
  <c r="W45" i="44"/>
  <c r="X45" i="44"/>
  <c r="Y45" i="44"/>
  <c r="Z45" i="44"/>
  <c r="AA45" i="44"/>
  <c r="AB45" i="44"/>
  <c r="AC45" i="44"/>
  <c r="AD45" i="44"/>
  <c r="AE45" i="44"/>
  <c r="AF45" i="44"/>
  <c r="AG45" i="44"/>
  <c r="AH45" i="44"/>
  <c r="AI45" i="44"/>
  <c r="AJ45" i="44"/>
  <c r="AK45" i="44"/>
  <c r="AL45" i="44"/>
  <c r="AM45" i="44"/>
  <c r="AN45" i="44"/>
  <c r="AO45" i="44"/>
  <c r="AP45" i="44"/>
  <c r="AQ45" i="44"/>
  <c r="AR45" i="44"/>
  <c r="AS45" i="44"/>
  <c r="AT45" i="44"/>
  <c r="AU45" i="44"/>
  <c r="AV45" i="44"/>
  <c r="AW45" i="44"/>
  <c r="AX45" i="44"/>
  <c r="AY45" i="44"/>
  <c r="AZ45" i="44"/>
  <c r="BA45" i="44"/>
  <c r="BB45" i="44"/>
  <c r="BC45" i="44"/>
  <c r="BD45" i="44"/>
  <c r="BE45" i="44"/>
  <c r="BF45" i="44"/>
  <c r="BG45" i="44"/>
  <c r="BH45" i="44"/>
  <c r="BI45" i="44"/>
  <c r="BJ45" i="44"/>
  <c r="BK45" i="44"/>
  <c r="BL45" i="44"/>
  <c r="BM45" i="44"/>
  <c r="BN45" i="44"/>
  <c r="BO45" i="44"/>
  <c r="BP45" i="44"/>
  <c r="BQ45" i="44"/>
  <c r="BR45" i="44"/>
  <c r="BS45" i="44"/>
  <c r="BT45" i="44"/>
  <c r="Q46" i="44"/>
  <c r="R46" i="44"/>
  <c r="S46" i="44"/>
  <c r="T46" i="44"/>
  <c r="U46" i="44"/>
  <c r="V46" i="44"/>
  <c r="W46" i="44"/>
  <c r="X46" i="44"/>
  <c r="Y46" i="44"/>
  <c r="Z46" i="44"/>
  <c r="AA46" i="44"/>
  <c r="AB46" i="44"/>
  <c r="AC46" i="44"/>
  <c r="AD46" i="44"/>
  <c r="AE46" i="44"/>
  <c r="AF46" i="44"/>
  <c r="AG46" i="44"/>
  <c r="AH46" i="44"/>
  <c r="AI46" i="44"/>
  <c r="AJ46" i="44"/>
  <c r="AK46" i="44"/>
  <c r="AL46" i="44"/>
  <c r="AM46" i="44"/>
  <c r="AN46" i="44"/>
  <c r="AO46" i="44"/>
  <c r="AP46" i="44"/>
  <c r="AQ46" i="44"/>
  <c r="AR46" i="44"/>
  <c r="AS46" i="44"/>
  <c r="AT46" i="44"/>
  <c r="AU46" i="44"/>
  <c r="AV46" i="44"/>
  <c r="AW46" i="44"/>
  <c r="AX46" i="44"/>
  <c r="AY46" i="44"/>
  <c r="AZ46" i="44"/>
  <c r="BA46" i="44"/>
  <c r="BB46" i="44"/>
  <c r="BC46" i="44"/>
  <c r="BD46" i="44"/>
  <c r="BE46" i="44"/>
  <c r="BF46" i="44"/>
  <c r="BG46" i="44"/>
  <c r="BH46" i="44"/>
  <c r="BI46" i="44"/>
  <c r="BJ46" i="44"/>
  <c r="BK46" i="44"/>
  <c r="BL46" i="44"/>
  <c r="BM46" i="44"/>
  <c r="BN46" i="44"/>
  <c r="BO46" i="44"/>
  <c r="BP46" i="44"/>
  <c r="BQ46" i="44"/>
  <c r="BR46" i="44"/>
  <c r="BS46" i="44"/>
  <c r="BT46" i="44"/>
  <c r="Q47" i="44"/>
  <c r="R47" i="44"/>
  <c r="S47" i="44"/>
  <c r="T47" i="44"/>
  <c r="U47" i="44"/>
  <c r="V47" i="44"/>
  <c r="W47" i="44"/>
  <c r="X47" i="44"/>
  <c r="Y47" i="44"/>
  <c r="Z47" i="44"/>
  <c r="AA47" i="44"/>
  <c r="AB47" i="44"/>
  <c r="AC47" i="44"/>
  <c r="AD47" i="44"/>
  <c r="AE47" i="44"/>
  <c r="AF47" i="44"/>
  <c r="AG47" i="44"/>
  <c r="AH47" i="44"/>
  <c r="AI47" i="44"/>
  <c r="AJ47" i="44"/>
  <c r="AK47" i="44"/>
  <c r="AL47" i="44"/>
  <c r="AM47" i="44"/>
  <c r="AN47" i="44"/>
  <c r="AO47" i="44"/>
  <c r="AP47" i="44"/>
  <c r="AQ47" i="44"/>
  <c r="AR47" i="44"/>
  <c r="AS47" i="44"/>
  <c r="AT47" i="44"/>
  <c r="AU47" i="44"/>
  <c r="AV47" i="44"/>
  <c r="AW47" i="44"/>
  <c r="AX47" i="44"/>
  <c r="AY47" i="44"/>
  <c r="AZ47" i="44"/>
  <c r="BA47" i="44"/>
  <c r="BB47" i="44"/>
  <c r="BC47" i="44"/>
  <c r="BD47" i="44"/>
  <c r="BE47" i="44"/>
  <c r="BF47" i="44"/>
  <c r="BG47" i="44"/>
  <c r="BH47" i="44"/>
  <c r="BI47" i="44"/>
  <c r="BJ47" i="44"/>
  <c r="BK47" i="44"/>
  <c r="BL47" i="44"/>
  <c r="BM47" i="44"/>
  <c r="BN47" i="44"/>
  <c r="BO47" i="44"/>
  <c r="BP47" i="44"/>
  <c r="BQ47" i="44"/>
  <c r="BR47" i="44"/>
  <c r="BS47" i="44"/>
  <c r="BT47" i="44"/>
  <c r="Q48" i="44"/>
  <c r="R48" i="44"/>
  <c r="S48" i="44"/>
  <c r="T48" i="44"/>
  <c r="U48" i="44"/>
  <c r="V48" i="44"/>
  <c r="W48" i="44"/>
  <c r="X48" i="44"/>
  <c r="Y48" i="44"/>
  <c r="Z48" i="44"/>
  <c r="AA48" i="44"/>
  <c r="AB48" i="44"/>
  <c r="AC48" i="44"/>
  <c r="AD48" i="44"/>
  <c r="AE48" i="44"/>
  <c r="AF48" i="44"/>
  <c r="AG48" i="44"/>
  <c r="AH48" i="44"/>
  <c r="AI48" i="44"/>
  <c r="AJ48" i="44"/>
  <c r="AK48" i="44"/>
  <c r="AL48" i="44"/>
  <c r="AM48" i="44"/>
  <c r="AN48" i="44"/>
  <c r="AO48" i="44"/>
  <c r="AP48" i="44"/>
  <c r="AQ48" i="44"/>
  <c r="AR48" i="44"/>
  <c r="AS48" i="44"/>
  <c r="AT48" i="44"/>
  <c r="AU48" i="44"/>
  <c r="AV48" i="44"/>
  <c r="AW48" i="44"/>
  <c r="AX48" i="44"/>
  <c r="AY48" i="44"/>
  <c r="AZ48" i="44"/>
  <c r="BA48" i="44"/>
  <c r="BB48" i="44"/>
  <c r="BC48" i="44"/>
  <c r="BD48" i="44"/>
  <c r="BE48" i="44"/>
  <c r="BF48" i="44"/>
  <c r="BG48" i="44"/>
  <c r="BH48" i="44"/>
  <c r="BI48" i="44"/>
  <c r="BJ48" i="44"/>
  <c r="BK48" i="44"/>
  <c r="BL48" i="44"/>
  <c r="BM48" i="44"/>
  <c r="BN48" i="44"/>
  <c r="BO48" i="44"/>
  <c r="BP48" i="44"/>
  <c r="BQ48" i="44"/>
  <c r="BR48" i="44"/>
  <c r="BS48" i="44"/>
  <c r="BT48" i="44"/>
  <c r="Q49" i="44"/>
  <c r="R49" i="44"/>
  <c r="S49" i="44"/>
  <c r="T49" i="44"/>
  <c r="U49" i="44"/>
  <c r="V49" i="44"/>
  <c r="W49" i="44"/>
  <c r="X49" i="44"/>
  <c r="Y49" i="44"/>
  <c r="Z49" i="44"/>
  <c r="AA49" i="44"/>
  <c r="AB49" i="44"/>
  <c r="AC49" i="44"/>
  <c r="AD49" i="44"/>
  <c r="AE49" i="44"/>
  <c r="AF49" i="44"/>
  <c r="AG49" i="44"/>
  <c r="AH49" i="44"/>
  <c r="AI49" i="44"/>
  <c r="AJ49" i="44"/>
  <c r="AK49" i="44"/>
  <c r="AL49" i="44"/>
  <c r="AM49" i="44"/>
  <c r="AN49" i="44"/>
  <c r="AO49" i="44"/>
  <c r="AP49" i="44"/>
  <c r="AQ49" i="44"/>
  <c r="AR49" i="44"/>
  <c r="AS49" i="44"/>
  <c r="AT49" i="44"/>
  <c r="AU49" i="44"/>
  <c r="AV49" i="44"/>
  <c r="AW49" i="44"/>
  <c r="AX49" i="44"/>
  <c r="AY49" i="44"/>
  <c r="AZ49" i="44"/>
  <c r="BA49" i="44"/>
  <c r="BB49" i="44"/>
  <c r="BC49" i="44"/>
  <c r="BD49" i="44"/>
  <c r="BE49" i="44"/>
  <c r="BF49" i="44"/>
  <c r="BG49" i="44"/>
  <c r="BH49" i="44"/>
  <c r="BI49" i="44"/>
  <c r="BJ49" i="44"/>
  <c r="BK49" i="44"/>
  <c r="BL49" i="44"/>
  <c r="BM49" i="44"/>
  <c r="BN49" i="44"/>
  <c r="BO49" i="44"/>
  <c r="BP49" i="44"/>
  <c r="BQ49" i="44"/>
  <c r="BR49" i="44"/>
  <c r="BS49" i="44"/>
  <c r="BT49" i="44"/>
  <c r="Q50" i="44"/>
  <c r="R50" i="44"/>
  <c r="S50" i="44"/>
  <c r="T50" i="44"/>
  <c r="U50" i="44"/>
  <c r="V50" i="44"/>
  <c r="W50" i="44"/>
  <c r="X50" i="44"/>
  <c r="Y50" i="44"/>
  <c r="Z50" i="44"/>
  <c r="AA50" i="44"/>
  <c r="AB50" i="44"/>
  <c r="AC50" i="44"/>
  <c r="AD50" i="44"/>
  <c r="AE50" i="44"/>
  <c r="AF50" i="44"/>
  <c r="AG50" i="44"/>
  <c r="AH50" i="44"/>
  <c r="AI50" i="44"/>
  <c r="AJ50" i="44"/>
  <c r="AK50" i="44"/>
  <c r="AL50" i="44"/>
  <c r="AM50" i="44"/>
  <c r="AN50" i="44"/>
  <c r="AO50" i="44"/>
  <c r="AP50" i="44"/>
  <c r="AQ50" i="44"/>
  <c r="AR50" i="44"/>
  <c r="AS50" i="44"/>
  <c r="AT50" i="44"/>
  <c r="AU50" i="44"/>
  <c r="AV50" i="44"/>
  <c r="AW50" i="44"/>
  <c r="AX50" i="44"/>
  <c r="AY50" i="44"/>
  <c r="AZ50" i="44"/>
  <c r="BA50" i="44"/>
  <c r="BB50" i="44"/>
  <c r="BC50" i="44"/>
  <c r="BD50" i="44"/>
  <c r="BE50" i="44"/>
  <c r="BF50" i="44"/>
  <c r="BG50" i="44"/>
  <c r="BH50" i="44"/>
  <c r="BI50" i="44"/>
  <c r="BJ50" i="44"/>
  <c r="BK50" i="44"/>
  <c r="BL50" i="44"/>
  <c r="BM50" i="44"/>
  <c r="BN50" i="44"/>
  <c r="BO50" i="44"/>
  <c r="BP50" i="44"/>
  <c r="BQ50" i="44"/>
  <c r="BR50" i="44"/>
  <c r="BS50" i="44"/>
  <c r="BT50" i="44"/>
  <c r="Q51" i="44"/>
  <c r="R51" i="44"/>
  <c r="S51" i="44"/>
  <c r="T51" i="44"/>
  <c r="U51" i="44"/>
  <c r="V51" i="44"/>
  <c r="W51" i="44"/>
  <c r="X51" i="44"/>
  <c r="Y51" i="44"/>
  <c r="Z51" i="44"/>
  <c r="AA51" i="44"/>
  <c r="AB51" i="44"/>
  <c r="AC51" i="44"/>
  <c r="AD51" i="44"/>
  <c r="AE51" i="44"/>
  <c r="AF51" i="44"/>
  <c r="AG51" i="44"/>
  <c r="AH51" i="44"/>
  <c r="AI51" i="44"/>
  <c r="AJ51" i="44"/>
  <c r="AK51" i="44"/>
  <c r="AL51" i="44"/>
  <c r="AM51" i="44"/>
  <c r="AN51" i="44"/>
  <c r="AO51" i="44"/>
  <c r="AP51" i="44"/>
  <c r="AQ51" i="44"/>
  <c r="AR51" i="44"/>
  <c r="AS51" i="44"/>
  <c r="AT51" i="44"/>
  <c r="AU51" i="44"/>
  <c r="AV51" i="44"/>
  <c r="AW51" i="44"/>
  <c r="AX51" i="44"/>
  <c r="AY51" i="44"/>
  <c r="AZ51" i="44"/>
  <c r="BA51" i="44"/>
  <c r="BB51" i="44"/>
  <c r="BC51" i="44"/>
  <c r="BD51" i="44"/>
  <c r="BE51" i="44"/>
  <c r="BF51" i="44"/>
  <c r="BG51" i="44"/>
  <c r="BH51" i="44"/>
  <c r="BI51" i="44"/>
  <c r="BJ51" i="44"/>
  <c r="BK51" i="44"/>
  <c r="BL51" i="44"/>
  <c r="BM51" i="44"/>
  <c r="BN51" i="44"/>
  <c r="BO51" i="44"/>
  <c r="BP51" i="44"/>
  <c r="BQ51" i="44"/>
  <c r="BR51" i="44"/>
  <c r="BS51" i="44"/>
  <c r="BT51" i="44"/>
  <c r="Q52" i="44"/>
  <c r="R52" i="44"/>
  <c r="S52" i="44"/>
  <c r="T52" i="44"/>
  <c r="U52" i="44"/>
  <c r="V52" i="44"/>
  <c r="W52" i="44"/>
  <c r="X52" i="44"/>
  <c r="Y52" i="44"/>
  <c r="Z52" i="44"/>
  <c r="AA52" i="44"/>
  <c r="AB52" i="44"/>
  <c r="AC52" i="44"/>
  <c r="AD52" i="44"/>
  <c r="AE52" i="44"/>
  <c r="AF52" i="44"/>
  <c r="AG52" i="44"/>
  <c r="AH52" i="44"/>
  <c r="AI52" i="44"/>
  <c r="AJ52" i="44"/>
  <c r="AK52" i="44"/>
  <c r="AL52" i="44"/>
  <c r="AM52" i="44"/>
  <c r="AN52" i="44"/>
  <c r="AO52" i="44"/>
  <c r="AP52" i="44"/>
  <c r="AQ52" i="44"/>
  <c r="AR52" i="44"/>
  <c r="AS52" i="44"/>
  <c r="AT52" i="44"/>
  <c r="AU52" i="44"/>
  <c r="AV52" i="44"/>
  <c r="AW52" i="44"/>
  <c r="AX52" i="44"/>
  <c r="AY52" i="44"/>
  <c r="AZ52" i="44"/>
  <c r="BA52" i="44"/>
  <c r="BB52" i="44"/>
  <c r="BC52" i="44"/>
  <c r="BD52" i="44"/>
  <c r="BE52" i="44"/>
  <c r="BF52" i="44"/>
  <c r="BG52" i="44"/>
  <c r="BH52" i="44"/>
  <c r="BI52" i="44"/>
  <c r="BJ52" i="44"/>
  <c r="BK52" i="44"/>
  <c r="BL52" i="44"/>
  <c r="BM52" i="44"/>
  <c r="BN52" i="44"/>
  <c r="BO52" i="44"/>
  <c r="BP52" i="44"/>
  <c r="BQ52" i="44"/>
  <c r="BR52" i="44"/>
  <c r="BS52" i="44"/>
  <c r="BT52" i="44"/>
  <c r="Q53" i="44"/>
  <c r="R53" i="44"/>
  <c r="S53" i="44"/>
  <c r="T53" i="44"/>
  <c r="U53" i="44"/>
  <c r="V53" i="44"/>
  <c r="W53" i="44"/>
  <c r="X53" i="44"/>
  <c r="Y53" i="44"/>
  <c r="Z53" i="44"/>
  <c r="AA53" i="44"/>
  <c r="AB53" i="44"/>
  <c r="AC53" i="44"/>
  <c r="AD53" i="44"/>
  <c r="AE53" i="44"/>
  <c r="AF53" i="44"/>
  <c r="AG53" i="44"/>
  <c r="AH53" i="44"/>
  <c r="AI53" i="44"/>
  <c r="AJ53" i="44"/>
  <c r="AK53" i="44"/>
  <c r="AL53" i="44"/>
  <c r="AM53" i="44"/>
  <c r="AN53" i="44"/>
  <c r="AO53" i="44"/>
  <c r="AP53" i="44"/>
  <c r="AQ53" i="44"/>
  <c r="AR53" i="44"/>
  <c r="AS53" i="44"/>
  <c r="AT53" i="44"/>
  <c r="AU53" i="44"/>
  <c r="AV53" i="44"/>
  <c r="AW53" i="44"/>
  <c r="AX53" i="44"/>
  <c r="AY53" i="44"/>
  <c r="AZ53" i="44"/>
  <c r="BA53" i="44"/>
  <c r="BB53" i="44"/>
  <c r="BC53" i="44"/>
  <c r="BD53" i="44"/>
  <c r="BE53" i="44"/>
  <c r="BF53" i="44"/>
  <c r="BG53" i="44"/>
  <c r="BH53" i="44"/>
  <c r="BI53" i="44"/>
  <c r="BJ53" i="44"/>
  <c r="BK53" i="44"/>
  <c r="BL53" i="44"/>
  <c r="BM53" i="44"/>
  <c r="BN53" i="44"/>
  <c r="BO53" i="44"/>
  <c r="BP53" i="44"/>
  <c r="BQ53" i="44"/>
  <c r="BR53" i="44"/>
  <c r="BS53" i="44"/>
  <c r="BT53" i="44"/>
  <c r="Q54" i="44"/>
  <c r="R54" i="44"/>
  <c r="S54" i="44"/>
  <c r="T54" i="44"/>
  <c r="U54" i="44"/>
  <c r="V54" i="44"/>
  <c r="W54" i="44"/>
  <c r="X54" i="44"/>
  <c r="Y54" i="44"/>
  <c r="Z54" i="44"/>
  <c r="AA54" i="44"/>
  <c r="AB54" i="44"/>
  <c r="AC54" i="44"/>
  <c r="AD54" i="44"/>
  <c r="AE54" i="44"/>
  <c r="AF54" i="44"/>
  <c r="AG54" i="44"/>
  <c r="AH54" i="44"/>
  <c r="AI54" i="44"/>
  <c r="AJ54" i="44"/>
  <c r="AK54" i="44"/>
  <c r="AL54" i="44"/>
  <c r="AM54" i="44"/>
  <c r="AN54" i="44"/>
  <c r="AO54" i="44"/>
  <c r="AP54" i="44"/>
  <c r="AQ54" i="44"/>
  <c r="AR54" i="44"/>
  <c r="AS54" i="44"/>
  <c r="AT54" i="44"/>
  <c r="AU54" i="44"/>
  <c r="AV54" i="44"/>
  <c r="AW54" i="44"/>
  <c r="AX54" i="44"/>
  <c r="AY54" i="44"/>
  <c r="AZ54" i="44"/>
  <c r="BA54" i="44"/>
  <c r="BB54" i="44"/>
  <c r="BC54" i="44"/>
  <c r="BD54" i="44"/>
  <c r="BE54" i="44"/>
  <c r="BF54" i="44"/>
  <c r="BG54" i="44"/>
  <c r="BH54" i="44"/>
  <c r="BI54" i="44"/>
  <c r="BJ54" i="44"/>
  <c r="BK54" i="44"/>
  <c r="BL54" i="44"/>
  <c r="BM54" i="44"/>
  <c r="BN54" i="44"/>
  <c r="BO54" i="44"/>
  <c r="BP54" i="44"/>
  <c r="BQ54" i="44"/>
  <c r="BR54" i="44"/>
  <c r="BS54" i="44"/>
  <c r="BT54" i="44"/>
  <c r="Q55" i="44"/>
  <c r="R55" i="44"/>
  <c r="S55" i="44"/>
  <c r="T55" i="44"/>
  <c r="U55" i="44"/>
  <c r="V55" i="44"/>
  <c r="W55" i="44"/>
  <c r="X55" i="44"/>
  <c r="Y55" i="44"/>
  <c r="Z55" i="44"/>
  <c r="AA55" i="44"/>
  <c r="AB55" i="44"/>
  <c r="AC55" i="44"/>
  <c r="AD55" i="44"/>
  <c r="AE55" i="44"/>
  <c r="AF55" i="44"/>
  <c r="AG55" i="44"/>
  <c r="AH55" i="44"/>
  <c r="AI55" i="44"/>
  <c r="AJ55" i="44"/>
  <c r="AK55" i="44"/>
  <c r="AL55" i="44"/>
  <c r="AM55" i="44"/>
  <c r="AN55" i="44"/>
  <c r="AO55" i="44"/>
  <c r="AP55" i="44"/>
  <c r="AQ55" i="44"/>
  <c r="AR55" i="44"/>
  <c r="AS55" i="44"/>
  <c r="AT55" i="44"/>
  <c r="AU55" i="44"/>
  <c r="AV55" i="44"/>
  <c r="AW55" i="44"/>
  <c r="AX55" i="44"/>
  <c r="AY55" i="44"/>
  <c r="AZ55" i="44"/>
  <c r="BA55" i="44"/>
  <c r="BB55" i="44"/>
  <c r="BC55" i="44"/>
  <c r="BD55" i="44"/>
  <c r="BE55" i="44"/>
  <c r="BF55" i="44"/>
  <c r="BG55" i="44"/>
  <c r="BH55" i="44"/>
  <c r="BI55" i="44"/>
  <c r="BJ55" i="44"/>
  <c r="BK55" i="44"/>
  <c r="BL55" i="44"/>
  <c r="BM55" i="44"/>
  <c r="BN55" i="44"/>
  <c r="BO55" i="44"/>
  <c r="BP55" i="44"/>
  <c r="BQ55" i="44"/>
  <c r="BR55" i="44"/>
  <c r="BS55" i="44"/>
  <c r="BT55" i="44"/>
  <c r="Q56" i="44"/>
  <c r="R56" i="44"/>
  <c r="S56" i="44"/>
  <c r="T56" i="44"/>
  <c r="U56" i="44"/>
  <c r="V56" i="44"/>
  <c r="W56" i="44"/>
  <c r="X56" i="44"/>
  <c r="Y56" i="44"/>
  <c r="Z56" i="44"/>
  <c r="AA56" i="44"/>
  <c r="AB56" i="44"/>
  <c r="AC56" i="44"/>
  <c r="AD56" i="44"/>
  <c r="AE56" i="44"/>
  <c r="AF56" i="44"/>
  <c r="AG56" i="44"/>
  <c r="AH56" i="44"/>
  <c r="AI56" i="44"/>
  <c r="AJ56" i="44"/>
  <c r="AK56" i="44"/>
  <c r="AL56" i="44"/>
  <c r="AM56" i="44"/>
  <c r="AN56" i="44"/>
  <c r="AO56" i="44"/>
  <c r="AP56" i="44"/>
  <c r="AQ56" i="44"/>
  <c r="AR56" i="44"/>
  <c r="AS56" i="44"/>
  <c r="AT56" i="44"/>
  <c r="AU56" i="44"/>
  <c r="AV56" i="44"/>
  <c r="AW56" i="44"/>
  <c r="AX56" i="44"/>
  <c r="AY56" i="44"/>
  <c r="AZ56" i="44"/>
  <c r="BA56" i="44"/>
  <c r="BB56" i="44"/>
  <c r="BC56" i="44"/>
  <c r="BD56" i="44"/>
  <c r="BE56" i="44"/>
  <c r="BF56" i="44"/>
  <c r="BG56" i="44"/>
  <c r="BH56" i="44"/>
  <c r="BI56" i="44"/>
  <c r="BJ56" i="44"/>
  <c r="BK56" i="44"/>
  <c r="BL56" i="44"/>
  <c r="BM56" i="44"/>
  <c r="BN56" i="44"/>
  <c r="BO56" i="44"/>
  <c r="BP56" i="44"/>
  <c r="BQ56" i="44"/>
  <c r="BR56" i="44"/>
  <c r="BS56" i="44"/>
  <c r="BT56" i="44"/>
  <c r="Q57" i="44"/>
  <c r="R57" i="44"/>
  <c r="S57" i="44"/>
  <c r="T57" i="44"/>
  <c r="U57" i="44"/>
  <c r="V57" i="44"/>
  <c r="W57" i="44"/>
  <c r="X57" i="44"/>
  <c r="Y57" i="44"/>
  <c r="Z57" i="44"/>
  <c r="AA57" i="44"/>
  <c r="AB57" i="44"/>
  <c r="AC57" i="44"/>
  <c r="AD57" i="44"/>
  <c r="AE57" i="44"/>
  <c r="AF57" i="44"/>
  <c r="AG57" i="44"/>
  <c r="AH57" i="44"/>
  <c r="AI57" i="44"/>
  <c r="AJ57" i="44"/>
  <c r="AK57" i="44"/>
  <c r="AL57" i="44"/>
  <c r="AM57" i="44"/>
  <c r="AN57" i="44"/>
  <c r="AO57" i="44"/>
  <c r="AP57" i="44"/>
  <c r="AQ57" i="44"/>
  <c r="AR57" i="44"/>
  <c r="AS57" i="44"/>
  <c r="AT57" i="44"/>
  <c r="AU57" i="44"/>
  <c r="AV57" i="44"/>
  <c r="AW57" i="44"/>
  <c r="AX57" i="44"/>
  <c r="AY57" i="44"/>
  <c r="AZ57" i="44"/>
  <c r="BA57" i="44"/>
  <c r="BB57" i="44"/>
  <c r="BC57" i="44"/>
  <c r="BD57" i="44"/>
  <c r="BE57" i="44"/>
  <c r="BF57" i="44"/>
  <c r="BG57" i="44"/>
  <c r="BH57" i="44"/>
  <c r="BI57" i="44"/>
  <c r="BJ57" i="44"/>
  <c r="BK57" i="44"/>
  <c r="BL57" i="44"/>
  <c r="BM57" i="44"/>
  <c r="BN57" i="44"/>
  <c r="BO57" i="44"/>
  <c r="BP57" i="44"/>
  <c r="BQ57" i="44"/>
  <c r="BR57" i="44"/>
  <c r="BS57" i="44"/>
  <c r="BT57" i="44"/>
  <c r="Q58" i="44"/>
  <c r="R58" i="44"/>
  <c r="S58" i="44"/>
  <c r="T58" i="44"/>
  <c r="U58" i="44"/>
  <c r="V58" i="44"/>
  <c r="W58" i="44"/>
  <c r="X58" i="44"/>
  <c r="Y58" i="44"/>
  <c r="Z58" i="44"/>
  <c r="AA58" i="44"/>
  <c r="AB58" i="44"/>
  <c r="AC58" i="44"/>
  <c r="AD58" i="44"/>
  <c r="AE58" i="44"/>
  <c r="AF58" i="44"/>
  <c r="AG58" i="44"/>
  <c r="AH58" i="44"/>
  <c r="AI58" i="44"/>
  <c r="AJ58" i="44"/>
  <c r="AK58" i="44"/>
  <c r="AL58" i="44"/>
  <c r="AM58" i="44"/>
  <c r="AN58" i="44"/>
  <c r="AO58" i="44"/>
  <c r="AP58" i="44"/>
  <c r="AQ58" i="44"/>
  <c r="AR58" i="44"/>
  <c r="AS58" i="44"/>
  <c r="AT58" i="44"/>
  <c r="AU58" i="44"/>
  <c r="AV58" i="44"/>
  <c r="AW58" i="44"/>
  <c r="AX58" i="44"/>
  <c r="AY58" i="44"/>
  <c r="AZ58" i="44"/>
  <c r="BA58" i="44"/>
  <c r="BB58" i="44"/>
  <c r="BC58" i="44"/>
  <c r="BD58" i="44"/>
  <c r="BE58" i="44"/>
  <c r="BF58" i="44"/>
  <c r="BG58" i="44"/>
  <c r="BH58" i="44"/>
  <c r="BI58" i="44"/>
  <c r="BJ58" i="44"/>
  <c r="BK58" i="44"/>
  <c r="BL58" i="44"/>
  <c r="BM58" i="44"/>
  <c r="BN58" i="44"/>
  <c r="BO58" i="44"/>
  <c r="BP58" i="44"/>
  <c r="BQ58" i="44"/>
  <c r="BR58" i="44"/>
  <c r="BS58" i="44"/>
  <c r="BT58" i="44"/>
  <c r="Q59" i="44"/>
  <c r="R59" i="44"/>
  <c r="S59" i="44"/>
  <c r="T59" i="44"/>
  <c r="U59" i="44"/>
  <c r="V59" i="44"/>
  <c r="W59" i="44"/>
  <c r="X59" i="44"/>
  <c r="Y59" i="44"/>
  <c r="Z59" i="44"/>
  <c r="AA59" i="44"/>
  <c r="AB59" i="44"/>
  <c r="AC59" i="44"/>
  <c r="AD59" i="44"/>
  <c r="AE59" i="44"/>
  <c r="AF59" i="44"/>
  <c r="AG59" i="44"/>
  <c r="AH59" i="44"/>
  <c r="AI59" i="44"/>
  <c r="AJ59" i="44"/>
  <c r="AK59" i="44"/>
  <c r="AL59" i="44"/>
  <c r="AM59" i="44"/>
  <c r="AN59" i="44"/>
  <c r="AO59" i="44"/>
  <c r="AP59" i="44"/>
  <c r="AQ59" i="44"/>
  <c r="AR59" i="44"/>
  <c r="AS59" i="44"/>
  <c r="AT59" i="44"/>
  <c r="AU59" i="44"/>
  <c r="AV59" i="44"/>
  <c r="AW59" i="44"/>
  <c r="AX59" i="44"/>
  <c r="AY59" i="44"/>
  <c r="AZ59" i="44"/>
  <c r="BA59" i="44"/>
  <c r="BB59" i="44"/>
  <c r="BC59" i="44"/>
  <c r="BD59" i="44"/>
  <c r="BE59" i="44"/>
  <c r="BF59" i="44"/>
  <c r="BG59" i="44"/>
  <c r="BH59" i="44"/>
  <c r="BI59" i="44"/>
  <c r="BJ59" i="44"/>
  <c r="BK59" i="44"/>
  <c r="BL59" i="44"/>
  <c r="BM59" i="44"/>
  <c r="BN59" i="44"/>
  <c r="BO59" i="44"/>
  <c r="BP59" i="44"/>
  <c r="BQ59" i="44"/>
  <c r="BR59" i="44"/>
  <c r="BS59" i="44"/>
  <c r="BT59" i="44"/>
  <c r="Q60" i="44"/>
  <c r="R60" i="44"/>
  <c r="S60" i="44"/>
  <c r="T60" i="44"/>
  <c r="U60" i="44"/>
  <c r="V60" i="44"/>
  <c r="W60" i="44"/>
  <c r="X60" i="44"/>
  <c r="Y60" i="44"/>
  <c r="Z60" i="44"/>
  <c r="AA60" i="44"/>
  <c r="AB60" i="44"/>
  <c r="AC60" i="44"/>
  <c r="AD60" i="44"/>
  <c r="AE60" i="44"/>
  <c r="AF60" i="44"/>
  <c r="AG60" i="44"/>
  <c r="AH60" i="44"/>
  <c r="AI60" i="44"/>
  <c r="AJ60" i="44"/>
  <c r="AK60" i="44"/>
  <c r="AL60" i="44"/>
  <c r="AM60" i="44"/>
  <c r="AN60" i="44"/>
  <c r="AO60" i="44"/>
  <c r="AP60" i="44"/>
  <c r="AQ60" i="44"/>
  <c r="AR60" i="44"/>
  <c r="AS60" i="44"/>
  <c r="AT60" i="44"/>
  <c r="AU60" i="44"/>
  <c r="AV60" i="44"/>
  <c r="AW60" i="44"/>
  <c r="AX60" i="44"/>
  <c r="AY60" i="44"/>
  <c r="AZ60" i="44"/>
  <c r="BA60" i="44"/>
  <c r="BB60" i="44"/>
  <c r="BC60" i="44"/>
  <c r="BD60" i="44"/>
  <c r="BE60" i="44"/>
  <c r="BF60" i="44"/>
  <c r="BG60" i="44"/>
  <c r="BH60" i="44"/>
  <c r="BI60" i="44"/>
  <c r="BJ60" i="44"/>
  <c r="BK60" i="44"/>
  <c r="BL60" i="44"/>
  <c r="BM60" i="44"/>
  <c r="BN60" i="44"/>
  <c r="BO60" i="44"/>
  <c r="BP60" i="44"/>
  <c r="BQ60" i="44"/>
  <c r="BR60" i="44"/>
  <c r="BS60" i="44"/>
  <c r="BT60" i="44"/>
  <c r="Q61" i="44"/>
  <c r="R61" i="44"/>
  <c r="S61" i="44"/>
  <c r="T61" i="44"/>
  <c r="U61" i="44"/>
  <c r="V61" i="44"/>
  <c r="W61" i="44"/>
  <c r="X61" i="44"/>
  <c r="Y61" i="44"/>
  <c r="Z61" i="44"/>
  <c r="AA61" i="44"/>
  <c r="AB61" i="44"/>
  <c r="AC61" i="44"/>
  <c r="AD61" i="44"/>
  <c r="AE61" i="44"/>
  <c r="AF61" i="44"/>
  <c r="AG61" i="44"/>
  <c r="AH61" i="44"/>
  <c r="AI61" i="44"/>
  <c r="AJ61" i="44"/>
  <c r="AK61" i="44"/>
  <c r="AL61" i="44"/>
  <c r="AM61" i="44"/>
  <c r="AN61" i="44"/>
  <c r="AO61" i="44"/>
  <c r="AP61" i="44"/>
  <c r="AQ61" i="44"/>
  <c r="AR61" i="44"/>
  <c r="AS61" i="44"/>
  <c r="AT61" i="44"/>
  <c r="AU61" i="44"/>
  <c r="AV61" i="44"/>
  <c r="AW61" i="44"/>
  <c r="AX61" i="44"/>
  <c r="AY61" i="44"/>
  <c r="AZ61" i="44"/>
  <c r="BA61" i="44"/>
  <c r="BB61" i="44"/>
  <c r="BC61" i="44"/>
  <c r="BD61" i="44"/>
  <c r="BE61" i="44"/>
  <c r="BF61" i="44"/>
  <c r="BG61" i="44"/>
  <c r="BH61" i="44"/>
  <c r="BI61" i="44"/>
  <c r="BJ61" i="44"/>
  <c r="BK61" i="44"/>
  <c r="BL61" i="44"/>
  <c r="BM61" i="44"/>
  <c r="BN61" i="44"/>
  <c r="BO61" i="44"/>
  <c r="BP61" i="44"/>
  <c r="BQ61" i="44"/>
  <c r="BR61" i="44"/>
  <c r="BS61" i="44"/>
  <c r="BT61" i="44"/>
  <c r="P9" i="44"/>
  <c r="P10" i="44"/>
  <c r="P11" i="44"/>
  <c r="P12" i="44"/>
  <c r="P13" i="44"/>
  <c r="P14" i="44"/>
  <c r="P15" i="44"/>
  <c r="P16" i="44"/>
  <c r="P17" i="44"/>
  <c r="P18" i="44"/>
  <c r="P19" i="44"/>
  <c r="P20" i="44"/>
  <c r="P21" i="44"/>
  <c r="P22" i="44"/>
  <c r="P23" i="44"/>
  <c r="P24" i="44"/>
  <c r="P25" i="44"/>
  <c r="P26" i="44"/>
  <c r="P27" i="44"/>
  <c r="P28" i="44"/>
  <c r="P29" i="44"/>
  <c r="P30" i="44"/>
  <c r="P31" i="44"/>
  <c r="P32" i="44"/>
  <c r="P33" i="44"/>
  <c r="P34" i="44"/>
  <c r="P35" i="44"/>
  <c r="P36" i="44"/>
  <c r="P37" i="44"/>
  <c r="P38" i="44"/>
  <c r="P39" i="44"/>
  <c r="P40" i="44"/>
  <c r="P41" i="44"/>
  <c r="P42" i="44"/>
  <c r="P43" i="44"/>
  <c r="P44" i="44"/>
  <c r="P45" i="44"/>
  <c r="P46" i="44"/>
  <c r="P47" i="44"/>
  <c r="P48" i="44"/>
  <c r="P49" i="44"/>
  <c r="P50" i="44"/>
  <c r="P51" i="44"/>
  <c r="P52" i="44"/>
  <c r="P53" i="44"/>
  <c r="P54" i="44"/>
  <c r="P55" i="44"/>
  <c r="P56" i="44"/>
  <c r="P57" i="44"/>
  <c r="P58" i="44"/>
  <c r="P59" i="44"/>
  <c r="P60" i="44"/>
  <c r="P61" i="44"/>
  <c r="P8" i="44"/>
  <c r="A52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J9" i="5"/>
  <c r="D6" i="9"/>
  <c r="E6" i="9"/>
  <c r="F6" i="9"/>
  <c r="G6" i="9"/>
  <c r="G7" i="9"/>
  <c r="G8" i="9"/>
  <c r="G9" i="9"/>
  <c r="G10" i="9"/>
  <c r="G11" i="9"/>
  <c r="G12" i="9"/>
  <c r="H6" i="9"/>
  <c r="I6" i="9"/>
  <c r="J6" i="9"/>
  <c r="K6" i="9"/>
  <c r="L6" i="9"/>
  <c r="M6" i="9"/>
  <c r="N6" i="9"/>
  <c r="O6" i="9"/>
  <c r="O7" i="9"/>
  <c r="O8" i="9"/>
  <c r="O9" i="9"/>
  <c r="O10" i="9"/>
  <c r="O11" i="9"/>
  <c r="O12" i="9"/>
  <c r="P6" i="9"/>
  <c r="Q6" i="9"/>
  <c r="R6" i="9"/>
  <c r="S6" i="9"/>
  <c r="T6" i="9"/>
  <c r="U6" i="9"/>
  <c r="V6" i="9"/>
  <c r="W6" i="9"/>
  <c r="X6" i="9"/>
  <c r="Y6" i="9"/>
  <c r="D7" i="9"/>
  <c r="E7" i="9"/>
  <c r="F7" i="9"/>
  <c r="H7" i="9"/>
  <c r="I7" i="9"/>
  <c r="J7" i="9"/>
  <c r="K7" i="9"/>
  <c r="L7" i="9"/>
  <c r="M7" i="9"/>
  <c r="N7" i="9"/>
  <c r="P7" i="9"/>
  <c r="Q7" i="9"/>
  <c r="R7" i="9"/>
  <c r="S7" i="9"/>
  <c r="T7" i="9"/>
  <c r="U7" i="9"/>
  <c r="V7" i="9"/>
  <c r="W7" i="9"/>
  <c r="X7" i="9"/>
  <c r="Y7" i="9"/>
  <c r="D8" i="9"/>
  <c r="E8" i="9"/>
  <c r="F8" i="9"/>
  <c r="H8" i="9"/>
  <c r="I8" i="9"/>
  <c r="J8" i="9"/>
  <c r="K8" i="9"/>
  <c r="L8" i="9"/>
  <c r="M8" i="9"/>
  <c r="N8" i="9"/>
  <c r="P8" i="9"/>
  <c r="Q8" i="9"/>
  <c r="R8" i="9"/>
  <c r="S8" i="9"/>
  <c r="T8" i="9"/>
  <c r="U8" i="9"/>
  <c r="V8" i="9"/>
  <c r="W8" i="9"/>
  <c r="X8" i="9"/>
  <c r="Y8" i="9"/>
  <c r="D9" i="9"/>
  <c r="E9" i="9"/>
  <c r="F9" i="9"/>
  <c r="H9" i="9"/>
  <c r="I9" i="9"/>
  <c r="J9" i="9"/>
  <c r="K9" i="9"/>
  <c r="L9" i="9"/>
  <c r="M9" i="9"/>
  <c r="N9" i="9"/>
  <c r="P9" i="9"/>
  <c r="Q9" i="9"/>
  <c r="R9" i="9"/>
  <c r="S9" i="9"/>
  <c r="T9" i="9"/>
  <c r="U9" i="9"/>
  <c r="V9" i="9"/>
  <c r="W9" i="9"/>
  <c r="X9" i="9"/>
  <c r="Y9" i="9"/>
  <c r="D10" i="9"/>
  <c r="E10" i="9"/>
  <c r="F10" i="9"/>
  <c r="H10" i="9"/>
  <c r="I10" i="9"/>
  <c r="J10" i="9"/>
  <c r="K10" i="9"/>
  <c r="L10" i="9"/>
  <c r="M10" i="9"/>
  <c r="N10" i="9"/>
  <c r="P10" i="9"/>
  <c r="Q10" i="9"/>
  <c r="R10" i="9"/>
  <c r="S10" i="9"/>
  <c r="T10" i="9"/>
  <c r="U10" i="9"/>
  <c r="V10" i="9"/>
  <c r="W10" i="9"/>
  <c r="X10" i="9"/>
  <c r="Y10" i="9"/>
  <c r="D11" i="9"/>
  <c r="E11" i="9"/>
  <c r="F11" i="9"/>
  <c r="H11" i="9"/>
  <c r="I11" i="9"/>
  <c r="J11" i="9"/>
  <c r="K11" i="9"/>
  <c r="L11" i="9"/>
  <c r="M11" i="9"/>
  <c r="N11" i="9"/>
  <c r="P11" i="9"/>
  <c r="Q11" i="9"/>
  <c r="R11" i="9"/>
  <c r="S11" i="9"/>
  <c r="T11" i="9"/>
  <c r="U11" i="9"/>
  <c r="V11" i="9"/>
  <c r="W11" i="9"/>
  <c r="X11" i="9"/>
  <c r="Y11" i="9"/>
  <c r="D12" i="9"/>
  <c r="E12" i="9"/>
  <c r="F12" i="9"/>
  <c r="H12" i="9"/>
  <c r="I12" i="9"/>
  <c r="J12" i="9"/>
  <c r="K12" i="9"/>
  <c r="L12" i="9"/>
  <c r="M12" i="9"/>
  <c r="N12" i="9"/>
  <c r="P12" i="9"/>
  <c r="Q12" i="9"/>
  <c r="R12" i="9"/>
  <c r="S12" i="9"/>
  <c r="T12" i="9"/>
  <c r="U12" i="9"/>
  <c r="V12" i="9"/>
  <c r="W12" i="9"/>
  <c r="X12" i="9"/>
  <c r="Y12" i="9"/>
  <c r="C7" i="9"/>
  <c r="C8" i="9"/>
  <c r="C9" i="9"/>
  <c r="C10" i="9"/>
  <c r="C11" i="9"/>
  <c r="C12" i="9"/>
  <c r="C6" i="9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D8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D9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J6" i="43" s="1"/>
  <c r="AK10" i="16"/>
  <c r="AL10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C7" i="16"/>
  <c r="C8" i="16"/>
  <c r="C9" i="16"/>
  <c r="C10" i="16"/>
  <c r="C11" i="16"/>
  <c r="C12" i="16"/>
  <c r="C6" i="16"/>
  <c r="K7" i="2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G58" i="5" s="1"/>
  <c r="BE56" i="5"/>
  <c r="A56" i="5" s="1"/>
  <c r="BE55" i="5"/>
  <c r="BD55" i="5"/>
  <c r="BE54" i="5"/>
  <c r="BD54" i="5"/>
  <c r="BC54" i="5"/>
  <c r="BE53" i="5"/>
  <c r="BD53" i="5"/>
  <c r="BC53" i="5"/>
  <c r="BB53" i="5"/>
  <c r="BE52" i="5"/>
  <c r="BD52" i="5"/>
  <c r="BC52" i="5"/>
  <c r="BB52" i="5"/>
  <c r="BA52" i="5"/>
  <c r="BE51" i="5"/>
  <c r="BD51" i="5"/>
  <c r="BC51" i="5"/>
  <c r="BB51" i="5"/>
  <c r="BA51" i="5"/>
  <c r="AZ51" i="5"/>
  <c r="BE50" i="5"/>
  <c r="BD50" i="5"/>
  <c r="BC50" i="5"/>
  <c r="BB50" i="5"/>
  <c r="BA50" i="5"/>
  <c r="AZ50" i="5"/>
  <c r="AY50" i="5"/>
  <c r="BE49" i="5"/>
  <c r="BD49" i="5"/>
  <c r="BC49" i="5"/>
  <c r="BB49" i="5"/>
  <c r="BA49" i="5"/>
  <c r="AZ49" i="5"/>
  <c r="AY49" i="5"/>
  <c r="AX49" i="5"/>
  <c r="BE48" i="5"/>
  <c r="BD48" i="5"/>
  <c r="BC48" i="5"/>
  <c r="BB48" i="5"/>
  <c r="BA48" i="5"/>
  <c r="AZ48" i="5"/>
  <c r="AY48" i="5"/>
  <c r="AX48" i="5"/>
  <c r="AW48" i="5"/>
  <c r="BE47" i="5"/>
  <c r="BD47" i="5"/>
  <c r="BC47" i="5"/>
  <c r="BB47" i="5"/>
  <c r="BA47" i="5"/>
  <c r="AZ47" i="5"/>
  <c r="AY47" i="5"/>
  <c r="AX47" i="5"/>
  <c r="AW47" i="5"/>
  <c r="AV47" i="5"/>
  <c r="BE46" i="5"/>
  <c r="BD46" i="5"/>
  <c r="BC46" i="5"/>
  <c r="BB46" i="5"/>
  <c r="BA46" i="5"/>
  <c r="AZ46" i="5"/>
  <c r="AY46" i="5"/>
  <c r="AX46" i="5"/>
  <c r="AW46" i="5"/>
  <c r="AV46" i="5"/>
  <c r="AU46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BE43" i="5"/>
  <c r="BD43" i="5"/>
  <c r="BC43" i="5"/>
  <c r="BB43" i="5"/>
  <c r="BA43" i="5"/>
  <c r="AZ43" i="5"/>
  <c r="AY43" i="5"/>
  <c r="AX43" i="5"/>
  <c r="AW43" i="5"/>
  <c r="AV43" i="5"/>
  <c r="AU43" i="5"/>
  <c r="AT43" i="5"/>
  <c r="AS43" i="5"/>
  <c r="AR43" i="5"/>
  <c r="BE42" i="5"/>
  <c r="BD42" i="5"/>
  <c r="BC42" i="5"/>
  <c r="BB42" i="5"/>
  <c r="BA42" i="5"/>
  <c r="AZ42" i="5"/>
  <c r="AY42" i="5"/>
  <c r="AX42" i="5"/>
  <c r="AW42" i="5"/>
  <c r="AV42" i="5"/>
  <c r="AU42" i="5"/>
  <c r="AT42" i="5"/>
  <c r="AS42" i="5"/>
  <c r="AR42" i="5"/>
  <c r="AQ42" i="5"/>
  <c r="BE41" i="5"/>
  <c r="BD41" i="5"/>
  <c r="BC41" i="5"/>
  <c r="BB41" i="5"/>
  <c r="BA41" i="5"/>
  <c r="AZ41" i="5"/>
  <c r="AY41" i="5"/>
  <c r="AX41" i="5"/>
  <c r="AW41" i="5"/>
  <c r="AV41" i="5"/>
  <c r="AU41" i="5"/>
  <c r="AT41" i="5"/>
  <c r="AS41" i="5"/>
  <c r="AR41" i="5"/>
  <c r="AQ41" i="5"/>
  <c r="AP41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N36" i="5"/>
  <c r="AM36" i="5"/>
  <c r="AL36" i="5"/>
  <c r="AK36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N35" i="5"/>
  <c r="AM35" i="5"/>
  <c r="AL35" i="5"/>
  <c r="AK35" i="5"/>
  <c r="AJ35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AM31" i="5"/>
  <c r="AL31" i="5"/>
  <c r="AK31" i="5"/>
  <c r="AJ31" i="5"/>
  <c r="AI31" i="5"/>
  <c r="AH31" i="5"/>
  <c r="AG31" i="5"/>
  <c r="AF31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BB1" i="1"/>
  <c r="BC1" i="1"/>
  <c r="BD1" i="1"/>
  <c r="BE1" i="1"/>
  <c r="BB2" i="1"/>
  <c r="BC2" i="1"/>
  <c r="BD2" i="1"/>
  <c r="BE2" i="1"/>
  <c r="AV1" i="1"/>
  <c r="AW1" i="1"/>
  <c r="AX1" i="1"/>
  <c r="AY1" i="1"/>
  <c r="AZ1" i="1"/>
  <c r="BA1" i="1"/>
  <c r="AV2" i="1"/>
  <c r="AW2" i="1"/>
  <c r="AX2" i="1"/>
  <c r="AY2" i="1"/>
  <c r="AZ2" i="1"/>
  <c r="BA2" i="1"/>
  <c r="BF2" i="1"/>
  <c r="BF1" i="1"/>
  <c r="P5" i="2"/>
  <c r="Q5" i="2"/>
  <c r="R5" i="2"/>
  <c r="S5" i="2" s="1"/>
  <c r="T5" i="2" s="1"/>
  <c r="U5" i="2" s="1"/>
  <c r="AT2" i="1"/>
  <c r="AS2" i="1"/>
  <c r="AR2" i="1"/>
  <c r="AP2" i="1"/>
  <c r="AN2" i="1"/>
  <c r="AU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AG27" i="16"/>
  <c r="T7" i="43" l="1"/>
  <c r="A55" i="5"/>
  <c r="A52" i="5"/>
  <c r="AH7" i="43"/>
  <c r="AJ27" i="9"/>
  <c r="AL7" i="43"/>
  <c r="AD27" i="9"/>
  <c r="A54" i="5"/>
  <c r="A48" i="5"/>
  <c r="A51" i="5"/>
  <c r="A49" i="5"/>
  <c r="A50" i="5"/>
  <c r="A53" i="5"/>
  <c r="B52" i="44"/>
  <c r="B66" i="44" s="1"/>
  <c r="AH6" i="43"/>
  <c r="AE6" i="43"/>
  <c r="AA27" i="16"/>
  <c r="AF27" i="16"/>
  <c r="AE27" i="16"/>
  <c r="AK6" i="43"/>
  <c r="AL27" i="9"/>
  <c r="AL6" i="43"/>
  <c r="AD27" i="16"/>
  <c r="AG6" i="43"/>
  <c r="AJ27" i="16"/>
  <c r="AB27" i="16"/>
  <c r="AF7" i="43"/>
  <c r="AH27" i="9"/>
  <c r="Q9" i="2"/>
  <c r="Q17" i="2"/>
  <c r="Q25" i="2"/>
  <c r="Q33" i="2"/>
  <c r="Q41" i="2"/>
  <c r="Q49" i="2"/>
  <c r="Q57" i="2"/>
  <c r="Q22" i="2"/>
  <c r="Q46" i="2"/>
  <c r="Q58" i="2"/>
  <c r="Q6" i="2"/>
  <c r="Q14" i="2"/>
  <c r="Q30" i="2"/>
  <c r="Q38" i="2"/>
  <c r="Q54" i="2"/>
  <c r="Q42" i="2"/>
  <c r="Q50" i="2"/>
  <c r="Q15" i="2"/>
  <c r="Q39" i="2"/>
  <c r="Q55" i="2"/>
  <c r="Q11" i="2"/>
  <c r="Q19" i="2"/>
  <c r="Q27" i="2"/>
  <c r="Q35" i="2"/>
  <c r="Q43" i="2"/>
  <c r="Q51" i="2"/>
  <c r="Q59" i="2"/>
  <c r="Q26" i="2"/>
  <c r="Q47" i="2"/>
  <c r="Q8" i="2"/>
  <c r="Q16" i="2"/>
  <c r="Q24" i="2"/>
  <c r="Q32" i="2"/>
  <c r="Q40" i="2"/>
  <c r="Q48" i="2"/>
  <c r="Q56" i="2"/>
  <c r="Q10" i="2"/>
  <c r="Q34" i="2"/>
  <c r="Q13" i="2"/>
  <c r="Q21" i="2"/>
  <c r="Q29" i="2"/>
  <c r="Q37" i="2"/>
  <c r="Q45" i="2"/>
  <c r="Q53" i="2"/>
  <c r="Q18" i="2"/>
  <c r="Q23" i="2"/>
  <c r="Q31" i="2"/>
  <c r="Q7" i="2"/>
  <c r="Q12" i="2"/>
  <c r="Q20" i="2"/>
  <c r="Q28" i="2"/>
  <c r="Q36" i="2"/>
  <c r="Q44" i="2"/>
  <c r="Q52" i="2"/>
  <c r="AC6" i="43"/>
  <c r="P6" i="2"/>
  <c r="P14" i="2"/>
  <c r="P22" i="2"/>
  <c r="P30" i="2"/>
  <c r="P38" i="2"/>
  <c r="P46" i="2"/>
  <c r="P54" i="2"/>
  <c r="P35" i="2"/>
  <c r="P43" i="2"/>
  <c r="P51" i="2"/>
  <c r="P59" i="2"/>
  <c r="P47" i="2"/>
  <c r="P12" i="2"/>
  <c r="P28" i="2"/>
  <c r="P11" i="2"/>
  <c r="P19" i="2"/>
  <c r="P27" i="2"/>
  <c r="P44" i="2"/>
  <c r="P8" i="2"/>
  <c r="P16" i="2"/>
  <c r="P24" i="2"/>
  <c r="P32" i="2"/>
  <c r="P40" i="2"/>
  <c r="P48" i="2"/>
  <c r="P56" i="2"/>
  <c r="P31" i="2"/>
  <c r="P55" i="2"/>
  <c r="P13" i="2"/>
  <c r="P21" i="2"/>
  <c r="P29" i="2"/>
  <c r="P37" i="2"/>
  <c r="P45" i="2"/>
  <c r="P53" i="2"/>
  <c r="P52" i="2"/>
  <c r="P10" i="2"/>
  <c r="P18" i="2"/>
  <c r="P26" i="2"/>
  <c r="P34" i="2"/>
  <c r="P42" i="2"/>
  <c r="P50" i="2"/>
  <c r="P58" i="2"/>
  <c r="P7" i="2"/>
  <c r="P15" i="2"/>
  <c r="P23" i="2"/>
  <c r="P39" i="2"/>
  <c r="P20" i="2"/>
  <c r="P36" i="2"/>
  <c r="P9" i="2"/>
  <c r="P17" i="2"/>
  <c r="P25" i="2"/>
  <c r="P33" i="2"/>
  <c r="P41" i="2"/>
  <c r="P49" i="2"/>
  <c r="P57" i="2"/>
  <c r="R12" i="2"/>
  <c r="R20" i="2"/>
  <c r="R28" i="2"/>
  <c r="R36" i="2"/>
  <c r="R44" i="2"/>
  <c r="R52" i="2"/>
  <c r="R58" i="2"/>
  <c r="R9" i="2"/>
  <c r="R17" i="2"/>
  <c r="R25" i="2"/>
  <c r="R33" i="2"/>
  <c r="R41" i="2"/>
  <c r="R49" i="2"/>
  <c r="R57" i="2"/>
  <c r="R53" i="2"/>
  <c r="R10" i="2"/>
  <c r="R18" i="2"/>
  <c r="R26" i="2"/>
  <c r="R50" i="2"/>
  <c r="R6" i="2"/>
  <c r="R14" i="2"/>
  <c r="R22" i="2"/>
  <c r="R30" i="2"/>
  <c r="R38" i="2"/>
  <c r="R46" i="2"/>
  <c r="R54" i="2"/>
  <c r="R59" i="2"/>
  <c r="R21" i="2"/>
  <c r="R37" i="2"/>
  <c r="R45" i="2"/>
  <c r="R34" i="2"/>
  <c r="R11" i="2"/>
  <c r="R19" i="2"/>
  <c r="R27" i="2"/>
  <c r="R35" i="2"/>
  <c r="R43" i="2"/>
  <c r="R51" i="2"/>
  <c r="R8" i="2"/>
  <c r="R16" i="2"/>
  <c r="R24" i="2"/>
  <c r="R32" i="2"/>
  <c r="R40" i="2"/>
  <c r="R48" i="2"/>
  <c r="R56" i="2"/>
  <c r="R13" i="2"/>
  <c r="R29" i="2"/>
  <c r="R42" i="2"/>
  <c r="R7" i="2"/>
  <c r="R15" i="2"/>
  <c r="R23" i="2"/>
  <c r="R31" i="2"/>
  <c r="R39" i="2"/>
  <c r="R47" i="2"/>
  <c r="R55" i="2"/>
  <c r="S7" i="2"/>
  <c r="S15" i="2"/>
  <c r="S23" i="2"/>
  <c r="S31" i="2"/>
  <c r="S39" i="2"/>
  <c r="S47" i="2"/>
  <c r="S55" i="2"/>
  <c r="S37" i="2"/>
  <c r="S45" i="2"/>
  <c r="S12" i="2"/>
  <c r="S20" i="2"/>
  <c r="S28" i="2"/>
  <c r="S36" i="2"/>
  <c r="S44" i="2"/>
  <c r="S52" i="2"/>
  <c r="S21" i="2"/>
  <c r="S9" i="2"/>
  <c r="S17" i="2"/>
  <c r="S25" i="2"/>
  <c r="S33" i="2"/>
  <c r="S41" i="2"/>
  <c r="S49" i="2"/>
  <c r="S57" i="2"/>
  <c r="S8" i="2"/>
  <c r="S13" i="2"/>
  <c r="S6" i="2"/>
  <c r="S14" i="2"/>
  <c r="S22" i="2"/>
  <c r="S30" i="2"/>
  <c r="S38" i="2"/>
  <c r="S46" i="2"/>
  <c r="S54" i="2"/>
  <c r="S40" i="2"/>
  <c r="S58" i="2"/>
  <c r="S11" i="2"/>
  <c r="S19" i="2"/>
  <c r="S27" i="2"/>
  <c r="S35" i="2"/>
  <c r="S43" i="2"/>
  <c r="S51" i="2"/>
  <c r="S59" i="2"/>
  <c r="S16" i="2"/>
  <c r="S24" i="2"/>
  <c r="S32" i="2"/>
  <c r="S48" i="2"/>
  <c r="S56" i="2"/>
  <c r="S29" i="2"/>
  <c r="S53" i="2"/>
  <c r="S10" i="2"/>
  <c r="S18" i="2"/>
  <c r="S26" i="2"/>
  <c r="S34" i="2"/>
  <c r="S42" i="2"/>
  <c r="S50" i="2"/>
  <c r="AI27" i="16"/>
  <c r="X27" i="9"/>
  <c r="AH27" i="16"/>
  <c r="T10" i="2"/>
  <c r="T18" i="2"/>
  <c r="T26" i="2"/>
  <c r="T34" i="2"/>
  <c r="T42" i="2"/>
  <c r="T50" i="2"/>
  <c r="T58" i="2"/>
  <c r="T31" i="2"/>
  <c r="T39" i="2"/>
  <c r="T47" i="2"/>
  <c r="T55" i="2"/>
  <c r="T7" i="2"/>
  <c r="T15" i="2"/>
  <c r="T23" i="2"/>
  <c r="T59" i="2"/>
  <c r="T32" i="2"/>
  <c r="T12" i="2"/>
  <c r="T20" i="2"/>
  <c r="T28" i="2"/>
  <c r="T36" i="2"/>
  <c r="T44" i="2"/>
  <c r="T52" i="2"/>
  <c r="T24" i="2"/>
  <c r="T40" i="2"/>
  <c r="T56" i="2"/>
  <c r="T9" i="2"/>
  <c r="T17" i="2"/>
  <c r="T25" i="2"/>
  <c r="T33" i="2"/>
  <c r="T41" i="2"/>
  <c r="T49" i="2"/>
  <c r="T57" i="2"/>
  <c r="T27" i="2"/>
  <c r="T6" i="2"/>
  <c r="T14" i="2"/>
  <c r="T22" i="2"/>
  <c r="T30" i="2"/>
  <c r="T38" i="2"/>
  <c r="T46" i="2"/>
  <c r="T54" i="2"/>
  <c r="T11" i="2"/>
  <c r="T19" i="2"/>
  <c r="T35" i="2"/>
  <c r="T43" i="2"/>
  <c r="T51" i="2"/>
  <c r="T8" i="2"/>
  <c r="T16" i="2"/>
  <c r="T48" i="2"/>
  <c r="T13" i="2"/>
  <c r="T21" i="2"/>
  <c r="T29" i="2"/>
  <c r="T37" i="2"/>
  <c r="T45" i="2"/>
  <c r="T53" i="2"/>
  <c r="W27" i="9"/>
  <c r="U8" i="2"/>
  <c r="U10" i="2"/>
  <c r="U14" i="2"/>
  <c r="U18" i="2"/>
  <c r="U22" i="2"/>
  <c r="U24" i="2"/>
  <c r="U28" i="2"/>
  <c r="U30" i="2"/>
  <c r="U34" i="2"/>
  <c r="U38" i="2"/>
  <c r="U42" i="2"/>
  <c r="U44" i="2"/>
  <c r="U48" i="2"/>
  <c r="U50" i="2"/>
  <c r="U54" i="2"/>
  <c r="U58" i="2"/>
  <c r="U17" i="2"/>
  <c r="U25" i="2"/>
  <c r="U33" i="2"/>
  <c r="U37" i="2"/>
  <c r="U43" i="2"/>
  <c r="U49" i="2"/>
  <c r="U57" i="2"/>
  <c r="U6" i="2"/>
  <c r="U12" i="2"/>
  <c r="U16" i="2"/>
  <c r="U20" i="2"/>
  <c r="U26" i="2"/>
  <c r="U32" i="2"/>
  <c r="U36" i="2"/>
  <c r="U40" i="2"/>
  <c r="U46" i="2"/>
  <c r="U52" i="2"/>
  <c r="U56" i="2"/>
  <c r="U11" i="2"/>
  <c r="U21" i="2"/>
  <c r="U27" i="2"/>
  <c r="U31" i="2"/>
  <c r="U39" i="2"/>
  <c r="U45" i="2"/>
  <c r="U51" i="2"/>
  <c r="U55" i="2"/>
  <c r="U7" i="2"/>
  <c r="U9" i="2"/>
  <c r="U13" i="2"/>
  <c r="U15" i="2"/>
  <c r="U19" i="2"/>
  <c r="U23" i="2"/>
  <c r="U29" i="2"/>
  <c r="U35" i="2"/>
  <c r="U41" i="2"/>
  <c r="U47" i="2"/>
  <c r="U53" i="2"/>
  <c r="U59" i="2"/>
  <c r="AA6" i="43"/>
  <c r="AF27" i="9"/>
  <c r="AE27" i="9"/>
  <c r="AJ7" i="43"/>
  <c r="AK7" i="43"/>
  <c r="AI7" i="43"/>
  <c r="Z27" i="9"/>
  <c r="AA27" i="9"/>
  <c r="AA7" i="43"/>
  <c r="AK27" i="9"/>
  <c r="AG7" i="43"/>
  <c r="AD7" i="43"/>
  <c r="AI27" i="9"/>
  <c r="AE7" i="43"/>
  <c r="AC27" i="9"/>
  <c r="AB27" i="9"/>
  <c r="Z6" i="43"/>
  <c r="Z27" i="16"/>
  <c r="Y27" i="16"/>
  <c r="Y6" i="43"/>
  <c r="W6" i="43"/>
  <c r="X6" i="43"/>
  <c r="U27" i="16"/>
  <c r="U6" i="43"/>
  <c r="O41" i="2"/>
  <c r="O23" i="2"/>
  <c r="O18" i="2"/>
  <c r="O37" i="2"/>
  <c r="O33" i="2"/>
  <c r="O48" i="2"/>
  <c r="O39" i="2"/>
  <c r="O35" i="2"/>
  <c r="O31" i="2"/>
  <c r="O21" i="2"/>
  <c r="O14" i="2"/>
  <c r="O47" i="2"/>
  <c r="O38" i="2"/>
  <c r="O34" i="2"/>
  <c r="O27" i="2"/>
  <c r="O19" i="2"/>
  <c r="O11" i="2"/>
  <c r="O40" i="2"/>
  <c r="O36" i="2"/>
  <c r="O32" i="2"/>
  <c r="O22" i="2"/>
  <c r="O17" i="2"/>
  <c r="O7" i="2"/>
  <c r="K66" i="2" s="1"/>
  <c r="O13" i="2"/>
  <c r="O45" i="2"/>
  <c r="O15" i="2"/>
  <c r="O9" i="2"/>
  <c r="O42" i="2"/>
  <c r="O24" i="2"/>
  <c r="O20" i="2"/>
  <c r="O16" i="2"/>
  <c r="O12" i="2"/>
  <c r="O46" i="2"/>
  <c r="O28" i="2"/>
  <c r="O50" i="2"/>
  <c r="O29" i="2"/>
  <c r="O53" i="2"/>
  <c r="O8" i="2"/>
  <c r="O44" i="2"/>
  <c r="O26" i="2"/>
  <c r="V6" i="43"/>
  <c r="O10" i="2"/>
  <c r="O6" i="2"/>
  <c r="O43" i="2"/>
  <c r="O30" i="2"/>
  <c r="O25" i="2"/>
  <c r="O49" i="2"/>
  <c r="O52" i="2"/>
  <c r="O55" i="2"/>
  <c r="O57" i="2"/>
  <c r="O59" i="2"/>
  <c r="M72" i="2" s="1"/>
  <c r="M58" i="2" s="1"/>
  <c r="O51" i="2"/>
  <c r="O54" i="2"/>
  <c r="O56" i="2"/>
  <c r="T27" i="16"/>
  <c r="R27" i="16"/>
  <c r="S27" i="16"/>
  <c r="S6" i="43"/>
  <c r="P6" i="43"/>
  <c r="Q6" i="43"/>
  <c r="Q27" i="16"/>
  <c r="N6" i="43"/>
  <c r="N27" i="16"/>
  <c r="O27" i="16"/>
  <c r="O6" i="43"/>
  <c r="L27" i="16"/>
  <c r="L6" i="43"/>
  <c r="M27" i="16"/>
  <c r="K27" i="16"/>
  <c r="K6" i="43"/>
  <c r="J6" i="43"/>
  <c r="H27" i="16"/>
  <c r="H6" i="43"/>
  <c r="I27" i="16"/>
  <c r="G27" i="16"/>
  <c r="G6" i="43"/>
  <c r="E27" i="16"/>
  <c r="F27" i="16"/>
  <c r="F6" i="43"/>
  <c r="D27" i="16"/>
  <c r="C27" i="16"/>
  <c r="C6" i="43"/>
  <c r="AC7" i="43"/>
  <c r="AG27" i="9"/>
  <c r="AB7" i="43"/>
  <c r="Z7" i="43"/>
  <c r="K7" i="43"/>
  <c r="J27" i="9"/>
  <c r="D27" i="9"/>
  <c r="K27" i="9"/>
  <c r="T27" i="9"/>
  <c r="P7" i="43"/>
  <c r="N7" i="43"/>
  <c r="P27" i="9"/>
  <c r="F7" i="43"/>
  <c r="M7" i="43"/>
  <c r="F27" i="9"/>
  <c r="A46" i="5"/>
  <c r="H58" i="5"/>
  <c r="X7" i="43"/>
  <c r="C27" i="9"/>
  <c r="A25" i="5"/>
  <c r="A26" i="5"/>
  <c r="A30" i="5"/>
  <c r="A35" i="5"/>
  <c r="A36" i="5"/>
  <c r="H7" i="43"/>
  <c r="U7" i="43"/>
  <c r="Q7" i="43"/>
  <c r="E7" i="43"/>
  <c r="W7" i="43"/>
  <c r="S27" i="9"/>
  <c r="N27" i="9"/>
  <c r="J7" i="43"/>
  <c r="A27" i="5"/>
  <c r="A28" i="5"/>
  <c r="A29" i="5"/>
  <c r="A31" i="5"/>
  <c r="A32" i="5"/>
  <c r="A33" i="5"/>
  <c r="A34" i="5"/>
  <c r="A37" i="5"/>
  <c r="A38" i="5"/>
  <c r="A39" i="5"/>
  <c r="A40" i="5"/>
  <c r="A41" i="5"/>
  <c r="A44" i="5"/>
  <c r="BA58" i="5"/>
  <c r="AE58" i="5"/>
  <c r="AT58" i="5"/>
  <c r="A42" i="5"/>
  <c r="A43" i="5"/>
  <c r="A45" i="5"/>
  <c r="A47" i="5"/>
  <c r="L58" i="5"/>
  <c r="AR58" i="5"/>
  <c r="A14" i="5"/>
  <c r="A6" i="5"/>
  <c r="U27" i="9"/>
  <c r="L27" i="9"/>
  <c r="Y7" i="43"/>
  <c r="S7" i="43"/>
  <c r="E27" i="9"/>
  <c r="H27" i="9"/>
  <c r="Q27" i="9"/>
  <c r="Y27" i="9"/>
  <c r="L7" i="43"/>
  <c r="U58" i="5"/>
  <c r="AK58" i="5"/>
  <c r="A15" i="5"/>
  <c r="A16" i="5"/>
  <c r="N58" i="5"/>
  <c r="A7" i="5"/>
  <c r="AH58" i="5"/>
  <c r="A8" i="5"/>
  <c r="M58" i="5"/>
  <c r="Q58" i="5"/>
  <c r="AC58" i="5"/>
  <c r="AG58" i="5"/>
  <c r="AD58" i="5"/>
  <c r="I58" i="5"/>
  <c r="K58" i="5"/>
  <c r="O58" i="5"/>
  <c r="S58" i="5"/>
  <c r="W58" i="5"/>
  <c r="AA58" i="5"/>
  <c r="AI58" i="5"/>
  <c r="AM58" i="5"/>
  <c r="AQ58" i="5"/>
  <c r="AU58" i="5"/>
  <c r="AY58" i="5"/>
  <c r="BC58" i="5"/>
  <c r="R58" i="5"/>
  <c r="AX58" i="5"/>
  <c r="A9" i="5"/>
  <c r="A10" i="5"/>
  <c r="X58" i="5"/>
  <c r="AB58" i="5"/>
  <c r="AN58" i="5"/>
  <c r="BD58" i="5"/>
  <c r="A11" i="5"/>
  <c r="A12" i="5"/>
  <c r="Y58" i="5"/>
  <c r="AO58" i="5"/>
  <c r="AS58" i="5"/>
  <c r="AW58" i="5"/>
  <c r="BE58" i="5"/>
  <c r="A13" i="5"/>
  <c r="A17" i="5"/>
  <c r="A18" i="5"/>
  <c r="A19" i="5"/>
  <c r="A20" i="5"/>
  <c r="A21" i="5"/>
  <c r="A22" i="5"/>
  <c r="A23" i="5"/>
  <c r="A24" i="5"/>
  <c r="P58" i="5"/>
  <c r="T58" i="5"/>
  <c r="AF58" i="5"/>
  <c r="AJ58" i="5"/>
  <c r="AV58" i="5"/>
  <c r="AZ58" i="5"/>
  <c r="G27" i="9"/>
  <c r="D7" i="43"/>
  <c r="O27" i="9"/>
  <c r="M27" i="9"/>
  <c r="I27" i="9"/>
  <c r="C7" i="43"/>
  <c r="V7" i="43"/>
  <c r="R27" i="9"/>
  <c r="J58" i="5"/>
  <c r="V58" i="5"/>
  <c r="Z58" i="5"/>
  <c r="AL58" i="5"/>
  <c r="AP58" i="5"/>
  <c r="BB58" i="5"/>
  <c r="X27" i="16"/>
  <c r="G7" i="43"/>
  <c r="V27" i="9"/>
  <c r="O7" i="43"/>
  <c r="I7" i="43"/>
  <c r="R7" i="43"/>
  <c r="AD6" i="43"/>
  <c r="E6" i="43"/>
  <c r="J27" i="16"/>
  <c r="P27" i="16"/>
  <c r="V27" i="16"/>
  <c r="AI6" i="43"/>
  <c r="AC27" i="16"/>
  <c r="AL27" i="16"/>
  <c r="W27" i="16"/>
  <c r="AF6" i="43"/>
  <c r="AB6" i="43"/>
  <c r="AK27" i="16"/>
  <c r="D6" i="43"/>
  <c r="I6" i="43"/>
  <c r="M6" i="43"/>
  <c r="T6" i="43"/>
  <c r="R6" i="43"/>
  <c r="B128" i="44" l="1"/>
  <c r="B157" i="44"/>
  <c r="B82" i="44"/>
  <c r="B154" i="44"/>
  <c r="B76" i="44"/>
  <c r="B96" i="44"/>
  <c r="B159" i="44"/>
  <c r="B130" i="44"/>
  <c r="B56" i="44"/>
  <c r="B164" i="44"/>
  <c r="B144" i="44"/>
  <c r="B137" i="44"/>
  <c r="B134" i="44"/>
  <c r="B55" i="44"/>
  <c r="C55" i="44" s="1"/>
  <c r="B156" i="44"/>
  <c r="B175" i="44"/>
  <c r="B72" i="44"/>
  <c r="B162" i="44"/>
  <c r="B101" i="44"/>
  <c r="B169" i="44"/>
  <c r="B88" i="44"/>
  <c r="B61" i="44"/>
  <c r="B114" i="44"/>
  <c r="B140" i="44"/>
  <c r="B75" i="44"/>
  <c r="G3" i="44"/>
  <c r="B87" i="44"/>
  <c r="B65" i="44"/>
  <c r="B146" i="44"/>
  <c r="B153" i="44"/>
  <c r="B108" i="44"/>
  <c r="B90" i="44"/>
  <c r="B68" i="44"/>
  <c r="B57" i="44"/>
  <c r="B99" i="44"/>
  <c r="B77" i="44"/>
  <c r="B150" i="44"/>
  <c r="B172" i="44"/>
  <c r="B107" i="44"/>
  <c r="B78" i="44"/>
  <c r="B119" i="44"/>
  <c r="B97" i="44"/>
  <c r="B155" i="44"/>
  <c r="B174" i="44"/>
  <c r="B67" i="44"/>
  <c r="B58" i="44"/>
  <c r="B166" i="44"/>
  <c r="B63" i="44"/>
  <c r="B83" i="44"/>
  <c r="B79" i="44"/>
  <c r="B84" i="44"/>
  <c r="B74" i="44"/>
  <c r="B104" i="44"/>
  <c r="B95" i="44"/>
  <c r="B100" i="44"/>
  <c r="B73" i="44"/>
  <c r="B102" i="44"/>
  <c r="B115" i="44"/>
  <c r="B120" i="44"/>
  <c r="B93" i="44"/>
  <c r="B71" i="44"/>
  <c r="B170" i="44"/>
  <c r="B139" i="44"/>
  <c r="B85" i="44"/>
  <c r="B151" i="44"/>
  <c r="B129" i="44"/>
  <c r="B160" i="44"/>
  <c r="B70" i="44"/>
  <c r="B122" i="44"/>
  <c r="B62" i="44"/>
  <c r="B69" i="44"/>
  <c r="B110" i="44"/>
  <c r="B94" i="44"/>
  <c r="B111" i="44"/>
  <c r="B116" i="44"/>
  <c r="B89" i="44"/>
  <c r="B126" i="44"/>
  <c r="B131" i="44"/>
  <c r="B136" i="44"/>
  <c r="B109" i="44"/>
  <c r="B103" i="44"/>
  <c r="B81" i="44"/>
  <c r="B171" i="44"/>
  <c r="B117" i="44"/>
  <c r="B60" i="44"/>
  <c r="B161" i="44"/>
  <c r="B133" i="44"/>
  <c r="B127" i="44"/>
  <c r="B106" i="44"/>
  <c r="B118" i="44"/>
  <c r="B132" i="44"/>
  <c r="B105" i="44"/>
  <c r="B142" i="44"/>
  <c r="B147" i="44"/>
  <c r="B152" i="44"/>
  <c r="B125" i="44"/>
  <c r="B135" i="44"/>
  <c r="B113" i="44"/>
  <c r="B80" i="44"/>
  <c r="B149" i="44"/>
  <c r="B92" i="44"/>
  <c r="B64" i="44"/>
  <c r="B138" i="44"/>
  <c r="B143" i="44"/>
  <c r="B148" i="44"/>
  <c r="B121" i="44"/>
  <c r="B158" i="44"/>
  <c r="B163" i="44"/>
  <c r="B168" i="44"/>
  <c r="B141" i="44"/>
  <c r="B167" i="44"/>
  <c r="B145" i="44"/>
  <c r="B112" i="44"/>
  <c r="B86" i="44"/>
  <c r="B124" i="44"/>
  <c r="B123" i="44"/>
  <c r="B173" i="44"/>
  <c r="B59" i="44"/>
  <c r="B91" i="44"/>
  <c r="B98" i="44"/>
  <c r="B165" i="44"/>
  <c r="M66" i="2"/>
  <c r="M65" i="2"/>
  <c r="M37" i="2" s="1"/>
  <c r="K62" i="2"/>
  <c r="K32" i="2" s="1"/>
  <c r="J62" i="2"/>
  <c r="J33" i="2" s="1"/>
  <c r="M62" i="2"/>
  <c r="M20" i="2" s="1"/>
  <c r="L64" i="2"/>
  <c r="L38" i="2" s="1"/>
  <c r="L62" i="2"/>
  <c r="L24" i="2" s="1"/>
  <c r="M69" i="2"/>
  <c r="M53" i="2" s="1"/>
  <c r="L69" i="2"/>
  <c r="L53" i="2" s="1"/>
  <c r="M67" i="2"/>
  <c r="M43" i="2" s="1"/>
  <c r="K63" i="2"/>
  <c r="K43" i="2" s="1"/>
  <c r="L67" i="2"/>
  <c r="L43" i="2" s="1"/>
  <c r="J63" i="2"/>
  <c r="J43" i="2" s="1"/>
  <c r="K68" i="2"/>
  <c r="K25" i="2" s="1"/>
  <c r="J68" i="2"/>
  <c r="J30" i="2" s="1"/>
  <c r="M63" i="2"/>
  <c r="L63" i="2"/>
  <c r="L30" i="2" s="1"/>
  <c r="M71" i="2"/>
  <c r="M56" i="2" s="1"/>
  <c r="L71" i="2"/>
  <c r="L57" i="2" s="1"/>
  <c r="K61" i="2"/>
  <c r="K59" i="2" s="1"/>
  <c r="J61" i="2"/>
  <c r="M59" i="2"/>
  <c r="M68" i="2"/>
  <c r="M50" i="2" s="1"/>
  <c r="L68" i="2"/>
  <c r="L50" i="2" s="1"/>
  <c r="J64" i="2"/>
  <c r="J10" i="2" s="1"/>
  <c r="M61" i="2"/>
  <c r="M6" i="2" s="1"/>
  <c r="K65" i="2"/>
  <c r="L61" i="2"/>
  <c r="L72" i="2"/>
  <c r="L58" i="2" s="1"/>
  <c r="M70" i="2"/>
  <c r="M55" i="2" s="1"/>
  <c r="L70" i="2"/>
  <c r="L55" i="2" s="1"/>
  <c r="K67" i="2"/>
  <c r="K49" i="2" s="1"/>
  <c r="J67" i="2"/>
  <c r="J49" i="2" s="1"/>
  <c r="C56" i="44" l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M40" i="2"/>
  <c r="M36" i="2"/>
  <c r="M34" i="2"/>
  <c r="J40" i="2"/>
  <c r="J32" i="2"/>
  <c r="M35" i="2"/>
  <c r="M39" i="2"/>
  <c r="M41" i="2"/>
  <c r="M38" i="2"/>
  <c r="J27" i="2"/>
  <c r="J41" i="2"/>
  <c r="K41" i="2"/>
  <c r="M21" i="2"/>
  <c r="M23" i="2"/>
  <c r="M22" i="2"/>
  <c r="M24" i="2"/>
  <c r="L23" i="2"/>
  <c r="L20" i="2"/>
  <c r="L21" i="2"/>
  <c r="L22" i="2"/>
  <c r="L39" i="2"/>
  <c r="K33" i="2"/>
  <c r="K27" i="2"/>
  <c r="L35" i="2"/>
  <c r="L36" i="2"/>
  <c r="L41" i="2"/>
  <c r="K40" i="2"/>
  <c r="L7" i="2"/>
  <c r="L37" i="2"/>
  <c r="L40" i="2"/>
  <c r="L34" i="2"/>
  <c r="L56" i="2"/>
  <c r="J57" i="2"/>
  <c r="M57" i="2"/>
  <c r="L52" i="2"/>
  <c r="J6" i="2"/>
  <c r="L25" i="2"/>
  <c r="J54" i="2"/>
  <c r="L59" i="2"/>
  <c r="J25" i="2"/>
  <c r="K26" i="2"/>
  <c r="K29" i="2"/>
  <c r="K28" i="2"/>
  <c r="K45" i="2"/>
  <c r="K44" i="2"/>
  <c r="K42" i="2"/>
  <c r="K46" i="2"/>
  <c r="J52" i="2"/>
  <c r="J55" i="2"/>
  <c r="K23" i="2"/>
  <c r="K47" i="2"/>
  <c r="K39" i="2"/>
  <c r="K20" i="2"/>
  <c r="K35" i="2"/>
  <c r="K37" i="2"/>
  <c r="K24" i="2"/>
  <c r="K21" i="2"/>
  <c r="K34" i="2"/>
  <c r="K36" i="2"/>
  <c r="K48" i="2"/>
  <c r="K38" i="2"/>
  <c r="K22" i="2"/>
  <c r="K19" i="2"/>
  <c r="L54" i="2"/>
  <c r="K50" i="2"/>
  <c r="K11" i="2"/>
  <c r="K53" i="2"/>
  <c r="K9" i="2"/>
  <c r="K13" i="2"/>
  <c r="K8" i="2"/>
  <c r="K12" i="2"/>
  <c r="K31" i="2"/>
  <c r="K58" i="2"/>
  <c r="J31" i="2"/>
  <c r="J53" i="2"/>
  <c r="J50" i="2"/>
  <c r="J9" i="2"/>
  <c r="J11" i="2"/>
  <c r="J13" i="2"/>
  <c r="J7" i="2"/>
  <c r="J8" i="2"/>
  <c r="J12" i="2"/>
  <c r="J58" i="2"/>
  <c r="J14" i="2"/>
  <c r="J18" i="2"/>
  <c r="J16" i="2"/>
  <c r="J17" i="2"/>
  <c r="J15" i="2"/>
  <c r="M28" i="2"/>
  <c r="M32" i="2"/>
  <c r="M29" i="2"/>
  <c r="M33" i="2"/>
  <c r="M27" i="2"/>
  <c r="M31" i="2"/>
  <c r="M26" i="2"/>
  <c r="M44" i="2"/>
  <c r="M48" i="2"/>
  <c r="M45" i="2"/>
  <c r="M42" i="2"/>
  <c r="M46" i="2"/>
  <c r="M47" i="2"/>
  <c r="M52" i="2"/>
  <c r="K51" i="2"/>
  <c r="M10" i="2"/>
  <c r="L14" i="2"/>
  <c r="L18" i="2"/>
  <c r="L11" i="2"/>
  <c r="L15" i="2"/>
  <c r="L19" i="2"/>
  <c r="L8" i="2"/>
  <c r="L12" i="2"/>
  <c r="L16" i="2"/>
  <c r="L9" i="2"/>
  <c r="L13" i="2"/>
  <c r="L17" i="2"/>
  <c r="M54" i="2"/>
  <c r="J19" i="2"/>
  <c r="J47" i="2"/>
  <c r="J36" i="2"/>
  <c r="J48" i="2"/>
  <c r="J38" i="2"/>
  <c r="J21" i="2"/>
  <c r="J34" i="2"/>
  <c r="J23" i="2"/>
  <c r="J22" i="2"/>
  <c r="J20" i="2"/>
  <c r="J39" i="2"/>
  <c r="J37" i="2"/>
  <c r="J35" i="2"/>
  <c r="J24" i="2"/>
  <c r="K57" i="2"/>
  <c r="K54" i="2"/>
  <c r="K6" i="2"/>
  <c r="M49" i="2"/>
  <c r="K16" i="2"/>
  <c r="K14" i="2"/>
  <c r="K18" i="2"/>
  <c r="K17" i="2"/>
  <c r="K15" i="2"/>
  <c r="J56" i="2"/>
  <c r="L26" i="2"/>
  <c r="L27" i="2"/>
  <c r="L31" i="2"/>
  <c r="L28" i="2"/>
  <c r="L32" i="2"/>
  <c r="L29" i="2"/>
  <c r="L33" i="2"/>
  <c r="M25" i="2"/>
  <c r="J42" i="2"/>
  <c r="J46" i="2"/>
  <c r="J44" i="2"/>
  <c r="J45" i="2"/>
  <c r="K52" i="2"/>
  <c r="M30" i="2"/>
  <c r="M51" i="2"/>
  <c r="L51" i="2"/>
  <c r="K10" i="2"/>
  <c r="L6" i="2"/>
  <c r="M8" i="2"/>
  <c r="M12" i="2"/>
  <c r="M16" i="2"/>
  <c r="M9" i="2"/>
  <c r="M13" i="2"/>
  <c r="M17" i="2"/>
  <c r="M14" i="2"/>
  <c r="M18" i="2"/>
  <c r="M15" i="2"/>
  <c r="M19" i="2"/>
  <c r="M11" i="2"/>
  <c r="L49" i="2"/>
  <c r="J59" i="2"/>
  <c r="K56" i="2"/>
  <c r="J28" i="2"/>
  <c r="J26" i="2"/>
  <c r="J29" i="2"/>
  <c r="L42" i="2"/>
  <c r="L46" i="2"/>
  <c r="L47" i="2"/>
  <c r="L44" i="2"/>
  <c r="L48" i="2"/>
  <c r="L45" i="2"/>
  <c r="K30" i="2"/>
  <c r="K55" i="2"/>
  <c r="J51" i="2"/>
  <c r="L1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tbl_CN_Match_Key1" type="6" refreshedVersion="5" background="1" saveData="1">
    <textPr codePage="850" sourceFile="C:\Users\wagner\Desktop\htbl_CN_Match_Key.csv" comma="1">
      <textFields count="3">
        <textField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<sst xmlns="http://schemas.openxmlformats.org/spreadsheetml/2006/main" count="35759" uniqueCount="1148">
  <si>
    <t>UNU Key</t>
  </si>
  <si>
    <t>Full name</t>
  </si>
  <si>
    <t>0001</t>
  </si>
  <si>
    <t>0002</t>
  </si>
  <si>
    <t>0101</t>
  </si>
  <si>
    <t>0102</t>
  </si>
  <si>
    <t>0103</t>
  </si>
  <si>
    <t>0104</t>
  </si>
  <si>
    <t>0105</t>
  </si>
  <si>
    <t>0106</t>
  </si>
  <si>
    <t>0108</t>
  </si>
  <si>
    <t>0109</t>
  </si>
  <si>
    <t>0111</t>
  </si>
  <si>
    <t>0112</t>
  </si>
  <si>
    <t>0113</t>
  </si>
  <si>
    <t>0114</t>
  </si>
  <si>
    <t>0201</t>
  </si>
  <si>
    <t>0202</t>
  </si>
  <si>
    <t>0203</t>
  </si>
  <si>
    <t>0204</t>
  </si>
  <si>
    <t>0205</t>
  </si>
  <si>
    <t>0301</t>
  </si>
  <si>
    <t>0302</t>
  </si>
  <si>
    <t>0303</t>
  </si>
  <si>
    <t>0304</t>
  </si>
  <si>
    <t>0305</t>
  </si>
  <si>
    <t>0306</t>
  </si>
  <si>
    <t>0307</t>
  </si>
  <si>
    <t>0308</t>
  </si>
  <si>
    <t>0309</t>
  </si>
  <si>
    <t>0401</t>
  </si>
  <si>
    <t>0402</t>
  </si>
  <si>
    <t>0403</t>
  </si>
  <si>
    <t>0404</t>
  </si>
  <si>
    <t>0405</t>
  </si>
  <si>
    <t>0406</t>
  </si>
  <si>
    <t>0407</t>
  </si>
  <si>
    <t>0408</t>
  </si>
  <si>
    <t>0501</t>
  </si>
  <si>
    <t>0502</t>
  </si>
  <si>
    <t>0503</t>
  </si>
  <si>
    <t>0504</t>
  </si>
  <si>
    <t>0505</t>
  </si>
  <si>
    <t>0506</t>
  </si>
  <si>
    <t>0507</t>
  </si>
  <si>
    <t>0601</t>
  </si>
  <si>
    <t>0602</t>
  </si>
  <si>
    <t>0701</t>
  </si>
  <si>
    <t>0702</t>
  </si>
  <si>
    <t>0703</t>
  </si>
  <si>
    <t>0801</t>
  </si>
  <si>
    <t>0802</t>
  </si>
  <si>
    <t>0901</t>
  </si>
  <si>
    <t>0902</t>
  </si>
  <si>
    <t>1001</t>
  </si>
  <si>
    <t>1002</t>
  </si>
  <si>
    <t>EEE Put on Market (POM)</t>
  </si>
  <si>
    <t>UNU</t>
  </si>
  <si>
    <t>Year</t>
  </si>
  <si>
    <t>(POM)</t>
  </si>
  <si>
    <t>Year …..</t>
  </si>
  <si>
    <t>WG</t>
  </si>
  <si>
    <t>Shape</t>
  </si>
  <si>
    <t>Scale</t>
  </si>
  <si>
    <t>POM</t>
  </si>
  <si>
    <t>Weibull distribution for one UNU key</t>
  </si>
  <si>
    <t>Weibull - Scale parameter (Lambda)</t>
  </si>
  <si>
    <t>Weibull - Shape parameter (k)</t>
  </si>
  <si>
    <t>Share</t>
  </si>
  <si>
    <t>EU-6</t>
  </si>
  <si>
    <t>EU-10</t>
  </si>
  <si>
    <t>Custom</t>
  </si>
  <si>
    <t>Classification</t>
  </si>
  <si>
    <t>"WG"</t>
  </si>
  <si>
    <t>RESULTS DETAIL</t>
  </si>
  <si>
    <t>Temperature exchange equipment</t>
  </si>
  <si>
    <t>Lamps</t>
  </si>
  <si>
    <t>Large equipment</t>
  </si>
  <si>
    <t>Small equipment</t>
  </si>
  <si>
    <t>Small IT and telecommunication equipment</t>
  </si>
  <si>
    <t>Screens, monitors, and equipment containing screens (..)</t>
  </si>
  <si>
    <t>Weight</t>
  </si>
  <si>
    <t>(tonnes)</t>
  </si>
  <si>
    <t>TOTAL</t>
  </si>
  <si>
    <t>Weight in tonnes</t>
  </si>
  <si>
    <t>TOTAL EU6 / EU10</t>
  </si>
  <si>
    <t>N</t>
  </si>
  <si>
    <t>Sum</t>
  </si>
  <si>
    <t>Speakers</t>
  </si>
  <si>
    <t>EEE Put on Market (POM) - ORIGINAL DATA</t>
  </si>
  <si>
    <t>PLEASE, DO NOT EDIT THIS PAGE</t>
  </si>
  <si>
    <t>Weibull - Shape parameter (k) - ORIGINAL DATA</t>
  </si>
  <si>
    <t>Weibull - Scale parameter (Lambda)  - ORIGINAL DATA</t>
  </si>
  <si>
    <t>Central Heating (household installed)</t>
  </si>
  <si>
    <t>Professional Heating &amp; Ventilation (excl. cooling equipment)</t>
  </si>
  <si>
    <t>Dishwashers</t>
  </si>
  <si>
    <t>Washing Machines (incl. combined dryers)</t>
  </si>
  <si>
    <t>Dryers (wash dryers, centrifuges)</t>
  </si>
  <si>
    <t>Fridges (incl. combi-fridges)</t>
  </si>
  <si>
    <t>Freezers</t>
  </si>
  <si>
    <t>Air Conditioners (household installed and portable)</t>
  </si>
  <si>
    <t>Microwaves (incl. combined, excl. grills)</t>
  </si>
  <si>
    <t>Vacuum Cleaners (excl. professional)</t>
  </si>
  <si>
    <t>Desktop PCs (excl. monitors, accessoires)</t>
  </si>
  <si>
    <t>Laptops (incl. tablets)</t>
  </si>
  <si>
    <t>Mobile Phones (incl. smartphones, pagers)</t>
  </si>
  <si>
    <t>Cathode Ray Tube Monitors</t>
  </si>
  <si>
    <t>Flat Display Panel Monitors (LCD, LED)</t>
  </si>
  <si>
    <t>Cathode Ray Tube TVs</t>
  </si>
  <si>
    <t>Flat Display Panel TVs (LCD, LED, Plasma)</t>
  </si>
  <si>
    <t>Compact Fluorescent Lamps (incl. retrofit &amp; non-retrofit)</t>
  </si>
  <si>
    <t>Straight Tube Fluorescent Lamps</t>
  </si>
  <si>
    <t>Professional Luminaires (offices, public space, industry)</t>
  </si>
  <si>
    <t>Game Consoles</t>
  </si>
  <si>
    <t>Red font means: data has been changed from original input</t>
  </si>
  <si>
    <t xml:space="preserve">Please fill in a number for each category. </t>
  </si>
  <si>
    <t>If a value is not known, or is zero, please enter a 0</t>
  </si>
  <si>
    <t>EU-6PV</t>
  </si>
  <si>
    <t>EU-10PV</t>
  </si>
  <si>
    <t>TOTAL (calculated field)</t>
  </si>
  <si>
    <t>4a</t>
  </si>
  <si>
    <t>4b</t>
  </si>
  <si>
    <t>Photovoltaic panels (incl. converters)</t>
  </si>
  <si>
    <t>Large equipment (excluding photovoltaic panels)</t>
  </si>
  <si>
    <t>Calculations to split EU6 and EU10 input into UNU Keys categories</t>
  </si>
  <si>
    <t>Recode EU keys to UNU keys</t>
  </si>
  <si>
    <t>TOTAL (calculated)</t>
  </si>
  <si>
    <t>Reference ID for Lifespan graph</t>
  </si>
  <si>
    <t>Country:</t>
  </si>
  <si>
    <t>LED Lamps (incl. retrofit LED lamps)</t>
  </si>
  <si>
    <t>Household Luminaires (incl. household incandescent fittings &amp; household LED luminaires)</t>
  </si>
  <si>
    <t>Photovoltaic Panels (incl. inverters)</t>
  </si>
  <si>
    <t>Small lighting equipment (excl. LED &amp; incandescent)</t>
  </si>
  <si>
    <t>Kitchen equipment (e.g. large furnaces, ovens, cooking equipment)</t>
  </si>
  <si>
    <t>Household Heating &amp; Ventilation (e.g. hoods, ventilators, space heaters)</t>
  </si>
  <si>
    <t>Other Cooling equipment (e.g. dehumidifiers, heat pump dryers)</t>
  </si>
  <si>
    <t>Professional Cooling equipment (e.g. large air conditioners, cooling displays)</t>
  </si>
  <si>
    <t>Other small household equipment (e.g. small ventilators, irons, clocks, adapters)</t>
  </si>
  <si>
    <t>Personal Care equipment(e.g. tooth brushes, hair dryers, razors)</t>
  </si>
  <si>
    <t>Small IT equipment (e.g. routers, mice, keyboards, external drives &amp; accessories)</t>
  </si>
  <si>
    <t>Printers (e.g. scanners, multi functionals, faxes)</t>
  </si>
  <si>
    <t>Telecommunication equipment (e.g. (cordless) phones, answering machines)</t>
  </si>
  <si>
    <t>Professional IT equipment (e.g. servers, routers, data storage, copiers)</t>
  </si>
  <si>
    <t>Small Consumer Electronics (e.g. headphones, remote controls)</t>
  </si>
  <si>
    <t>Portable Audio &amp; Video (e.g. MP3, e-readers, car navigation)</t>
  </si>
  <si>
    <t>Music Instruments, Radio, Hi-Fi (incl. audio sets)</t>
  </si>
  <si>
    <t>Video (e.g. Video recorders, DVD, Blue Ray, set-top boxes) and projectors, including projection screens</t>
  </si>
  <si>
    <t>Cameras (e.g. camcorders, photo &amp; digital still cameras)</t>
  </si>
  <si>
    <t>Special Lamps (e.g. professional mercury, high &amp; low pressure sodium)</t>
  </si>
  <si>
    <t>Household Tools (e.g. drills, saws, high pressure cleaners, lawn mowers)</t>
  </si>
  <si>
    <t>Professional Tools (e.g. for welding, soldering, milling)</t>
  </si>
  <si>
    <t>Leisure equipment (e.g. sports equipment, electric bikes, juke boxes)</t>
  </si>
  <si>
    <t>Household Medical equipment(e.g. thermometers, blood pressure meters)</t>
  </si>
  <si>
    <t>Professional Medical equipment (e.g. hospital, dentist, diagnostics)</t>
  </si>
  <si>
    <t>Household Monitoring &amp; Control equipment (alarm, heat, smoke, excl. screens)</t>
  </si>
  <si>
    <t>Professional Monitoring &amp; Control equipment (e.g. laboratory, control panels)</t>
  </si>
  <si>
    <t>Non- cooled Dispensers (e.g. for vending, hot drinks, tickets, money)</t>
  </si>
  <si>
    <t>Cooled Dispensers (e.g. for vending, cold drinks)</t>
  </si>
  <si>
    <t>Equipment for food preparation(e.g. toaster, grills, food processing, frying pans)</t>
  </si>
  <si>
    <t>Small household equipment for hot water preparation (e.g. coffee, tea, water cookers)</t>
  </si>
  <si>
    <t>Toys (e.g. car racing sets, electric trains, music toys, biking computers, drones)</t>
  </si>
  <si>
    <t>Video (e.g. Video recorders, DVD, Blue Ray, set-top boxes) and projectors</t>
  </si>
  <si>
    <t>Indicators</t>
  </si>
  <si>
    <t>Totals</t>
  </si>
  <si>
    <t>Lifespan Graphs</t>
  </si>
  <si>
    <t>Select UNU-KEY</t>
  </si>
  <si>
    <t>Average Lifetime</t>
  </si>
  <si>
    <t>years</t>
  </si>
  <si>
    <t>Select reference year</t>
  </si>
  <si>
    <t>Weibull parameters</t>
  </si>
  <si>
    <t>X</t>
  </si>
  <si>
    <t>WG cummulative</t>
  </si>
  <si>
    <t>Put on Market</t>
  </si>
  <si>
    <t>RESULTS</t>
  </si>
  <si>
    <t>UNU-KEY</t>
  </si>
  <si>
    <t>SHAPE</t>
  </si>
  <si>
    <t>UNU_Key</t>
  </si>
  <si>
    <t>flag</t>
  </si>
  <si>
    <t>CN</t>
  </si>
  <si>
    <t>New Lifetime (yrs)</t>
  </si>
  <si>
    <t>Flags</t>
  </si>
  <si>
    <t>Flags description</t>
  </si>
  <si>
    <t>Original value</t>
  </si>
  <si>
    <t>Imputated value via other years</t>
  </si>
  <si>
    <t>Low outlier in stratum, corrected by other years</t>
  </si>
  <si>
    <t>High outlier in stratum, corrected by other years</t>
  </si>
  <si>
    <t>Low outlier over years, corrected by other years</t>
  </si>
  <si>
    <t>High outlier over years, corrected by other years</t>
  </si>
  <si>
    <t>Imputated value via stratum</t>
  </si>
  <si>
    <t>Low outlier in stratum, corrected via stratum</t>
  </si>
  <si>
    <t>High outlier in stratum, corrected via stratum</t>
  </si>
  <si>
    <t>Low outlier over years, corrected via stratum</t>
  </si>
  <si>
    <t>High outlier over years, corrected via stratum</t>
  </si>
  <si>
    <t>partly based on estimated prodcom data that is marked as confidential</t>
  </si>
  <si>
    <t>CRT tvs corrected to zero or close to zero for recent years</t>
  </si>
  <si>
    <t>Eurostat data copied</t>
  </si>
  <si>
    <t>The solar panel forecast</t>
  </si>
  <si>
    <t>Manual correction</t>
  </si>
  <si>
    <t>Original value and afterwards replaced with avg surrounding years</t>
  </si>
  <si>
    <t>Imputated value via other years and afterwards replaced with avg surrounding years</t>
  </si>
  <si>
    <t>Imputated value via stratum and afterwards replaced with avg surrounding years</t>
  </si>
  <si>
    <t>Low outlier in stratum, corrected via stratum and afterwards replaced with avg surrounding years</t>
  </si>
  <si>
    <t>High outlier in stratum, corrected via stratum and afterwards replaced with avg surrounding years</t>
  </si>
  <si>
    <t>Low outlier over years, corrected via stratum and afterwards replaced with avg surrounding years</t>
  </si>
  <si>
    <t>High outlier over years, corrected via stratum and afterwards replaced with avg surrounding years</t>
  </si>
  <si>
    <t>Historic extrapolations</t>
  </si>
  <si>
    <t>KPI_PPP approach with connection year 2015 (=all years from 2016 and later are extrapolated)</t>
  </si>
  <si>
    <t>KPI_PPP approach with connection year 2016 (=all years from 2017 and later are extrapolated)</t>
  </si>
  <si>
    <t>ConnectionConstant approach with connection year 2013 (=all years from 2014 and later are extrapolated)</t>
  </si>
  <si>
    <t>ConnectionConstant approach with connection year 2014 (=all years from 2015 and later are extrapolated)</t>
  </si>
  <si>
    <t>ConnectionConstant approach with connection year 2015 (=all years from 2016 and later are extrapolated)</t>
  </si>
  <si>
    <t>KPI approach with connection year 2015 (=all years from 2016 and later are extrapolated)</t>
  </si>
  <si>
    <t>KPI approach with connection year 2016 (=all years from 2017 and later are extrapolated)</t>
  </si>
  <si>
    <t>LastReliableConstant approach with connection year 2000 (=all years from 2001 and further get value from 2015)</t>
  </si>
  <si>
    <t>LastReliableConstant approach with connection year 2007 (=all years from 2008 and further get value from 2015)</t>
  </si>
  <si>
    <t>LastReliableConstant approach with connection year 2011 (=all years from 2012 and further get value from 2015)</t>
  </si>
  <si>
    <t>LastReliableConstant approach with connection year 2012 (=all years from 2013 and further get value from 2015)</t>
  </si>
  <si>
    <t>LastReliableConstant approach with connection year 2013 (=all years from 2014 and further get value from 2015)</t>
  </si>
  <si>
    <t>LastReliableConstant approach with connection year 2014 (=all years from 2015 and further get value from 2015)</t>
  </si>
  <si>
    <t>LastReliableConstant approach with connection year 2015 (=all years from 2016 and further get value from 2015)</t>
  </si>
  <si>
    <t>LastReliableConstant approach with connection year 2016 (=all years from 2017 and further get value from 2017)</t>
  </si>
  <si>
    <t>Large household appliances</t>
  </si>
  <si>
    <t>Small household appliances</t>
  </si>
  <si>
    <t>IT and telecommunications equipment</t>
  </si>
  <si>
    <t>Consumer equipment (excluding photovoltaic panels)</t>
  </si>
  <si>
    <t>Lighting equipment</t>
  </si>
  <si>
    <t>Electrical and electronic tools</t>
  </si>
  <si>
    <t>Toys, leisure and sports equipment</t>
  </si>
  <si>
    <t>Medical devices</t>
  </si>
  <si>
    <t>Monitoring and control instruments</t>
  </si>
  <si>
    <t>Automatic dispensers</t>
  </si>
  <si>
    <t>Consumer equipment and photovoltaic panels</t>
  </si>
  <si>
    <t>Large equipment (incl. photovoltaic panels and converters)</t>
  </si>
  <si>
    <t xml:space="preserve">Please fill in the lifetime value for the corresponding UNU Key. </t>
  </si>
  <si>
    <t xml:space="preserve">If you have scale and shape please insert data in the shape and a scale sheet </t>
  </si>
  <si>
    <t>Average Benchmark of countries with similar economy kpi</t>
  </si>
  <si>
    <t>kpi</t>
  </si>
  <si>
    <t>Description</t>
  </si>
  <si>
    <t xml:space="preserve">Consolidated RESULTS </t>
  </si>
  <si>
    <t>Benchmark</t>
  </si>
  <si>
    <t>Results</t>
  </si>
  <si>
    <t>No.</t>
  </si>
  <si>
    <t>Correlation of CN Codes and UNU Key</t>
  </si>
  <si>
    <t>POM flag References</t>
  </si>
  <si>
    <t>.</t>
  </si>
  <si>
    <t>EU10PV_4b</t>
  </si>
  <si>
    <t>EU10PV_5</t>
  </si>
  <si>
    <t>EU10PV_6</t>
  </si>
  <si>
    <t>EU10PV_7</t>
  </si>
  <si>
    <t>EU10PV_8</t>
  </si>
  <si>
    <t>EU10PV_9</t>
  </si>
  <si>
    <t>EU6PV_1</t>
  </si>
  <si>
    <t>EU6PV_2</t>
  </si>
  <si>
    <t>EU6PV_3</t>
  </si>
  <si>
    <t>EU6PV_4a</t>
  </si>
  <si>
    <t>EU6PV_4b</t>
  </si>
  <si>
    <t>EU6PV_5</t>
  </si>
  <si>
    <t>EU6PV_6</t>
  </si>
  <si>
    <t>Total</t>
  </si>
  <si>
    <t>Total-excl.PV</t>
  </si>
  <si>
    <t>WEEE generated</t>
  </si>
  <si>
    <t>WEEE Generated</t>
  </si>
  <si>
    <t>84431200</t>
  </si>
  <si>
    <t>2000</t>
  </si>
  <si>
    <t>2001</t>
  </si>
  <si>
    <t>2002</t>
  </si>
  <si>
    <t>2003</t>
  </si>
  <si>
    <t>2004</t>
  </si>
  <si>
    <t>2005</t>
  </si>
  <si>
    <t>2006</t>
  </si>
  <si>
    <t>2007</t>
  </si>
  <si>
    <t>84433990</t>
  </si>
  <si>
    <t>2008</t>
  </si>
  <si>
    <t>2009</t>
  </si>
  <si>
    <t>2010</t>
  </si>
  <si>
    <t>2011</t>
  </si>
  <si>
    <t>84690091</t>
  </si>
  <si>
    <t>84690099</t>
  </si>
  <si>
    <t>84701000</t>
  </si>
  <si>
    <t>1996</t>
  </si>
  <si>
    <t>1997</t>
  </si>
  <si>
    <t>1998</t>
  </si>
  <si>
    <t>1999</t>
  </si>
  <si>
    <t>84702100</t>
  </si>
  <si>
    <t>84702900</t>
  </si>
  <si>
    <t>84705000</t>
  </si>
  <si>
    <t>84709000</t>
  </si>
  <si>
    <t>84711090</t>
  </si>
  <si>
    <t>1994</t>
  </si>
  <si>
    <t>1995</t>
  </si>
  <si>
    <t>84713000</t>
  </si>
  <si>
    <t>84714190</t>
  </si>
  <si>
    <t>84714990</t>
  </si>
  <si>
    <t>84715090</t>
  </si>
  <si>
    <t>84716060</t>
  </si>
  <si>
    <t>85161090</t>
  </si>
  <si>
    <t>85198151</t>
  </si>
  <si>
    <t>85272120</t>
  </si>
  <si>
    <t>85272152</t>
  </si>
  <si>
    <t>85272159</t>
  </si>
  <si>
    <t>85272170</t>
  </si>
  <si>
    <t>85272192</t>
  </si>
  <si>
    <t>85272198</t>
  </si>
  <si>
    <t>85279091</t>
  </si>
  <si>
    <t>85392130</t>
  </si>
  <si>
    <t>85437010</t>
  </si>
  <si>
    <t>90066100</t>
  </si>
  <si>
    <t>90084000</t>
  </si>
  <si>
    <t>90151010</t>
  </si>
  <si>
    <t>90152010</t>
  </si>
  <si>
    <t>90153010</t>
  </si>
  <si>
    <t>90154010</t>
  </si>
  <si>
    <t>90158019</t>
  </si>
  <si>
    <t>90184100</t>
  </si>
  <si>
    <t>91011100</t>
  </si>
  <si>
    <t>91011200</t>
  </si>
  <si>
    <t>91011900</t>
  </si>
  <si>
    <t>91019100</t>
  </si>
  <si>
    <t>91021100</t>
  </si>
  <si>
    <t>91021200</t>
  </si>
  <si>
    <t>91021900</t>
  </si>
  <si>
    <t>91022100</t>
  </si>
  <si>
    <t>91029100</t>
  </si>
  <si>
    <t>91029900</t>
  </si>
  <si>
    <t>91031000</t>
  </si>
  <si>
    <t>91039000</t>
  </si>
  <si>
    <t>91051100</t>
  </si>
  <si>
    <t>91052100</t>
  </si>
  <si>
    <t>91059100</t>
  </si>
  <si>
    <t>91059910</t>
  </si>
  <si>
    <t>91070000</t>
  </si>
  <si>
    <t>91081100</t>
  </si>
  <si>
    <t>91081200</t>
  </si>
  <si>
    <t>91081900</t>
  </si>
  <si>
    <t>91091100</t>
  </si>
  <si>
    <t>91091910</t>
  </si>
  <si>
    <t>91091990</t>
  </si>
  <si>
    <t>95030030</t>
  </si>
  <si>
    <t>90191010</t>
  </si>
  <si>
    <t>2015</t>
  </si>
  <si>
    <t>2014</t>
  </si>
  <si>
    <t>2013</t>
  </si>
  <si>
    <t>2012</t>
  </si>
  <si>
    <t>85437090</t>
  </si>
  <si>
    <t>90283090</t>
  </si>
  <si>
    <t>84221900</t>
  </si>
  <si>
    <t>84186900</t>
  </si>
  <si>
    <t>85287240</t>
  </si>
  <si>
    <t>85287260</t>
  </si>
  <si>
    <t>85287280</t>
  </si>
  <si>
    <t>90283011</t>
  </si>
  <si>
    <t>90283019</t>
  </si>
  <si>
    <t>84031010</t>
  </si>
  <si>
    <t>1993</t>
  </si>
  <si>
    <t>84031090</t>
  </si>
  <si>
    <t>84151000</t>
  </si>
  <si>
    <t>84158310</t>
  </si>
  <si>
    <t>84158390</t>
  </si>
  <si>
    <t>84185011</t>
  </si>
  <si>
    <t>84331110</t>
  </si>
  <si>
    <t>84331910</t>
  </si>
  <si>
    <t>85088010</t>
  </si>
  <si>
    <t>85088030</t>
  </si>
  <si>
    <t>85088080</t>
  </si>
  <si>
    <t>85088090</t>
  </si>
  <si>
    <t>84502000</t>
  </si>
  <si>
    <t>84512900</t>
  </si>
  <si>
    <t>84211200</t>
  </si>
  <si>
    <t>84181010</t>
  </si>
  <si>
    <t>84181090</t>
  </si>
  <si>
    <t>84182110</t>
  </si>
  <si>
    <t>84182151</t>
  </si>
  <si>
    <t>84182191</t>
  </si>
  <si>
    <t>84182199</t>
  </si>
  <si>
    <t>84182200</t>
  </si>
  <si>
    <t>84182900</t>
  </si>
  <si>
    <t>84182159</t>
  </si>
  <si>
    <t>84183010</t>
  </si>
  <si>
    <t>84183091</t>
  </si>
  <si>
    <t>84183099</t>
  </si>
  <si>
    <t>84184010</t>
  </si>
  <si>
    <t>84184091</t>
  </si>
  <si>
    <t>84184099</t>
  </si>
  <si>
    <t>84221100</t>
  </si>
  <si>
    <t>84501110</t>
  </si>
  <si>
    <t>84501190</t>
  </si>
  <si>
    <t>84501200</t>
  </si>
  <si>
    <t>84501900</t>
  </si>
  <si>
    <t>84512110</t>
  </si>
  <si>
    <t>84512190</t>
  </si>
  <si>
    <t>63011000</t>
  </si>
  <si>
    <t>84145110</t>
  </si>
  <si>
    <t>84145190</t>
  </si>
  <si>
    <t>84146000</t>
  </si>
  <si>
    <t>85091010</t>
  </si>
  <si>
    <t>85091090</t>
  </si>
  <si>
    <t>85092000</t>
  </si>
  <si>
    <t>85093000</t>
  </si>
  <si>
    <t>85094000</t>
  </si>
  <si>
    <t>85098000</t>
  </si>
  <si>
    <t>85101000</t>
  </si>
  <si>
    <t>85102000</t>
  </si>
  <si>
    <t>85163110</t>
  </si>
  <si>
    <t>85163300</t>
  </si>
  <si>
    <t>85164010</t>
  </si>
  <si>
    <t>85164090</t>
  </si>
  <si>
    <t>85167100</t>
  </si>
  <si>
    <t>85167200</t>
  </si>
  <si>
    <t>85167910</t>
  </si>
  <si>
    <t>85161011</t>
  </si>
  <si>
    <t>85161019</t>
  </si>
  <si>
    <t>85162100</t>
  </si>
  <si>
    <t>85162910</t>
  </si>
  <si>
    <t>85162950</t>
  </si>
  <si>
    <t>85162991</t>
  </si>
  <si>
    <t>85162999</t>
  </si>
  <si>
    <t>85165000</t>
  </si>
  <si>
    <t>85166010</t>
  </si>
  <si>
    <t>85166051</t>
  </si>
  <si>
    <t>85166059</t>
  </si>
  <si>
    <t>85166070</t>
  </si>
  <si>
    <t>85166080</t>
  </si>
  <si>
    <t>85166090</t>
  </si>
  <si>
    <t>84691000</t>
  </si>
  <si>
    <t>84703000</t>
  </si>
  <si>
    <t>84704000</t>
  </si>
  <si>
    <t>90092210</t>
  </si>
  <si>
    <t>90091100</t>
  </si>
  <si>
    <t>90091200</t>
  </si>
  <si>
    <t>90092100</t>
  </si>
  <si>
    <t>90092290</t>
  </si>
  <si>
    <t>90093000</t>
  </si>
  <si>
    <t>84711010</t>
  </si>
  <si>
    <t>84712020</t>
  </si>
  <si>
    <t>84712010</t>
  </si>
  <si>
    <t>84712080</t>
  </si>
  <si>
    <t>84719110</t>
  </si>
  <si>
    <t>84719180</t>
  </si>
  <si>
    <t>84719340</t>
  </si>
  <si>
    <t>84719351</t>
  </si>
  <si>
    <t>84719359</t>
  </si>
  <si>
    <t>84719360</t>
  </si>
  <si>
    <t>84719390</t>
  </si>
  <si>
    <t>84719910</t>
  </si>
  <si>
    <t>84719930</t>
  </si>
  <si>
    <t>84719990</t>
  </si>
  <si>
    <t>85311010</t>
  </si>
  <si>
    <t>85311090</t>
  </si>
  <si>
    <t>85312090</t>
  </si>
  <si>
    <t>85318010</t>
  </si>
  <si>
    <t>85318090</t>
  </si>
  <si>
    <t>85253091</t>
  </si>
  <si>
    <t>85253010</t>
  </si>
  <si>
    <t>85253099</t>
  </si>
  <si>
    <t>85271110</t>
  </si>
  <si>
    <t>85271190</t>
  </si>
  <si>
    <t>85271900</t>
  </si>
  <si>
    <t>85273110</t>
  </si>
  <si>
    <t>85273191</t>
  </si>
  <si>
    <t>85273199</t>
  </si>
  <si>
    <t>85273210</t>
  </si>
  <si>
    <t>85273290</t>
  </si>
  <si>
    <t>85273910</t>
  </si>
  <si>
    <t>85273991</t>
  </si>
  <si>
    <t>85273999</t>
  </si>
  <si>
    <t>85272110</t>
  </si>
  <si>
    <t>85272190</t>
  </si>
  <si>
    <t>85281014</t>
  </si>
  <si>
    <t>85281016</t>
  </si>
  <si>
    <t>85281018</t>
  </si>
  <si>
    <t>85281022</t>
  </si>
  <si>
    <t>85281028</t>
  </si>
  <si>
    <t>85281031</t>
  </si>
  <si>
    <t>85281041</t>
  </si>
  <si>
    <t>85281043</t>
  </si>
  <si>
    <t>85281049</t>
  </si>
  <si>
    <t>85281052</t>
  </si>
  <si>
    <t>85281054</t>
  </si>
  <si>
    <t>85281056</t>
  </si>
  <si>
    <t>85281058</t>
  </si>
  <si>
    <t>85281062</t>
  </si>
  <si>
    <t>85281066</t>
  </si>
  <si>
    <t>85281072</t>
  </si>
  <si>
    <t>85281076</t>
  </si>
  <si>
    <t>85281081</t>
  </si>
  <si>
    <t>85281089</t>
  </si>
  <si>
    <t>85282020</t>
  </si>
  <si>
    <t>85282071</t>
  </si>
  <si>
    <t>85282073</t>
  </si>
  <si>
    <t>85282079</t>
  </si>
  <si>
    <t>85282091</t>
  </si>
  <si>
    <t>85282099</t>
  </si>
  <si>
    <t>85191000</t>
  </si>
  <si>
    <t>85192100</t>
  </si>
  <si>
    <t>85192900</t>
  </si>
  <si>
    <t>85193100</t>
  </si>
  <si>
    <t>85193900</t>
  </si>
  <si>
    <t>85194000</t>
  </si>
  <si>
    <t>85199110</t>
  </si>
  <si>
    <t>85199191</t>
  </si>
  <si>
    <t>85199199</t>
  </si>
  <si>
    <t>85199910</t>
  </si>
  <si>
    <t>85199990</t>
  </si>
  <si>
    <t>85201000</t>
  </si>
  <si>
    <t>85202000</t>
  </si>
  <si>
    <t>85203111</t>
  </si>
  <si>
    <t>85203119</t>
  </si>
  <si>
    <t>85203130</t>
  </si>
  <si>
    <t>85203190</t>
  </si>
  <si>
    <t>85203910</t>
  </si>
  <si>
    <t>85203990</t>
  </si>
  <si>
    <t>85209010</t>
  </si>
  <si>
    <t>85209090</t>
  </si>
  <si>
    <t>85211031</t>
  </si>
  <si>
    <t>85211038</t>
  </si>
  <si>
    <t>85211080</t>
  </si>
  <si>
    <t>85219000</t>
  </si>
  <si>
    <t>85181010</t>
  </si>
  <si>
    <t>85181090</t>
  </si>
  <si>
    <t>85182110</t>
  </si>
  <si>
    <t>85182190</t>
  </si>
  <si>
    <t>85182210</t>
  </si>
  <si>
    <t>85182290</t>
  </si>
  <si>
    <t>85183010</t>
  </si>
  <si>
    <t>85183090</t>
  </si>
  <si>
    <t>85184030</t>
  </si>
  <si>
    <t>85184091</t>
  </si>
  <si>
    <t>85184099</t>
  </si>
  <si>
    <t>85185010</t>
  </si>
  <si>
    <t>85185090</t>
  </si>
  <si>
    <t>85279099</t>
  </si>
  <si>
    <t>90181100</t>
  </si>
  <si>
    <t>90181900</t>
  </si>
  <si>
    <t>90214000</t>
  </si>
  <si>
    <t>90158011</t>
  </si>
  <si>
    <t>90261051</t>
  </si>
  <si>
    <t>90261059</t>
  </si>
  <si>
    <t>90262030</t>
  </si>
  <si>
    <t>90268091</t>
  </si>
  <si>
    <t>90271010</t>
  </si>
  <si>
    <t>90278011</t>
  </si>
  <si>
    <t>90278019</t>
  </si>
  <si>
    <t>90241010</t>
  </si>
  <si>
    <t>90248010</t>
  </si>
  <si>
    <t>90313000</t>
  </si>
  <si>
    <t>90318031</t>
  </si>
  <si>
    <t>90318039</t>
  </si>
  <si>
    <t>90321030</t>
  </si>
  <si>
    <t>90072100</t>
  </si>
  <si>
    <t>90072900</t>
  </si>
  <si>
    <t>90081000</t>
  </si>
  <si>
    <t>90083000</t>
  </si>
  <si>
    <t>91059110</t>
  </si>
  <si>
    <t>91059191</t>
  </si>
  <si>
    <t>91059199</t>
  </si>
  <si>
    <t>92059010</t>
  </si>
  <si>
    <t>92071050</t>
  </si>
  <si>
    <t>92071080</t>
  </si>
  <si>
    <t>92079010</t>
  </si>
  <si>
    <t>95031010</t>
  </si>
  <si>
    <t>95031090</t>
  </si>
  <si>
    <t>95035000</t>
  </si>
  <si>
    <t>95041000</t>
  </si>
  <si>
    <t>95049010</t>
  </si>
  <si>
    <t>84501111</t>
  </si>
  <si>
    <t>84501119</t>
  </si>
  <si>
    <t>85167920</t>
  </si>
  <si>
    <t>85167980</t>
  </si>
  <si>
    <t>84719220</t>
  </si>
  <si>
    <t>84719240</t>
  </si>
  <si>
    <t>85311030</t>
  </si>
  <si>
    <t>85171000</t>
  </si>
  <si>
    <t>85172000</t>
  </si>
  <si>
    <t>85173000</t>
  </si>
  <si>
    <t>85174000</t>
  </si>
  <si>
    <t>90303930</t>
  </si>
  <si>
    <t>90308991</t>
  </si>
  <si>
    <t>90251991</t>
  </si>
  <si>
    <t>90258091</t>
  </si>
  <si>
    <t>92071030</t>
  </si>
  <si>
    <t>92079090</t>
  </si>
  <si>
    <t>84186991</t>
  </si>
  <si>
    <t>84761110</t>
  </si>
  <si>
    <t>84761190</t>
  </si>
  <si>
    <t>84761910</t>
  </si>
  <si>
    <t>84761990</t>
  </si>
  <si>
    <t>84513010</t>
  </si>
  <si>
    <t>84513030</t>
  </si>
  <si>
    <t>84513080</t>
  </si>
  <si>
    <t>84511000</t>
  </si>
  <si>
    <t>84181091</t>
  </si>
  <si>
    <t>84181099</t>
  </si>
  <si>
    <t>85163190</t>
  </si>
  <si>
    <t>85163200</t>
  </si>
  <si>
    <t>84692100</t>
  </si>
  <si>
    <t>84692900</t>
  </si>
  <si>
    <t>84693100</t>
  </si>
  <si>
    <t>84693900</t>
  </si>
  <si>
    <t>85392110</t>
  </si>
  <si>
    <t>85392191</t>
  </si>
  <si>
    <t>85392199</t>
  </si>
  <si>
    <t>85393110</t>
  </si>
  <si>
    <t>85393190</t>
  </si>
  <si>
    <t>85393930</t>
  </si>
  <si>
    <t>85393990</t>
  </si>
  <si>
    <t>94052011</t>
  </si>
  <si>
    <t>94052019</t>
  </si>
  <si>
    <t>94052030</t>
  </si>
  <si>
    <t>94052050</t>
  </si>
  <si>
    <t>94052091</t>
  </si>
  <si>
    <t>94052099</t>
  </si>
  <si>
    <t>94051010</t>
  </si>
  <si>
    <t>94051021</t>
  </si>
  <si>
    <t>94051029</t>
  </si>
  <si>
    <t>94051030</t>
  </si>
  <si>
    <t>94051050</t>
  </si>
  <si>
    <t>94051091</t>
  </si>
  <si>
    <t>94051099</t>
  </si>
  <si>
    <t>94053000</t>
  </si>
  <si>
    <t>94054010</t>
  </si>
  <si>
    <t>85178110</t>
  </si>
  <si>
    <t>85178190</t>
  </si>
  <si>
    <t>85178210</t>
  </si>
  <si>
    <t>85178290</t>
  </si>
  <si>
    <t>85271191</t>
  </si>
  <si>
    <t>85271199</t>
  </si>
  <si>
    <t>85273111</t>
  </si>
  <si>
    <t>85273119</t>
  </si>
  <si>
    <t>85273193</t>
  </si>
  <si>
    <t>85273198</t>
  </si>
  <si>
    <t>85272191</t>
  </si>
  <si>
    <t>85272199</t>
  </si>
  <si>
    <t>85281098</t>
  </si>
  <si>
    <t>85199131</t>
  </si>
  <si>
    <t>85199139</t>
  </si>
  <si>
    <t>85199181</t>
  </si>
  <si>
    <t>85199189</t>
  </si>
  <si>
    <t>85199911</t>
  </si>
  <si>
    <t>85199919</t>
  </si>
  <si>
    <t>90304010</t>
  </si>
  <si>
    <t>90304090</t>
  </si>
  <si>
    <t>90308110</t>
  </si>
  <si>
    <t>90308120</t>
  </si>
  <si>
    <t>90308181</t>
  </si>
  <si>
    <t>90308183</t>
  </si>
  <si>
    <t>90308185</t>
  </si>
  <si>
    <t>90308189</t>
  </si>
  <si>
    <t>90308920</t>
  </si>
  <si>
    <t>90308981</t>
  </si>
  <si>
    <t>90308983</t>
  </si>
  <si>
    <t>90308985</t>
  </si>
  <si>
    <t>90308989</t>
  </si>
  <si>
    <t>90278015</t>
  </si>
  <si>
    <t>90278018</t>
  </si>
  <si>
    <t>84185019</t>
  </si>
  <si>
    <t>84185091</t>
  </si>
  <si>
    <t>84691100</t>
  </si>
  <si>
    <t>84691200</t>
  </si>
  <si>
    <t>84692000</t>
  </si>
  <si>
    <t>84701010</t>
  </si>
  <si>
    <t>84701090</t>
  </si>
  <si>
    <t>84714110</t>
  </si>
  <si>
    <t>84714910</t>
  </si>
  <si>
    <t>84715010</t>
  </si>
  <si>
    <t>84716040</t>
  </si>
  <si>
    <t>84716050</t>
  </si>
  <si>
    <t>84716090</t>
  </si>
  <si>
    <t>84762100</t>
  </si>
  <si>
    <t>84762900</t>
  </si>
  <si>
    <t>84768100</t>
  </si>
  <si>
    <t>84768900</t>
  </si>
  <si>
    <t>85103000</t>
  </si>
  <si>
    <t>85171100</t>
  </si>
  <si>
    <t>85171910</t>
  </si>
  <si>
    <t>85171990</t>
  </si>
  <si>
    <t>85172100</t>
  </si>
  <si>
    <t>85172200</t>
  </si>
  <si>
    <t>85175010</t>
  </si>
  <si>
    <t>85175090</t>
  </si>
  <si>
    <t>85178010</t>
  </si>
  <si>
    <t>85178090</t>
  </si>
  <si>
    <t>85199200</t>
  </si>
  <si>
    <t>85199331</t>
  </si>
  <si>
    <t>85199339</t>
  </si>
  <si>
    <t>85199381</t>
  </si>
  <si>
    <t>85199389</t>
  </si>
  <si>
    <t>85199912</t>
  </si>
  <si>
    <t>85199918</t>
  </si>
  <si>
    <t>85203211</t>
  </si>
  <si>
    <t>85203219</t>
  </si>
  <si>
    <t>85203230</t>
  </si>
  <si>
    <t>85203250</t>
  </si>
  <si>
    <t>85203291</t>
  </si>
  <si>
    <t>85203299</t>
  </si>
  <si>
    <t>85203311</t>
  </si>
  <si>
    <t>85203319</t>
  </si>
  <si>
    <t>85203330</t>
  </si>
  <si>
    <t>85203390</t>
  </si>
  <si>
    <t>85211030</t>
  </si>
  <si>
    <t>85252010</t>
  </si>
  <si>
    <t>85252091</t>
  </si>
  <si>
    <t>85252099</t>
  </si>
  <si>
    <t>85253090</t>
  </si>
  <si>
    <t>85254010</t>
  </si>
  <si>
    <t>85254091</t>
  </si>
  <si>
    <t>85254099</t>
  </si>
  <si>
    <t>85271210</t>
  </si>
  <si>
    <t>85271290</t>
  </si>
  <si>
    <t>85271310</t>
  </si>
  <si>
    <t>85271391</t>
  </si>
  <si>
    <t>85271399</t>
  </si>
  <si>
    <t>85281214</t>
  </si>
  <si>
    <t>85281216</t>
  </si>
  <si>
    <t>85281218</t>
  </si>
  <si>
    <t>85281222</t>
  </si>
  <si>
    <t>85281228</t>
  </si>
  <si>
    <t>85281252</t>
  </si>
  <si>
    <t>85281254</t>
  </si>
  <si>
    <t>85281256</t>
  </si>
  <si>
    <t>85281258</t>
  </si>
  <si>
    <t>85281262</t>
  </si>
  <si>
    <t>85281266</t>
  </si>
  <si>
    <t>85281272</t>
  </si>
  <si>
    <t>85281276</t>
  </si>
  <si>
    <t>85281281</t>
  </si>
  <si>
    <t>85281289</t>
  </si>
  <si>
    <t>85281298</t>
  </si>
  <si>
    <t>85281300</t>
  </si>
  <si>
    <t>85282114</t>
  </si>
  <si>
    <t>85282116</t>
  </si>
  <si>
    <t>85282118</t>
  </si>
  <si>
    <t>85282190</t>
  </si>
  <si>
    <t>85282200</t>
  </si>
  <si>
    <t>85283010</t>
  </si>
  <si>
    <t>85283090</t>
  </si>
  <si>
    <t>85393210</t>
  </si>
  <si>
    <t>85393250</t>
  </si>
  <si>
    <t>85393290</t>
  </si>
  <si>
    <t>85393900</t>
  </si>
  <si>
    <t>85434000</t>
  </si>
  <si>
    <t>90072000</t>
  </si>
  <si>
    <t>90181200</t>
  </si>
  <si>
    <t>90181300</t>
  </si>
  <si>
    <t>90181400</t>
  </si>
  <si>
    <t>90308992</t>
  </si>
  <si>
    <t>85161091</t>
  </si>
  <si>
    <t>85161099</t>
  </si>
  <si>
    <t>90181910</t>
  </si>
  <si>
    <t>90181990</t>
  </si>
  <si>
    <t>84185099</t>
  </si>
  <si>
    <t>84186110</t>
  </si>
  <si>
    <t>84186190</t>
  </si>
  <si>
    <t>84713010</t>
  </si>
  <si>
    <t>84713091</t>
  </si>
  <si>
    <t>84713099</t>
  </si>
  <si>
    <t>84714130</t>
  </si>
  <si>
    <t>84714191</t>
  </si>
  <si>
    <t>84714199</t>
  </si>
  <si>
    <t>84714930</t>
  </si>
  <si>
    <t>84714991</t>
  </si>
  <si>
    <t>84714999</t>
  </si>
  <si>
    <t>84715030</t>
  </si>
  <si>
    <t>84715091</t>
  </si>
  <si>
    <t>84715099</t>
  </si>
  <si>
    <t>85081010</t>
  </si>
  <si>
    <t>85081091</t>
  </si>
  <si>
    <t>85081099</t>
  </si>
  <si>
    <t>85082010</t>
  </si>
  <si>
    <t>85082030</t>
  </si>
  <si>
    <t>85082090</t>
  </si>
  <si>
    <t>85088051</t>
  </si>
  <si>
    <t>85088053</t>
  </si>
  <si>
    <t>85088059</t>
  </si>
  <si>
    <t>85088070</t>
  </si>
  <si>
    <t>85121000</t>
  </si>
  <si>
    <t>85131000</t>
  </si>
  <si>
    <t>85151100</t>
  </si>
  <si>
    <t>85151900</t>
  </si>
  <si>
    <t>85152100</t>
  </si>
  <si>
    <t>85152910</t>
  </si>
  <si>
    <t>85152990</t>
  </si>
  <si>
    <t>85153100</t>
  </si>
  <si>
    <t>85181020</t>
  </si>
  <si>
    <t>85181080</t>
  </si>
  <si>
    <t>85183020</t>
  </si>
  <si>
    <t>85183080</t>
  </si>
  <si>
    <t>85254011</t>
  </si>
  <si>
    <t>85254019</t>
  </si>
  <si>
    <t>85279092</t>
  </si>
  <si>
    <t>85279098</t>
  </si>
  <si>
    <t>85283005</t>
  </si>
  <si>
    <t>85283020</t>
  </si>
  <si>
    <t>85311080</t>
  </si>
  <si>
    <t>85318030</t>
  </si>
  <si>
    <t>85318080</t>
  </si>
  <si>
    <t>85392192</t>
  </si>
  <si>
    <t>85392198</t>
  </si>
  <si>
    <t>85394100</t>
  </si>
  <si>
    <t>85394910</t>
  </si>
  <si>
    <t>85394930</t>
  </si>
  <si>
    <t>85438915</t>
  </si>
  <si>
    <t>90173010</t>
  </si>
  <si>
    <t>90278016</t>
  </si>
  <si>
    <t>90278017</t>
  </si>
  <si>
    <t>90318032</t>
  </si>
  <si>
    <t>90318034</t>
  </si>
  <si>
    <t>92071010</t>
  </si>
  <si>
    <t>85414090</t>
  </si>
  <si>
    <t>85273920</t>
  </si>
  <si>
    <t>85273980</t>
  </si>
  <si>
    <t>85281210</t>
  </si>
  <si>
    <t>85281220</t>
  </si>
  <si>
    <t>90278013</t>
  </si>
  <si>
    <t>84158110</t>
  </si>
  <si>
    <t>84158190</t>
  </si>
  <si>
    <t>84158210</t>
  </si>
  <si>
    <t>84158280</t>
  </si>
  <si>
    <t>90092200</t>
  </si>
  <si>
    <t>84151010</t>
  </si>
  <si>
    <t>84672110</t>
  </si>
  <si>
    <t>84672191</t>
  </si>
  <si>
    <t>84672199</t>
  </si>
  <si>
    <t>84672210</t>
  </si>
  <si>
    <t>84672230</t>
  </si>
  <si>
    <t>84672290</t>
  </si>
  <si>
    <t>84672910</t>
  </si>
  <si>
    <t>84672930</t>
  </si>
  <si>
    <t>84672951</t>
  </si>
  <si>
    <t>84672953</t>
  </si>
  <si>
    <t>84672959</t>
  </si>
  <si>
    <t>84672970</t>
  </si>
  <si>
    <t>84672980</t>
  </si>
  <si>
    <t>84672990</t>
  </si>
  <si>
    <t>85167970</t>
  </si>
  <si>
    <t>85281270</t>
  </si>
  <si>
    <t>84158100</t>
  </si>
  <si>
    <t>84158200</t>
  </si>
  <si>
    <t>84158300</t>
  </si>
  <si>
    <t>84186100</t>
  </si>
  <si>
    <t>84186920</t>
  </si>
  <si>
    <t>84181020</t>
  </si>
  <si>
    <t>84181080</t>
  </si>
  <si>
    <t>84183020</t>
  </si>
  <si>
    <t>84183080</t>
  </si>
  <si>
    <t>84184020</t>
  </si>
  <si>
    <t>84184080</t>
  </si>
  <si>
    <t>84145100</t>
  </si>
  <si>
    <t>84711000</t>
  </si>
  <si>
    <t>84714100</t>
  </si>
  <si>
    <t>84714900</t>
  </si>
  <si>
    <t>84715000</t>
  </si>
  <si>
    <t>84716020</t>
  </si>
  <si>
    <t>84716080</t>
  </si>
  <si>
    <t>94051028</t>
  </si>
  <si>
    <t>94051098</t>
  </si>
  <si>
    <t>85311095</t>
  </si>
  <si>
    <t>85318020</t>
  </si>
  <si>
    <t>85318095</t>
  </si>
  <si>
    <t>85252020</t>
  </si>
  <si>
    <t>85252080</t>
  </si>
  <si>
    <t>85209000</t>
  </si>
  <si>
    <t>85211020</t>
  </si>
  <si>
    <t>85211095</t>
  </si>
  <si>
    <t>85181030</t>
  </si>
  <si>
    <t>85181095</t>
  </si>
  <si>
    <t>85182100</t>
  </si>
  <si>
    <t>85182200</t>
  </si>
  <si>
    <t>85183095</t>
  </si>
  <si>
    <t>85184081</t>
  </si>
  <si>
    <t>85184089</t>
  </si>
  <si>
    <t>85185000</t>
  </si>
  <si>
    <t>85279020</t>
  </si>
  <si>
    <t>85279080</t>
  </si>
  <si>
    <t>90251920</t>
  </si>
  <si>
    <t>90258040</t>
  </si>
  <si>
    <t>90261021</t>
  </si>
  <si>
    <t>90261029</t>
  </si>
  <si>
    <t>90262020</t>
  </si>
  <si>
    <t>90268020</t>
  </si>
  <si>
    <t>90318038</t>
  </si>
  <si>
    <t>90321020</t>
  </si>
  <si>
    <t>91091900</t>
  </si>
  <si>
    <t>84433910</t>
  </si>
  <si>
    <t>84433931</t>
  </si>
  <si>
    <t>84433939</t>
  </si>
  <si>
    <t>85081100</t>
  </si>
  <si>
    <t>85081900</t>
  </si>
  <si>
    <t>84433210</t>
  </si>
  <si>
    <t>84433230</t>
  </si>
  <si>
    <t>84433291</t>
  </si>
  <si>
    <t>84433293</t>
  </si>
  <si>
    <t>84433299</t>
  </si>
  <si>
    <t>85256000</t>
  </si>
  <si>
    <t>85258011</t>
  </si>
  <si>
    <t>85258019</t>
  </si>
  <si>
    <t>85171800</t>
  </si>
  <si>
    <t>85176910</t>
  </si>
  <si>
    <t>85171200</t>
  </si>
  <si>
    <t>85176200</t>
  </si>
  <si>
    <t>84433110</t>
  </si>
  <si>
    <t>84433191</t>
  </si>
  <si>
    <t>84433199</t>
  </si>
  <si>
    <t>85279111</t>
  </si>
  <si>
    <t>85279119</t>
  </si>
  <si>
    <t>85279135</t>
  </si>
  <si>
    <t>85279191</t>
  </si>
  <si>
    <t>85279199</t>
  </si>
  <si>
    <t>85279210</t>
  </si>
  <si>
    <t>85279290</t>
  </si>
  <si>
    <t>85279900</t>
  </si>
  <si>
    <t>85286910</t>
  </si>
  <si>
    <t>85286991</t>
  </si>
  <si>
    <t>85286999</t>
  </si>
  <si>
    <t>85287210</t>
  </si>
  <si>
    <t>85287220</t>
  </si>
  <si>
    <t>85284935</t>
  </si>
  <si>
    <t>85284991</t>
  </si>
  <si>
    <t>85284999</t>
  </si>
  <si>
    <t>85285990</t>
  </si>
  <si>
    <t>85287231</t>
  </si>
  <si>
    <t>85287233</t>
  </si>
  <si>
    <t>85287235</t>
  </si>
  <si>
    <t>85287239</t>
  </si>
  <si>
    <t>85287251</t>
  </si>
  <si>
    <t>85287259</t>
  </si>
  <si>
    <t>85287275</t>
  </si>
  <si>
    <t>85287291</t>
  </si>
  <si>
    <t>85287299</t>
  </si>
  <si>
    <t>85287190</t>
  </si>
  <si>
    <t>85284910</t>
  </si>
  <si>
    <t>85285910</t>
  </si>
  <si>
    <t>85287300</t>
  </si>
  <si>
    <t>85192010</t>
  </si>
  <si>
    <t>85193000</t>
  </si>
  <si>
    <t>85198911</t>
  </si>
  <si>
    <t>85198111</t>
  </si>
  <si>
    <t>85198915</t>
  </si>
  <si>
    <t>85198115</t>
  </si>
  <si>
    <t>85198121</t>
  </si>
  <si>
    <t>85198125</t>
  </si>
  <si>
    <t>85192091</t>
  </si>
  <si>
    <t>85192099</t>
  </si>
  <si>
    <t>85198131</t>
  </si>
  <si>
    <t>85198135</t>
  </si>
  <si>
    <t>85198145</t>
  </si>
  <si>
    <t>85198919</t>
  </si>
  <si>
    <t>85195000</t>
  </si>
  <si>
    <t>85198155</t>
  </si>
  <si>
    <t>85198161</t>
  </si>
  <si>
    <t>85198165</t>
  </si>
  <si>
    <t>85198175</t>
  </si>
  <si>
    <t>85198181</t>
  </si>
  <si>
    <t>85198185</t>
  </si>
  <si>
    <t>85198195</t>
  </si>
  <si>
    <t>85258030</t>
  </si>
  <si>
    <t>85258091</t>
  </si>
  <si>
    <t>85258099</t>
  </si>
  <si>
    <t>85176931</t>
  </si>
  <si>
    <t>85176939</t>
  </si>
  <si>
    <t>90302091</t>
  </si>
  <si>
    <t>90308930</t>
  </si>
  <si>
    <t>90314910</t>
  </si>
  <si>
    <t>95030055</t>
  </si>
  <si>
    <t>85176920</t>
  </si>
  <si>
    <t>85176990</t>
  </si>
  <si>
    <t>90303310</t>
  </si>
  <si>
    <t>90241011</t>
  </si>
  <si>
    <t>90241013</t>
  </si>
  <si>
    <t>90241019</t>
  </si>
  <si>
    <t>90248011</t>
  </si>
  <si>
    <t>90248019</t>
  </si>
  <si>
    <t>91051900</t>
  </si>
  <si>
    <t>91052900</t>
  </si>
  <si>
    <t>91059990</t>
  </si>
  <si>
    <t>91099000</t>
  </si>
  <si>
    <t>90071100</t>
  </si>
  <si>
    <t>90071900</t>
  </si>
  <si>
    <t>85437060</t>
  </si>
  <si>
    <t>85437051</t>
  </si>
  <si>
    <t>85437055</t>
  </si>
  <si>
    <t>85437059</t>
  </si>
  <si>
    <t>95030079</t>
  </si>
  <si>
    <t>95030081</t>
  </si>
  <si>
    <t>85284100</t>
  </si>
  <si>
    <t>85286100</t>
  </si>
  <si>
    <t>85285100</t>
  </si>
  <si>
    <t>85198990</t>
  </si>
  <si>
    <t>84185090</t>
  </si>
  <si>
    <t>84512100</t>
  </si>
  <si>
    <t>85414010</t>
  </si>
  <si>
    <t>84717020</t>
  </si>
  <si>
    <t>84717030</t>
  </si>
  <si>
    <t>84717050</t>
  </si>
  <si>
    <t>84717070</t>
  </si>
  <si>
    <t>84717080</t>
  </si>
  <si>
    <t>84717098</t>
  </si>
  <si>
    <t>85176100</t>
  </si>
  <si>
    <t>85272900</t>
  </si>
  <si>
    <t>85284980</t>
  </si>
  <si>
    <t>85285940</t>
  </si>
  <si>
    <t>85285980</t>
  </si>
  <si>
    <t>85184080</t>
  </si>
  <si>
    <t>90304000</t>
  </si>
  <si>
    <t>90258080</t>
  </si>
  <si>
    <t>91059900</t>
  </si>
  <si>
    <t>91089000</t>
  </si>
  <si>
    <t>85393220</t>
  </si>
  <si>
    <t>85394900</t>
  </si>
  <si>
    <t>94052040</t>
  </si>
  <si>
    <t>94051040</t>
  </si>
  <si>
    <t>94054031</t>
  </si>
  <si>
    <t>94054035</t>
  </si>
  <si>
    <t>94054039</t>
  </si>
  <si>
    <t>94054091</t>
  </si>
  <si>
    <t>94054095</t>
  </si>
  <si>
    <t>94054099</t>
  </si>
  <si>
    <t>85163100</t>
  </si>
  <si>
    <t>85164000</t>
  </si>
  <si>
    <t>85161080</t>
  </si>
  <si>
    <t>85166050</t>
  </si>
  <si>
    <t>85312040</t>
  </si>
  <si>
    <t>85312095</t>
  </si>
  <si>
    <t>85312020</t>
  </si>
  <si>
    <t>85152900</t>
  </si>
  <si>
    <t>84690010</t>
  </si>
  <si>
    <t>84721000</t>
  </si>
  <si>
    <t>84723000</t>
  </si>
  <si>
    <t>84729010</t>
  </si>
  <si>
    <t>84729070</t>
  </si>
  <si>
    <t>84718000</t>
  </si>
  <si>
    <t>84719000</t>
  </si>
  <si>
    <t>90066900</t>
  </si>
  <si>
    <t>90101000</t>
  </si>
  <si>
    <t>90105000</t>
  </si>
  <si>
    <t>90106000</t>
  </si>
  <si>
    <t>84716070</t>
  </si>
  <si>
    <t>84433120</t>
  </si>
  <si>
    <t>84433180</t>
  </si>
  <si>
    <t>95045000</t>
  </si>
  <si>
    <t>91091000</t>
  </si>
  <si>
    <t>90071000</t>
  </si>
  <si>
    <t>84672920</t>
  </si>
  <si>
    <t>84672985</t>
  </si>
  <si>
    <t>84513000</t>
  </si>
  <si>
    <t>84431500</t>
  </si>
  <si>
    <t>84431970</t>
  </si>
  <si>
    <t>90085000</t>
  </si>
  <si>
    <t>87119010</t>
  </si>
  <si>
    <t>87119090</t>
  </si>
  <si>
    <t>85285931</t>
  </si>
  <si>
    <t>85285920</t>
  </si>
  <si>
    <t>2016</t>
  </si>
  <si>
    <t>90292090</t>
  </si>
  <si>
    <t>90314100</t>
  </si>
  <si>
    <t>90314990</t>
  </si>
  <si>
    <t>90278005</t>
  </si>
  <si>
    <t>85287230</t>
  </si>
  <si>
    <t>85287191</t>
  </si>
  <si>
    <t>85287199</t>
  </si>
  <si>
    <t>2017</t>
  </si>
  <si>
    <t>84433100</t>
  </si>
  <si>
    <t>84433280</t>
  </si>
  <si>
    <t>84433900</t>
  </si>
  <si>
    <t>84729040</t>
  </si>
  <si>
    <t>84729090</t>
  </si>
  <si>
    <t>84768910</t>
  </si>
  <si>
    <t>84768990</t>
  </si>
  <si>
    <t>85151910</t>
  </si>
  <si>
    <t>85151990</t>
  </si>
  <si>
    <t>85176930</t>
  </si>
  <si>
    <t>85198170</t>
  </si>
  <si>
    <t>85198900</t>
  </si>
  <si>
    <t>85284200</t>
  </si>
  <si>
    <t>85284900</t>
  </si>
  <si>
    <t>85285210</t>
  </si>
  <si>
    <t>85285291</t>
  </si>
  <si>
    <t>85285299</t>
  </si>
  <si>
    <t>85285900</t>
  </si>
  <si>
    <t>85286200</t>
  </si>
  <si>
    <t>85286920</t>
  </si>
  <si>
    <t>85286980</t>
  </si>
  <si>
    <t>85318040</t>
  </si>
  <si>
    <t>85318070</t>
  </si>
  <si>
    <t>85393920</t>
  </si>
  <si>
    <t>85393980</t>
  </si>
  <si>
    <t>85395000</t>
  </si>
  <si>
    <t>85437001</t>
  </si>
  <si>
    <t>85437002</t>
  </si>
  <si>
    <t>85437003</t>
  </si>
  <si>
    <t>85437004</t>
  </si>
  <si>
    <t>85437005</t>
  </si>
  <si>
    <t>85437006</t>
  </si>
  <si>
    <t>85437007</t>
  </si>
  <si>
    <t>85437008</t>
  </si>
  <si>
    <t>85437009</t>
  </si>
  <si>
    <t>87116010</t>
  </si>
  <si>
    <t>87116090</t>
  </si>
  <si>
    <t>90158020</t>
  </si>
  <si>
    <t>90158040</t>
  </si>
  <si>
    <t>90158080</t>
  </si>
  <si>
    <t>90241020</t>
  </si>
  <si>
    <t>90241040</t>
  </si>
  <si>
    <t>90241080</t>
  </si>
  <si>
    <t>90302000</t>
  </si>
  <si>
    <t>90303320</t>
  </si>
  <si>
    <t>90303330</t>
  </si>
  <si>
    <t>90318020</t>
  </si>
  <si>
    <t>90318080</t>
  </si>
  <si>
    <t>95030087</t>
  </si>
  <si>
    <t>2018</t>
  </si>
  <si>
    <t>85437070</t>
  </si>
  <si>
    <t>2019</t>
  </si>
  <si>
    <t>2020</t>
  </si>
  <si>
    <t>84151090</t>
  </si>
  <si>
    <t>84243001</t>
  </si>
  <si>
    <t>84243008</t>
  </si>
  <si>
    <t>84521011</t>
  </si>
  <si>
    <t>84521019</t>
  </si>
  <si>
    <t>84521090</t>
  </si>
  <si>
    <t>84693000</t>
  </si>
  <si>
    <t>85086000</t>
  </si>
  <si>
    <t>85269120</t>
  </si>
  <si>
    <t>85269200</t>
  </si>
  <si>
    <t>85287115</t>
  </si>
  <si>
    <t>85287119</t>
  </si>
  <si>
    <t>85437030</t>
  </si>
  <si>
    <t>90148000</t>
  </si>
  <si>
    <t>90303100</t>
  </si>
  <si>
    <t>84145920</t>
  </si>
  <si>
    <t>84306100</t>
  </si>
  <si>
    <t>84581900</t>
  </si>
  <si>
    <t>84592900</t>
  </si>
  <si>
    <t>84609000</t>
  </si>
  <si>
    <t>84659120</t>
  </si>
  <si>
    <t>84659190</t>
  </si>
  <si>
    <t>84659600</t>
  </si>
  <si>
    <t>84743100</t>
  </si>
  <si>
    <t>84135080</t>
  </si>
  <si>
    <t>84137021</t>
  </si>
  <si>
    <t>84137030</t>
  </si>
  <si>
    <t>84137051</t>
  </si>
  <si>
    <t>84137081</t>
  </si>
  <si>
    <t>84138100</t>
  </si>
  <si>
    <t>WEEE Calculation Tool</t>
  </si>
  <si>
    <t xml:space="preserve">Commissioned by </t>
  </si>
  <si>
    <t>WEEE calculation tools were developed under the study contract No. 070307/2013/667383/ETU/ENV.A2</t>
  </si>
  <si>
    <t>WEEE calculation tools have been updated under the service contracts No. 07.0202/2016/745655/SER/ENV.B.3, No. ENV.B.3/SER/2019/0014 and No. 090202/2024/919704/SER/ENV.B3</t>
  </si>
  <si>
    <t>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</si>
</sst>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_ * #,##0_ ;_ * \-#,##0_ ;_ * &quot;-&quot;??_ ;_ @_ "/>
    <numFmt numFmtId="166" formatCode="0_ ;\-0\ "/>
    <numFmt numFmtId="167" formatCode="0.0000"/>
    <numFmt numFmtId="168" formatCode="0.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</font>
    <font>
      <sz val="10"/>
      <color theme="0"/>
      <name val="Verdana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theme="1"/>
      <name val="Calibri"/>
      <family val="2"/>
    </font>
    <font>
      <i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hair">
        <color indexed="64"/>
      </top>
      <bottom style="hair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hair">
        <color auto="1"/>
      </right>
      <top/>
      <bottom style="medium">
        <color indexed="64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medium">
        <color rgb="FFE4E4E4"/>
      </left>
      <right style="thin">
        <color theme="0" tint="-0.34998626667073579"/>
      </right>
      <top style="medium">
        <color rgb="FFE4E4E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E4E4E4"/>
      </right>
      <top style="medium">
        <color rgb="FFE4E4E4"/>
      </top>
      <bottom style="thin">
        <color theme="0" tint="-0.34998626667073579"/>
      </bottom>
      <diagonal/>
    </border>
    <border>
      <left style="medium">
        <color rgb="FFE4E4E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rgb="FFE4E4E4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E4E4E4"/>
      </left>
      <right style="thin">
        <color theme="0" tint="-0.34998626667073579"/>
      </right>
      <top style="thin">
        <color theme="0" tint="-0.34998626667073579"/>
      </top>
      <bottom style="medium">
        <color rgb="FFE4E4E4"/>
      </bottom>
      <diagonal/>
    </border>
    <border>
      <left style="thin">
        <color theme="0" tint="-0.34998626667073579"/>
      </left>
      <right style="medium">
        <color rgb="FFE4E4E4"/>
      </right>
      <top style="thin">
        <color theme="0" tint="-0.34998626667073579"/>
      </top>
      <bottom style="medium">
        <color rgb="FFE4E4E4"/>
      </bottom>
      <diagonal/>
    </border>
    <border>
      <left style="thin">
        <color rgb="FFE4E4E4"/>
      </left>
      <right style="thin">
        <color rgb="FFE4E4E4"/>
      </right>
      <top style="thin">
        <color rgb="FFE4E4E4"/>
      </top>
      <bottom style="thin">
        <color rgb="FFE4E4E4"/>
      </bottom>
      <diagonal/>
    </border>
    <border>
      <left style="thin">
        <color rgb="FFE4E4E4"/>
      </left>
      <right/>
      <top style="thin">
        <color rgb="FFE4E4E4"/>
      </top>
      <bottom style="thin">
        <color rgb="FFE4E4E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0" fontId="9" fillId="0" borderId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46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left"/>
    </xf>
    <xf numFmtId="0" fontId="4" fillId="0" borderId="0" xfId="0" applyFont="1"/>
    <xf numFmtId="1" fontId="0" fillId="0" borderId="0" xfId="0" applyNumberFormat="1"/>
    <xf numFmtId="0" fontId="0" fillId="0" borderId="1" xfId="0" applyBorder="1"/>
    <xf numFmtId="0" fontId="2" fillId="0" borderId="1" xfId="0" applyFont="1" applyBorder="1"/>
    <xf numFmtId="0" fontId="2" fillId="0" borderId="0" xfId="0" applyFont="1" applyAlignment="1">
      <alignment horizontal="center"/>
    </xf>
    <xf numFmtId="0" fontId="6" fillId="0" borderId="0" xfId="0" applyFont="1"/>
    <xf numFmtId="0" fontId="8" fillId="0" borderId="3" xfId="2" applyFont="1" applyBorder="1" applyAlignment="1">
      <alignment wrapText="1"/>
    </xf>
    <xf numFmtId="0" fontId="13" fillId="2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13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17" fillId="0" borderId="0" xfId="0" applyFont="1"/>
    <xf numFmtId="0" fontId="0" fillId="2" borderId="0" xfId="0" applyFill="1"/>
    <xf numFmtId="0" fontId="16" fillId="2" borderId="0" xfId="0" applyFont="1" applyFill="1"/>
    <xf numFmtId="0" fontId="5" fillId="2" borderId="0" xfId="0" applyFont="1" applyFill="1"/>
    <xf numFmtId="0" fontId="2" fillId="2" borderId="0" xfId="0" applyFont="1" applyFill="1"/>
    <xf numFmtId="0" fontId="11" fillId="2" borderId="0" xfId="0" applyFont="1" applyFill="1"/>
    <xf numFmtId="0" fontId="0" fillId="3" borderId="2" xfId="0" applyFill="1" applyBorder="1"/>
    <xf numFmtId="0" fontId="21" fillId="2" borderId="0" xfId="0" applyFont="1" applyFill="1" applyAlignment="1">
      <alignment horizontal="center"/>
    </xf>
    <xf numFmtId="0" fontId="20" fillId="2" borderId="0" xfId="0" applyFont="1" applyFill="1"/>
    <xf numFmtId="0" fontId="21" fillId="2" borderId="0" xfId="0" applyFont="1" applyFill="1"/>
    <xf numFmtId="0" fontId="21" fillId="4" borderId="12" xfId="0" applyFont="1" applyFill="1" applyBorder="1" applyAlignment="1">
      <alignment horizontal="center"/>
    </xf>
    <xf numFmtId="2" fontId="20" fillId="2" borderId="0" xfId="13" applyNumberFormat="1" applyFont="1" applyFill="1" applyBorder="1"/>
    <xf numFmtId="9" fontId="20" fillId="2" borderId="0" xfId="13" applyFont="1" applyFill="1" applyBorder="1"/>
    <xf numFmtId="0" fontId="22" fillId="2" borderId="0" xfId="0" applyFont="1" applyFill="1"/>
    <xf numFmtId="0" fontId="23" fillId="2" borderId="0" xfId="0" applyFont="1" applyFill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0" fontId="25" fillId="2" borderId="0" xfId="0" applyFont="1" applyFill="1"/>
    <xf numFmtId="0" fontId="25" fillId="2" borderId="0" xfId="0" applyFont="1" applyFill="1" applyAlignment="1">
      <alignment horizontal="center"/>
    </xf>
    <xf numFmtId="168" fontId="25" fillId="2" borderId="0" xfId="0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1" fontId="26" fillId="2" borderId="0" xfId="0" applyNumberFormat="1" applyFont="1" applyFill="1" applyAlignment="1">
      <alignment horizontal="center"/>
    </xf>
    <xf numFmtId="11" fontId="26" fillId="2" borderId="0" xfId="0" applyNumberFormat="1" applyFont="1" applyFill="1"/>
    <xf numFmtId="0" fontId="20" fillId="2" borderId="0" xfId="1" applyNumberFormat="1" applyFont="1" applyFill="1" applyBorder="1"/>
    <xf numFmtId="10" fontId="20" fillId="2" borderId="0" xfId="13" applyNumberFormat="1" applyFont="1" applyFill="1" applyBorder="1"/>
    <xf numFmtId="1" fontId="20" fillId="2" borderId="0" xfId="13" applyNumberFormat="1" applyFont="1" applyFill="1" applyBorder="1"/>
    <xf numFmtId="0" fontId="0" fillId="2" borderId="0" xfId="0" applyFill="1" applyAlignment="1">
      <alignment horizontal="center"/>
    </xf>
    <xf numFmtId="0" fontId="3" fillId="2" borderId="9" xfId="0" applyFont="1" applyFill="1" applyBorder="1"/>
    <xf numFmtId="0" fontId="0" fillId="2" borderId="9" xfId="0" applyFill="1" applyBorder="1" applyAlignment="1">
      <alignment horizontal="center"/>
    </xf>
    <xf numFmtId="0" fontId="3" fillId="2" borderId="0" xfId="0" applyFont="1" applyFill="1"/>
    <xf numFmtId="0" fontId="0" fillId="2" borderId="0" xfId="0" applyFill="1" applyAlignment="1">
      <alignment horizontal="left"/>
    </xf>
    <xf numFmtId="0" fontId="0" fillId="2" borderId="9" xfId="0" applyFill="1" applyBorder="1" applyAlignment="1">
      <alignment horizontal="left"/>
    </xf>
    <xf numFmtId="0" fontId="12" fillId="2" borderId="0" xfId="0" applyFont="1" applyFill="1"/>
    <xf numFmtId="0" fontId="3" fillId="6" borderId="0" xfId="0" applyFont="1" applyFill="1"/>
    <xf numFmtId="0" fontId="2" fillId="6" borderId="4" xfId="0" applyFont="1" applyFill="1" applyBorder="1"/>
    <xf numFmtId="0" fontId="8" fillId="2" borderId="3" xfId="2" applyFont="1" applyFill="1" applyBorder="1" applyAlignment="1">
      <alignment wrapText="1"/>
    </xf>
    <xf numFmtId="0" fontId="8" fillId="2" borderId="11" xfId="2" applyFont="1" applyFill="1" applyBorder="1" applyAlignment="1">
      <alignment wrapText="1"/>
    </xf>
    <xf numFmtId="0" fontId="11" fillId="2" borderId="0" xfId="0" applyFont="1" applyFill="1" applyAlignment="1">
      <alignment horizontal="left"/>
    </xf>
    <xf numFmtId="0" fontId="11" fillId="2" borderId="0" xfId="0" applyFont="1" applyFill="1" applyAlignment="1">
      <alignment horizontal="center"/>
    </xf>
    <xf numFmtId="0" fontId="29" fillId="2" borderId="0" xfId="0" applyFont="1" applyFill="1"/>
    <xf numFmtId="0" fontId="29" fillId="2" borderId="0" xfId="0" applyFont="1" applyFill="1" applyAlignment="1">
      <alignment horizontal="left"/>
    </xf>
    <xf numFmtId="0" fontId="28" fillId="2" borderId="0" xfId="0" applyFont="1" applyFill="1"/>
    <xf numFmtId="0" fontId="30" fillId="2" borderId="0" xfId="0" applyFont="1" applyFill="1"/>
    <xf numFmtId="0" fontId="31" fillId="2" borderId="0" xfId="2" applyFont="1" applyFill="1"/>
    <xf numFmtId="0" fontId="32" fillId="2" borderId="0" xfId="0" applyFont="1" applyFill="1"/>
    <xf numFmtId="0" fontId="8" fillId="2" borderId="13" xfId="2" applyFont="1" applyFill="1" applyBorder="1" applyAlignment="1">
      <alignment wrapText="1"/>
    </xf>
    <xf numFmtId="0" fontId="8" fillId="2" borderId="14" xfId="2" applyFont="1" applyFill="1" applyBorder="1" applyAlignment="1">
      <alignment wrapText="1"/>
    </xf>
    <xf numFmtId="0" fontId="3" fillId="7" borderId="0" xfId="0" applyFont="1" applyFill="1"/>
    <xf numFmtId="0" fontId="2" fillId="7" borderId="4" xfId="0" applyFont="1" applyFill="1" applyBorder="1"/>
    <xf numFmtId="0" fontId="0" fillId="7" borderId="0" xfId="0" applyFill="1"/>
    <xf numFmtId="0" fontId="0" fillId="8" borderId="2" xfId="0" applyFill="1" applyBorder="1"/>
    <xf numFmtId="0" fontId="0" fillId="2" borderId="16" xfId="0" applyFill="1" applyBorder="1"/>
    <xf numFmtId="0" fontId="34" fillId="2" borderId="0" xfId="0" applyFont="1" applyFill="1"/>
    <xf numFmtId="0" fontId="0" fillId="2" borderId="15" xfId="0" applyFill="1" applyBorder="1"/>
    <xf numFmtId="0" fontId="34" fillId="2" borderId="15" xfId="0" applyFont="1" applyFill="1" applyBorder="1"/>
    <xf numFmtId="0" fontId="36" fillId="2" borderId="5" xfId="0" applyFont="1" applyFill="1" applyBorder="1"/>
    <xf numFmtId="0" fontId="36" fillId="2" borderId="6" xfId="0" applyFont="1" applyFill="1" applyBorder="1"/>
    <xf numFmtId="0" fontId="36" fillId="2" borderId="8" xfId="0" applyFont="1" applyFill="1" applyBorder="1"/>
    <xf numFmtId="0" fontId="36" fillId="2" borderId="9" xfId="0" applyFont="1" applyFill="1" applyBorder="1"/>
    <xf numFmtId="0" fontId="0" fillId="2" borderId="1" xfId="0" applyFill="1" applyBorder="1"/>
    <xf numFmtId="1" fontId="20" fillId="2" borderId="0" xfId="0" applyNumberFormat="1" applyFont="1" applyFill="1"/>
    <xf numFmtId="0" fontId="37" fillId="2" borderId="9" xfId="0" applyFont="1" applyFill="1" applyBorder="1"/>
    <xf numFmtId="0" fontId="33" fillId="2" borderId="9" xfId="0" applyFont="1" applyFill="1" applyBorder="1"/>
    <xf numFmtId="0" fontId="2" fillId="2" borderId="1" xfId="0" applyFont="1" applyFill="1" applyBorder="1"/>
    <xf numFmtId="1" fontId="0" fillId="2" borderId="0" xfId="0" applyNumberFormat="1" applyFill="1"/>
    <xf numFmtId="0" fontId="2" fillId="2" borderId="17" xfId="0" applyFont="1" applyFill="1" applyBorder="1"/>
    <xf numFmtId="0" fontId="3" fillId="2" borderId="17" xfId="0" applyFont="1" applyFill="1" applyBorder="1"/>
    <xf numFmtId="1" fontId="20" fillId="9" borderId="0" xfId="0" applyNumberFormat="1" applyFont="1" applyFill="1"/>
    <xf numFmtId="0" fontId="38" fillId="2" borderId="0" xfId="0" applyFont="1" applyFill="1"/>
    <xf numFmtId="0" fontId="21" fillId="2" borderId="1" xfId="0" applyFont="1" applyFill="1" applyBorder="1"/>
    <xf numFmtId="0" fontId="20" fillId="2" borderId="1" xfId="0" applyFont="1" applyFill="1" applyBorder="1"/>
    <xf numFmtId="0" fontId="26" fillId="2" borderId="0" xfId="0" applyFont="1" applyFill="1"/>
    <xf numFmtId="0" fontId="26" fillId="2" borderId="17" xfId="0" applyFont="1" applyFill="1" applyBorder="1"/>
    <xf numFmtId="0" fontId="21" fillId="2" borderId="17" xfId="0" applyFont="1" applyFill="1" applyBorder="1"/>
    <xf numFmtId="0" fontId="21" fillId="2" borderId="0" xfId="0" applyFont="1" applyFill="1" applyAlignment="1">
      <alignment horizontal="left"/>
    </xf>
    <xf numFmtId="0" fontId="20" fillId="2" borderId="0" xfId="0" applyFont="1" applyFill="1" applyAlignment="1">
      <alignment horizontal="left"/>
    </xf>
    <xf numFmtId="1" fontId="21" fillId="2" borderId="0" xfId="0" applyNumberFormat="1" applyFont="1" applyFill="1"/>
    <xf numFmtId="1" fontId="0" fillId="9" borderId="18" xfId="0" applyNumberFormat="1" applyFill="1" applyBorder="1"/>
    <xf numFmtId="1" fontId="2" fillId="9" borderId="18" xfId="0" applyNumberFormat="1" applyFont="1" applyFill="1" applyBorder="1"/>
    <xf numFmtId="0" fontId="2" fillId="2" borderId="19" xfId="0" applyFont="1" applyFill="1" applyBorder="1"/>
    <xf numFmtId="0" fontId="0" fillId="2" borderId="19" xfId="0" applyFill="1" applyBorder="1"/>
    <xf numFmtId="0" fontId="33" fillId="2" borderId="0" xfId="0" applyFont="1" applyFill="1"/>
    <xf numFmtId="0" fontId="39" fillId="2" borderId="0" xfId="0" applyFont="1" applyFill="1"/>
    <xf numFmtId="2" fontId="21" fillId="4" borderId="12" xfId="1" applyNumberFormat="1" applyFont="1" applyFill="1" applyBorder="1" applyAlignment="1">
      <alignment horizontal="center"/>
    </xf>
    <xf numFmtId="0" fontId="16" fillId="2" borderId="9" xfId="0" applyFont="1" applyFill="1" applyBorder="1"/>
    <xf numFmtId="0" fontId="0" fillId="9" borderId="18" xfId="0" applyFill="1" applyBorder="1"/>
    <xf numFmtId="0" fontId="6" fillId="2" borderId="0" xfId="0" applyFont="1" applyFill="1"/>
    <xf numFmtId="0" fontId="0" fillId="2" borderId="18" xfId="0" applyFill="1" applyBorder="1"/>
    <xf numFmtId="0" fontId="10" fillId="2" borderId="18" xfId="0" applyFont="1" applyFill="1" applyBorder="1"/>
    <xf numFmtId="1" fontId="0" fillId="2" borderId="18" xfId="0" applyNumberFormat="1" applyFill="1" applyBorder="1"/>
    <xf numFmtId="1" fontId="10" fillId="2" borderId="18" xfId="0" applyNumberFormat="1" applyFont="1" applyFill="1" applyBorder="1"/>
    <xf numFmtId="0" fontId="2" fillId="2" borderId="0" xfId="0" applyFont="1" applyFill="1" applyAlignment="1">
      <alignment horizontal="center"/>
    </xf>
    <xf numFmtId="0" fontId="14" fillId="2" borderId="0" xfId="0" applyFont="1" applyFill="1"/>
    <xf numFmtId="0" fontId="0" fillId="2" borderId="18" xfId="0" applyFill="1" applyBorder="1" applyAlignment="1">
      <alignment horizontal="left"/>
    </xf>
    <xf numFmtId="167" fontId="0" fillId="2" borderId="0" xfId="0" applyNumberFormat="1" applyFill="1"/>
    <xf numFmtId="0" fontId="8" fillId="2" borderId="18" xfId="2" applyFont="1" applyFill="1" applyBorder="1" applyAlignment="1">
      <alignment wrapText="1"/>
    </xf>
    <xf numFmtId="0" fontId="0" fillId="2" borderId="18" xfId="0" applyFill="1" applyBorder="1" applyAlignment="1">
      <alignment horizontal="center"/>
    </xf>
    <xf numFmtId="167" fontId="0" fillId="2" borderId="18" xfId="0" applyNumberFormat="1" applyFill="1" applyBorder="1"/>
    <xf numFmtId="0" fontId="0" fillId="2" borderId="18" xfId="0" applyFill="1" applyBorder="1" applyAlignment="1">
      <alignment horizontal="right"/>
    </xf>
    <xf numFmtId="0" fontId="3" fillId="5" borderId="15" xfId="0" applyFont="1" applyFill="1" applyBorder="1"/>
    <xf numFmtId="0" fontId="34" fillId="2" borderId="0" xfId="0" applyFont="1" applyFill="1" applyAlignment="1">
      <alignment horizontal="right"/>
    </xf>
    <xf numFmtId="0" fontId="26" fillId="9" borderId="20" xfId="0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35" fillId="2" borderId="22" xfId="0" applyFont="1" applyFill="1" applyBorder="1" applyAlignment="1">
      <alignment vertical="center"/>
    </xf>
    <xf numFmtId="0" fontId="35" fillId="2" borderId="23" xfId="0" applyFont="1" applyFill="1" applyBorder="1" applyAlignment="1">
      <alignment vertical="center"/>
    </xf>
    <xf numFmtId="0" fontId="35" fillId="2" borderId="24" xfId="0" applyFont="1" applyFill="1" applyBorder="1" applyAlignment="1">
      <alignment vertical="center"/>
    </xf>
    <xf numFmtId="0" fontId="35" fillId="2" borderId="25" xfId="0" applyFont="1" applyFill="1" applyBorder="1" applyAlignment="1">
      <alignment vertical="center"/>
    </xf>
    <xf numFmtId="0" fontId="4" fillId="2" borderId="0" xfId="0" applyFont="1" applyFill="1"/>
    <xf numFmtId="0" fontId="15" fillId="2" borderId="0" xfId="0" applyFont="1" applyFill="1"/>
    <xf numFmtId="2" fontId="0" fillId="2" borderId="26" xfId="0" applyNumberFormat="1" applyFill="1" applyBorder="1"/>
    <xf numFmtId="0" fontId="0" fillId="2" borderId="26" xfId="0" applyFill="1" applyBorder="1"/>
    <xf numFmtId="1" fontId="0" fillId="2" borderId="26" xfId="0" applyNumberFormat="1" applyFill="1" applyBorder="1"/>
    <xf numFmtId="11" fontId="0" fillId="2" borderId="26" xfId="0" applyNumberFormat="1" applyFill="1" applyBorder="1"/>
    <xf numFmtId="166" fontId="0" fillId="2" borderId="26" xfId="1" applyNumberFormat="1" applyFont="1" applyFill="1" applyBorder="1"/>
    <xf numFmtId="165" fontId="0" fillId="2" borderId="26" xfId="1" applyNumberFormat="1" applyFont="1" applyFill="1" applyBorder="1"/>
    <xf numFmtId="1" fontId="0" fillId="2" borderId="27" xfId="0" applyNumberFormat="1" applyFill="1" applyBorder="1"/>
    <xf numFmtId="0" fontId="2" fillId="2" borderId="1" xfId="0" quotePrefix="1" applyFont="1" applyFill="1" applyBorder="1"/>
    <xf numFmtId="0" fontId="27" fillId="2" borderId="0" xfId="0" applyFont="1" applyFill="1"/>
    <xf numFmtId="0" fontId="0" fillId="2" borderId="26" xfId="0" applyFill="1" applyBorder="1" applyAlignment="1">
      <alignment horizontal="left"/>
    </xf>
    <xf numFmtId="0" fontId="40" fillId="2" borderId="0" xfId="0" applyFont="1" applyFill="1"/>
    <xf numFmtId="0" fontId="0" fillId="9" borderId="28" xfId="0" applyFill="1" applyBorder="1"/>
    <xf numFmtId="0" fontId="0" fillId="9" borderId="26" xfId="0" applyFill="1" applyBorder="1"/>
    <xf numFmtId="0" fontId="3" fillId="5" borderId="29" xfId="0" applyFont="1" applyFill="1" applyBorder="1" applyAlignment="1">
      <alignment horizontal="center"/>
    </xf>
    <xf numFmtId="49" fontId="3" fillId="5" borderId="29" xfId="0" applyNumberFormat="1" applyFont="1" applyFill="1" applyBorder="1" applyAlignment="1">
      <alignment horizontal="center"/>
    </xf>
    <xf numFmtId="49" fontId="41" fillId="0" borderId="29" xfId="0" applyNumberFormat="1" applyFont="1" applyBorder="1" applyAlignment="1">
      <alignment horizontal="center"/>
    </xf>
    <xf numFmtId="0" fontId="41" fillId="0" borderId="29" xfId="0" applyFont="1" applyBorder="1" applyAlignment="1">
      <alignment horizontal="center"/>
    </xf>
    <xf numFmtId="0" fontId="42" fillId="0" borderId="0" xfId="0" applyFont="1" applyAlignment="1">
      <alignment vertical="center"/>
    </xf>
    <xf numFmtId="0" fontId="12" fillId="0" borderId="30" xfId="0" applyFont="1" applyBorder="1"/>
    <xf numFmtId="0" fontId="0" fillId="0" borderId="30" xfId="0" applyBorder="1"/>
  </cellXfs>
  <cellStyles count="14">
    <cellStyle name="Comma" xfId="1" builtinId="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  <cellStyle name="Percent" xfId="13" builtinId="5"/>
    <cellStyle name="Standaard_Blad2" xfId="2" xr:uid="{00000000-0005-0000-0000-00000D000000}"/>
  </cellStyles>
  <dxfs count="33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FF000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</dxfs>
  <tableStyles count="0" defaultTableStyle="TableStyleMedium2" defaultPivotStyle="PivotStyleMedium9"/>
  <colors>
    <mruColors>
      <color rgb="FFE4E4E4"/>
      <color rgb="FFF2F2F2"/>
      <color rgb="FFEEEEEE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hartsheet" Target="chartsheets/sheet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19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theme" Target="theme/theme1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chartsheet" Target="chartsheets/sheet4.xml"/><Relationship Id="rId30" Type="http://schemas.openxmlformats.org/officeDocument/2006/relationships/styles" Target="styles.xml"/><Relationship Id="rId8" Type="http://schemas.openxmlformats.org/officeDocument/2006/relationships/chartsheet" Target="chartsheets/sheet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E-Waste</a:t>
            </a:r>
            <a:r>
              <a:rPr lang="nl-NL" baseline="0"/>
              <a:t> generated per year in percentage of POM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878545587207005E-2"/>
          <c:y val="1.6101635052874326E-2"/>
          <c:w val="0.90656892145530132"/>
          <c:h val="0.90460640309143414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GraphLifespan!$E$55:$E$175</c:f>
              <c:numCache>
                <c:formatCode>0</c:formatCode>
                <c:ptCount val="121"/>
                <c:pt idx="0">
                  <c:v>1992.01</c:v>
                </c:pt>
                <c:pt idx="1">
                  <c:v>1992.5</c:v>
                </c:pt>
                <c:pt idx="2">
                  <c:v>1993</c:v>
                </c:pt>
                <c:pt idx="3">
                  <c:v>1993.5</c:v>
                </c:pt>
                <c:pt idx="4">
                  <c:v>1994</c:v>
                </c:pt>
                <c:pt idx="5">
                  <c:v>1994.5</c:v>
                </c:pt>
                <c:pt idx="6">
                  <c:v>1995</c:v>
                </c:pt>
                <c:pt idx="7">
                  <c:v>1995.5</c:v>
                </c:pt>
                <c:pt idx="8">
                  <c:v>1996</c:v>
                </c:pt>
                <c:pt idx="9">
                  <c:v>1996.5</c:v>
                </c:pt>
                <c:pt idx="10">
                  <c:v>1997</c:v>
                </c:pt>
                <c:pt idx="11">
                  <c:v>1997.5</c:v>
                </c:pt>
                <c:pt idx="12">
                  <c:v>1998</c:v>
                </c:pt>
                <c:pt idx="13">
                  <c:v>1998.5</c:v>
                </c:pt>
                <c:pt idx="14">
                  <c:v>1999</c:v>
                </c:pt>
                <c:pt idx="15">
                  <c:v>1999.5</c:v>
                </c:pt>
                <c:pt idx="16">
                  <c:v>2000</c:v>
                </c:pt>
                <c:pt idx="17">
                  <c:v>2000.5</c:v>
                </c:pt>
                <c:pt idx="18">
                  <c:v>2001</c:v>
                </c:pt>
                <c:pt idx="19">
                  <c:v>2001.5</c:v>
                </c:pt>
                <c:pt idx="20">
                  <c:v>2002</c:v>
                </c:pt>
                <c:pt idx="21">
                  <c:v>2002.5</c:v>
                </c:pt>
                <c:pt idx="22">
                  <c:v>2003</c:v>
                </c:pt>
                <c:pt idx="23">
                  <c:v>2003.5</c:v>
                </c:pt>
                <c:pt idx="24">
                  <c:v>2004</c:v>
                </c:pt>
                <c:pt idx="25">
                  <c:v>2004.5</c:v>
                </c:pt>
                <c:pt idx="26">
                  <c:v>2005</c:v>
                </c:pt>
                <c:pt idx="27">
                  <c:v>2005.5</c:v>
                </c:pt>
                <c:pt idx="28">
                  <c:v>2006</c:v>
                </c:pt>
                <c:pt idx="29">
                  <c:v>2006.5</c:v>
                </c:pt>
                <c:pt idx="30">
                  <c:v>2007</c:v>
                </c:pt>
                <c:pt idx="31">
                  <c:v>2007.5</c:v>
                </c:pt>
                <c:pt idx="32">
                  <c:v>2008</c:v>
                </c:pt>
                <c:pt idx="33">
                  <c:v>2008.5</c:v>
                </c:pt>
                <c:pt idx="34">
                  <c:v>2009</c:v>
                </c:pt>
                <c:pt idx="35">
                  <c:v>2009.5</c:v>
                </c:pt>
                <c:pt idx="36">
                  <c:v>2010</c:v>
                </c:pt>
                <c:pt idx="37">
                  <c:v>2010.5</c:v>
                </c:pt>
                <c:pt idx="38">
                  <c:v>2011</c:v>
                </c:pt>
                <c:pt idx="39">
                  <c:v>2011.5</c:v>
                </c:pt>
                <c:pt idx="40">
                  <c:v>2012</c:v>
                </c:pt>
                <c:pt idx="41">
                  <c:v>2012.5</c:v>
                </c:pt>
                <c:pt idx="42">
                  <c:v>2013</c:v>
                </c:pt>
                <c:pt idx="43">
                  <c:v>2013.5</c:v>
                </c:pt>
                <c:pt idx="44">
                  <c:v>2014</c:v>
                </c:pt>
                <c:pt idx="45">
                  <c:v>2014.5</c:v>
                </c:pt>
                <c:pt idx="46">
                  <c:v>2015</c:v>
                </c:pt>
                <c:pt idx="47">
                  <c:v>2015.5</c:v>
                </c:pt>
                <c:pt idx="48">
                  <c:v>2016</c:v>
                </c:pt>
                <c:pt idx="49">
                  <c:v>2016.5</c:v>
                </c:pt>
                <c:pt idx="50">
                  <c:v>2017</c:v>
                </c:pt>
                <c:pt idx="51">
                  <c:v>2017.5</c:v>
                </c:pt>
                <c:pt idx="52">
                  <c:v>2018</c:v>
                </c:pt>
                <c:pt idx="53">
                  <c:v>2018.5</c:v>
                </c:pt>
                <c:pt idx="54">
                  <c:v>2019</c:v>
                </c:pt>
                <c:pt idx="55">
                  <c:v>2019.5</c:v>
                </c:pt>
                <c:pt idx="56">
                  <c:v>2020</c:v>
                </c:pt>
                <c:pt idx="57">
                  <c:v>2020.5</c:v>
                </c:pt>
                <c:pt idx="58">
                  <c:v>2021</c:v>
                </c:pt>
                <c:pt idx="59">
                  <c:v>2021.5</c:v>
                </c:pt>
                <c:pt idx="60">
                  <c:v>2022</c:v>
                </c:pt>
                <c:pt idx="61">
                  <c:v>2022.5</c:v>
                </c:pt>
                <c:pt idx="62">
                  <c:v>2023</c:v>
                </c:pt>
                <c:pt idx="63">
                  <c:v>2023.5</c:v>
                </c:pt>
                <c:pt idx="64">
                  <c:v>2024</c:v>
                </c:pt>
                <c:pt idx="65">
                  <c:v>2024.5</c:v>
                </c:pt>
                <c:pt idx="66">
                  <c:v>2025</c:v>
                </c:pt>
                <c:pt idx="67">
                  <c:v>2025.5</c:v>
                </c:pt>
                <c:pt idx="68">
                  <c:v>2026</c:v>
                </c:pt>
                <c:pt idx="69">
                  <c:v>2026.5</c:v>
                </c:pt>
                <c:pt idx="70">
                  <c:v>2027</c:v>
                </c:pt>
                <c:pt idx="71">
                  <c:v>2027.5</c:v>
                </c:pt>
                <c:pt idx="72">
                  <c:v>2028</c:v>
                </c:pt>
                <c:pt idx="73">
                  <c:v>2028.5</c:v>
                </c:pt>
                <c:pt idx="74">
                  <c:v>2029</c:v>
                </c:pt>
                <c:pt idx="75">
                  <c:v>2029.5</c:v>
                </c:pt>
                <c:pt idx="76">
                  <c:v>2030</c:v>
                </c:pt>
                <c:pt idx="77">
                  <c:v>2030.5</c:v>
                </c:pt>
                <c:pt idx="78">
                  <c:v>2031</c:v>
                </c:pt>
                <c:pt idx="79">
                  <c:v>2031.5</c:v>
                </c:pt>
                <c:pt idx="80">
                  <c:v>2032</c:v>
                </c:pt>
                <c:pt idx="81">
                  <c:v>2032.5</c:v>
                </c:pt>
                <c:pt idx="82">
                  <c:v>2033</c:v>
                </c:pt>
                <c:pt idx="83">
                  <c:v>2033.5</c:v>
                </c:pt>
                <c:pt idx="84">
                  <c:v>2034</c:v>
                </c:pt>
                <c:pt idx="85">
                  <c:v>2034.5</c:v>
                </c:pt>
                <c:pt idx="86">
                  <c:v>2035</c:v>
                </c:pt>
                <c:pt idx="87">
                  <c:v>2035.5</c:v>
                </c:pt>
                <c:pt idx="88">
                  <c:v>2036</c:v>
                </c:pt>
                <c:pt idx="89">
                  <c:v>2036.5</c:v>
                </c:pt>
                <c:pt idx="90">
                  <c:v>2037</c:v>
                </c:pt>
                <c:pt idx="91">
                  <c:v>2037.5</c:v>
                </c:pt>
                <c:pt idx="92">
                  <c:v>2038</c:v>
                </c:pt>
                <c:pt idx="93">
                  <c:v>2038.5</c:v>
                </c:pt>
                <c:pt idx="94">
                  <c:v>2039</c:v>
                </c:pt>
                <c:pt idx="95">
                  <c:v>2039.5</c:v>
                </c:pt>
                <c:pt idx="96">
                  <c:v>2040</c:v>
                </c:pt>
                <c:pt idx="97">
                  <c:v>2040.5</c:v>
                </c:pt>
                <c:pt idx="98">
                  <c:v>2041</c:v>
                </c:pt>
                <c:pt idx="99">
                  <c:v>2041.5</c:v>
                </c:pt>
                <c:pt idx="100">
                  <c:v>2042</c:v>
                </c:pt>
                <c:pt idx="101">
                  <c:v>2042.5</c:v>
                </c:pt>
                <c:pt idx="102">
                  <c:v>2043</c:v>
                </c:pt>
                <c:pt idx="103">
                  <c:v>2043.5</c:v>
                </c:pt>
                <c:pt idx="104">
                  <c:v>2044</c:v>
                </c:pt>
                <c:pt idx="105">
                  <c:v>2044.5</c:v>
                </c:pt>
                <c:pt idx="106">
                  <c:v>2045</c:v>
                </c:pt>
                <c:pt idx="107">
                  <c:v>2045.5</c:v>
                </c:pt>
                <c:pt idx="108">
                  <c:v>2046</c:v>
                </c:pt>
                <c:pt idx="109">
                  <c:v>2046.5</c:v>
                </c:pt>
                <c:pt idx="110">
                  <c:v>2047</c:v>
                </c:pt>
                <c:pt idx="111">
                  <c:v>2047.5</c:v>
                </c:pt>
                <c:pt idx="112">
                  <c:v>2048</c:v>
                </c:pt>
                <c:pt idx="113">
                  <c:v>2048.5</c:v>
                </c:pt>
                <c:pt idx="114">
                  <c:v>2049</c:v>
                </c:pt>
                <c:pt idx="115">
                  <c:v>2049.5</c:v>
                </c:pt>
                <c:pt idx="116">
                  <c:v>2050</c:v>
                </c:pt>
                <c:pt idx="117">
                  <c:v>2050.5</c:v>
                </c:pt>
                <c:pt idx="118">
                  <c:v>2051</c:v>
                </c:pt>
                <c:pt idx="119">
                  <c:v>2051.5</c:v>
                </c:pt>
                <c:pt idx="120">
                  <c:v>2052</c:v>
                </c:pt>
              </c:numCache>
            </c:numRef>
          </c:xVal>
          <c:yVal>
            <c:numRef>
              <c:f>GraphLifespan!$B$55:$B$175</c:f>
              <c:numCache>
                <c:formatCode>0.00%</c:formatCode>
                <c:ptCount val="121"/>
                <c:pt idx="0">
                  <c:v>6.1183315921578543E-5</c:v>
                </c:pt>
                <c:pt idx="1">
                  <c:v>3.0568280010903988E-3</c:v>
                </c:pt>
                <c:pt idx="2">
                  <c:v>6.0996450617139758E-3</c:v>
                </c:pt>
                <c:pt idx="3">
                  <c:v>9.1145472185598011E-3</c:v>
                </c:pt>
                <c:pt idx="4">
                  <c:v>1.2087843319693457E-2</c:v>
                </c:pt>
                <c:pt idx="5">
                  <c:v>1.500615858859901E-2</c:v>
                </c:pt>
                <c:pt idx="6">
                  <c:v>1.7856534821919595E-2</c:v>
                </c:pt>
                <c:pt idx="7">
                  <c:v>2.0626526170802007E-2</c:v>
                </c:pt>
                <c:pt idx="8">
                  <c:v>2.3304289515917703E-2</c:v>
                </c:pt>
                <c:pt idx="9">
                  <c:v>2.5878668519536956E-2</c:v>
                </c:pt>
                <c:pt idx="10">
                  <c:v>2.8339270523260535E-2</c:v>
                </c:pt>
                <c:pt idx="11">
                  <c:v>3.0676535555761376E-2</c:v>
                </c:pt>
                <c:pt idx="12">
                  <c:v>3.2881796819591476E-2</c:v>
                </c:pt>
                <c:pt idx="13">
                  <c:v>3.4947332138071385E-2</c:v>
                </c:pt>
                <c:pt idx="14">
                  <c:v>3.6866405960704222E-2</c:v>
                </c:pt>
                <c:pt idx="15">
                  <c:v>3.8633301646583428E-2</c:v>
                </c:pt>
                <c:pt idx="16">
                  <c:v>4.0243343868001998E-2</c:v>
                </c:pt>
                <c:pt idx="17">
                  <c:v>4.1692911099033697E-2</c:v>
                </c:pt>
                <c:pt idx="18">
                  <c:v>4.297943827439616E-2</c:v>
                </c:pt>
                <c:pt idx="19">
                  <c:v>4.4101409820645636E-2</c:v>
                </c:pt>
                <c:pt idx="20">
                  <c:v>4.5058343373016903E-2</c:v>
                </c:pt>
                <c:pt idx="21">
                  <c:v>4.5850764595466977E-2</c:v>
                </c:pt>
                <c:pt idx="22">
                  <c:v>4.6480173617316517E-2</c:v>
                </c:pt>
                <c:pt idx="23">
                  <c:v>4.6949003686093692E-2</c:v>
                </c:pt>
                <c:pt idx="24">
                  <c:v>4.726057271175247E-2</c:v>
                </c:pt>
                <c:pt idx="25">
                  <c:v>4.7419028441542894E-2</c:v>
                </c:pt>
                <c:pt idx="26">
                  <c:v>4.7429288056858102E-2</c:v>
                </c:pt>
                <c:pt idx="27">
                  <c:v>4.7296973022984683E-2</c:v>
                </c:pt>
                <c:pt idx="28">
                  <c:v>4.7028340049679832E-2</c:v>
                </c:pt>
                <c:pt idx="29">
                  <c:v>4.6630209034937385E-2</c:v>
                </c:pt>
                <c:pt idx="30">
                  <c:v>4.6109888866439817E-2</c:v>
                </c:pt>
                <c:pt idx="31">
                  <c:v>4.5475101945474536E-2</c:v>
                </c:pt>
                <c:pt idx="32">
                  <c:v>4.4733908277139377E-2</c:v>
                </c:pt>
                <c:pt idx="33">
                  <c:v>4.3894629939264324E-2</c:v>
                </c:pt>
                <c:pt idx="34">
                  <c:v>4.2965776701549024E-2</c:v>
                </c:pt>
                <c:pt idx="35">
                  <c:v>4.1955973516999791E-2</c:v>
                </c:pt>
                <c:pt idx="36">
                  <c:v>4.0873890550973541E-2</c:v>
                </c:pt>
                <c:pt idx="37">
                  <c:v>3.9728176350195571E-2</c:v>
                </c:pt>
                <c:pt idx="38">
                  <c:v>3.8527394686252811E-2</c:v>
                </c:pt>
                <c:pt idx="39">
                  <c:v>3.7279965536533788E-2</c:v>
                </c:pt>
                <c:pt idx="40">
                  <c:v>3.5994110591642946E-2</c:v>
                </c:pt>
                <c:pt idx="41">
                  <c:v>3.4677803603186917E-2</c:v>
                </c:pt>
                <c:pt idx="42">
                  <c:v>3.3338725810695892E-2</c:v>
                </c:pt>
                <c:pt idx="43">
                  <c:v>3.1984226612415179E-2</c:v>
                </c:pt>
                <c:pt idx="44">
                  <c:v>3.0621289572814504E-2</c:v>
                </c:pt>
                <c:pt idx="45">
                  <c:v>2.9256503790852959E-2</c:v>
                </c:pt>
                <c:pt idx="46">
                  <c:v>2.789604058813594E-2</c:v>
                </c:pt>
                <c:pt idx="47">
                  <c:v>2.6545635415821306E-2</c:v>
                </c:pt>
                <c:pt idx="48">
                  <c:v>2.5210574824076699E-2</c:v>
                </c:pt>
                <c:pt idx="49">
                  <c:v>2.3895688288524255E-2</c:v>
                </c:pt>
                <c:pt idx="50">
                  <c:v>2.2605344644788868E-2</c:v>
                </c:pt>
                <c:pt idx="51">
                  <c:v>2.1343452845215584E-2</c:v>
                </c:pt>
                <c:pt idx="52">
                  <c:v>2.011346672115373E-2</c:v>
                </c:pt>
                <c:pt idx="53">
                  <c:v>1.8918393409919403E-2</c:v>
                </c:pt>
                <c:pt idx="54">
                  <c:v>1.7760805087539591E-2</c:v>
                </c:pt>
                <c:pt idx="55">
                  <c:v>1.6642853636455193E-2</c:v>
                </c:pt>
                <c:pt idx="56">
                  <c:v>1.5566287871234132E-2</c:v>
                </c:pt>
                <c:pt idx="57">
                  <c:v>1.4532472944666719E-2</c:v>
                </c:pt>
                <c:pt idx="58">
                  <c:v>1.3542411560970616E-2</c:v>
                </c:pt>
                <c:pt idx="59">
                  <c:v>1.2596766631758561E-2</c:v>
                </c:pt>
                <c:pt idx="60">
                  <c:v>1.1695885023420212E-2</c:v>
                </c:pt>
                <c:pt idx="61">
                  <c:v>1.0839822061115613E-2</c:v>
                </c:pt>
                <c:pt idx="62">
                  <c:v>1.0028366474134571E-2</c:v>
                </c:pt>
                <c:pt idx="63">
                  <c:v>9.2610654894026388E-3</c:v>
                </c:pt>
                <c:pt idx="64">
                  <c:v>8.5372498038760285E-3</c:v>
                </c:pt>
                <c:pt idx="65">
                  <c:v>7.8560581919459218E-3</c:v>
                </c:pt>
                <c:pt idx="66">
                  <c:v>7.2164615302721825E-3</c:v>
                </c:pt>
                <c:pt idx="67">
                  <c:v>6.6172860492196197E-3</c:v>
                </c:pt>
                <c:pt idx="68">
                  <c:v>6.0572356468481699E-3</c:v>
                </c:pt>
                <c:pt idx="69">
                  <c:v>5.5349131278182263E-3</c:v>
                </c:pt>
                <c:pt idx="70">
                  <c:v>5.0488402552660286E-3</c:v>
                </c:pt>
                <c:pt idx="71">
                  <c:v>4.5974765283772756E-3</c:v>
                </c:pt>
                <c:pt idx="72">
                  <c:v>4.1792366217811355E-3</c:v>
                </c:pt>
                <c:pt idx="73">
                  <c:v>3.792506444789033E-3</c:v>
                </c:pt>
                <c:pt idx="74">
                  <c:v>3.4356577987450518E-3</c:v>
                </c:pt>
                <c:pt idx="75">
                  <c:v>3.1070616292129222E-3</c:v>
                </c:pt>
                <c:pt idx="76">
                  <c:v>2.8050998863149452E-3</c:v>
                </c:pt>
                <c:pt idx="77">
                  <c:v>2.5281760212158577E-3</c:v>
                </c:pt>
                <c:pt idx="78">
                  <c:v>2.2747241594989606E-3</c:v>
                </c:pt>
                <c:pt idx="79">
                  <c:v>2.0432170030354265E-3</c:v>
                </c:pt>
                <c:pt idx="80">
                  <c:v>1.8321725209488121E-3</c:v>
                </c:pt>
                <c:pt idx="81">
                  <c:v>1.6401594974996597E-3</c:v>
                </c:pt>
                <c:pt idx="82">
                  <c:v>1.4658020102526381E-3</c:v>
                </c:pt>
                <c:pt idx="83">
                  <c:v>1.3077829158508237E-3</c:v>
                </c:pt>
                <c:pt idx="84">
                  <c:v>1.1648464232306564E-3</c:v>
                </c:pt>
                <c:pt idx="85">
                  <c:v>1.0357998352976423E-3</c:v>
                </c:pt>
                <c:pt idx="86">
                  <c:v>9.1951454008462586E-4</c:v>
                </c:pt>
                <c:pt idx="87">
                  <c:v>8.149263313700436E-4</c:v>
                </c:pt>
                <c:pt idx="88">
                  <c:v>7.2103513678325494E-4</c:v>
                </c:pt>
                <c:pt idx="89">
                  <c:v>6.3690422870448589E-4</c:v>
                </c:pt>
                <c:pt idx="90">
                  <c:v>5.6165898991087206E-4</c:v>
                </c:pt>
                <c:pt idx="91">
                  <c:v>4.9448530205376212E-4</c:v>
                </c:pt>
                <c:pt idx="92">
                  <c:v>4.3462762079478064E-4</c:v>
                </c:pt>
                <c:pt idx="93">
                  <c:v>3.8138679688897315E-4</c:v>
                </c:pt>
                <c:pt idx="94">
                  <c:v>3.3411769778333761E-4</c:v>
                </c:pt>
                <c:pt idx="95">
                  <c:v>2.9222667948863412E-4</c:v>
                </c:pt>
                <c:pt idx="96">
                  <c:v>2.5516895366181608E-4</c:v>
                </c:pt>
                <c:pt idx="97">
                  <c:v>2.2244589007575018E-4</c:v>
                </c:pt>
                <c:pt idx="98">
                  <c:v>1.9360229001173248E-4</c:v>
                </c:pt>
                <c:pt idx="99">
                  <c:v>1.682236616387927E-4</c:v>
                </c:pt>
                <c:pt idx="100">
                  <c:v>1.459335241823606E-4</c:v>
                </c:pt>
                <c:pt idx="101">
                  <c:v>1.2639076366544727E-4</c:v>
                </c:pt>
                <c:pt idx="102">
                  <c:v>1.0928705925166145E-4</c:v>
                </c:pt>
                <c:pt idx="103">
                  <c:v>9.4344395747472936E-5</c:v>
                </c:pt>
                <c:pt idx="104">
                  <c:v>8.1312674640665974E-5</c:v>
                </c:pt>
                <c:pt idx="105">
                  <c:v>6.9967433166631161E-5</c:v>
                </c:pt>
                <c:pt idx="106">
                  <c:v>6.0107678302637215E-5</c:v>
                </c:pt>
                <c:pt idx="107">
                  <c:v>5.1553840286656655E-5</c:v>
                </c:pt>
                <c:pt idx="108">
                  <c:v>4.4145848232350697E-5</c:v>
                </c:pt>
                <c:pt idx="109">
                  <c:v>3.7741328653036152E-5</c:v>
                </c:pt>
                <c:pt idx="110">
                  <c:v>3.2213926200234575E-5</c:v>
                </c:pt>
                <c:pt idx="111">
                  <c:v>2.7451744650320493E-5</c:v>
                </c:pt>
                <c:pt idx="112">
                  <c:v>2.335590511833497E-5</c:v>
                </c:pt>
                <c:pt idx="113">
                  <c:v>1.9839217622880455E-5</c:v>
                </c:pt>
                <c:pt idx="114">
                  <c:v>1.6824961451663283E-5</c:v>
                </c:pt>
                <c:pt idx="115">
                  <c:v>1.4245769265153498E-5</c:v>
                </c:pt>
                <c:pt idx="116">
                  <c:v>1.2042609507906505E-5</c:v>
                </c:pt>
                <c:pt idx="117">
                  <c:v>1.0163861455789604E-5</c:v>
                </c:pt>
                <c:pt idx="118">
                  <c:v>8.5644770960011806E-6</c:v>
                </c:pt>
                <c:pt idx="119">
                  <c:v>7.2052239996188672E-6</c:v>
                </c:pt>
                <c:pt idx="120">
                  <c:v>6.0520033888070867E-6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25-4FE9-A738-04CB1F915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5176"/>
        <c:axId val="166349880"/>
      </c:scatterChart>
      <c:valAx>
        <c:axId val="166275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6349880"/>
        <c:crosses val="autoZero"/>
        <c:crossBetween val="midCat"/>
      </c:valAx>
      <c:valAx>
        <c:axId val="166349880"/>
        <c:scaling>
          <c:orientation val="minMax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66275176"/>
        <c:crosses val="autoZero"/>
        <c:crossBetween val="midCat"/>
      </c:valAx>
      <c:spPr>
        <a:solidFill>
          <a:schemeClr val="accent5">
            <a:lumMod val="40000"/>
            <a:lumOff val="60000"/>
          </a:schemeClr>
        </a:solidFill>
      </c:spPr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sz="1800" b="1" i="0" baseline="0">
                <a:effectLst/>
              </a:rPr>
              <a:t>E-Waste generated per year in percentage of POM (cumulative)</a:t>
            </a:r>
            <a:endParaRPr lang="nl-NL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l-NL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878545587207005E-2"/>
          <c:y val="1.6101635052874326E-2"/>
          <c:w val="0.90656892145530132"/>
          <c:h val="0.90460640309143414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GraphLifespan!$E$55:$E$175</c:f>
              <c:numCache>
                <c:formatCode>0</c:formatCode>
                <c:ptCount val="121"/>
                <c:pt idx="0">
                  <c:v>1992.01</c:v>
                </c:pt>
                <c:pt idx="1">
                  <c:v>1992.5</c:v>
                </c:pt>
                <c:pt idx="2">
                  <c:v>1993</c:v>
                </c:pt>
                <c:pt idx="3">
                  <c:v>1993.5</c:v>
                </c:pt>
                <c:pt idx="4">
                  <c:v>1994</c:v>
                </c:pt>
                <c:pt idx="5">
                  <c:v>1994.5</c:v>
                </c:pt>
                <c:pt idx="6">
                  <c:v>1995</c:v>
                </c:pt>
                <c:pt idx="7">
                  <c:v>1995.5</c:v>
                </c:pt>
                <c:pt idx="8">
                  <c:v>1996</c:v>
                </c:pt>
                <c:pt idx="9">
                  <c:v>1996.5</c:v>
                </c:pt>
                <c:pt idx="10">
                  <c:v>1997</c:v>
                </c:pt>
                <c:pt idx="11">
                  <c:v>1997.5</c:v>
                </c:pt>
                <c:pt idx="12">
                  <c:v>1998</c:v>
                </c:pt>
                <c:pt idx="13">
                  <c:v>1998.5</c:v>
                </c:pt>
                <c:pt idx="14">
                  <c:v>1999</c:v>
                </c:pt>
                <c:pt idx="15">
                  <c:v>1999.5</c:v>
                </c:pt>
                <c:pt idx="16">
                  <c:v>2000</c:v>
                </c:pt>
                <c:pt idx="17">
                  <c:v>2000.5</c:v>
                </c:pt>
                <c:pt idx="18">
                  <c:v>2001</c:v>
                </c:pt>
                <c:pt idx="19">
                  <c:v>2001.5</c:v>
                </c:pt>
                <c:pt idx="20">
                  <c:v>2002</c:v>
                </c:pt>
                <c:pt idx="21">
                  <c:v>2002.5</c:v>
                </c:pt>
                <c:pt idx="22">
                  <c:v>2003</c:v>
                </c:pt>
                <c:pt idx="23">
                  <c:v>2003.5</c:v>
                </c:pt>
                <c:pt idx="24">
                  <c:v>2004</c:v>
                </c:pt>
                <c:pt idx="25">
                  <c:v>2004.5</c:v>
                </c:pt>
                <c:pt idx="26">
                  <c:v>2005</c:v>
                </c:pt>
                <c:pt idx="27">
                  <c:v>2005.5</c:v>
                </c:pt>
                <c:pt idx="28">
                  <c:v>2006</c:v>
                </c:pt>
                <c:pt idx="29">
                  <c:v>2006.5</c:v>
                </c:pt>
                <c:pt idx="30">
                  <c:v>2007</c:v>
                </c:pt>
                <c:pt idx="31">
                  <c:v>2007.5</c:v>
                </c:pt>
                <c:pt idx="32">
                  <c:v>2008</c:v>
                </c:pt>
                <c:pt idx="33">
                  <c:v>2008.5</c:v>
                </c:pt>
                <c:pt idx="34">
                  <c:v>2009</c:v>
                </c:pt>
                <c:pt idx="35">
                  <c:v>2009.5</c:v>
                </c:pt>
                <c:pt idx="36">
                  <c:v>2010</c:v>
                </c:pt>
                <c:pt idx="37">
                  <c:v>2010.5</c:v>
                </c:pt>
                <c:pt idx="38">
                  <c:v>2011</c:v>
                </c:pt>
                <c:pt idx="39">
                  <c:v>2011.5</c:v>
                </c:pt>
                <c:pt idx="40">
                  <c:v>2012</c:v>
                </c:pt>
                <c:pt idx="41">
                  <c:v>2012.5</c:v>
                </c:pt>
                <c:pt idx="42">
                  <c:v>2013</c:v>
                </c:pt>
                <c:pt idx="43">
                  <c:v>2013.5</c:v>
                </c:pt>
                <c:pt idx="44">
                  <c:v>2014</c:v>
                </c:pt>
                <c:pt idx="45">
                  <c:v>2014.5</c:v>
                </c:pt>
                <c:pt idx="46">
                  <c:v>2015</c:v>
                </c:pt>
                <c:pt idx="47">
                  <c:v>2015.5</c:v>
                </c:pt>
                <c:pt idx="48">
                  <c:v>2016</c:v>
                </c:pt>
                <c:pt idx="49">
                  <c:v>2016.5</c:v>
                </c:pt>
                <c:pt idx="50">
                  <c:v>2017</c:v>
                </c:pt>
                <c:pt idx="51">
                  <c:v>2017.5</c:v>
                </c:pt>
                <c:pt idx="52">
                  <c:v>2018</c:v>
                </c:pt>
                <c:pt idx="53">
                  <c:v>2018.5</c:v>
                </c:pt>
                <c:pt idx="54">
                  <c:v>2019</c:v>
                </c:pt>
                <c:pt idx="55">
                  <c:v>2019.5</c:v>
                </c:pt>
                <c:pt idx="56">
                  <c:v>2020</c:v>
                </c:pt>
                <c:pt idx="57">
                  <c:v>2020.5</c:v>
                </c:pt>
                <c:pt idx="58">
                  <c:v>2021</c:v>
                </c:pt>
                <c:pt idx="59">
                  <c:v>2021.5</c:v>
                </c:pt>
                <c:pt idx="60">
                  <c:v>2022</c:v>
                </c:pt>
                <c:pt idx="61">
                  <c:v>2022.5</c:v>
                </c:pt>
                <c:pt idx="62">
                  <c:v>2023</c:v>
                </c:pt>
                <c:pt idx="63">
                  <c:v>2023.5</c:v>
                </c:pt>
                <c:pt idx="64">
                  <c:v>2024</c:v>
                </c:pt>
                <c:pt idx="65">
                  <c:v>2024.5</c:v>
                </c:pt>
                <c:pt idx="66">
                  <c:v>2025</c:v>
                </c:pt>
                <c:pt idx="67">
                  <c:v>2025.5</c:v>
                </c:pt>
                <c:pt idx="68">
                  <c:v>2026</c:v>
                </c:pt>
                <c:pt idx="69">
                  <c:v>2026.5</c:v>
                </c:pt>
                <c:pt idx="70">
                  <c:v>2027</c:v>
                </c:pt>
                <c:pt idx="71">
                  <c:v>2027.5</c:v>
                </c:pt>
                <c:pt idx="72">
                  <c:v>2028</c:v>
                </c:pt>
                <c:pt idx="73">
                  <c:v>2028.5</c:v>
                </c:pt>
                <c:pt idx="74">
                  <c:v>2029</c:v>
                </c:pt>
                <c:pt idx="75">
                  <c:v>2029.5</c:v>
                </c:pt>
                <c:pt idx="76">
                  <c:v>2030</c:v>
                </c:pt>
                <c:pt idx="77">
                  <c:v>2030.5</c:v>
                </c:pt>
                <c:pt idx="78">
                  <c:v>2031</c:v>
                </c:pt>
                <c:pt idx="79">
                  <c:v>2031.5</c:v>
                </c:pt>
                <c:pt idx="80">
                  <c:v>2032</c:v>
                </c:pt>
                <c:pt idx="81">
                  <c:v>2032.5</c:v>
                </c:pt>
                <c:pt idx="82">
                  <c:v>2033</c:v>
                </c:pt>
                <c:pt idx="83">
                  <c:v>2033.5</c:v>
                </c:pt>
                <c:pt idx="84">
                  <c:v>2034</c:v>
                </c:pt>
                <c:pt idx="85">
                  <c:v>2034.5</c:v>
                </c:pt>
                <c:pt idx="86">
                  <c:v>2035</c:v>
                </c:pt>
                <c:pt idx="87">
                  <c:v>2035.5</c:v>
                </c:pt>
                <c:pt idx="88">
                  <c:v>2036</c:v>
                </c:pt>
                <c:pt idx="89">
                  <c:v>2036.5</c:v>
                </c:pt>
                <c:pt idx="90">
                  <c:v>2037</c:v>
                </c:pt>
                <c:pt idx="91">
                  <c:v>2037.5</c:v>
                </c:pt>
                <c:pt idx="92">
                  <c:v>2038</c:v>
                </c:pt>
                <c:pt idx="93">
                  <c:v>2038.5</c:v>
                </c:pt>
                <c:pt idx="94">
                  <c:v>2039</c:v>
                </c:pt>
                <c:pt idx="95">
                  <c:v>2039.5</c:v>
                </c:pt>
                <c:pt idx="96">
                  <c:v>2040</c:v>
                </c:pt>
                <c:pt idx="97">
                  <c:v>2040.5</c:v>
                </c:pt>
                <c:pt idx="98">
                  <c:v>2041</c:v>
                </c:pt>
                <c:pt idx="99">
                  <c:v>2041.5</c:v>
                </c:pt>
                <c:pt idx="100">
                  <c:v>2042</c:v>
                </c:pt>
                <c:pt idx="101">
                  <c:v>2042.5</c:v>
                </c:pt>
                <c:pt idx="102">
                  <c:v>2043</c:v>
                </c:pt>
                <c:pt idx="103">
                  <c:v>2043.5</c:v>
                </c:pt>
                <c:pt idx="104">
                  <c:v>2044</c:v>
                </c:pt>
                <c:pt idx="105">
                  <c:v>2044.5</c:v>
                </c:pt>
                <c:pt idx="106">
                  <c:v>2045</c:v>
                </c:pt>
                <c:pt idx="107">
                  <c:v>2045.5</c:v>
                </c:pt>
                <c:pt idx="108">
                  <c:v>2046</c:v>
                </c:pt>
                <c:pt idx="109">
                  <c:v>2046.5</c:v>
                </c:pt>
                <c:pt idx="110">
                  <c:v>2047</c:v>
                </c:pt>
                <c:pt idx="111">
                  <c:v>2047.5</c:v>
                </c:pt>
                <c:pt idx="112">
                  <c:v>2048</c:v>
                </c:pt>
                <c:pt idx="113">
                  <c:v>2048.5</c:v>
                </c:pt>
                <c:pt idx="114">
                  <c:v>2049</c:v>
                </c:pt>
                <c:pt idx="115">
                  <c:v>2049.5</c:v>
                </c:pt>
                <c:pt idx="116">
                  <c:v>2050</c:v>
                </c:pt>
                <c:pt idx="117">
                  <c:v>2050.5</c:v>
                </c:pt>
                <c:pt idx="118">
                  <c:v>2051</c:v>
                </c:pt>
                <c:pt idx="119">
                  <c:v>2051.5</c:v>
                </c:pt>
                <c:pt idx="120">
                  <c:v>2052</c:v>
                </c:pt>
              </c:numCache>
            </c:numRef>
          </c:xVal>
          <c:yVal>
            <c:numRef>
              <c:f>GraphLifespan!$C$55:$C$175</c:f>
              <c:numCache>
                <c:formatCode>0.00</c:formatCode>
                <c:ptCount val="121"/>
                <c:pt idx="0">
                  <c:v>6.1183315921578545E-6</c:v>
                </c:pt>
                <c:pt idx="1">
                  <c:v>1.5345323321373572E-3</c:v>
                </c:pt>
                <c:pt idx="2">
                  <c:v>4.5843548629943449E-3</c:v>
                </c:pt>
                <c:pt idx="3">
                  <c:v>9.1416284722742464E-3</c:v>
                </c:pt>
                <c:pt idx="4">
                  <c:v>1.5185550132120975E-2</c:v>
                </c:pt>
                <c:pt idx="5">
                  <c:v>2.2688629426420481E-2</c:v>
                </c:pt>
                <c:pt idx="6">
                  <c:v>3.1616896837380282E-2</c:v>
                </c:pt>
                <c:pt idx="7">
                  <c:v>4.1930159922781284E-2</c:v>
                </c:pt>
                <c:pt idx="8">
                  <c:v>5.3582304680740135E-2</c:v>
                </c:pt>
                <c:pt idx="9">
                  <c:v>6.6521638940508609E-2</c:v>
                </c:pt>
                <c:pt idx="10">
                  <c:v>8.0691274202138882E-2</c:v>
                </c:pt>
                <c:pt idx="11">
                  <c:v>9.6029541980019575E-2</c:v>
                </c:pt>
                <c:pt idx="12">
                  <c:v>0.11247044038981531</c:v>
                </c:pt>
                <c:pt idx="13">
                  <c:v>0.12994410645885102</c:v>
                </c:pt>
                <c:pt idx="14">
                  <c:v>0.14837730943920313</c:v>
                </c:pt>
                <c:pt idx="15">
                  <c:v>0.16769396026249483</c:v>
                </c:pt>
                <c:pt idx="16">
                  <c:v>0.18781563219649583</c:v>
                </c:pt>
                <c:pt idx="17">
                  <c:v>0.20866208774601269</c:v>
                </c:pt>
                <c:pt idx="18">
                  <c:v>0.23015180688321077</c:v>
                </c:pt>
                <c:pt idx="19">
                  <c:v>0.25220251179353359</c:v>
                </c:pt>
                <c:pt idx="20">
                  <c:v>0.27473168348004207</c:v>
                </c:pt>
                <c:pt idx="21">
                  <c:v>0.29765706577777556</c:v>
                </c:pt>
                <c:pt idx="22">
                  <c:v>0.32089715258643381</c:v>
                </c:pt>
                <c:pt idx="23">
                  <c:v>0.34437165442948064</c:v>
                </c:pt>
                <c:pt idx="24">
                  <c:v>0.36800194078535686</c:v>
                </c:pt>
                <c:pt idx="25">
                  <c:v>0.39171145500612831</c:v>
                </c:pt>
                <c:pt idx="26">
                  <c:v>0.41542609903455735</c:v>
                </c:pt>
                <c:pt idx="27">
                  <c:v>0.43907458554604967</c:v>
                </c:pt>
                <c:pt idx="28">
                  <c:v>0.46258875557088958</c:v>
                </c:pt>
                <c:pt idx="29">
                  <c:v>0.48590386008835829</c:v>
                </c:pt>
                <c:pt idx="30">
                  <c:v>0.50895880452157816</c:v>
                </c:pt>
                <c:pt idx="31">
                  <c:v>0.53169635549431538</c:v>
                </c:pt>
                <c:pt idx="32">
                  <c:v>0.55406330963288508</c:v>
                </c:pt>
                <c:pt idx="33">
                  <c:v>0.57601062460251728</c:v>
                </c:pt>
                <c:pt idx="34">
                  <c:v>0.59749351295329178</c:v>
                </c:pt>
                <c:pt idx="35">
                  <c:v>0.61847149971179172</c:v>
                </c:pt>
                <c:pt idx="36">
                  <c:v>0.6389084449872785</c:v>
                </c:pt>
                <c:pt idx="37">
                  <c:v>0.65877253316237627</c:v>
                </c:pt>
                <c:pt idx="38">
                  <c:v>0.67803623050550266</c:v>
                </c:pt>
                <c:pt idx="39">
                  <c:v>0.69667621327376961</c:v>
                </c:pt>
                <c:pt idx="40">
                  <c:v>0.71467326856959112</c:v>
                </c:pt>
                <c:pt idx="41">
                  <c:v>0.7320121703711846</c:v>
                </c:pt>
                <c:pt idx="42">
                  <c:v>0.74868153327653253</c:v>
                </c:pt>
                <c:pt idx="43">
                  <c:v>0.76467364658274017</c:v>
                </c:pt>
                <c:pt idx="44">
                  <c:v>0.77998429136914738</c:v>
                </c:pt>
                <c:pt idx="45">
                  <c:v>0.79461254326457387</c:v>
                </c:pt>
                <c:pt idx="46">
                  <c:v>0.80856056355864181</c:v>
                </c:pt>
                <c:pt idx="47">
                  <c:v>0.82183338126655248</c:v>
                </c:pt>
                <c:pt idx="48">
                  <c:v>0.83443866867859084</c:v>
                </c:pt>
                <c:pt idx="49">
                  <c:v>0.84638651282285293</c:v>
                </c:pt>
                <c:pt idx="50">
                  <c:v>0.85768918514524739</c:v>
                </c:pt>
                <c:pt idx="51">
                  <c:v>0.86836091156785522</c:v>
                </c:pt>
                <c:pt idx="52">
                  <c:v>0.87841764492843211</c:v>
                </c:pt>
                <c:pt idx="53">
                  <c:v>0.88787684163339176</c:v>
                </c:pt>
                <c:pt idx="54">
                  <c:v>0.89675724417716152</c:v>
                </c:pt>
                <c:pt idx="55">
                  <c:v>0.90507867099538908</c:v>
                </c:pt>
                <c:pt idx="56">
                  <c:v>0.91286181493100615</c:v>
                </c:pt>
                <c:pt idx="57">
                  <c:v>0.92012805140333953</c:v>
                </c:pt>
                <c:pt idx="58">
                  <c:v>0.92689925718382482</c:v>
                </c:pt>
                <c:pt idx="59">
                  <c:v>0.93319764049970411</c:v>
                </c:pt>
                <c:pt idx="60">
                  <c:v>0.93904558301141416</c:v>
                </c:pt>
                <c:pt idx="61">
                  <c:v>0.944465494041972</c:v>
                </c:pt>
                <c:pt idx="62">
                  <c:v>0.94947967727903926</c:v>
                </c:pt>
                <c:pt idx="63">
                  <c:v>0.95411021002374052</c:v>
                </c:pt>
                <c:pt idx="64">
                  <c:v>0.95837883492567855</c:v>
                </c:pt>
                <c:pt idx="65">
                  <c:v>0.96230686402165155</c:v>
                </c:pt>
                <c:pt idx="66">
                  <c:v>0.96591509478678761</c:v>
                </c:pt>
                <c:pt idx="67">
                  <c:v>0.96922373781139737</c:v>
                </c:pt>
                <c:pt idx="68">
                  <c:v>0.97225235563482149</c:v>
                </c:pt>
                <c:pt idx="69">
                  <c:v>0.97501981219873057</c:v>
                </c:pt>
                <c:pt idx="70">
                  <c:v>0.97754423232636356</c:v>
                </c:pt>
                <c:pt idx="71">
                  <c:v>0.97984297059055225</c:v>
                </c:pt>
                <c:pt idx="72">
                  <c:v>0.98193258890144286</c:v>
                </c:pt>
                <c:pt idx="73">
                  <c:v>0.98382884212383737</c:v>
                </c:pt>
                <c:pt idx="74">
                  <c:v>0.98554667102320992</c:v>
                </c:pt>
                <c:pt idx="75">
                  <c:v>0.98710020183781633</c:v>
                </c:pt>
                <c:pt idx="76">
                  <c:v>0.9885027517809738</c:v>
                </c:pt>
                <c:pt idx="77">
                  <c:v>0.98976683979158175</c:v>
                </c:pt>
                <c:pt idx="78">
                  <c:v>0.99090420187133121</c:v>
                </c:pt>
                <c:pt idx="79">
                  <c:v>0.99192581037284888</c:v>
                </c:pt>
                <c:pt idx="80">
                  <c:v>0.99284189663332334</c:v>
                </c:pt>
                <c:pt idx="81">
                  <c:v>0.99366197638207321</c:v>
                </c:pt>
                <c:pt idx="82">
                  <c:v>0.99439487738719956</c:v>
                </c:pt>
                <c:pt idx="83">
                  <c:v>0.99504876884512494</c:v>
                </c:pt>
                <c:pt idx="84">
                  <c:v>0.99563119205674022</c:v>
                </c:pt>
                <c:pt idx="85">
                  <c:v>0.99614909197438906</c:v>
                </c:pt>
                <c:pt idx="86">
                  <c:v>0.99660884924443138</c:v>
                </c:pt>
                <c:pt idx="87">
                  <c:v>0.99701631241011646</c:v>
                </c:pt>
                <c:pt idx="88">
                  <c:v>0.99737682997850807</c:v>
                </c:pt>
                <c:pt idx="89">
                  <c:v>0.99769528209286029</c:v>
                </c:pt>
                <c:pt idx="90">
                  <c:v>0.99797611158781574</c:v>
                </c:pt>
                <c:pt idx="91">
                  <c:v>0.99822335423884268</c:v>
                </c:pt>
                <c:pt idx="92">
                  <c:v>0.99844066804924003</c:v>
                </c:pt>
                <c:pt idx="93">
                  <c:v>0.9986313614476845</c:v>
                </c:pt>
                <c:pt idx="94">
                  <c:v>0.99879842029657617</c:v>
                </c:pt>
                <c:pt idx="95">
                  <c:v>0.99894453363632052</c:v>
                </c:pt>
                <c:pt idx="96">
                  <c:v>0.99907211811315144</c:v>
                </c:pt>
                <c:pt idx="97">
                  <c:v>0.99918334105818929</c:v>
                </c:pt>
                <c:pt idx="98">
                  <c:v>0.99928014220319517</c:v>
                </c:pt>
                <c:pt idx="99">
                  <c:v>0.99936425403401452</c:v>
                </c:pt>
                <c:pt idx="100">
                  <c:v>0.99943722079610575</c:v>
                </c:pt>
                <c:pt idx="101">
                  <c:v>0.9995004161779385</c:v>
                </c:pt>
                <c:pt idx="102">
                  <c:v>0.99955505970756431</c:v>
                </c:pt>
                <c:pt idx="103">
                  <c:v>0.99960223190543807</c:v>
                </c:pt>
                <c:pt idx="104">
                  <c:v>0.99964288824275838</c:v>
                </c:pt>
                <c:pt idx="105">
                  <c:v>0.99967787195934166</c:v>
                </c:pt>
                <c:pt idx="106">
                  <c:v>0.99970792579849299</c:v>
                </c:pt>
                <c:pt idx="107">
                  <c:v>0.99973370271863637</c:v>
                </c:pt>
                <c:pt idx="108">
                  <c:v>0.99975577564275253</c:v>
                </c:pt>
                <c:pt idx="109">
                  <c:v>0.99977464630707902</c:v>
                </c:pt>
                <c:pt idx="110">
                  <c:v>0.99979075327017919</c:v>
                </c:pt>
                <c:pt idx="111">
                  <c:v>0.99980447914250437</c:v>
                </c:pt>
                <c:pt idx="112">
                  <c:v>0.99981615709506355</c:v>
                </c:pt>
                <c:pt idx="113">
                  <c:v>0.99982607670387502</c:v>
                </c:pt>
                <c:pt idx="114">
                  <c:v>0.99983448918460083</c:v>
                </c:pt>
                <c:pt idx="115">
                  <c:v>0.99984161206923339</c:v>
                </c:pt>
                <c:pt idx="116">
                  <c:v>0.9998476333739873</c:v>
                </c:pt>
                <c:pt idx="117">
                  <c:v>0.9998527153047152</c:v>
                </c:pt>
                <c:pt idx="118">
                  <c:v>0.99985699754326318</c:v>
                </c:pt>
                <c:pt idx="119">
                  <c:v>0.99986060015526301</c:v>
                </c:pt>
                <c:pt idx="120">
                  <c:v>0.99986362615695745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08-4132-9057-A4E68437D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87896"/>
        <c:axId val="163552392"/>
      </c:scatterChart>
      <c:valAx>
        <c:axId val="117087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3552392"/>
        <c:crosses val="autoZero"/>
        <c:crossBetween val="midCat"/>
      </c:valAx>
      <c:valAx>
        <c:axId val="163552392"/>
        <c:scaling>
          <c:orientation val="minMax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17087896"/>
        <c:crosses val="autoZero"/>
        <c:crossBetween val="midCat"/>
      </c:valAx>
      <c:spPr>
        <a:solidFill>
          <a:srgbClr val="4BACC6">
            <a:lumMod val="40000"/>
            <a:lumOff val="60000"/>
          </a:srgbClr>
        </a:solidFill>
      </c:spPr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Put on Market (EU6) in tonnes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8863294968814056E-2"/>
          <c:y val="8.8057667526834943E-2"/>
          <c:w val="0.94337358719542386"/>
          <c:h val="0.7365480150624469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ResultPOM!$B$6</c:f>
              <c:strCache>
                <c:ptCount val="1"/>
                <c:pt idx="0">
                  <c:v>Temperature exchange equipment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ResultPOM!$C$5:$AL$5</c15:sqref>
                  </c15:fullRef>
                </c:ext>
              </c:extLst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ResultPOM!$C$6:$AL$6</c15:sqref>
                  </c15:fullRef>
                </c:ext>
              </c:extLst>
              <c:f>ResultPOM!$C$6:$AD$6</c:f>
              <c:numCache>
                <c:formatCode>0</c:formatCode>
                <c:ptCount val="28"/>
                <c:pt idx="0">
                  <c:v>4639.6709999999994</c:v>
                </c:pt>
                <c:pt idx="1">
                  <c:v>4543.6569999999992</c:v>
                </c:pt>
                <c:pt idx="2">
                  <c:v>5671.5730000000003</c:v>
                </c:pt>
                <c:pt idx="3">
                  <c:v>7194.4060000000009</c:v>
                </c:pt>
                <c:pt idx="4">
                  <c:v>9312.0409999999993</c:v>
                </c:pt>
                <c:pt idx="5">
                  <c:v>10897.942999999999</c:v>
                </c:pt>
                <c:pt idx="6">
                  <c:v>12621.723</c:v>
                </c:pt>
                <c:pt idx="7">
                  <c:v>12050.847</c:v>
                </c:pt>
                <c:pt idx="8">
                  <c:v>13410.864</c:v>
                </c:pt>
                <c:pt idx="9">
                  <c:v>13831.54</c:v>
                </c:pt>
                <c:pt idx="10">
                  <c:v>15619.682000000001</c:v>
                </c:pt>
                <c:pt idx="11">
                  <c:v>19209.744999999999</c:v>
                </c:pt>
                <c:pt idx="12">
                  <c:v>20477.095999999998</c:v>
                </c:pt>
                <c:pt idx="13">
                  <c:v>19017.585999999999</c:v>
                </c:pt>
                <c:pt idx="14">
                  <c:v>16713.565999999999</c:v>
                </c:pt>
                <c:pt idx="15">
                  <c:v>16860.492000000002</c:v>
                </c:pt>
                <c:pt idx="16">
                  <c:v>16726.021000000001</c:v>
                </c:pt>
                <c:pt idx="17">
                  <c:v>15666.505000000001</c:v>
                </c:pt>
                <c:pt idx="18">
                  <c:v>14080.615999999998</c:v>
                </c:pt>
                <c:pt idx="19">
                  <c:v>12630.961999999998</c:v>
                </c:pt>
                <c:pt idx="20">
                  <c:v>13140.991999999998</c:v>
                </c:pt>
                <c:pt idx="21">
                  <c:v>14430.223</c:v>
                </c:pt>
                <c:pt idx="22">
                  <c:v>17136.194</c:v>
                </c:pt>
                <c:pt idx="23">
                  <c:v>18100.500999999997</c:v>
                </c:pt>
                <c:pt idx="24">
                  <c:v>19057.845999999998</c:v>
                </c:pt>
                <c:pt idx="25">
                  <c:v>16432.323000000004</c:v>
                </c:pt>
                <c:pt idx="26">
                  <c:v>16570.957999999999</c:v>
                </c:pt>
                <c:pt idx="27">
                  <c:v>16920.745999999999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503-4A01-BCDF-26E111808BB2}"/>
            </c:ext>
          </c:extLst>
        </c:ser>
        <c:ser>
          <c:idx val="2"/>
          <c:order val="2"/>
          <c:tx>
            <c:strRef>
              <c:f>ResultPOM!$B$7</c:f>
              <c:strCache>
                <c:ptCount val="1"/>
                <c:pt idx="0">
                  <c:v>Screens, monitors, and equipment containing screens (..)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ResultPOM!$C$5:$AL$5</c15:sqref>
                  </c15:fullRef>
                </c:ext>
              </c:extLst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ResultPOM!$C$7:$AL$7</c15:sqref>
                  </c15:fullRef>
                </c:ext>
              </c:extLst>
              <c:f>ResultPOM!$C$7:$AD$7</c:f>
              <c:numCache>
                <c:formatCode>0</c:formatCode>
                <c:ptCount val="28"/>
                <c:pt idx="0">
                  <c:v>2396.3229999999999</c:v>
                </c:pt>
                <c:pt idx="1">
                  <c:v>2418.2669999999998</c:v>
                </c:pt>
                <c:pt idx="2">
                  <c:v>5331.43</c:v>
                </c:pt>
                <c:pt idx="3">
                  <c:v>2502.9960000000001</c:v>
                </c:pt>
                <c:pt idx="4">
                  <c:v>5990.0940000000001</c:v>
                </c:pt>
                <c:pt idx="5">
                  <c:v>6460.9649999999992</c:v>
                </c:pt>
                <c:pt idx="6">
                  <c:v>6581.293999999999</c:v>
                </c:pt>
                <c:pt idx="7">
                  <c:v>7191.9560000000001</c:v>
                </c:pt>
                <c:pt idx="8">
                  <c:v>7855.8420000000006</c:v>
                </c:pt>
                <c:pt idx="9">
                  <c:v>3189.7660000000001</c:v>
                </c:pt>
                <c:pt idx="10">
                  <c:v>11006.528</c:v>
                </c:pt>
                <c:pt idx="11">
                  <c:v>10079.57</c:v>
                </c:pt>
                <c:pt idx="12">
                  <c:v>7237.4190000000008</c:v>
                </c:pt>
                <c:pt idx="13">
                  <c:v>4288.5420000000004</c:v>
                </c:pt>
                <c:pt idx="14">
                  <c:v>3839.9189999999999</c:v>
                </c:pt>
                <c:pt idx="15">
                  <c:v>3611.8389999999999</c:v>
                </c:pt>
                <c:pt idx="16">
                  <c:v>4622.6570000000002</c:v>
                </c:pt>
                <c:pt idx="17">
                  <c:v>4484.1200000000008</c:v>
                </c:pt>
                <c:pt idx="18">
                  <c:v>4346.29</c:v>
                </c:pt>
                <c:pt idx="19">
                  <c:v>4213.9439999999995</c:v>
                </c:pt>
                <c:pt idx="20">
                  <c:v>4104.7440000000006</c:v>
                </c:pt>
                <c:pt idx="21">
                  <c:v>4071.3289999999997</c:v>
                </c:pt>
                <c:pt idx="22">
                  <c:v>4589.4529999999995</c:v>
                </c:pt>
                <c:pt idx="23">
                  <c:v>5364.674</c:v>
                </c:pt>
                <c:pt idx="24">
                  <c:v>5758.5219999999999</c:v>
                </c:pt>
                <c:pt idx="25">
                  <c:v>6829.6109999999999</c:v>
                </c:pt>
                <c:pt idx="26">
                  <c:v>7015.2639999999992</c:v>
                </c:pt>
                <c:pt idx="27">
                  <c:v>7328.848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503-4A01-BCDF-26E111808BB2}"/>
            </c:ext>
          </c:extLst>
        </c:ser>
        <c:ser>
          <c:idx val="3"/>
          <c:order val="3"/>
          <c:tx>
            <c:strRef>
              <c:f>ResultPOM!$B$8</c:f>
              <c:strCache>
                <c:ptCount val="1"/>
                <c:pt idx="0">
                  <c:v>Lamps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ResultPOM!$C$5:$AL$5</c15:sqref>
                  </c15:fullRef>
                </c:ext>
              </c:extLst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ResultPOM!$C$8:$AL$8</c15:sqref>
                  </c15:fullRef>
                </c:ext>
              </c:extLst>
              <c:f>ResultPOM!$C$8:$AD$8</c:f>
              <c:numCache>
                <c:formatCode>0</c:formatCode>
                <c:ptCount val="28"/>
                <c:pt idx="0">
                  <c:v>369.44200000000001</c:v>
                </c:pt>
                <c:pt idx="1">
                  <c:v>393.37599999999998</c:v>
                </c:pt>
                <c:pt idx="2">
                  <c:v>473.21199999999999</c:v>
                </c:pt>
                <c:pt idx="3">
                  <c:v>524.38600000000008</c:v>
                </c:pt>
                <c:pt idx="4">
                  <c:v>598.63799999999992</c:v>
                </c:pt>
                <c:pt idx="5">
                  <c:v>641.97599999999989</c:v>
                </c:pt>
                <c:pt idx="6">
                  <c:v>716.20300000000009</c:v>
                </c:pt>
                <c:pt idx="7">
                  <c:v>744.56599999999992</c:v>
                </c:pt>
                <c:pt idx="8">
                  <c:v>839.98</c:v>
                </c:pt>
                <c:pt idx="9">
                  <c:v>919.61500000000012</c:v>
                </c:pt>
                <c:pt idx="10">
                  <c:v>995.52600000000007</c:v>
                </c:pt>
                <c:pt idx="11">
                  <c:v>1125.1950000000002</c:v>
                </c:pt>
                <c:pt idx="12">
                  <c:v>1226.6969999999999</c:v>
                </c:pt>
                <c:pt idx="13">
                  <c:v>1242.5419999999999</c:v>
                </c:pt>
                <c:pt idx="14">
                  <c:v>1205.6189999999999</c:v>
                </c:pt>
                <c:pt idx="15">
                  <c:v>1255.0810000000001</c:v>
                </c:pt>
                <c:pt idx="16">
                  <c:v>1178.011</c:v>
                </c:pt>
                <c:pt idx="17">
                  <c:v>990.62200000000007</c:v>
                </c:pt>
                <c:pt idx="18">
                  <c:v>967.8309999999999</c:v>
                </c:pt>
                <c:pt idx="19">
                  <c:v>940.95600000000002</c:v>
                </c:pt>
                <c:pt idx="20">
                  <c:v>964.77999999999986</c:v>
                </c:pt>
                <c:pt idx="21">
                  <c:v>905.09900000000005</c:v>
                </c:pt>
                <c:pt idx="22">
                  <c:v>949.15</c:v>
                </c:pt>
                <c:pt idx="23">
                  <c:v>1071.681</c:v>
                </c:pt>
                <c:pt idx="24">
                  <c:v>1105.75</c:v>
                </c:pt>
                <c:pt idx="25">
                  <c:v>1141.096</c:v>
                </c:pt>
                <c:pt idx="26">
                  <c:v>1131.451</c:v>
                </c:pt>
                <c:pt idx="27">
                  <c:v>1155.336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503-4A01-BCDF-26E111808BB2}"/>
            </c:ext>
          </c:extLst>
        </c:ser>
        <c:ser>
          <c:idx val="4"/>
          <c:order val="4"/>
          <c:tx>
            <c:strRef>
              <c:f>ResultPOM!$B$9</c:f>
              <c:strCache>
                <c:ptCount val="1"/>
                <c:pt idx="0">
                  <c:v>Large equipment (excluding photovoltaic panels)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ResultPOM!$C$5:$AL$5</c15:sqref>
                  </c15:fullRef>
                </c:ext>
              </c:extLst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ResultPOM!$C$9:$AL$9</c15:sqref>
                  </c15:fullRef>
                </c:ext>
              </c:extLst>
              <c:f>ResultPOM!$C$9:$AD$9</c:f>
              <c:numCache>
                <c:formatCode>0</c:formatCode>
                <c:ptCount val="28"/>
                <c:pt idx="0">
                  <c:v>18184.381999999998</c:v>
                </c:pt>
                <c:pt idx="1">
                  <c:v>17395.827000000005</c:v>
                </c:pt>
                <c:pt idx="2">
                  <c:v>17219.037</c:v>
                </c:pt>
                <c:pt idx="3">
                  <c:v>18934.244999999995</c:v>
                </c:pt>
                <c:pt idx="4">
                  <c:v>27883.034</c:v>
                </c:pt>
                <c:pt idx="5">
                  <c:v>30800.782999999999</c:v>
                </c:pt>
                <c:pt idx="6">
                  <c:v>32348.418000000001</c:v>
                </c:pt>
                <c:pt idx="7">
                  <c:v>34602.019</c:v>
                </c:pt>
                <c:pt idx="8">
                  <c:v>36558.17300000001</c:v>
                </c:pt>
                <c:pt idx="9">
                  <c:v>37475.851000000002</c:v>
                </c:pt>
                <c:pt idx="10">
                  <c:v>39632.124999999993</c:v>
                </c:pt>
                <c:pt idx="11">
                  <c:v>41119.786</c:v>
                </c:pt>
                <c:pt idx="12">
                  <c:v>37910.840999999993</c:v>
                </c:pt>
                <c:pt idx="13">
                  <c:v>37325.640000000014</c:v>
                </c:pt>
                <c:pt idx="14">
                  <c:v>38488.490999999995</c:v>
                </c:pt>
                <c:pt idx="15">
                  <c:v>38392.530999999995</c:v>
                </c:pt>
                <c:pt idx="16">
                  <c:v>41641.808999999994</c:v>
                </c:pt>
                <c:pt idx="17">
                  <c:v>42822.956999999995</c:v>
                </c:pt>
                <c:pt idx="18">
                  <c:v>44976.756999999998</c:v>
                </c:pt>
                <c:pt idx="19">
                  <c:v>47426.563999999998</c:v>
                </c:pt>
                <c:pt idx="20">
                  <c:v>44956.931999999993</c:v>
                </c:pt>
                <c:pt idx="21">
                  <c:v>47410.680999999997</c:v>
                </c:pt>
                <c:pt idx="22">
                  <c:v>47979.761000000006</c:v>
                </c:pt>
                <c:pt idx="23">
                  <c:v>50691.502</c:v>
                </c:pt>
                <c:pt idx="24">
                  <c:v>51301.643999999993</c:v>
                </c:pt>
                <c:pt idx="25">
                  <c:v>45903.114000000009</c:v>
                </c:pt>
                <c:pt idx="26">
                  <c:v>45011.72</c:v>
                </c:pt>
                <c:pt idx="27">
                  <c:v>44654.885999999999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503-4A01-BCDF-26E111808BB2}"/>
            </c:ext>
          </c:extLst>
        </c:ser>
        <c:ser>
          <c:idx val="5"/>
          <c:order val="5"/>
          <c:tx>
            <c:strRef>
              <c:f>ResultPOM!$B$10</c:f>
              <c:strCache>
                <c:ptCount val="1"/>
                <c:pt idx="0">
                  <c:v>Photovoltaic panels (incl. converters)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ResultPOM!$C$5:$AL$5</c15:sqref>
                  </c15:fullRef>
                </c:ext>
              </c:extLst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ResultPOM!$C$10:$AL$10</c15:sqref>
                  </c15:fullRef>
                </c:ext>
              </c:extLst>
              <c:f>ResultPOM!$C$10:$AD$10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57.381</c:v>
                </c:pt>
                <c:pt idx="15">
                  <c:v>6.992</c:v>
                </c:pt>
                <c:pt idx="16">
                  <c:v>8.5440000000000005</c:v>
                </c:pt>
                <c:pt idx="17">
                  <c:v>12.986000000000001</c:v>
                </c:pt>
                <c:pt idx="18">
                  <c:v>6.391</c:v>
                </c:pt>
                <c:pt idx="19">
                  <c:v>47.124000000000002</c:v>
                </c:pt>
                <c:pt idx="20">
                  <c:v>51.332999999999998</c:v>
                </c:pt>
                <c:pt idx="21">
                  <c:v>232.375</c:v>
                </c:pt>
                <c:pt idx="22">
                  <c:v>707.59</c:v>
                </c:pt>
                <c:pt idx="23">
                  <c:v>959.27</c:v>
                </c:pt>
                <c:pt idx="24">
                  <c:v>1738.0350000000001</c:v>
                </c:pt>
                <c:pt idx="25">
                  <c:v>2241.1999999999998</c:v>
                </c:pt>
                <c:pt idx="26">
                  <c:v>122.069</c:v>
                </c:pt>
                <c:pt idx="27">
                  <c:v>122.069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503-4A01-BCDF-26E111808BB2}"/>
            </c:ext>
          </c:extLst>
        </c:ser>
        <c:ser>
          <c:idx val="6"/>
          <c:order val="6"/>
          <c:tx>
            <c:strRef>
              <c:f>ResultPOM!$B$11</c:f>
              <c:strCache>
                <c:ptCount val="1"/>
                <c:pt idx="0">
                  <c:v>Small equipment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ResultPOM!$C$5:$AL$5</c15:sqref>
                  </c15:fullRef>
                </c:ext>
              </c:extLst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ResultPOM!$C$11:$AL$11</c15:sqref>
                  </c15:fullRef>
                </c:ext>
              </c:extLst>
              <c:f>ResultPOM!$C$11:$AD$11</c:f>
              <c:numCache>
                <c:formatCode>0</c:formatCode>
                <c:ptCount val="28"/>
                <c:pt idx="0">
                  <c:v>16393.225000000002</c:v>
                </c:pt>
                <c:pt idx="1">
                  <c:v>15500.39</c:v>
                </c:pt>
                <c:pt idx="2">
                  <c:v>16794.947</c:v>
                </c:pt>
                <c:pt idx="3">
                  <c:v>20788.260999999999</c:v>
                </c:pt>
                <c:pt idx="4">
                  <c:v>21043.301999999996</c:v>
                </c:pt>
                <c:pt idx="5">
                  <c:v>21844.564999999999</c:v>
                </c:pt>
                <c:pt idx="6">
                  <c:v>23331.497000000003</c:v>
                </c:pt>
                <c:pt idx="7">
                  <c:v>23146.533000000003</c:v>
                </c:pt>
                <c:pt idx="8">
                  <c:v>24763.370999999999</c:v>
                </c:pt>
                <c:pt idx="9">
                  <c:v>27682.635000000002</c:v>
                </c:pt>
                <c:pt idx="10">
                  <c:v>30070.516000000003</c:v>
                </c:pt>
                <c:pt idx="11">
                  <c:v>34082.912000000004</c:v>
                </c:pt>
                <c:pt idx="12">
                  <c:v>36704.482999999993</c:v>
                </c:pt>
                <c:pt idx="13">
                  <c:v>34981.084999999999</c:v>
                </c:pt>
                <c:pt idx="14">
                  <c:v>30606.174000000003</c:v>
                </c:pt>
                <c:pt idx="15">
                  <c:v>32692.409000000003</c:v>
                </c:pt>
                <c:pt idx="16">
                  <c:v>33108.807000000001</c:v>
                </c:pt>
                <c:pt idx="17">
                  <c:v>32749.007999999998</c:v>
                </c:pt>
                <c:pt idx="18">
                  <c:v>31888.211999999996</c:v>
                </c:pt>
                <c:pt idx="19">
                  <c:v>32586.131999999998</c:v>
                </c:pt>
                <c:pt idx="20">
                  <c:v>37630.950000000004</c:v>
                </c:pt>
                <c:pt idx="21">
                  <c:v>34661.348999999995</c:v>
                </c:pt>
                <c:pt idx="22">
                  <c:v>39593.165999999997</c:v>
                </c:pt>
                <c:pt idx="23">
                  <c:v>40216.86</c:v>
                </c:pt>
                <c:pt idx="24">
                  <c:v>41234.138999999996</c:v>
                </c:pt>
                <c:pt idx="25">
                  <c:v>41844.928000000014</c:v>
                </c:pt>
                <c:pt idx="26">
                  <c:v>44220.404000000002</c:v>
                </c:pt>
                <c:pt idx="27">
                  <c:v>45260.968000000008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503-4A01-BCDF-26E111808BB2}"/>
            </c:ext>
          </c:extLst>
        </c:ser>
        <c:ser>
          <c:idx val="7"/>
          <c:order val="7"/>
          <c:tx>
            <c:strRef>
              <c:f>ResultPOM!$B$12</c:f>
              <c:strCache>
                <c:ptCount val="1"/>
                <c:pt idx="0">
                  <c:v>Small IT and telecommunication equipment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ResultPOM!$C$5:$AL$5</c15:sqref>
                  </c15:fullRef>
                </c:ext>
              </c:extLst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ResultPOM!$C$12:$AL$12</c15:sqref>
                  </c15:fullRef>
                </c:ext>
              </c:extLst>
              <c:f>ResultPOM!$C$12:$AD$12</c:f>
              <c:numCache>
                <c:formatCode>0</c:formatCode>
                <c:ptCount val="28"/>
                <c:pt idx="0">
                  <c:v>3185.1770000000001</c:v>
                </c:pt>
                <c:pt idx="1">
                  <c:v>3177.2120000000004</c:v>
                </c:pt>
                <c:pt idx="2">
                  <c:v>4104.576</c:v>
                </c:pt>
                <c:pt idx="3">
                  <c:v>4287.0199999999995</c:v>
                </c:pt>
                <c:pt idx="4">
                  <c:v>6437.6719999999996</c:v>
                </c:pt>
                <c:pt idx="5">
                  <c:v>7670.6399999999994</c:v>
                </c:pt>
                <c:pt idx="6">
                  <c:v>7368.9489999999996</c:v>
                </c:pt>
                <c:pt idx="7">
                  <c:v>7226.3940000000002</c:v>
                </c:pt>
                <c:pt idx="8">
                  <c:v>6268.7750000000005</c:v>
                </c:pt>
                <c:pt idx="9">
                  <c:v>12356.550000000003</c:v>
                </c:pt>
                <c:pt idx="10">
                  <c:v>12264.989</c:v>
                </c:pt>
                <c:pt idx="11">
                  <c:v>10861.823999999999</c:v>
                </c:pt>
                <c:pt idx="12">
                  <c:v>8634.5249999999996</c:v>
                </c:pt>
                <c:pt idx="13">
                  <c:v>7551.2060000000001</c:v>
                </c:pt>
                <c:pt idx="14">
                  <c:v>6562.0509999999986</c:v>
                </c:pt>
                <c:pt idx="15">
                  <c:v>6983.3719999999994</c:v>
                </c:pt>
                <c:pt idx="16">
                  <c:v>8526.357</c:v>
                </c:pt>
                <c:pt idx="17">
                  <c:v>8609.2969999999987</c:v>
                </c:pt>
                <c:pt idx="18">
                  <c:v>9922.8970000000008</c:v>
                </c:pt>
                <c:pt idx="19">
                  <c:v>9973.9629999999979</c:v>
                </c:pt>
                <c:pt idx="20">
                  <c:v>8391.6790000000001</c:v>
                </c:pt>
                <c:pt idx="21">
                  <c:v>9880.1869999999999</c:v>
                </c:pt>
                <c:pt idx="22">
                  <c:v>9994.9</c:v>
                </c:pt>
                <c:pt idx="23">
                  <c:v>9842</c:v>
                </c:pt>
                <c:pt idx="24">
                  <c:v>9715.775999999998</c:v>
                </c:pt>
                <c:pt idx="25">
                  <c:v>9987.3190000000013</c:v>
                </c:pt>
                <c:pt idx="26">
                  <c:v>10016.397000000001</c:v>
                </c:pt>
                <c:pt idx="27">
                  <c:v>10242.689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503-4A01-BCDF-26E111808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8981200"/>
        <c:axId val="358375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ResultPOM!$B$5</c15:sqref>
                        </c15:formulaRef>
                      </c:ext>
                    </c:extLst>
                    <c:strCache>
                      <c:ptCount val="1"/>
                      <c:pt idx="0">
                        <c:v>Description</c:v>
                      </c:pt>
                    </c:strCache>
                  </c:strRef>
                </c:tx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ResultPOM!$C$5:$AL$5</c15:sqref>
                        </c15:fullRef>
                        <c15:formulaRef>
                          <c15:sqref>ResultPOM!$C$5:$AD$5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1995</c:v>
                      </c:pt>
                      <c:pt idx="1">
                        <c:v>1996</c:v>
                      </c:pt>
                      <c:pt idx="2">
                        <c:v>1997</c:v>
                      </c:pt>
                      <c:pt idx="3">
                        <c:v>1998</c:v>
                      </c:pt>
                      <c:pt idx="4">
                        <c:v>1999</c:v>
                      </c:pt>
                      <c:pt idx="5">
                        <c:v>2000</c:v>
                      </c:pt>
                      <c:pt idx="6">
                        <c:v>2001</c:v>
                      </c:pt>
                      <c:pt idx="7">
                        <c:v>2002</c:v>
                      </c:pt>
                      <c:pt idx="8">
                        <c:v>2003</c:v>
                      </c:pt>
                      <c:pt idx="9">
                        <c:v>2004</c:v>
                      </c:pt>
                      <c:pt idx="10">
                        <c:v>2005</c:v>
                      </c:pt>
                      <c:pt idx="11">
                        <c:v>2006</c:v>
                      </c:pt>
                      <c:pt idx="12">
                        <c:v>2007</c:v>
                      </c:pt>
                      <c:pt idx="13">
                        <c:v>2008</c:v>
                      </c:pt>
                      <c:pt idx="14">
                        <c:v>2009</c:v>
                      </c:pt>
                      <c:pt idx="15">
                        <c:v>2010</c:v>
                      </c:pt>
                      <c:pt idx="16">
                        <c:v>2011</c:v>
                      </c:pt>
                      <c:pt idx="17">
                        <c:v>2012</c:v>
                      </c:pt>
                      <c:pt idx="18">
                        <c:v>2013</c:v>
                      </c:pt>
                      <c:pt idx="19">
                        <c:v>2014</c:v>
                      </c:pt>
                      <c:pt idx="20">
                        <c:v>2015</c:v>
                      </c:pt>
                      <c:pt idx="21">
                        <c:v>2016</c:v>
                      </c:pt>
                      <c:pt idx="22">
                        <c:v>2017</c:v>
                      </c:pt>
                      <c:pt idx="23">
                        <c:v>2018</c:v>
                      </c:pt>
                      <c:pt idx="24">
                        <c:v>2019</c:v>
                      </c:pt>
                      <c:pt idx="25">
                        <c:v>2020</c:v>
                      </c:pt>
                      <c:pt idx="26">
                        <c:v>2021</c:v>
                      </c:pt>
                      <c:pt idx="27">
                        <c:v>2022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ResultPOM!$C$5:$AL$5</c15:sqref>
                        </c15:fullRef>
                        <c15:formulaRef>
                          <c15:sqref>ResultPOM!$C$5:$AD$5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1995</c:v>
                      </c:pt>
                      <c:pt idx="1">
                        <c:v>1996</c:v>
                      </c:pt>
                      <c:pt idx="2">
                        <c:v>1997</c:v>
                      </c:pt>
                      <c:pt idx="3">
                        <c:v>1998</c:v>
                      </c:pt>
                      <c:pt idx="4">
                        <c:v>1999</c:v>
                      </c:pt>
                      <c:pt idx="5">
                        <c:v>2000</c:v>
                      </c:pt>
                      <c:pt idx="6">
                        <c:v>2001</c:v>
                      </c:pt>
                      <c:pt idx="7">
                        <c:v>2002</c:v>
                      </c:pt>
                      <c:pt idx="8">
                        <c:v>2003</c:v>
                      </c:pt>
                      <c:pt idx="9">
                        <c:v>2004</c:v>
                      </c:pt>
                      <c:pt idx="10">
                        <c:v>2005</c:v>
                      </c:pt>
                      <c:pt idx="11">
                        <c:v>2006</c:v>
                      </c:pt>
                      <c:pt idx="12">
                        <c:v>2007</c:v>
                      </c:pt>
                      <c:pt idx="13">
                        <c:v>2008</c:v>
                      </c:pt>
                      <c:pt idx="14">
                        <c:v>2009</c:v>
                      </c:pt>
                      <c:pt idx="15">
                        <c:v>2010</c:v>
                      </c:pt>
                      <c:pt idx="16">
                        <c:v>2011</c:v>
                      </c:pt>
                      <c:pt idx="17">
                        <c:v>2012</c:v>
                      </c:pt>
                      <c:pt idx="18">
                        <c:v>2013</c:v>
                      </c:pt>
                      <c:pt idx="19">
                        <c:v>2014</c:v>
                      </c:pt>
                      <c:pt idx="20">
                        <c:v>2015</c:v>
                      </c:pt>
                      <c:pt idx="21">
                        <c:v>2016</c:v>
                      </c:pt>
                      <c:pt idx="22">
                        <c:v>2017</c:v>
                      </c:pt>
                      <c:pt idx="23">
                        <c:v>2018</c:v>
                      </c:pt>
                      <c:pt idx="24">
                        <c:v>2019</c:v>
                      </c:pt>
                      <c:pt idx="25">
                        <c:v>2020</c:v>
                      </c:pt>
                      <c:pt idx="26">
                        <c:v>2021</c:v>
                      </c:pt>
                      <c:pt idx="27">
                        <c:v>2022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D-5503-4A01-BCDF-26E111808BB2}"/>
                  </c:ext>
                </c:extLst>
              </c15:ser>
            </c15:filteredBarSeries>
          </c:ext>
        </c:extLst>
      </c:barChart>
      <c:catAx>
        <c:axId val="35898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8375888"/>
        <c:crosses val="autoZero"/>
        <c:auto val="1"/>
        <c:lblAlgn val="ctr"/>
        <c:lblOffset val="100"/>
        <c:noMultiLvlLbl val="0"/>
      </c:catAx>
      <c:valAx>
        <c:axId val="3583758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589812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1.6900717296273373E-2"/>
          <c:y val="0.86859426908646353"/>
          <c:w val="0.95225810744403694"/>
          <c:h val="0.10916783798970721"/>
        </c:manualLayout>
      </c:layout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WEEE generated (EU6) in tonnes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8983940212728381E-2"/>
          <c:y val="5.8660402063358527E-2"/>
          <c:w val="0.97190922971491234"/>
          <c:h val="0.7981409706988336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ResultWG!$B$6</c:f>
              <c:strCache>
                <c:ptCount val="1"/>
                <c:pt idx="0">
                  <c:v>Temperature exchange equipment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ResultWG!$C$6:$AL$6</c15:sqref>
                  </c15:fullRef>
                </c:ext>
              </c:extLst>
              <c:f>ResultWG!$C$6:$AD$6</c:f>
              <c:numCache>
                <c:formatCode>0</c:formatCode>
                <c:ptCount val="28"/>
                <c:pt idx="0">
                  <c:v>2256.4753934302112</c:v>
                </c:pt>
                <c:pt idx="1">
                  <c:v>2442.8009544657152</c:v>
                </c:pt>
                <c:pt idx="2">
                  <c:v>2668.3051556474766</c:v>
                </c:pt>
                <c:pt idx="3">
                  <c:v>2948.449810828211</c:v>
                </c:pt>
                <c:pt idx="4">
                  <c:v>3243.921630589422</c:v>
                </c:pt>
                <c:pt idx="5">
                  <c:v>3529.6029322494151</c:v>
                </c:pt>
                <c:pt idx="6">
                  <c:v>3829.175633656826</c:v>
                </c:pt>
                <c:pt idx="7">
                  <c:v>4155.0214043609303</c:v>
                </c:pt>
                <c:pt idx="8">
                  <c:v>4503.8869633737004</c:v>
                </c:pt>
                <c:pt idx="9">
                  <c:v>4915.7734040072282</c:v>
                </c:pt>
                <c:pt idx="10">
                  <c:v>5373.4716845054008</c:v>
                </c:pt>
                <c:pt idx="11">
                  <c:v>6011.4989418620817</c:v>
                </c:pt>
                <c:pt idx="12">
                  <c:v>6722.3605576407826</c:v>
                </c:pt>
                <c:pt idx="13">
                  <c:v>7375.8477296917872</c:v>
                </c:pt>
                <c:pt idx="14">
                  <c:v>8053.0275542423506</c:v>
                </c:pt>
                <c:pt idx="15">
                  <c:v>8701.2844530368111</c:v>
                </c:pt>
                <c:pt idx="16">
                  <c:v>9413.2431974245865</c:v>
                </c:pt>
                <c:pt idx="17">
                  <c:v>10059.885311810442</c:v>
                </c:pt>
                <c:pt idx="18">
                  <c:v>10544.963205791353</c:v>
                </c:pt>
                <c:pt idx="19">
                  <c:v>10882.616075739938</c:v>
                </c:pt>
                <c:pt idx="20">
                  <c:v>11201.532369161539</c:v>
                </c:pt>
                <c:pt idx="21">
                  <c:v>11514.84566669529</c:v>
                </c:pt>
                <c:pt idx="22">
                  <c:v>11907.585184600061</c:v>
                </c:pt>
                <c:pt idx="23">
                  <c:v>12356.162517752608</c:v>
                </c:pt>
                <c:pt idx="24">
                  <c:v>12721.279078369422</c:v>
                </c:pt>
                <c:pt idx="25">
                  <c:v>13004.288562626141</c:v>
                </c:pt>
                <c:pt idx="26">
                  <c:v>13278.552399666361</c:v>
                </c:pt>
                <c:pt idx="27">
                  <c:v>13546.618810065542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0-42AA-9771-2C4D9FD103A9}"/>
            </c:ext>
          </c:extLst>
        </c:ser>
        <c:ser>
          <c:idx val="2"/>
          <c:order val="2"/>
          <c:tx>
            <c:strRef>
              <c:f>ResultWG!$B$7</c:f>
              <c:strCache>
                <c:ptCount val="1"/>
                <c:pt idx="0">
                  <c:v>Screens, monitors, and equipment containing screens (..)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ResultWG!$C$7:$AL$7</c15:sqref>
                  </c15:fullRef>
                </c:ext>
              </c:extLst>
              <c:f>ResultWG!$C$7:$AD$7</c:f>
              <c:numCache>
                <c:formatCode>0</c:formatCode>
                <c:ptCount val="28"/>
                <c:pt idx="0">
                  <c:v>1808.4883189891025</c:v>
                </c:pt>
                <c:pt idx="1">
                  <c:v>1895.3528910035257</c:v>
                </c:pt>
                <c:pt idx="2">
                  <c:v>2152.8403210480456</c:v>
                </c:pt>
                <c:pt idx="3">
                  <c:v>2222.0727504516649</c:v>
                </c:pt>
                <c:pt idx="4">
                  <c:v>2499.3638558868706</c:v>
                </c:pt>
                <c:pt idx="5">
                  <c:v>2787.6476378631983</c:v>
                </c:pt>
                <c:pt idx="6">
                  <c:v>3062.145532612371</c:v>
                </c:pt>
                <c:pt idx="7">
                  <c:v>3355.094134165568</c:v>
                </c:pt>
                <c:pt idx="8">
                  <c:v>3671.7732122785746</c:v>
                </c:pt>
                <c:pt idx="9">
                  <c:v>3711.2429082223148</c:v>
                </c:pt>
                <c:pt idx="10">
                  <c:v>4276.1251080294505</c:v>
                </c:pt>
                <c:pt idx="11">
                  <c:v>4756.3345909632781</c:v>
                </c:pt>
                <c:pt idx="12">
                  <c:v>5036.4985301320849</c:v>
                </c:pt>
                <c:pt idx="13">
                  <c:v>5125.4589166200949</c:v>
                </c:pt>
                <c:pt idx="14">
                  <c:v>5162.5005954333255</c:v>
                </c:pt>
                <c:pt idx="15">
                  <c:v>5174.9210794092105</c:v>
                </c:pt>
                <c:pt idx="16">
                  <c:v>5233.8523827683557</c:v>
                </c:pt>
                <c:pt idx="17">
                  <c:v>5237.7205904217717</c:v>
                </c:pt>
                <c:pt idx="18">
                  <c:v>5195.9988360828547</c:v>
                </c:pt>
                <c:pt idx="19">
                  <c:v>5118.1297690341362</c:v>
                </c:pt>
                <c:pt idx="20">
                  <c:v>5014.6795944399682</c:v>
                </c:pt>
                <c:pt idx="21">
                  <c:v>4898.5020228824606</c:v>
                </c:pt>
                <c:pt idx="22">
                  <c:v>4827.8429186986514</c:v>
                </c:pt>
                <c:pt idx="23">
                  <c:v>4822.2435301208907</c:v>
                </c:pt>
                <c:pt idx="24">
                  <c:v>4846.8520452156281</c:v>
                </c:pt>
                <c:pt idx="25">
                  <c:v>4961.2548316672901</c:v>
                </c:pt>
                <c:pt idx="26">
                  <c:v>5083.6367965768004</c:v>
                </c:pt>
                <c:pt idx="27">
                  <c:v>5224.8977276854348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0-42AA-9771-2C4D9FD103A9}"/>
            </c:ext>
          </c:extLst>
        </c:ser>
        <c:ser>
          <c:idx val="3"/>
          <c:order val="3"/>
          <c:tx>
            <c:strRef>
              <c:f>ResultWG!$B$8</c:f>
              <c:strCache>
                <c:ptCount val="1"/>
                <c:pt idx="0">
                  <c:v>Lamps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ResultWG!$C$8:$AL$8</c15:sqref>
                  </c15:fullRef>
                </c:ext>
              </c:extLst>
              <c:f>ResultWG!$C$8:$AD$8</c:f>
              <c:numCache>
                <c:formatCode>0</c:formatCode>
                <c:ptCount val="28"/>
                <c:pt idx="0">
                  <c:v>266.84355522965052</c:v>
                </c:pt>
                <c:pt idx="1">
                  <c:v>281.37338495939537</c:v>
                </c:pt>
                <c:pt idx="2">
                  <c:v>303.13080700275884</c:v>
                </c:pt>
                <c:pt idx="3">
                  <c:v>327.56536270355332</c:v>
                </c:pt>
                <c:pt idx="4">
                  <c:v>357.56040670713367</c:v>
                </c:pt>
                <c:pt idx="5">
                  <c:v>388.83982656329374</c:v>
                </c:pt>
                <c:pt idx="6">
                  <c:v>424.91234308229923</c:v>
                </c:pt>
                <c:pt idx="7">
                  <c:v>460.27441005855496</c:v>
                </c:pt>
                <c:pt idx="8">
                  <c:v>502.40595066747585</c:v>
                </c:pt>
                <c:pt idx="9">
                  <c:v>547.24388342301495</c:v>
                </c:pt>
                <c:pt idx="10">
                  <c:v>593.80879931641255</c:v>
                </c:pt>
                <c:pt idx="11">
                  <c:v>647.81288627117988</c:v>
                </c:pt>
                <c:pt idx="12">
                  <c:v>705.91311169869198</c:v>
                </c:pt>
                <c:pt idx="13">
                  <c:v>760.02405211824521</c:v>
                </c:pt>
                <c:pt idx="14">
                  <c:v>804.31595707532881</c:v>
                </c:pt>
                <c:pt idx="15">
                  <c:v>849.11990868230509</c:v>
                </c:pt>
                <c:pt idx="16">
                  <c:v>881.30320638963849</c:v>
                </c:pt>
                <c:pt idx="17">
                  <c:v>893.91277621893414</c:v>
                </c:pt>
                <c:pt idx="18">
                  <c:v>903.08170722706996</c:v>
                </c:pt>
                <c:pt idx="19">
                  <c:v>908.72558147617508</c:v>
                </c:pt>
                <c:pt idx="20">
                  <c:v>913.70962047970534</c:v>
                </c:pt>
                <c:pt idx="21">
                  <c:v>911.94724386800749</c:v>
                </c:pt>
                <c:pt idx="22">
                  <c:v>910.53392056415748</c:v>
                </c:pt>
                <c:pt idx="23">
                  <c:v>917.95433630388141</c:v>
                </c:pt>
                <c:pt idx="24">
                  <c:v>925.87933346844989</c:v>
                </c:pt>
                <c:pt idx="25">
                  <c:v>933.99821907093803</c:v>
                </c:pt>
                <c:pt idx="26">
                  <c:v>940.86560313532709</c:v>
                </c:pt>
                <c:pt idx="27">
                  <c:v>950.42230918890664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0-42AA-9771-2C4D9FD103A9}"/>
            </c:ext>
          </c:extLst>
        </c:ser>
        <c:ser>
          <c:idx val="4"/>
          <c:order val="4"/>
          <c:tx>
            <c:strRef>
              <c:f>ResultWG!$B$9</c:f>
              <c:strCache>
                <c:ptCount val="1"/>
                <c:pt idx="0">
                  <c:v>Large equipment (excluding photovoltaic panels)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ResultWG!$C$9:$AL$9</c15:sqref>
                  </c15:fullRef>
                </c:ext>
              </c:extLst>
              <c:f>ResultWG!$C$9:$AD$9</c:f>
              <c:numCache>
                <c:formatCode>0</c:formatCode>
                <c:ptCount val="28"/>
                <c:pt idx="0">
                  <c:v>8748.6599804467751</c:v>
                </c:pt>
                <c:pt idx="1">
                  <c:v>9387.2558480456046</c:v>
                </c:pt>
                <c:pt idx="2">
                  <c:v>9953.7553102237853</c:v>
                </c:pt>
                <c:pt idx="3">
                  <c:v>10519.913131693529</c:v>
                </c:pt>
                <c:pt idx="4">
                  <c:v>11453.680050502133</c:v>
                </c:pt>
                <c:pt idx="5">
                  <c:v>12527.505883082558</c:v>
                </c:pt>
                <c:pt idx="6">
                  <c:v>13597.375093673645</c:v>
                </c:pt>
                <c:pt idx="7">
                  <c:v>14759.735394374949</c:v>
                </c:pt>
                <c:pt idx="8">
                  <c:v>15882.613950275389</c:v>
                </c:pt>
                <c:pt idx="9">
                  <c:v>16986.015077360404</c:v>
                </c:pt>
                <c:pt idx="10">
                  <c:v>18267.903273944939</c:v>
                </c:pt>
                <c:pt idx="11">
                  <c:v>19670.626797312769</c:v>
                </c:pt>
                <c:pt idx="12">
                  <c:v>20878.479576855123</c:v>
                </c:pt>
                <c:pt idx="13">
                  <c:v>22178.154503316575</c:v>
                </c:pt>
                <c:pt idx="14">
                  <c:v>23552.953040665871</c:v>
                </c:pt>
                <c:pt idx="15">
                  <c:v>24797.319072034428</c:v>
                </c:pt>
                <c:pt idx="16">
                  <c:v>26079.421605135878</c:v>
                </c:pt>
                <c:pt idx="17">
                  <c:v>27362.859567976851</c:v>
                </c:pt>
                <c:pt idx="18">
                  <c:v>28672.236921586977</c:v>
                </c:pt>
                <c:pt idx="19">
                  <c:v>30023.781400605192</c:v>
                </c:pt>
                <c:pt idx="20">
                  <c:v>31209.628914775767</c:v>
                </c:pt>
                <c:pt idx="21">
                  <c:v>32459.375043480028</c:v>
                </c:pt>
                <c:pt idx="22">
                  <c:v>33696.791539685677</c:v>
                </c:pt>
                <c:pt idx="23">
                  <c:v>35165.883570778111</c:v>
                </c:pt>
                <c:pt idx="24">
                  <c:v>36635.604911851311</c:v>
                </c:pt>
                <c:pt idx="25">
                  <c:v>37789.221090689083</c:v>
                </c:pt>
                <c:pt idx="26">
                  <c:v>38810.926579295468</c:v>
                </c:pt>
                <c:pt idx="27">
                  <c:v>39719.960195643514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0-42AA-9771-2C4D9FD103A9}"/>
            </c:ext>
          </c:extLst>
        </c:ser>
        <c:ser>
          <c:idx val="5"/>
          <c:order val="5"/>
          <c:tx>
            <c:strRef>
              <c:f>ResultWG!$B$10</c:f>
              <c:strCache>
                <c:ptCount val="1"/>
                <c:pt idx="0">
                  <c:v>Photovoltaic panels (incl. converters)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ResultWG!$C$10:$AL$10</c15:sqref>
                  </c15:fullRef>
                </c:ext>
              </c:extLst>
              <c:f>ResultWG!$C$10:$AD$10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9.177288350378883E-2</c:v>
                </c:pt>
                <c:pt idx="15">
                  <c:v>0.28562176497367259</c:v>
                </c:pt>
                <c:pt idx="16">
                  <c:v>0.50158632447480211</c:v>
                </c:pt>
                <c:pt idx="17">
                  <c:v>0.74720610707107704</c:v>
                </c:pt>
                <c:pt idx="18">
                  <c:v>1.0167364379626989</c:v>
                </c:pt>
                <c:pt idx="19">
                  <c:v>1.3622896779726954</c:v>
                </c:pt>
                <c:pt idx="20">
                  <c:v>1.8525871816751032</c:v>
                </c:pt>
                <c:pt idx="21">
                  <c:v>2.7794434707332281</c:v>
                </c:pt>
                <c:pt idx="22">
                  <c:v>5.1838978125152284</c:v>
                </c:pt>
                <c:pt idx="23">
                  <c:v>10.205953049756946</c:v>
                </c:pt>
                <c:pt idx="24">
                  <c:v>19.446295749057072</c:v>
                </c:pt>
                <c:pt idx="25">
                  <c:v>34.867973744174975</c:v>
                </c:pt>
                <c:pt idx="26">
                  <c:v>53.741122031110393</c:v>
                </c:pt>
                <c:pt idx="27">
                  <c:v>72.500053675882668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0-42AA-9771-2C4D9FD103A9}"/>
            </c:ext>
          </c:extLst>
        </c:ser>
        <c:ser>
          <c:idx val="6"/>
          <c:order val="6"/>
          <c:tx>
            <c:strRef>
              <c:f>ResultWG!$B$11</c:f>
              <c:strCache>
                <c:ptCount val="1"/>
                <c:pt idx="0">
                  <c:v>Small equipment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ResultWG!$C$11:$AL$11</c15:sqref>
                  </c15:fullRef>
                </c:ext>
              </c:extLst>
              <c:f>ResultWG!$C$11:$AD$11</c:f>
              <c:numCache>
                <c:formatCode>0</c:formatCode>
                <c:ptCount val="28"/>
                <c:pt idx="0">
                  <c:v>9585.7856406307837</c:v>
                </c:pt>
                <c:pt idx="1">
                  <c:v>10142.363839970098</c:v>
                </c:pt>
                <c:pt idx="2">
                  <c:v>10716.252501446241</c:v>
                </c:pt>
                <c:pt idx="3">
                  <c:v>11624.90973197729</c:v>
                </c:pt>
                <c:pt idx="4">
                  <c:v>12535.99997650514</c:v>
                </c:pt>
                <c:pt idx="5">
                  <c:v>13412.301962273077</c:v>
                </c:pt>
                <c:pt idx="6">
                  <c:v>14192.490785425001</c:v>
                </c:pt>
                <c:pt idx="7">
                  <c:v>14888.497954513128</c:v>
                </c:pt>
                <c:pt idx="8">
                  <c:v>15576.810115098455</c:v>
                </c:pt>
                <c:pt idx="9">
                  <c:v>16271.147248284406</c:v>
                </c:pt>
                <c:pt idx="10">
                  <c:v>17028.006571231635</c:v>
                </c:pt>
                <c:pt idx="11">
                  <c:v>18031.115743454986</c:v>
                </c:pt>
                <c:pt idx="12">
                  <c:v>19149.563625223782</c:v>
                </c:pt>
                <c:pt idx="13">
                  <c:v>20247.385387880942</c:v>
                </c:pt>
                <c:pt idx="14">
                  <c:v>21135.16032868384</c:v>
                </c:pt>
                <c:pt idx="15">
                  <c:v>22150.92513491942</c:v>
                </c:pt>
                <c:pt idx="16">
                  <c:v>23131.628708741733</c:v>
                </c:pt>
                <c:pt idx="17">
                  <c:v>24045.768485202574</c:v>
                </c:pt>
                <c:pt idx="18">
                  <c:v>24873.448549402608</c:v>
                </c:pt>
                <c:pt idx="19">
                  <c:v>25706.828828612193</c:v>
                </c:pt>
                <c:pt idx="20">
                  <c:v>26637.82192430774</c:v>
                </c:pt>
                <c:pt idx="21">
                  <c:v>27329.343775605288</c:v>
                </c:pt>
                <c:pt idx="22">
                  <c:v>28199.598673128647</c:v>
                </c:pt>
                <c:pt idx="23">
                  <c:v>28989.846595697425</c:v>
                </c:pt>
                <c:pt idx="24">
                  <c:v>29677.735389664638</c:v>
                </c:pt>
                <c:pt idx="25">
                  <c:v>30284.147025528633</c:v>
                </c:pt>
                <c:pt idx="26">
                  <c:v>31165.474597784101</c:v>
                </c:pt>
                <c:pt idx="27">
                  <c:v>32084.676943503146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0-42AA-9771-2C4D9FD103A9}"/>
            </c:ext>
          </c:extLst>
        </c:ser>
        <c:ser>
          <c:idx val="7"/>
          <c:order val="7"/>
          <c:tx>
            <c:strRef>
              <c:f>ResultWG!$B$12</c:f>
              <c:strCache>
                <c:ptCount val="1"/>
                <c:pt idx="0">
                  <c:v>Small IT and telecommunication equipment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ResultWG!$C$12:$AL$12</c15:sqref>
                  </c15:fullRef>
                </c:ext>
              </c:extLst>
              <c:f>ResultWG!$C$12:$AD$12</c:f>
              <c:numCache>
                <c:formatCode>0</c:formatCode>
                <c:ptCount val="28"/>
                <c:pt idx="0">
                  <c:v>2255.6662456309923</c:v>
                </c:pt>
                <c:pt idx="1">
                  <c:v>2359.1063966913825</c:v>
                </c:pt>
                <c:pt idx="2">
                  <c:v>2558.2586201974636</c:v>
                </c:pt>
                <c:pt idx="3">
                  <c:v>2771.4722352435761</c:v>
                </c:pt>
                <c:pt idx="4">
                  <c:v>3178.5248767942071</c:v>
                </c:pt>
                <c:pt idx="5">
                  <c:v>3669.112208575782</c:v>
                </c:pt>
                <c:pt idx="6">
                  <c:v>4073.1445981082761</c:v>
                </c:pt>
                <c:pt idx="7">
                  <c:v>4416.408066348552</c:v>
                </c:pt>
                <c:pt idx="8">
                  <c:v>4642.439970838479</c:v>
                </c:pt>
                <c:pt idx="9">
                  <c:v>5432.8180703382586</c:v>
                </c:pt>
                <c:pt idx="10">
                  <c:v>6122.6952479281344</c:v>
                </c:pt>
                <c:pt idx="11">
                  <c:v>6609.0698284921973</c:v>
                </c:pt>
                <c:pt idx="12">
                  <c:v>6824.9589072956187</c:v>
                </c:pt>
                <c:pt idx="13">
                  <c:v>6896.6948318056484</c:v>
                </c:pt>
                <c:pt idx="14">
                  <c:v>6850.2154411536567</c:v>
                </c:pt>
                <c:pt idx="15">
                  <c:v>6841.4834960760099</c:v>
                </c:pt>
                <c:pt idx="16">
                  <c:v>7020.878041646708</c:v>
                </c:pt>
                <c:pt idx="17">
                  <c:v>7189.5873506571243</c:v>
                </c:pt>
                <c:pt idx="18">
                  <c:v>7467.503785150001</c:v>
                </c:pt>
                <c:pt idx="19">
                  <c:v>7723.9113739744807</c:v>
                </c:pt>
                <c:pt idx="20">
                  <c:v>7805.8526623294065</c:v>
                </c:pt>
                <c:pt idx="21">
                  <c:v>8026.1881029042079</c:v>
                </c:pt>
                <c:pt idx="22">
                  <c:v>8242.5256243497352</c:v>
                </c:pt>
                <c:pt idx="23">
                  <c:v>8431.1341324018958</c:v>
                </c:pt>
                <c:pt idx="24">
                  <c:v>8588.610064603301</c:v>
                </c:pt>
                <c:pt idx="25">
                  <c:v>8742.1832241014818</c:v>
                </c:pt>
                <c:pt idx="26">
                  <c:v>8876.7523306746734</c:v>
                </c:pt>
                <c:pt idx="27">
                  <c:v>9023.1112049364874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0-42AA-9771-2C4D9FD10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5929040"/>
        <c:axId val="1660222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ResultWG!$B$5</c15:sqref>
                        </c15:formulaRef>
                      </c:ext>
                    </c:extLst>
                    <c:strCache>
                      <c:ptCount val="1"/>
                      <c:pt idx="0">
                        <c:v>Description</c:v>
                      </c:pt>
                    </c:strCache>
                  </c:strRef>
                </c:tx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ResultWG!$C$5:$AL$5</c15:sqref>
                        </c15:fullRef>
                        <c15:formulaRef>
                          <c15:sqref>ResultWG!$C$5:$AD$5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1995</c:v>
                      </c:pt>
                      <c:pt idx="1">
                        <c:v>1996</c:v>
                      </c:pt>
                      <c:pt idx="2">
                        <c:v>1997</c:v>
                      </c:pt>
                      <c:pt idx="3">
                        <c:v>1998</c:v>
                      </c:pt>
                      <c:pt idx="4">
                        <c:v>1999</c:v>
                      </c:pt>
                      <c:pt idx="5">
                        <c:v>2000</c:v>
                      </c:pt>
                      <c:pt idx="6">
                        <c:v>2001</c:v>
                      </c:pt>
                      <c:pt idx="7">
                        <c:v>2002</c:v>
                      </c:pt>
                      <c:pt idx="8">
                        <c:v>2003</c:v>
                      </c:pt>
                      <c:pt idx="9">
                        <c:v>2004</c:v>
                      </c:pt>
                      <c:pt idx="10">
                        <c:v>2005</c:v>
                      </c:pt>
                      <c:pt idx="11">
                        <c:v>2006</c:v>
                      </c:pt>
                      <c:pt idx="12">
                        <c:v>2007</c:v>
                      </c:pt>
                      <c:pt idx="13">
                        <c:v>2008</c:v>
                      </c:pt>
                      <c:pt idx="14">
                        <c:v>2009</c:v>
                      </c:pt>
                      <c:pt idx="15">
                        <c:v>2010</c:v>
                      </c:pt>
                      <c:pt idx="16">
                        <c:v>2011</c:v>
                      </c:pt>
                      <c:pt idx="17">
                        <c:v>2012</c:v>
                      </c:pt>
                      <c:pt idx="18">
                        <c:v>2013</c:v>
                      </c:pt>
                      <c:pt idx="19">
                        <c:v>2014</c:v>
                      </c:pt>
                      <c:pt idx="20">
                        <c:v>2015</c:v>
                      </c:pt>
                      <c:pt idx="21">
                        <c:v>2016</c:v>
                      </c:pt>
                      <c:pt idx="22">
                        <c:v>2017</c:v>
                      </c:pt>
                      <c:pt idx="23">
                        <c:v>2018</c:v>
                      </c:pt>
                      <c:pt idx="24">
                        <c:v>2019</c:v>
                      </c:pt>
                      <c:pt idx="25">
                        <c:v>2020</c:v>
                      </c:pt>
                      <c:pt idx="26">
                        <c:v>2021</c:v>
                      </c:pt>
                      <c:pt idx="27">
                        <c:v>2022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ResultWG!$C$5:$AL$5</c15:sqref>
                        </c15:fullRef>
                        <c15:formulaRef>
                          <c15:sqref>ResultWG!$C$5:$AD$5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1995</c:v>
                      </c:pt>
                      <c:pt idx="1">
                        <c:v>1996</c:v>
                      </c:pt>
                      <c:pt idx="2">
                        <c:v>1997</c:v>
                      </c:pt>
                      <c:pt idx="3">
                        <c:v>1998</c:v>
                      </c:pt>
                      <c:pt idx="4">
                        <c:v>1999</c:v>
                      </c:pt>
                      <c:pt idx="5">
                        <c:v>2000</c:v>
                      </c:pt>
                      <c:pt idx="6">
                        <c:v>2001</c:v>
                      </c:pt>
                      <c:pt idx="7">
                        <c:v>2002</c:v>
                      </c:pt>
                      <c:pt idx="8">
                        <c:v>2003</c:v>
                      </c:pt>
                      <c:pt idx="9">
                        <c:v>2004</c:v>
                      </c:pt>
                      <c:pt idx="10">
                        <c:v>2005</c:v>
                      </c:pt>
                      <c:pt idx="11">
                        <c:v>2006</c:v>
                      </c:pt>
                      <c:pt idx="12">
                        <c:v>2007</c:v>
                      </c:pt>
                      <c:pt idx="13">
                        <c:v>2008</c:v>
                      </c:pt>
                      <c:pt idx="14">
                        <c:v>2009</c:v>
                      </c:pt>
                      <c:pt idx="15">
                        <c:v>2010</c:v>
                      </c:pt>
                      <c:pt idx="16">
                        <c:v>2011</c:v>
                      </c:pt>
                      <c:pt idx="17">
                        <c:v>2012</c:v>
                      </c:pt>
                      <c:pt idx="18">
                        <c:v>2013</c:v>
                      </c:pt>
                      <c:pt idx="19">
                        <c:v>2014</c:v>
                      </c:pt>
                      <c:pt idx="20">
                        <c:v>2015</c:v>
                      </c:pt>
                      <c:pt idx="21">
                        <c:v>2016</c:v>
                      </c:pt>
                      <c:pt idx="22">
                        <c:v>2017</c:v>
                      </c:pt>
                      <c:pt idx="23">
                        <c:v>2018</c:v>
                      </c:pt>
                      <c:pt idx="24">
                        <c:v>2019</c:v>
                      </c:pt>
                      <c:pt idx="25">
                        <c:v>2020</c:v>
                      </c:pt>
                      <c:pt idx="26">
                        <c:v>2021</c:v>
                      </c:pt>
                      <c:pt idx="27">
                        <c:v>2022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5F80-42AA-9771-2C4D9FD103A9}"/>
                  </c:ext>
                </c:extLst>
              </c15:ser>
            </c15:filteredBarSeries>
          </c:ext>
        </c:extLst>
      </c:barChart>
      <c:catAx>
        <c:axId val="16592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6022200"/>
        <c:crosses val="autoZero"/>
        <c:auto val="1"/>
        <c:lblAlgn val="ctr"/>
        <c:lblOffset val="100"/>
        <c:noMultiLvlLbl val="0"/>
      </c:catAx>
      <c:valAx>
        <c:axId val="1660222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6592904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1061929789662865E-2"/>
          <c:y val="0.8991571501836263"/>
          <c:w val="0.93234399262349488"/>
          <c:h val="8.324873586797879E-2"/>
        </c:manualLayout>
      </c:layout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Put  on Market (EU10)</a:t>
            </a:r>
            <a:r>
              <a:rPr lang="en-US" baseline="0"/>
              <a:t> in tonnes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8983940212728381E-2"/>
          <c:y val="5.8660402063358527E-2"/>
          <c:w val="0.97008786370044064"/>
          <c:h val="0.80360178831430928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ResultPOM!$B$15</c:f>
              <c:strCache>
                <c:ptCount val="1"/>
                <c:pt idx="0">
                  <c:v>Large household appliances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ResultPOM!$C$15:$AD$15</c:f>
              <c:numCache>
                <c:formatCode>0</c:formatCode>
                <c:ptCount val="28"/>
                <c:pt idx="0">
                  <c:v>22389.531000000003</c:v>
                </c:pt>
                <c:pt idx="1">
                  <c:v>21175.928</c:v>
                </c:pt>
                <c:pt idx="2">
                  <c:v>21967.475000000006</c:v>
                </c:pt>
                <c:pt idx="3">
                  <c:v>25177.915999999997</c:v>
                </c:pt>
                <c:pt idx="4">
                  <c:v>35177.264999999999</c:v>
                </c:pt>
                <c:pt idx="5">
                  <c:v>39308.839</c:v>
                </c:pt>
                <c:pt idx="6">
                  <c:v>42478.375000000015</c:v>
                </c:pt>
                <c:pt idx="7">
                  <c:v>44382.697000000007</c:v>
                </c:pt>
                <c:pt idx="8">
                  <c:v>46833.695999999996</c:v>
                </c:pt>
                <c:pt idx="9">
                  <c:v>47525.285000000003</c:v>
                </c:pt>
                <c:pt idx="10">
                  <c:v>51458.25499999999</c:v>
                </c:pt>
                <c:pt idx="11">
                  <c:v>57515.6</c:v>
                </c:pt>
                <c:pt idx="12">
                  <c:v>57536.490000000005</c:v>
                </c:pt>
                <c:pt idx="13">
                  <c:v>56981.737000000001</c:v>
                </c:pt>
                <c:pt idx="14">
                  <c:v>56183.294999999998</c:v>
                </c:pt>
                <c:pt idx="15">
                  <c:v>55714.262000000002</c:v>
                </c:pt>
                <c:pt idx="16">
                  <c:v>57613.462999999989</c:v>
                </c:pt>
                <c:pt idx="17">
                  <c:v>57705.796999999999</c:v>
                </c:pt>
                <c:pt idx="18">
                  <c:v>58210.231</c:v>
                </c:pt>
                <c:pt idx="19">
                  <c:v>58996.291999999987</c:v>
                </c:pt>
                <c:pt idx="20">
                  <c:v>56821.956999999995</c:v>
                </c:pt>
                <c:pt idx="21">
                  <c:v>60511.74</c:v>
                </c:pt>
                <c:pt idx="22">
                  <c:v>63857.743999999999</c:v>
                </c:pt>
                <c:pt idx="23">
                  <c:v>67644.834999999992</c:v>
                </c:pt>
                <c:pt idx="24">
                  <c:v>68976.06</c:v>
                </c:pt>
                <c:pt idx="25">
                  <c:v>60872.097000000009</c:v>
                </c:pt>
                <c:pt idx="26">
                  <c:v>60094.303000000007</c:v>
                </c:pt>
                <c:pt idx="27">
                  <c:v>60044.185999999994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54-4E9F-A727-62293071E288}"/>
            </c:ext>
          </c:extLst>
        </c:ser>
        <c:ser>
          <c:idx val="2"/>
          <c:order val="2"/>
          <c:tx>
            <c:strRef>
              <c:f>ResultPOM!$B$16</c:f>
              <c:strCache>
                <c:ptCount val="1"/>
                <c:pt idx="0">
                  <c:v>Small household appliances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ResultPOM!$C$16:$AD$16</c:f>
              <c:numCache>
                <c:formatCode>0</c:formatCode>
                <c:ptCount val="28"/>
                <c:pt idx="0">
                  <c:v>5390.884</c:v>
                </c:pt>
                <c:pt idx="1">
                  <c:v>4640.9470000000001</c:v>
                </c:pt>
                <c:pt idx="2">
                  <c:v>4862.5410000000002</c:v>
                </c:pt>
                <c:pt idx="3">
                  <c:v>7393.0259999999998</c:v>
                </c:pt>
                <c:pt idx="4">
                  <c:v>6690.7830000000004</c:v>
                </c:pt>
                <c:pt idx="5">
                  <c:v>6372.0989999999993</c:v>
                </c:pt>
                <c:pt idx="6">
                  <c:v>7016.4740000000002</c:v>
                </c:pt>
                <c:pt idx="7">
                  <c:v>7060.2620000000006</c:v>
                </c:pt>
                <c:pt idx="8">
                  <c:v>8980.91</c:v>
                </c:pt>
                <c:pt idx="9">
                  <c:v>10673.522999999999</c:v>
                </c:pt>
                <c:pt idx="10">
                  <c:v>11311.853999999999</c:v>
                </c:pt>
                <c:pt idx="11">
                  <c:v>13245.925000000001</c:v>
                </c:pt>
                <c:pt idx="12">
                  <c:v>12856.276</c:v>
                </c:pt>
                <c:pt idx="13">
                  <c:v>11692.467000000001</c:v>
                </c:pt>
                <c:pt idx="14">
                  <c:v>10679.465</c:v>
                </c:pt>
                <c:pt idx="15">
                  <c:v>11160.038999999999</c:v>
                </c:pt>
                <c:pt idx="16">
                  <c:v>10120.499</c:v>
                </c:pt>
                <c:pt idx="17">
                  <c:v>9531.884</c:v>
                </c:pt>
                <c:pt idx="18">
                  <c:v>9735.491</c:v>
                </c:pt>
                <c:pt idx="19">
                  <c:v>10013.663</c:v>
                </c:pt>
                <c:pt idx="20">
                  <c:v>12172.145</c:v>
                </c:pt>
                <c:pt idx="21">
                  <c:v>10074.664000000001</c:v>
                </c:pt>
                <c:pt idx="22">
                  <c:v>11227.602000000001</c:v>
                </c:pt>
                <c:pt idx="23">
                  <c:v>10899.025</c:v>
                </c:pt>
                <c:pt idx="24">
                  <c:v>10420.890000000001</c:v>
                </c:pt>
                <c:pt idx="25">
                  <c:v>11536.335999999999</c:v>
                </c:pt>
                <c:pt idx="26">
                  <c:v>13131.395999999999</c:v>
                </c:pt>
                <c:pt idx="27">
                  <c:v>13475.726999999999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54-4E9F-A727-62293071E288}"/>
            </c:ext>
          </c:extLst>
        </c:ser>
        <c:ser>
          <c:idx val="3"/>
          <c:order val="3"/>
          <c:tx>
            <c:strRef>
              <c:f>ResultPOM!$B$17</c:f>
              <c:strCache>
                <c:ptCount val="1"/>
                <c:pt idx="0">
                  <c:v>IT and telecommunications equipment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ResultPOM!$C$17:$AD$17</c:f>
              <c:numCache>
                <c:formatCode>0</c:formatCode>
                <c:ptCount val="28"/>
                <c:pt idx="0">
                  <c:v>3941.54</c:v>
                </c:pt>
                <c:pt idx="1">
                  <c:v>4027.4540000000006</c:v>
                </c:pt>
                <c:pt idx="2">
                  <c:v>7949.3290000000006</c:v>
                </c:pt>
                <c:pt idx="3">
                  <c:v>5199.3229999999985</c:v>
                </c:pt>
                <c:pt idx="4">
                  <c:v>10690.936999999998</c:v>
                </c:pt>
                <c:pt idx="5">
                  <c:v>12565.456999999999</c:v>
                </c:pt>
                <c:pt idx="6">
                  <c:v>12531.050999999999</c:v>
                </c:pt>
                <c:pt idx="7">
                  <c:v>12712.651000000002</c:v>
                </c:pt>
                <c:pt idx="8">
                  <c:v>12303.421999999999</c:v>
                </c:pt>
                <c:pt idx="9">
                  <c:v>13660.805000000004</c:v>
                </c:pt>
                <c:pt idx="10">
                  <c:v>20622.232999999997</c:v>
                </c:pt>
                <c:pt idx="11">
                  <c:v>18168.652000000002</c:v>
                </c:pt>
                <c:pt idx="12">
                  <c:v>12795.301999999998</c:v>
                </c:pt>
                <c:pt idx="13">
                  <c:v>9209.0670000000009</c:v>
                </c:pt>
                <c:pt idx="14">
                  <c:v>8226.4210000000003</c:v>
                </c:pt>
                <c:pt idx="15">
                  <c:v>8851.8709999999992</c:v>
                </c:pt>
                <c:pt idx="16">
                  <c:v>10891.216000000002</c:v>
                </c:pt>
                <c:pt idx="17">
                  <c:v>11084.514999999999</c:v>
                </c:pt>
                <c:pt idx="18">
                  <c:v>12515.166000000001</c:v>
                </c:pt>
                <c:pt idx="19">
                  <c:v>12688.661999999998</c:v>
                </c:pt>
                <c:pt idx="20">
                  <c:v>11187.555999999999</c:v>
                </c:pt>
                <c:pt idx="21">
                  <c:v>12573.97</c:v>
                </c:pt>
                <c:pt idx="22">
                  <c:v>13084.483</c:v>
                </c:pt>
                <c:pt idx="23">
                  <c:v>13364.979000000001</c:v>
                </c:pt>
                <c:pt idx="24">
                  <c:v>13908.760999999999</c:v>
                </c:pt>
                <c:pt idx="25">
                  <c:v>14827.514000000003</c:v>
                </c:pt>
                <c:pt idx="26">
                  <c:v>15080.645</c:v>
                </c:pt>
                <c:pt idx="27">
                  <c:v>15564.477999999999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54-4E9F-A727-62293071E288}"/>
            </c:ext>
          </c:extLst>
        </c:ser>
        <c:ser>
          <c:idx val="4"/>
          <c:order val="4"/>
          <c:tx>
            <c:strRef>
              <c:f>ResultPOM!$B$18</c:f>
              <c:strCache>
                <c:ptCount val="1"/>
                <c:pt idx="0">
                  <c:v>Consumer equipment (excluding photovoltaic panels)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ResultPOM!$C$18:$AD$18</c:f>
              <c:numCache>
                <c:formatCode>0</c:formatCode>
                <c:ptCount val="28"/>
                <c:pt idx="0">
                  <c:v>8120.5119999999988</c:v>
                </c:pt>
                <c:pt idx="1">
                  <c:v>7965.7790000000005</c:v>
                </c:pt>
                <c:pt idx="2">
                  <c:v>7781.2950000000001</c:v>
                </c:pt>
                <c:pt idx="3">
                  <c:v>7569.1729999999998</c:v>
                </c:pt>
                <c:pt idx="4">
                  <c:v>7302.0869999999995</c:v>
                </c:pt>
                <c:pt idx="5">
                  <c:v>6978.0769999999993</c:v>
                </c:pt>
                <c:pt idx="6">
                  <c:v>6885.5349999999989</c:v>
                </c:pt>
                <c:pt idx="7">
                  <c:v>6917.755000000001</c:v>
                </c:pt>
                <c:pt idx="8">
                  <c:v>6914.51</c:v>
                </c:pt>
                <c:pt idx="9">
                  <c:v>6682.1149999999998</c:v>
                </c:pt>
                <c:pt idx="10">
                  <c:v>7858.8369999999995</c:v>
                </c:pt>
                <c:pt idx="11">
                  <c:v>7679.2590000000009</c:v>
                </c:pt>
                <c:pt idx="12">
                  <c:v>8043.2210000000005</c:v>
                </c:pt>
                <c:pt idx="13">
                  <c:v>7889.0410000000002</c:v>
                </c:pt>
                <c:pt idx="14">
                  <c:v>7729.3670000000002</c:v>
                </c:pt>
                <c:pt idx="15">
                  <c:v>7500.1729999999989</c:v>
                </c:pt>
                <c:pt idx="16">
                  <c:v>8794.6350000000002</c:v>
                </c:pt>
                <c:pt idx="17">
                  <c:v>8633.2389999999996</c:v>
                </c:pt>
                <c:pt idx="18">
                  <c:v>8201.2860000000001</c:v>
                </c:pt>
                <c:pt idx="19">
                  <c:v>7725.8730000000014</c:v>
                </c:pt>
                <c:pt idx="20">
                  <c:v>7596.6260000000011</c:v>
                </c:pt>
                <c:pt idx="21">
                  <c:v>7622.6669999999995</c:v>
                </c:pt>
                <c:pt idx="22">
                  <c:v>8254.25</c:v>
                </c:pt>
                <c:pt idx="23">
                  <c:v>8876.42</c:v>
                </c:pt>
                <c:pt idx="24">
                  <c:v>8931.991</c:v>
                </c:pt>
                <c:pt idx="25">
                  <c:v>9754.6739999999991</c:v>
                </c:pt>
                <c:pt idx="26">
                  <c:v>9879.146999999999</c:v>
                </c:pt>
                <c:pt idx="27">
                  <c:v>10104.476000000001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54-4E9F-A727-62293071E288}"/>
            </c:ext>
          </c:extLst>
        </c:ser>
        <c:ser>
          <c:idx val="5"/>
          <c:order val="5"/>
          <c:tx>
            <c:strRef>
              <c:f>ResultPOM!$B$19</c:f>
              <c:strCache>
                <c:ptCount val="1"/>
                <c:pt idx="0">
                  <c:v>Photovoltaic panels (incl. converters)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ResultPOM!$C$19:$AD$19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57.381</c:v>
                </c:pt>
                <c:pt idx="15">
                  <c:v>6.992</c:v>
                </c:pt>
                <c:pt idx="16">
                  <c:v>8.5440000000000005</c:v>
                </c:pt>
                <c:pt idx="17">
                  <c:v>12.986000000000001</c:v>
                </c:pt>
                <c:pt idx="18">
                  <c:v>6.391</c:v>
                </c:pt>
                <c:pt idx="19">
                  <c:v>47.124000000000002</c:v>
                </c:pt>
                <c:pt idx="20">
                  <c:v>51.332999999999998</c:v>
                </c:pt>
                <c:pt idx="21">
                  <c:v>232.375</c:v>
                </c:pt>
                <c:pt idx="22">
                  <c:v>707.59</c:v>
                </c:pt>
                <c:pt idx="23">
                  <c:v>959.27</c:v>
                </c:pt>
                <c:pt idx="24">
                  <c:v>1738.0350000000001</c:v>
                </c:pt>
                <c:pt idx="25">
                  <c:v>2241.1999999999998</c:v>
                </c:pt>
                <c:pt idx="26">
                  <c:v>122.069</c:v>
                </c:pt>
                <c:pt idx="27">
                  <c:v>122.069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54-4E9F-A727-62293071E288}"/>
            </c:ext>
          </c:extLst>
        </c:ser>
        <c:ser>
          <c:idx val="6"/>
          <c:order val="6"/>
          <c:tx>
            <c:strRef>
              <c:f>ResultPOM!$B$20</c:f>
              <c:strCache>
                <c:ptCount val="1"/>
                <c:pt idx="0">
                  <c:v>Lighting equipment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ResultPOM!$C$20:$AD$20</c:f>
              <c:numCache>
                <c:formatCode>0</c:formatCode>
                <c:ptCount val="28"/>
                <c:pt idx="0">
                  <c:v>2784.7290000000003</c:v>
                </c:pt>
                <c:pt idx="1">
                  <c:v>2940.2650000000003</c:v>
                </c:pt>
                <c:pt idx="2">
                  <c:v>3884.1170000000002</c:v>
                </c:pt>
                <c:pt idx="3">
                  <c:v>4722.4810000000007</c:v>
                </c:pt>
                <c:pt idx="4">
                  <c:v>5357.768</c:v>
                </c:pt>
                <c:pt idx="5">
                  <c:v>5770.4459999999999</c:v>
                </c:pt>
                <c:pt idx="6">
                  <c:v>6664.0389999999998</c:v>
                </c:pt>
                <c:pt idx="7">
                  <c:v>6211.7649999999994</c:v>
                </c:pt>
                <c:pt idx="8">
                  <c:v>7108.8960000000006</c:v>
                </c:pt>
                <c:pt idx="9">
                  <c:v>9159.898000000001</c:v>
                </c:pt>
                <c:pt idx="10">
                  <c:v>9470.69</c:v>
                </c:pt>
                <c:pt idx="11">
                  <c:v>9828.4839999999986</c:v>
                </c:pt>
                <c:pt idx="12">
                  <c:v>10593.278</c:v>
                </c:pt>
                <c:pt idx="13">
                  <c:v>9652.259</c:v>
                </c:pt>
                <c:pt idx="14">
                  <c:v>6663.6189999999997</c:v>
                </c:pt>
                <c:pt idx="15">
                  <c:v>7210.1310000000003</c:v>
                </c:pt>
                <c:pt idx="16">
                  <c:v>8620.3819999999996</c:v>
                </c:pt>
                <c:pt idx="17">
                  <c:v>7860.0940000000001</c:v>
                </c:pt>
                <c:pt idx="18">
                  <c:v>8254.9989999999998</c:v>
                </c:pt>
                <c:pt idx="19">
                  <c:v>8661.8819999999996</c:v>
                </c:pt>
                <c:pt idx="20">
                  <c:v>11170.772000000001</c:v>
                </c:pt>
                <c:pt idx="21">
                  <c:v>10679.313</c:v>
                </c:pt>
                <c:pt idx="22">
                  <c:v>13795.305999999999</c:v>
                </c:pt>
                <c:pt idx="23">
                  <c:v>13966.695</c:v>
                </c:pt>
                <c:pt idx="24">
                  <c:v>14170.975999999999</c:v>
                </c:pt>
                <c:pt idx="25">
                  <c:v>13942.468000000001</c:v>
                </c:pt>
                <c:pt idx="26">
                  <c:v>14040.826000000001</c:v>
                </c:pt>
                <c:pt idx="27">
                  <c:v>14337.207999999999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54-4E9F-A727-62293071E288}"/>
            </c:ext>
          </c:extLst>
        </c:ser>
        <c:ser>
          <c:idx val="7"/>
          <c:order val="7"/>
          <c:tx>
            <c:strRef>
              <c:f>ResultPOM!$B$21</c:f>
              <c:strCache>
                <c:ptCount val="1"/>
                <c:pt idx="0">
                  <c:v>Electrical and electronic tools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ResultPOM!$C$21:$AD$21</c:f>
              <c:numCache>
                <c:formatCode>0</c:formatCode>
                <c:ptCount val="28"/>
                <c:pt idx="0">
                  <c:v>756.30700000000002</c:v>
                </c:pt>
                <c:pt idx="1">
                  <c:v>751.36599999999999</c:v>
                </c:pt>
                <c:pt idx="2">
                  <c:v>952.7170000000001</c:v>
                </c:pt>
                <c:pt idx="3">
                  <c:v>1605.769</c:v>
                </c:pt>
                <c:pt idx="4">
                  <c:v>3452.0990000000002</c:v>
                </c:pt>
                <c:pt idx="5">
                  <c:v>4132.9850000000006</c:v>
                </c:pt>
                <c:pt idx="6">
                  <c:v>4129.7330000000002</c:v>
                </c:pt>
                <c:pt idx="7">
                  <c:v>4247.9439999999995</c:v>
                </c:pt>
                <c:pt idx="8">
                  <c:v>3804.7969999999996</c:v>
                </c:pt>
                <c:pt idx="9">
                  <c:v>4211.3379999999997</c:v>
                </c:pt>
                <c:pt idx="10">
                  <c:v>5443.3510000000006</c:v>
                </c:pt>
                <c:pt idx="11">
                  <c:v>6034.585</c:v>
                </c:pt>
                <c:pt idx="12">
                  <c:v>5636.1760000000004</c:v>
                </c:pt>
                <c:pt idx="13">
                  <c:v>5176.4390000000003</c:v>
                </c:pt>
                <c:pt idx="14">
                  <c:v>4045.194</c:v>
                </c:pt>
                <c:pt idx="15">
                  <c:v>5583.7240000000002</c:v>
                </c:pt>
                <c:pt idx="16">
                  <c:v>5784.2049999999999</c:v>
                </c:pt>
                <c:pt idx="17">
                  <c:v>6010.9780000000001</c:v>
                </c:pt>
                <c:pt idx="18">
                  <c:v>4794.38</c:v>
                </c:pt>
                <c:pt idx="19">
                  <c:v>5081.2759999999998</c:v>
                </c:pt>
                <c:pt idx="20">
                  <c:v>5797.6409999999996</c:v>
                </c:pt>
                <c:pt idx="21">
                  <c:v>5485.12</c:v>
                </c:pt>
                <c:pt idx="22">
                  <c:v>5689.87</c:v>
                </c:pt>
                <c:pt idx="23">
                  <c:v>5784.3469999999998</c:v>
                </c:pt>
                <c:pt idx="24">
                  <c:v>6891.4760000000006</c:v>
                </c:pt>
                <c:pt idx="25">
                  <c:v>6619.6550000000007</c:v>
                </c:pt>
                <c:pt idx="26">
                  <c:v>6675.5030000000006</c:v>
                </c:pt>
                <c:pt idx="27">
                  <c:v>6816.4129999999996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54-4E9F-A727-62293071E288}"/>
            </c:ext>
          </c:extLst>
        </c:ser>
        <c:ser>
          <c:idx val="8"/>
          <c:order val="8"/>
          <c:tx>
            <c:strRef>
              <c:f>ResultPOM!$B$22</c:f>
              <c:strCache>
                <c:ptCount val="1"/>
                <c:pt idx="0">
                  <c:v>Toys, leisure and sports equipment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ResultPOM!$C$22:$AD$22</c:f>
              <c:numCache>
                <c:formatCode>0</c:formatCode>
                <c:ptCount val="28"/>
                <c:pt idx="0">
                  <c:v>451.697</c:v>
                </c:pt>
                <c:pt idx="1">
                  <c:v>462.50700000000001</c:v>
                </c:pt>
                <c:pt idx="2">
                  <c:v>461.53300000000002</c:v>
                </c:pt>
                <c:pt idx="3">
                  <c:v>460.89699999999993</c:v>
                </c:pt>
                <c:pt idx="4">
                  <c:v>509.09900000000005</c:v>
                </c:pt>
                <c:pt idx="5">
                  <c:v>559.22500000000002</c:v>
                </c:pt>
                <c:pt idx="6">
                  <c:v>626.35800000000006</c:v>
                </c:pt>
                <c:pt idx="7">
                  <c:v>692.93100000000004</c:v>
                </c:pt>
                <c:pt idx="8">
                  <c:v>763.14100000000008</c:v>
                </c:pt>
                <c:pt idx="9">
                  <c:v>964.48199999999997</c:v>
                </c:pt>
                <c:pt idx="10">
                  <c:v>1037.7539999999999</c:v>
                </c:pt>
                <c:pt idx="11">
                  <c:v>1110.617</c:v>
                </c:pt>
                <c:pt idx="12">
                  <c:v>1349.2150000000001</c:v>
                </c:pt>
                <c:pt idx="13">
                  <c:v>1317.5909999999999</c:v>
                </c:pt>
                <c:pt idx="14">
                  <c:v>1253.9099999999999</c:v>
                </c:pt>
                <c:pt idx="15">
                  <c:v>1248.6019999999999</c:v>
                </c:pt>
                <c:pt idx="16">
                  <c:v>1068.9859999999999</c:v>
                </c:pt>
                <c:pt idx="17">
                  <c:v>1069.425</c:v>
                </c:pt>
                <c:pt idx="18">
                  <c:v>1065.604</c:v>
                </c:pt>
                <c:pt idx="19">
                  <c:v>1063.4459999999999</c:v>
                </c:pt>
                <c:pt idx="20">
                  <c:v>1149.5039999999999</c:v>
                </c:pt>
                <c:pt idx="21">
                  <c:v>1315.088</c:v>
                </c:pt>
                <c:pt idx="22">
                  <c:v>1489.0060000000001</c:v>
                </c:pt>
                <c:pt idx="23">
                  <c:v>1616.5069999999998</c:v>
                </c:pt>
                <c:pt idx="24">
                  <c:v>1650.251</c:v>
                </c:pt>
                <c:pt idx="25">
                  <c:v>1679.6499999999999</c:v>
                </c:pt>
                <c:pt idx="26">
                  <c:v>1647.856</c:v>
                </c:pt>
                <c:pt idx="27">
                  <c:v>1706.914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54-4E9F-A727-62293071E288}"/>
            </c:ext>
          </c:extLst>
        </c:ser>
        <c:ser>
          <c:idx val="9"/>
          <c:order val="9"/>
          <c:tx>
            <c:strRef>
              <c:f>ResultPOM!$B$23</c:f>
              <c:strCache>
                <c:ptCount val="1"/>
                <c:pt idx="0">
                  <c:v>Medical devices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ResultPOM!$C$23:$AD$23</c:f>
              <c:numCache>
                <c:formatCode>0</c:formatCode>
                <c:ptCount val="28"/>
                <c:pt idx="0">
                  <c:v>676.27800000000002</c:v>
                </c:pt>
                <c:pt idx="1">
                  <c:v>755.44099999999992</c:v>
                </c:pt>
                <c:pt idx="2">
                  <c:v>810.101</c:v>
                </c:pt>
                <c:pt idx="3">
                  <c:v>938.65700000000004</c:v>
                </c:pt>
                <c:pt idx="4">
                  <c:v>536.09699999999998</c:v>
                </c:pt>
                <c:pt idx="5">
                  <c:v>606.90699999999993</c:v>
                </c:pt>
                <c:pt idx="6">
                  <c:v>681.07799999999997</c:v>
                </c:pt>
                <c:pt idx="7">
                  <c:v>838.39300000000003</c:v>
                </c:pt>
                <c:pt idx="8">
                  <c:v>1406.7339999999999</c:v>
                </c:pt>
                <c:pt idx="9">
                  <c:v>1350.585</c:v>
                </c:pt>
                <c:pt idx="10">
                  <c:v>999.18600000000004</c:v>
                </c:pt>
                <c:pt idx="11">
                  <c:v>839.08800000000008</c:v>
                </c:pt>
                <c:pt idx="12">
                  <c:v>942.03</c:v>
                </c:pt>
                <c:pt idx="13">
                  <c:v>68.542000000000002</c:v>
                </c:pt>
                <c:pt idx="14">
                  <c:v>59.741</c:v>
                </c:pt>
                <c:pt idx="15">
                  <c:v>484.85699999999997</c:v>
                </c:pt>
                <c:pt idx="16">
                  <c:v>902.70299999999997</c:v>
                </c:pt>
                <c:pt idx="17">
                  <c:v>1323.5720000000001</c:v>
                </c:pt>
                <c:pt idx="18">
                  <c:v>1205.31</c:v>
                </c:pt>
                <c:pt idx="19">
                  <c:v>1091.028</c:v>
                </c:pt>
                <c:pt idx="20">
                  <c:v>277.709</c:v>
                </c:pt>
                <c:pt idx="21">
                  <c:v>301.11399999999998</c:v>
                </c:pt>
                <c:pt idx="22">
                  <c:v>318.911</c:v>
                </c:pt>
                <c:pt idx="23">
                  <c:v>328.83600000000001</c:v>
                </c:pt>
                <c:pt idx="24">
                  <c:v>297.60899999999998</c:v>
                </c:pt>
                <c:pt idx="25">
                  <c:v>293.78000000000003</c:v>
                </c:pt>
                <c:pt idx="26">
                  <c:v>296.25799999999998</c:v>
                </c:pt>
                <c:pt idx="27">
                  <c:v>302.512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54-4E9F-A727-62293071E288}"/>
            </c:ext>
          </c:extLst>
        </c:ser>
        <c:ser>
          <c:idx val="10"/>
          <c:order val="10"/>
          <c:tx>
            <c:strRef>
              <c:f>ResultPOM!$B$24</c:f>
              <c:strCache>
                <c:ptCount val="1"/>
                <c:pt idx="0">
                  <c:v>Monitoring and control instruments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ResultPOM!$C$24:$AD$24</c:f>
              <c:numCache>
                <c:formatCode>0</c:formatCode>
                <c:ptCount val="28"/>
                <c:pt idx="0">
                  <c:v>421.92700000000002</c:v>
                </c:pt>
                <c:pt idx="1">
                  <c:v>487.31100000000004</c:v>
                </c:pt>
                <c:pt idx="2">
                  <c:v>711.45699999999999</c:v>
                </c:pt>
                <c:pt idx="3">
                  <c:v>957.36799999999994</c:v>
                </c:pt>
                <c:pt idx="4">
                  <c:v>1359.8779999999999</c:v>
                </c:pt>
                <c:pt idx="5">
                  <c:v>1813.86</c:v>
                </c:pt>
                <c:pt idx="6">
                  <c:v>1767.3690000000001</c:v>
                </c:pt>
                <c:pt idx="7">
                  <c:v>1730.94</c:v>
                </c:pt>
                <c:pt idx="8">
                  <c:v>1405.7370000000001</c:v>
                </c:pt>
                <c:pt idx="9">
                  <c:v>1069.068</c:v>
                </c:pt>
                <c:pt idx="10">
                  <c:v>1265.4770000000001</c:v>
                </c:pt>
                <c:pt idx="11">
                  <c:v>1932.5039999999999</c:v>
                </c:pt>
                <c:pt idx="12">
                  <c:v>2311.1320000000001</c:v>
                </c:pt>
                <c:pt idx="13">
                  <c:v>2289.9259999999999</c:v>
                </c:pt>
                <c:pt idx="14">
                  <c:v>2473.5879999999997</c:v>
                </c:pt>
                <c:pt idx="15">
                  <c:v>1927.2179999999998</c:v>
                </c:pt>
                <c:pt idx="16">
                  <c:v>1856.559</c:v>
                </c:pt>
                <c:pt idx="17">
                  <c:v>1915.615</c:v>
                </c:pt>
                <c:pt idx="18">
                  <c:v>1975.98</c:v>
                </c:pt>
                <c:pt idx="19">
                  <c:v>2173.183</c:v>
                </c:pt>
                <c:pt idx="20">
                  <c:v>2718.105</c:v>
                </c:pt>
                <c:pt idx="21">
                  <c:v>2475.3670000000002</c:v>
                </c:pt>
                <c:pt idx="22">
                  <c:v>2174.5610000000001</c:v>
                </c:pt>
                <c:pt idx="23">
                  <c:v>2423.913</c:v>
                </c:pt>
                <c:pt idx="24">
                  <c:v>2571.0100000000002</c:v>
                </c:pt>
                <c:pt idx="25">
                  <c:v>2249.7689999999998</c:v>
                </c:pt>
                <c:pt idx="26">
                  <c:v>2751.2840000000001</c:v>
                </c:pt>
                <c:pt idx="27">
                  <c:v>2832.5540000000001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F54-4E9F-A727-62293071E288}"/>
            </c:ext>
          </c:extLst>
        </c:ser>
        <c:ser>
          <c:idx val="11"/>
          <c:order val="11"/>
          <c:tx>
            <c:strRef>
              <c:f>ResultPOM!$B$25</c:f>
              <c:strCache>
                <c:ptCount val="1"/>
                <c:pt idx="0">
                  <c:v>Automatic dispensers</c:v>
                </c:pt>
              </c:strCache>
            </c:strRef>
          </c:tx>
          <c:invertIfNegative val="0"/>
          <c:cat>
            <c:numRef>
              <c:f>ResultPOM!$C$5:$AD$5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f>ResultPOM!$C$25:$AD$25</c:f>
              <c:numCache>
                <c:formatCode>0</c:formatCode>
                <c:ptCount val="28"/>
                <c:pt idx="0">
                  <c:v>234.815</c:v>
                </c:pt>
                <c:pt idx="1">
                  <c:v>221.73099999999999</c:v>
                </c:pt>
                <c:pt idx="2">
                  <c:v>214.21</c:v>
                </c:pt>
                <c:pt idx="3">
                  <c:v>206.70400000000001</c:v>
                </c:pt>
                <c:pt idx="4">
                  <c:v>188.768</c:v>
                </c:pt>
                <c:pt idx="5">
                  <c:v>208.977</c:v>
                </c:pt>
                <c:pt idx="6">
                  <c:v>188.072</c:v>
                </c:pt>
                <c:pt idx="7">
                  <c:v>166.977</c:v>
                </c:pt>
                <c:pt idx="8">
                  <c:v>175.16199999999998</c:v>
                </c:pt>
                <c:pt idx="9">
                  <c:v>158.858</c:v>
                </c:pt>
                <c:pt idx="10">
                  <c:v>121.729</c:v>
                </c:pt>
                <c:pt idx="11">
                  <c:v>124.31799999999998</c:v>
                </c:pt>
                <c:pt idx="12">
                  <c:v>127.941</c:v>
                </c:pt>
                <c:pt idx="13">
                  <c:v>129.53199999999998</c:v>
                </c:pt>
                <c:pt idx="14">
                  <c:v>101.22</c:v>
                </c:pt>
                <c:pt idx="15">
                  <c:v>114.84700000000001</c:v>
                </c:pt>
                <c:pt idx="16">
                  <c:v>151.01400000000001</c:v>
                </c:pt>
                <c:pt idx="17">
                  <c:v>187.39</c:v>
                </c:pt>
                <c:pt idx="18">
                  <c:v>224.15600000000001</c:v>
                </c:pt>
                <c:pt idx="19">
                  <c:v>277.21600000000001</c:v>
                </c:pt>
                <c:pt idx="20">
                  <c:v>298.06200000000001</c:v>
                </c:pt>
                <c:pt idx="21">
                  <c:v>319.82500000000005</c:v>
                </c:pt>
                <c:pt idx="22">
                  <c:v>350.89099999999996</c:v>
                </c:pt>
                <c:pt idx="23">
                  <c:v>381.661</c:v>
                </c:pt>
                <c:pt idx="24">
                  <c:v>354.65300000000002</c:v>
                </c:pt>
                <c:pt idx="25">
                  <c:v>362.44800000000004</c:v>
                </c:pt>
                <c:pt idx="26">
                  <c:v>368.976</c:v>
                </c:pt>
                <c:pt idx="27">
                  <c:v>379.005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54-4E9F-A727-62293071E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2007176"/>
        <c:axId val="362006784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ResultPOM!$B$5</c15:sqref>
                        </c15:formulaRef>
                      </c:ext>
                    </c:extLst>
                    <c:strCache>
                      <c:ptCount val="1"/>
                      <c:pt idx="0">
                        <c:v>Description</c:v>
                      </c:pt>
                    </c:strCache>
                  </c:strRef>
                </c:tx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ResultPOM!$C$5:$AD$5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1995</c:v>
                      </c:pt>
                      <c:pt idx="1">
                        <c:v>1996</c:v>
                      </c:pt>
                      <c:pt idx="2">
                        <c:v>1997</c:v>
                      </c:pt>
                      <c:pt idx="3">
                        <c:v>1998</c:v>
                      </c:pt>
                      <c:pt idx="4">
                        <c:v>1999</c:v>
                      </c:pt>
                      <c:pt idx="5">
                        <c:v>2000</c:v>
                      </c:pt>
                      <c:pt idx="6">
                        <c:v>2001</c:v>
                      </c:pt>
                      <c:pt idx="7">
                        <c:v>2002</c:v>
                      </c:pt>
                      <c:pt idx="8">
                        <c:v>2003</c:v>
                      </c:pt>
                      <c:pt idx="9">
                        <c:v>2004</c:v>
                      </c:pt>
                      <c:pt idx="10">
                        <c:v>2005</c:v>
                      </c:pt>
                      <c:pt idx="11">
                        <c:v>2006</c:v>
                      </c:pt>
                      <c:pt idx="12">
                        <c:v>2007</c:v>
                      </c:pt>
                      <c:pt idx="13">
                        <c:v>2008</c:v>
                      </c:pt>
                      <c:pt idx="14">
                        <c:v>2009</c:v>
                      </c:pt>
                      <c:pt idx="15">
                        <c:v>2010</c:v>
                      </c:pt>
                      <c:pt idx="16">
                        <c:v>2011</c:v>
                      </c:pt>
                      <c:pt idx="17">
                        <c:v>2012</c:v>
                      </c:pt>
                      <c:pt idx="18">
                        <c:v>2013</c:v>
                      </c:pt>
                      <c:pt idx="19">
                        <c:v>2014</c:v>
                      </c:pt>
                      <c:pt idx="20">
                        <c:v>2015</c:v>
                      </c:pt>
                      <c:pt idx="21">
                        <c:v>2016</c:v>
                      </c:pt>
                      <c:pt idx="22">
                        <c:v>2017</c:v>
                      </c:pt>
                      <c:pt idx="23">
                        <c:v>2018</c:v>
                      </c:pt>
                      <c:pt idx="24">
                        <c:v>2019</c:v>
                      </c:pt>
                      <c:pt idx="25">
                        <c:v>2020</c:v>
                      </c:pt>
                      <c:pt idx="26">
                        <c:v>2021</c:v>
                      </c:pt>
                      <c:pt idx="27">
                        <c:v>2022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ResultPOM!$C$5:$AD$5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1995</c:v>
                      </c:pt>
                      <c:pt idx="1">
                        <c:v>1996</c:v>
                      </c:pt>
                      <c:pt idx="2">
                        <c:v>1997</c:v>
                      </c:pt>
                      <c:pt idx="3">
                        <c:v>1998</c:v>
                      </c:pt>
                      <c:pt idx="4">
                        <c:v>1999</c:v>
                      </c:pt>
                      <c:pt idx="5">
                        <c:v>2000</c:v>
                      </c:pt>
                      <c:pt idx="6">
                        <c:v>2001</c:v>
                      </c:pt>
                      <c:pt idx="7">
                        <c:v>2002</c:v>
                      </c:pt>
                      <c:pt idx="8">
                        <c:v>2003</c:v>
                      </c:pt>
                      <c:pt idx="9">
                        <c:v>2004</c:v>
                      </c:pt>
                      <c:pt idx="10">
                        <c:v>2005</c:v>
                      </c:pt>
                      <c:pt idx="11">
                        <c:v>2006</c:v>
                      </c:pt>
                      <c:pt idx="12">
                        <c:v>2007</c:v>
                      </c:pt>
                      <c:pt idx="13">
                        <c:v>2008</c:v>
                      </c:pt>
                      <c:pt idx="14">
                        <c:v>2009</c:v>
                      </c:pt>
                      <c:pt idx="15">
                        <c:v>2010</c:v>
                      </c:pt>
                      <c:pt idx="16">
                        <c:v>2011</c:v>
                      </c:pt>
                      <c:pt idx="17">
                        <c:v>2012</c:v>
                      </c:pt>
                      <c:pt idx="18">
                        <c:v>2013</c:v>
                      </c:pt>
                      <c:pt idx="19">
                        <c:v>2014</c:v>
                      </c:pt>
                      <c:pt idx="20">
                        <c:v>2015</c:v>
                      </c:pt>
                      <c:pt idx="21">
                        <c:v>2016</c:v>
                      </c:pt>
                      <c:pt idx="22">
                        <c:v>2017</c:v>
                      </c:pt>
                      <c:pt idx="23">
                        <c:v>2018</c:v>
                      </c:pt>
                      <c:pt idx="24">
                        <c:v>2019</c:v>
                      </c:pt>
                      <c:pt idx="25">
                        <c:v>2020</c:v>
                      </c:pt>
                      <c:pt idx="26">
                        <c:v>2021</c:v>
                      </c:pt>
                      <c:pt idx="27">
                        <c:v>2022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F2D-43F6-B2E2-3F3F6755AF16}"/>
                  </c:ext>
                </c:extLst>
              </c15:ser>
            </c15:filteredBarSeries>
          </c:ext>
        </c:extLst>
      </c:barChart>
      <c:catAx>
        <c:axId val="362007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2006784"/>
        <c:crosses val="autoZero"/>
        <c:auto val="1"/>
        <c:lblAlgn val="ctr"/>
        <c:lblOffset val="100"/>
        <c:noMultiLvlLbl val="0"/>
      </c:catAx>
      <c:valAx>
        <c:axId val="3620067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620071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WEEE Generated (EU10) in tonnes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8983940212728381E-2"/>
          <c:y val="5.8660402063358527E-2"/>
          <c:w val="0.97099854670767638"/>
          <c:h val="0.7994194828255435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ResultWG!$B$15</c:f>
              <c:strCache>
                <c:ptCount val="1"/>
                <c:pt idx="0">
                  <c:v>Large household appliances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ResultWG!$C$15:$AL$15</c15:sqref>
                  </c15:fullRef>
                </c:ext>
              </c:extLst>
              <c:f>ResultWG!$C$15:$AD$15</c:f>
              <c:numCache>
                <c:formatCode>0</c:formatCode>
                <c:ptCount val="28"/>
                <c:pt idx="0">
                  <c:v>10073.166743480619</c:v>
                </c:pt>
                <c:pt idx="1">
                  <c:v>10822.992118754952</c:v>
                </c:pt>
                <c:pt idx="2">
                  <c:v>11532.813322666671</c:v>
                </c:pt>
                <c:pt idx="3">
                  <c:v>12330.594719132931</c:v>
                </c:pt>
                <c:pt idx="4">
                  <c:v>13537.261395753161</c:v>
                </c:pt>
                <c:pt idx="5">
                  <c:v>14847.958931600584</c:v>
                </c:pt>
                <c:pt idx="6">
                  <c:v>16139.234529596184</c:v>
                </c:pt>
                <c:pt idx="7">
                  <c:v>17580.392620054437</c:v>
                </c:pt>
                <c:pt idx="8">
                  <c:v>18995.362263196854</c:v>
                </c:pt>
                <c:pt idx="9">
                  <c:v>20437.485810985974</c:v>
                </c:pt>
                <c:pt idx="10">
                  <c:v>22043.414872068151</c:v>
                </c:pt>
                <c:pt idx="11">
                  <c:v>23980.046646517389</c:v>
                </c:pt>
                <c:pt idx="12">
                  <c:v>25843.266928502955</c:v>
                </c:pt>
                <c:pt idx="13">
                  <c:v>27744.697045853114</c:v>
                </c:pt>
                <c:pt idx="14">
                  <c:v>29743.335637646513</c:v>
                </c:pt>
                <c:pt idx="15">
                  <c:v>31585.936121547013</c:v>
                </c:pt>
                <c:pt idx="16">
                  <c:v>33553.656153762531</c:v>
                </c:pt>
                <c:pt idx="17">
                  <c:v>35481.733960785888</c:v>
                </c:pt>
                <c:pt idx="18">
                  <c:v>37294.489296118671</c:v>
                </c:pt>
                <c:pt idx="19">
                  <c:v>39007.453928866715</c:v>
                </c:pt>
                <c:pt idx="20">
                  <c:v>40503.748320453968</c:v>
                </c:pt>
                <c:pt idx="21">
                  <c:v>42093.033262621357</c:v>
                </c:pt>
                <c:pt idx="22">
                  <c:v>43743.852685911712</c:v>
                </c:pt>
                <c:pt idx="23">
                  <c:v>45628.503463664892</c:v>
                </c:pt>
                <c:pt idx="24">
                  <c:v>47381.733281191286</c:v>
                </c:pt>
                <c:pt idx="25">
                  <c:v>48689.30828468957</c:v>
                </c:pt>
                <c:pt idx="26">
                  <c:v>49886.780178724526</c:v>
                </c:pt>
                <c:pt idx="27">
                  <c:v>50986.19072362857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30-4AC4-BC47-83D3E5DE7E7D}"/>
            </c:ext>
          </c:extLst>
        </c:ser>
        <c:ser>
          <c:idx val="2"/>
          <c:order val="1"/>
          <c:tx>
            <c:strRef>
              <c:f>ResultWG!$B$16</c:f>
              <c:strCache>
                <c:ptCount val="1"/>
                <c:pt idx="0">
                  <c:v>Small household appliances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ResultWG!$C$16:$AL$16</c15:sqref>
                  </c15:fullRef>
                </c:ext>
              </c:extLst>
              <c:f>ResultWG!$C$16:$AD$16</c:f>
              <c:numCache>
                <c:formatCode>0</c:formatCode>
                <c:ptCount val="28"/>
                <c:pt idx="0">
                  <c:v>3671.7597572576619</c:v>
                </c:pt>
                <c:pt idx="1">
                  <c:v>3809.3086327853671</c:v>
                </c:pt>
                <c:pt idx="2">
                  <c:v>3972.8472392568583</c:v>
                </c:pt>
                <c:pt idx="3">
                  <c:v>4422.8888430741781</c:v>
                </c:pt>
                <c:pt idx="4">
                  <c:v>4800.6789841011196</c:v>
                </c:pt>
                <c:pt idx="5">
                  <c:v>5068.8193125140269</c:v>
                </c:pt>
                <c:pt idx="6">
                  <c:v>5300.7554995312175</c:v>
                </c:pt>
                <c:pt idx="7">
                  <c:v>5487.7329549985225</c:v>
                </c:pt>
                <c:pt idx="8">
                  <c:v>5821.263061976435</c:v>
                </c:pt>
                <c:pt idx="9">
                  <c:v>6247.4523549758924</c:v>
                </c:pt>
                <c:pt idx="10">
                  <c:v>6624.8187210067372</c:v>
                </c:pt>
                <c:pt idx="11">
                  <c:v>7069.5676298543658</c:v>
                </c:pt>
                <c:pt idx="12">
                  <c:v>7431.2562194365128</c:v>
                </c:pt>
                <c:pt idx="13">
                  <c:v>7771.6541784386791</c:v>
                </c:pt>
                <c:pt idx="14">
                  <c:v>7963.5643474331882</c:v>
                </c:pt>
                <c:pt idx="15">
                  <c:v>8315.746780849091</c:v>
                </c:pt>
                <c:pt idx="16">
                  <c:v>8616.0071332868174</c:v>
                </c:pt>
                <c:pt idx="17">
                  <c:v>8826.4821965551237</c:v>
                </c:pt>
                <c:pt idx="18">
                  <c:v>9053.9631383179039</c:v>
                </c:pt>
                <c:pt idx="19">
                  <c:v>9295.8778428755759</c:v>
                </c:pt>
                <c:pt idx="20">
                  <c:v>9634.5285666163545</c:v>
                </c:pt>
                <c:pt idx="21">
                  <c:v>9769.9901551907333</c:v>
                </c:pt>
                <c:pt idx="22">
                  <c:v>10068.706299051686</c:v>
                </c:pt>
                <c:pt idx="23">
                  <c:v>10264.121887684687</c:v>
                </c:pt>
                <c:pt idx="24">
                  <c:v>10312.140792628135</c:v>
                </c:pt>
                <c:pt idx="25">
                  <c:v>10363.819353407695</c:v>
                </c:pt>
                <c:pt idx="26">
                  <c:v>10595.160537416174</c:v>
                </c:pt>
                <c:pt idx="27">
                  <c:v>10835.098208575353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30-4AC4-BC47-83D3E5DE7E7D}"/>
            </c:ext>
          </c:extLst>
        </c:ser>
        <c:ser>
          <c:idx val="3"/>
          <c:order val="2"/>
          <c:tx>
            <c:strRef>
              <c:f>ResultWG!$B$17</c:f>
              <c:strCache>
                <c:ptCount val="1"/>
                <c:pt idx="0">
                  <c:v>IT and telecommunications equipment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ResultWG!$C$17:$AL$17</c15:sqref>
                  </c15:fullRef>
                </c:ext>
              </c:extLst>
              <c:f>ResultWG!$C$17:$AD$17</c:f>
              <c:numCache>
                <c:formatCode>0</c:formatCode>
                <c:ptCount val="28"/>
                <c:pt idx="0">
                  <c:v>2815.9246996996644</c:v>
                </c:pt>
                <c:pt idx="1">
                  <c:v>2968.5725109413934</c:v>
                </c:pt>
                <c:pt idx="2">
                  <c:v>3400.6571490065303</c:v>
                </c:pt>
                <c:pt idx="3">
                  <c:v>3648.6086720524863</c:v>
                </c:pt>
                <c:pt idx="4">
                  <c:v>4282.4384934012005</c:v>
                </c:pt>
                <c:pt idx="5">
                  <c:v>5036.5533023980379</c:v>
                </c:pt>
                <c:pt idx="6">
                  <c:v>5709.8492371403427</c:v>
                </c:pt>
                <c:pt idx="7">
                  <c:v>6304.7303152633322</c:v>
                </c:pt>
                <c:pt idx="8">
                  <c:v>6798.255230378536</c:v>
                </c:pt>
                <c:pt idx="9">
                  <c:v>7533.4910210979833</c:v>
                </c:pt>
                <c:pt idx="10">
                  <c:v>8622.9873540800691</c:v>
                </c:pt>
                <c:pt idx="11">
                  <c:v>9397.4174749218128</c:v>
                </c:pt>
                <c:pt idx="12">
                  <c:v>9650.4689086813523</c:v>
                </c:pt>
                <c:pt idx="13">
                  <c:v>9636.2942003396711</c:v>
                </c:pt>
                <c:pt idx="14">
                  <c:v>9515.5693695117461</c:v>
                </c:pt>
                <c:pt idx="15">
                  <c:v>9460.4467591668563</c:v>
                </c:pt>
                <c:pt idx="16">
                  <c:v>9661.4442236243394</c:v>
                </c:pt>
                <c:pt idx="17">
                  <c:v>9852.2457594128136</c:v>
                </c:pt>
                <c:pt idx="18">
                  <c:v>10155.252709573326</c:v>
                </c:pt>
                <c:pt idx="19">
                  <c:v>10441.125448948667</c:v>
                </c:pt>
                <c:pt idx="20">
                  <c:v>10546.493522537643</c:v>
                </c:pt>
                <c:pt idx="21">
                  <c:v>10760.564503771773</c:v>
                </c:pt>
                <c:pt idx="22">
                  <c:v>11003.921374385453</c:v>
                </c:pt>
                <c:pt idx="23">
                  <c:v>11254.128630297395</c:v>
                </c:pt>
                <c:pt idx="24">
                  <c:v>11543.510010866125</c:v>
                </c:pt>
                <c:pt idx="25">
                  <c:v>11889.286875440706</c:v>
                </c:pt>
                <c:pt idx="26">
                  <c:v>12222.974965625523</c:v>
                </c:pt>
                <c:pt idx="27">
                  <c:v>12568.5127084094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30-4AC4-BC47-83D3E5DE7E7D}"/>
            </c:ext>
          </c:extLst>
        </c:ser>
        <c:ser>
          <c:idx val="10"/>
          <c:order val="3"/>
          <c:tx>
            <c:strRef>
              <c:f>ResultWG!$B$18</c:f>
              <c:strCache>
                <c:ptCount val="1"/>
                <c:pt idx="0">
                  <c:v>Consumer equipment (excluding photovoltaic panels)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ResultWG!$C$18:$AL$18</c15:sqref>
                  </c15:fullRef>
                </c:ext>
              </c:extLst>
              <c:f>ResultWG!$C$18:$AD$18</c:f>
              <c:numCache>
                <c:formatCode>0</c:formatCode>
                <c:ptCount val="28"/>
                <c:pt idx="0">
                  <c:v>5208.7716716646737</c:v>
                </c:pt>
                <c:pt idx="1">
                  <c:v>5522.6512066487167</c:v>
                </c:pt>
                <c:pt idx="2">
                  <c:v>5804.4886127074042</c:v>
                </c:pt>
                <c:pt idx="3">
                  <c:v>6051.8730554747299</c:v>
                </c:pt>
                <c:pt idx="4">
                  <c:v>6266.6498626771308</c:v>
                </c:pt>
                <c:pt idx="5">
                  <c:v>6438.7334286459536</c:v>
                </c:pt>
                <c:pt idx="6">
                  <c:v>6570.7198006832641</c:v>
                </c:pt>
                <c:pt idx="7">
                  <c:v>6665.980375346684</c:v>
                </c:pt>
                <c:pt idx="8">
                  <c:v>6726.6362090611274</c:v>
                </c:pt>
                <c:pt idx="9">
                  <c:v>6767.7398572076709</c:v>
                </c:pt>
                <c:pt idx="10">
                  <c:v>6919.4848376617956</c:v>
                </c:pt>
                <c:pt idx="11">
                  <c:v>7050.8417924987771</c:v>
                </c:pt>
                <c:pt idx="12">
                  <c:v>7214.9698301691842</c:v>
                </c:pt>
                <c:pt idx="13">
                  <c:v>7364.2947827961234</c:v>
                </c:pt>
                <c:pt idx="14">
                  <c:v>7496.036881048979</c:v>
                </c:pt>
                <c:pt idx="15">
                  <c:v>7606.3838429691914</c:v>
                </c:pt>
                <c:pt idx="16">
                  <c:v>7795.923586150433</c:v>
                </c:pt>
                <c:pt idx="17">
                  <c:v>7920.9596211818607</c:v>
                </c:pt>
                <c:pt idx="18">
                  <c:v>7995.3502558891696</c:v>
                </c:pt>
                <c:pt idx="19">
                  <c:v>8019.187996826724</c:v>
                </c:pt>
                <c:pt idx="20">
                  <c:v>8014.3907339843818</c:v>
                </c:pt>
                <c:pt idx="21">
                  <c:v>8001.4440822131091</c:v>
                </c:pt>
                <c:pt idx="22">
                  <c:v>8016.4577213378279</c:v>
                </c:pt>
                <c:pt idx="23">
                  <c:v>8065.9456589803367</c:v>
                </c:pt>
                <c:pt idx="24">
                  <c:v>8101.5016310002502</c:v>
                </c:pt>
                <c:pt idx="25">
                  <c:v>8196.221977878271</c:v>
                </c:pt>
                <c:pt idx="26">
                  <c:v>8285.6595549487211</c:v>
                </c:pt>
                <c:pt idx="27">
                  <c:v>8388.2034037270205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30-4AC4-BC47-83D3E5DE7E7D}"/>
            </c:ext>
          </c:extLst>
        </c:ser>
        <c:ser>
          <c:idx val="4"/>
          <c:order val="4"/>
          <c:tx>
            <c:strRef>
              <c:f>ResultWG!$B$19</c:f>
              <c:strCache>
                <c:ptCount val="1"/>
                <c:pt idx="0">
                  <c:v>Photovoltaic panels (incl. converters)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ResultWG!$C$19:$AL$19</c15:sqref>
                  </c15:fullRef>
                </c:ext>
              </c:extLst>
              <c:f>ResultWG!$C$19:$AD$19</c:f>
              <c:numCache>
                <c:formatCode>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9.177288350378883E-2</c:v>
                </c:pt>
                <c:pt idx="15">
                  <c:v>0.28562176497367259</c:v>
                </c:pt>
                <c:pt idx="16">
                  <c:v>0.50158632447480211</c:v>
                </c:pt>
                <c:pt idx="17">
                  <c:v>0.74720610707107704</c:v>
                </c:pt>
                <c:pt idx="18">
                  <c:v>1.0167364379626989</c:v>
                </c:pt>
                <c:pt idx="19">
                  <c:v>1.3622896779726954</c:v>
                </c:pt>
                <c:pt idx="20">
                  <c:v>1.8525871816751032</c:v>
                </c:pt>
                <c:pt idx="21">
                  <c:v>2.7794434707332281</c:v>
                </c:pt>
                <c:pt idx="22">
                  <c:v>5.1838978125152284</c:v>
                </c:pt>
                <c:pt idx="23">
                  <c:v>10.205953049756946</c:v>
                </c:pt>
                <c:pt idx="24">
                  <c:v>19.446295749057072</c:v>
                </c:pt>
                <c:pt idx="25">
                  <c:v>34.867973744174975</c:v>
                </c:pt>
                <c:pt idx="26">
                  <c:v>53.741122031110393</c:v>
                </c:pt>
                <c:pt idx="27">
                  <c:v>72.500053675882668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30-4AC4-BC47-83D3E5DE7E7D}"/>
            </c:ext>
          </c:extLst>
        </c:ser>
        <c:ser>
          <c:idx val="5"/>
          <c:order val="5"/>
          <c:tx>
            <c:strRef>
              <c:f>ResultWG!$B$20</c:f>
              <c:strCache>
                <c:ptCount val="1"/>
                <c:pt idx="0">
                  <c:v>Lighting equipment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ResultWG!$C$20:$AL$20</c15:sqref>
                  </c15:fullRef>
                </c:ext>
              </c:extLst>
              <c:f>ResultWG!$C$20:$AD$20</c:f>
              <c:numCache>
                <c:formatCode>0</c:formatCode>
                <c:ptCount val="28"/>
                <c:pt idx="0">
                  <c:v>1474.929781987958</c:v>
                </c:pt>
                <c:pt idx="1">
                  <c:v>1603.7533638979307</c:v>
                </c:pt>
                <c:pt idx="2">
                  <c:v>1739.8693493248743</c:v>
                </c:pt>
                <c:pt idx="3">
                  <c:v>1883.5289087001056</c:v>
                </c:pt>
                <c:pt idx="4">
                  <c:v>2041.2970827263111</c:v>
                </c:pt>
                <c:pt idx="5">
                  <c:v>2210.9302568211519</c:v>
                </c:pt>
                <c:pt idx="6">
                  <c:v>2398.8544716993874</c:v>
                </c:pt>
                <c:pt idx="7">
                  <c:v>2599.1483299086349</c:v>
                </c:pt>
                <c:pt idx="8">
                  <c:v>2818.4809222353374</c:v>
                </c:pt>
                <c:pt idx="9">
                  <c:v>3060.719260219008</c:v>
                </c:pt>
                <c:pt idx="10">
                  <c:v>3330.3276231771874</c:v>
                </c:pt>
                <c:pt idx="11">
                  <c:v>3631.7132465004884</c:v>
                </c:pt>
                <c:pt idx="12">
                  <c:v>3961.4616260866133</c:v>
                </c:pt>
                <c:pt idx="13">
                  <c:v>4306.877531097165</c:v>
                </c:pt>
                <c:pt idx="14">
                  <c:v>4644.1316191537735</c:v>
                </c:pt>
                <c:pt idx="15">
                  <c:v>4971.0920807989414</c:v>
                </c:pt>
                <c:pt idx="16">
                  <c:v>5278.7572095822698</c:v>
                </c:pt>
                <c:pt idx="17">
                  <c:v>5560.5910355663691</c:v>
                </c:pt>
                <c:pt idx="18">
                  <c:v>5829.4800374277338</c:v>
                </c:pt>
                <c:pt idx="19">
                  <c:v>6085.9665420632973</c:v>
                </c:pt>
                <c:pt idx="20">
                  <c:v>6341.4007328722018</c:v>
                </c:pt>
                <c:pt idx="21">
                  <c:v>6595.1966584739812</c:v>
                </c:pt>
                <c:pt idx="22">
                  <c:v>6862.0439904306522</c:v>
                </c:pt>
                <c:pt idx="23">
                  <c:v>7159.6039633089667</c:v>
                </c:pt>
                <c:pt idx="24">
                  <c:v>7477.7949534636691</c:v>
                </c:pt>
                <c:pt idx="25">
                  <c:v>7813.123836199049</c:v>
                </c:pt>
                <c:pt idx="26">
                  <c:v>8160.473612931969</c:v>
                </c:pt>
                <c:pt idx="27">
                  <c:v>8521.723442288463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30-4AC4-BC47-83D3E5DE7E7D}"/>
            </c:ext>
          </c:extLst>
        </c:ser>
        <c:ser>
          <c:idx val="6"/>
          <c:order val="6"/>
          <c:tx>
            <c:strRef>
              <c:f>ResultWG!$B$21</c:f>
              <c:strCache>
                <c:ptCount val="1"/>
                <c:pt idx="0">
                  <c:v>Electrical and electronic tools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ResultWG!$C$21:$AL$21</c15:sqref>
                  </c15:fullRef>
                </c:ext>
              </c:extLst>
              <c:f>ResultWG!$C$21:$AD$21</c:f>
              <c:numCache>
                <c:formatCode>0</c:formatCode>
                <c:ptCount val="28"/>
                <c:pt idx="0">
                  <c:v>404.8884544412557</c:v>
                </c:pt>
                <c:pt idx="1">
                  <c:v>429.71461919205331</c:v>
                </c:pt>
                <c:pt idx="2">
                  <c:v>460.07407417051445</c:v>
                </c:pt>
                <c:pt idx="3">
                  <c:v>512.4636383605382</c:v>
                </c:pt>
                <c:pt idx="4">
                  <c:v>593.47348880655443</c:v>
                </c:pt>
                <c:pt idx="5">
                  <c:v>728.19770369186926</c:v>
                </c:pt>
                <c:pt idx="6">
                  <c:v>869.12040647726019</c:v>
                </c:pt>
                <c:pt idx="7">
                  <c:v>1023.4002693974001</c:v>
                </c:pt>
                <c:pt idx="8">
                  <c:v>1132.7302884126575</c:v>
                </c:pt>
                <c:pt idx="9">
                  <c:v>1248.676133339608</c:v>
                </c:pt>
                <c:pt idx="10">
                  <c:v>1441.7838129158345</c:v>
                </c:pt>
                <c:pt idx="11">
                  <c:v>1708.4159736129759</c:v>
                </c:pt>
                <c:pt idx="12">
                  <c:v>2039.3325372363404</c:v>
                </c:pt>
                <c:pt idx="13">
                  <c:v>2346.4400725563232</c:v>
                </c:pt>
                <c:pt idx="14">
                  <c:v>2584.1435325085931</c:v>
                </c:pt>
                <c:pt idx="15">
                  <c:v>2901.7009587457246</c:v>
                </c:pt>
                <c:pt idx="16">
                  <c:v>3166.6172714426752</c:v>
                </c:pt>
                <c:pt idx="17">
                  <c:v>3436.3058603420982</c:v>
                </c:pt>
                <c:pt idx="18">
                  <c:v>3583.9830156568109</c:v>
                </c:pt>
                <c:pt idx="19">
                  <c:v>3715.8432978087485</c:v>
                </c:pt>
                <c:pt idx="20">
                  <c:v>3837.2764830717788</c:v>
                </c:pt>
                <c:pt idx="21">
                  <c:v>3923.969080937964</c:v>
                </c:pt>
                <c:pt idx="22">
                  <c:v>4024.158542282777</c:v>
                </c:pt>
                <c:pt idx="23">
                  <c:v>4136.2982491633356</c:v>
                </c:pt>
                <c:pt idx="24">
                  <c:v>4296.417562273301</c:v>
                </c:pt>
                <c:pt idx="25">
                  <c:v>4451.7983721209275</c:v>
                </c:pt>
                <c:pt idx="26">
                  <c:v>4600.7377658478317</c:v>
                </c:pt>
                <c:pt idx="27">
                  <c:v>4747.6317800692195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30-4AC4-BC47-83D3E5DE7E7D}"/>
            </c:ext>
          </c:extLst>
        </c:ser>
        <c:ser>
          <c:idx val="7"/>
          <c:order val="7"/>
          <c:tx>
            <c:strRef>
              <c:f>ResultWG!$B$22</c:f>
              <c:strCache>
                <c:ptCount val="1"/>
                <c:pt idx="0">
                  <c:v>Toys, leisure and sports equipment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ResultWG!$C$22:$AL$22</c15:sqref>
                  </c15:fullRef>
                </c:ext>
              </c:extLst>
              <c:f>ResultWG!$C$22:$AD$22</c:f>
              <c:numCache>
                <c:formatCode>0</c:formatCode>
                <c:ptCount val="28"/>
                <c:pt idx="0">
                  <c:v>314.00828006334314</c:v>
                </c:pt>
                <c:pt idx="1">
                  <c:v>339.21647963548355</c:v>
                </c:pt>
                <c:pt idx="2">
                  <c:v>360.05983793172544</c:v>
                </c:pt>
                <c:pt idx="3">
                  <c:v>377.34275866424599</c:v>
                </c:pt>
                <c:pt idx="4">
                  <c:v>400.93983138646036</c:v>
                </c:pt>
                <c:pt idx="5">
                  <c:v>429.92195522384714</c:v>
                </c:pt>
                <c:pt idx="6">
                  <c:v>466.22699472114027</c:v>
                </c:pt>
                <c:pt idx="7">
                  <c:v>508.22984459583353</c:v>
                </c:pt>
                <c:pt idx="8">
                  <c:v>555.73825712237033</c:v>
                </c:pt>
                <c:pt idx="9">
                  <c:v>632.37267462122225</c:v>
                </c:pt>
                <c:pt idx="10">
                  <c:v>708.31314772033761</c:v>
                </c:pt>
                <c:pt idx="11">
                  <c:v>784.68664229424098</c:v>
                </c:pt>
                <c:pt idx="12">
                  <c:v>892.51403764567885</c:v>
                </c:pt>
                <c:pt idx="13">
                  <c:v>974.88666357408192</c:v>
                </c:pt>
                <c:pt idx="14">
                  <c:v>1033.0193157290855</c:v>
                </c:pt>
                <c:pt idx="15">
                  <c:v>1078.6656154865686</c:v>
                </c:pt>
                <c:pt idx="16">
                  <c:v>1081.5331863295871</c:v>
                </c:pt>
                <c:pt idx="17">
                  <c:v>1083.5629783101394</c:v>
                </c:pt>
                <c:pt idx="18">
                  <c:v>1084.0743349234986</c:v>
                </c:pt>
                <c:pt idx="19">
                  <c:v>1083.6535862130036</c:v>
                </c:pt>
                <c:pt idx="20">
                  <c:v>1098.3112940776157</c:v>
                </c:pt>
                <c:pt idx="21">
                  <c:v>1139.1878153983553</c:v>
                </c:pt>
                <c:pt idx="22">
                  <c:v>1204.5598212970174</c:v>
                </c:pt>
                <c:pt idx="23">
                  <c:v>1279.1278911740385</c:v>
                </c:pt>
                <c:pt idx="24">
                  <c:v>1344.2518340433385</c:v>
                </c:pt>
                <c:pt idx="25">
                  <c:v>1401.1415800084924</c:v>
                </c:pt>
                <c:pt idx="26">
                  <c:v>1440.0857682377834</c:v>
                </c:pt>
                <c:pt idx="27">
                  <c:v>1481.6169966435068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C30-4AC4-BC47-83D3E5DE7E7D}"/>
            </c:ext>
          </c:extLst>
        </c:ser>
        <c:ser>
          <c:idx val="8"/>
          <c:order val="8"/>
          <c:tx>
            <c:strRef>
              <c:f>ResultWG!$B$23</c:f>
              <c:strCache>
                <c:ptCount val="1"/>
                <c:pt idx="0">
                  <c:v>Medical devices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ResultWG!$C$23:$AL$23</c15:sqref>
                  </c15:fullRef>
                </c:ext>
              </c:extLst>
              <c:f>ResultWG!$C$23:$AD$23</c:f>
              <c:numCache>
                <c:formatCode>0</c:formatCode>
                <c:ptCount val="28"/>
                <c:pt idx="0">
                  <c:v>310.84599188871061</c:v>
                </c:pt>
                <c:pt idx="1">
                  <c:v>340.94837889649801</c:v>
                </c:pt>
                <c:pt idx="2">
                  <c:v>372.09274426955602</c:v>
                </c:pt>
                <c:pt idx="3">
                  <c:v>404.85027665519578</c:v>
                </c:pt>
                <c:pt idx="4">
                  <c:v>437.26297301969953</c:v>
                </c:pt>
                <c:pt idx="5">
                  <c:v>467.19099393372534</c:v>
                </c:pt>
                <c:pt idx="6">
                  <c:v>495.08467892768647</c:v>
                </c:pt>
                <c:pt idx="7">
                  <c:v>521.94254197421469</c:v>
                </c:pt>
                <c:pt idx="8">
                  <c:v>551.25912099105597</c:v>
                </c:pt>
                <c:pt idx="9">
                  <c:v>585.82666238716342</c:v>
                </c:pt>
                <c:pt idx="10">
                  <c:v>622.86564020065418</c:v>
                </c:pt>
                <c:pt idx="11">
                  <c:v>658.85536830934177</c:v>
                </c:pt>
                <c:pt idx="12">
                  <c:v>693.00733221491566</c:v>
                </c:pt>
                <c:pt idx="13">
                  <c:v>720.73989725710658</c:v>
                </c:pt>
                <c:pt idx="14">
                  <c:v>737.05750667507698</c:v>
                </c:pt>
                <c:pt idx="15">
                  <c:v>745.08309526013136</c:v>
                </c:pt>
                <c:pt idx="16">
                  <c:v>748.96891255950914</c:v>
                </c:pt>
                <c:pt idx="17">
                  <c:v>753.86581393167796</c:v>
                </c:pt>
                <c:pt idx="18">
                  <c:v>761.78985548419791</c:v>
                </c:pt>
                <c:pt idx="19">
                  <c:v>772.04628670515115</c:v>
                </c:pt>
                <c:pt idx="20">
                  <c:v>779.72444962600593</c:v>
                </c:pt>
                <c:pt idx="21">
                  <c:v>780.62213253533582</c:v>
                </c:pt>
                <c:pt idx="22">
                  <c:v>775.91813222272128</c:v>
                </c:pt>
                <c:pt idx="23">
                  <c:v>765.61902963419686</c:v>
                </c:pt>
                <c:pt idx="24">
                  <c:v>750.19921612981693</c:v>
                </c:pt>
                <c:pt idx="25">
                  <c:v>729.63191509623539</c:v>
                </c:pt>
                <c:pt idx="26">
                  <c:v>705.28103966327501</c:v>
                </c:pt>
                <c:pt idx="27">
                  <c:v>678.0124851072153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30-4AC4-BC47-83D3E5DE7E7D}"/>
            </c:ext>
          </c:extLst>
        </c:ser>
        <c:ser>
          <c:idx val="9"/>
          <c:order val="9"/>
          <c:tx>
            <c:strRef>
              <c:f>ResultWG!$B$24</c:f>
              <c:strCache>
                <c:ptCount val="1"/>
                <c:pt idx="0">
                  <c:v>Monitoring and control instruments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ResultWG!$C$24:$AL$24</c15:sqref>
                  </c15:fullRef>
                </c:ext>
              </c:extLst>
              <c:f>ResultWG!$C$24:$AD$24</c:f>
              <c:numCache>
                <c:formatCode>0</c:formatCode>
                <c:ptCount val="28"/>
                <c:pt idx="0">
                  <c:v>381.6013616120448</c:v>
                </c:pt>
                <c:pt idx="1">
                  <c:v>395.80761958914957</c:v>
                </c:pt>
                <c:pt idx="2">
                  <c:v>429.20458681449111</c:v>
                </c:pt>
                <c:pt idx="3">
                  <c:v>500.29485098537162</c:v>
                </c:pt>
                <c:pt idx="4">
                  <c:v>628.71642229913516</c:v>
                </c:pt>
                <c:pt idx="5">
                  <c:v>810.22682413912412</c:v>
                </c:pt>
                <c:pt idx="6">
                  <c:v>958.30831369213752</c:v>
                </c:pt>
                <c:pt idx="7">
                  <c:v>1079.0904449393549</c:v>
                </c:pt>
                <c:pt idx="8">
                  <c:v>1123.4835062706534</c:v>
                </c:pt>
                <c:pt idx="9">
                  <c:v>1101.9767200855699</c:v>
                </c:pt>
                <c:pt idx="10">
                  <c:v>1108.1828361001226</c:v>
                </c:pt>
                <c:pt idx="11">
                  <c:v>1214.0763293099099</c:v>
                </c:pt>
                <c:pt idx="12">
                  <c:v>1369.7391587638806</c:v>
                </c:pt>
                <c:pt idx="13">
                  <c:v>1504.9161291756764</c:v>
                </c:pt>
                <c:pt idx="14">
                  <c:v>1637.4810170163832</c:v>
                </c:pt>
                <c:pt idx="15">
                  <c:v>1654.8960473911338</c:v>
                </c:pt>
                <c:pt idx="16">
                  <c:v>1670.4223492552592</c:v>
                </c:pt>
                <c:pt idx="17">
                  <c:v>1694.0859446367685</c:v>
                </c:pt>
                <c:pt idx="18">
                  <c:v>1724.6932373824056</c:v>
                </c:pt>
                <c:pt idx="19">
                  <c:v>1772.6135667232118</c:v>
                </c:pt>
                <c:pt idx="20">
                  <c:v>1858.906052361428</c:v>
                </c:pt>
                <c:pt idx="21">
                  <c:v>1907.3118180096935</c:v>
                </c:pt>
                <c:pt idx="22">
                  <c:v>1913.6269038475225</c:v>
                </c:pt>
                <c:pt idx="23">
                  <c:v>1953.0580257682614</c:v>
                </c:pt>
                <c:pt idx="24">
                  <c:v>2004.2578171779073</c:v>
                </c:pt>
                <c:pt idx="25">
                  <c:v>1987.5772945491981</c:v>
                </c:pt>
                <c:pt idx="26">
                  <c:v>2055.4123228178296</c:v>
                </c:pt>
                <c:pt idx="27">
                  <c:v>2127.429062954378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C30-4AC4-BC47-83D3E5DE7E7D}"/>
            </c:ext>
          </c:extLst>
        </c:ser>
        <c:ser>
          <c:idx val="11"/>
          <c:order val="10"/>
          <c:tx>
            <c:strRef>
              <c:f>ResultWG!$B$25</c:f>
              <c:strCache>
                <c:ptCount val="1"/>
                <c:pt idx="0">
                  <c:v>Automatic dispensers</c:v>
                </c:pt>
              </c:strCache>
            </c:strRef>
          </c:tx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ResultWG!$C$5:$AL$5</c15:sqref>
                  </c15:fullRef>
                </c:ext>
              </c:extLst>
              <c:f>ResultWG!$C$5:$AD$5</c:f>
              <c:numCache>
                <c:formatCode>General</c:formatCode>
                <c:ptCount val="28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ResultWG!$C$25:$AL$25</c15:sqref>
                  </c15:fullRef>
                </c:ext>
              </c:extLst>
              <c:f>ResultWG!$C$25:$AD$25</c:f>
              <c:numCache>
                <c:formatCode>0</c:formatCode>
                <c:ptCount val="28"/>
                <c:pt idx="0">
                  <c:v>266.02239226158019</c:v>
                </c:pt>
                <c:pt idx="1">
                  <c:v>275.28838479417794</c:v>
                </c:pt>
                <c:pt idx="2">
                  <c:v>280.43579941714449</c:v>
                </c:pt>
                <c:pt idx="3">
                  <c:v>281.93729979804175</c:v>
                </c:pt>
                <c:pt idx="4">
                  <c:v>280.33226281412942</c:v>
                </c:pt>
                <c:pt idx="5">
                  <c:v>276.47774163900249</c:v>
                </c:pt>
                <c:pt idx="6">
                  <c:v>271.09005408979493</c:v>
                </c:pt>
                <c:pt idx="7">
                  <c:v>264.38366734326831</c:v>
                </c:pt>
                <c:pt idx="8">
                  <c:v>256.72130288705034</c:v>
                </c:pt>
                <c:pt idx="9">
                  <c:v>248.50009671553036</c:v>
                </c:pt>
                <c:pt idx="10">
                  <c:v>239.83184002508131</c:v>
                </c:pt>
                <c:pt idx="11">
                  <c:v>230.83768453719489</c:v>
                </c:pt>
                <c:pt idx="12">
                  <c:v>221.75773010865336</c:v>
                </c:pt>
                <c:pt idx="13">
                  <c:v>212.76492034535499</c:v>
                </c:pt>
                <c:pt idx="14">
                  <c:v>203.83369053104164</c:v>
                </c:pt>
                <c:pt idx="15">
                  <c:v>195.10184194351797</c:v>
                </c:pt>
                <c:pt idx="16">
                  <c:v>186.99711611347183</c:v>
                </c:pt>
                <c:pt idx="17">
                  <c:v>179.90091156495262</c:v>
                </c:pt>
                <c:pt idx="18">
                  <c:v>174.15712446714838</c:v>
                </c:pt>
                <c:pt idx="19">
                  <c:v>170.22453241101834</c:v>
                </c:pt>
                <c:pt idx="20">
                  <c:v>168.44492989274877</c:v>
                </c:pt>
                <c:pt idx="21">
                  <c:v>168.88234628298329</c:v>
                </c:pt>
                <c:pt idx="22">
                  <c:v>171.63239025956113</c:v>
                </c:pt>
                <c:pt idx="23">
                  <c:v>176.81788337870191</c:v>
                </c:pt>
                <c:pt idx="24">
                  <c:v>184.15372439892127</c:v>
                </c:pt>
                <c:pt idx="25">
                  <c:v>193.18346429342074</c:v>
                </c:pt>
                <c:pt idx="26">
                  <c:v>203.64256091910741</c:v>
                </c:pt>
                <c:pt idx="27">
                  <c:v>215.26837961991666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C30-4AC4-BC47-83D3E5DE7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62009920"/>
        <c:axId val="362008352"/>
      </c:barChart>
      <c:catAx>
        <c:axId val="36200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2008352"/>
        <c:crosses val="autoZero"/>
        <c:auto val="1"/>
        <c:lblAlgn val="ctr"/>
        <c:lblOffset val="100"/>
        <c:noMultiLvlLbl val="0"/>
      </c:catAx>
      <c:valAx>
        <c:axId val="36200835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620099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afiek1"/>
  <sheetViews>
    <sheetView zoomScale="7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2"/>
  <sheetViews>
    <sheetView zoomScale="7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900-000000000000}">
  <sheetPr codeName="Grafiek3"/>
  <sheetViews>
    <sheetView zoomScale="7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A00-000000000000}">
  <sheetPr codeName="Grafiek4"/>
  <sheetViews>
    <sheetView zoomScale="7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146050</xdr:colOff>
          <xdr:row>7</xdr:row>
          <xdr:rowOff>114300</xdr:rowOff>
        </xdr:from>
        <xdr:to>
          <xdr:col>4</xdr:col>
          <xdr:colOff>342900</xdr:colOff>
          <xdr:row>9</xdr:row>
          <xdr:rowOff>152400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0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POM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11</xdr:row>
          <xdr:rowOff>0</xdr:rowOff>
        </xdr:from>
        <xdr:to>
          <xdr:col>4</xdr:col>
          <xdr:colOff>374650</xdr:colOff>
          <xdr:row>13</xdr:row>
          <xdr:rowOff>31750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WEEE generated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0</xdr:row>
          <xdr:rowOff>114300</xdr:rowOff>
        </xdr:from>
        <xdr:to>
          <xdr:col>10</xdr:col>
          <xdr:colOff>114300</xdr:colOff>
          <xdr:row>1</xdr:row>
          <xdr:rowOff>146050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1</xdr:row>
          <xdr:rowOff>203200</xdr:rowOff>
        </xdr:from>
        <xdr:to>
          <xdr:col>10</xdr:col>
          <xdr:colOff>107950</xdr:colOff>
          <xdr:row>3</xdr:row>
          <xdr:rowOff>31750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0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17</xdr:row>
          <xdr:rowOff>190500</xdr:rowOff>
        </xdr:from>
        <xdr:to>
          <xdr:col>4</xdr:col>
          <xdr:colOff>298450</xdr:colOff>
          <xdr:row>20</xdr:row>
          <xdr:rowOff>38100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139700</xdr:colOff>
          <xdr:row>14</xdr:row>
          <xdr:rowOff>107950</xdr:rowOff>
        </xdr:from>
        <xdr:to>
          <xdr:col>4</xdr:col>
          <xdr:colOff>342900</xdr:colOff>
          <xdr:row>16</xdr:row>
          <xdr:rowOff>146050</xdr:rowOff>
        </xdr:to>
        <xdr:sp macro="" textlink="">
          <xdr:nvSpPr>
            <xdr:cNvPr id="9231" name="updLifetime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0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Lifetime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63501</xdr:colOff>
      <xdr:row>25</xdr:row>
      <xdr:rowOff>21733</xdr:rowOff>
    </xdr:from>
    <xdr:to>
      <xdr:col>3</xdr:col>
      <xdr:colOff>361950</xdr:colOff>
      <xdr:row>28</xdr:row>
      <xdr:rowOff>11091</xdr:rowOff>
    </xdr:to>
    <xdr:pic>
      <xdr:nvPicPr>
        <xdr:cNvPr id="9" name="Afbeelding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4746133"/>
          <a:ext cx="2155824" cy="532283"/>
        </a:xfrm>
        <a:prstGeom prst="rect">
          <a:avLst/>
        </a:prstGeom>
      </xdr:spPr>
    </xdr:pic>
    <xdr:clientData/>
  </xdr:twoCellAnchor>
  <xdr:oneCellAnchor>
    <xdr:from>
      <xdr:col>12</xdr:col>
      <xdr:colOff>31749</xdr:colOff>
      <xdr:row>0</xdr:row>
      <xdr:rowOff>84667</xdr:rowOff>
    </xdr:from>
    <xdr:ext cx="5408084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397749" y="84667"/>
          <a:ext cx="5408084" cy="26456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 b="0">
              <a:solidFill>
                <a:schemeClr val="tx1"/>
              </a:solidFill>
            </a:rPr>
            <a:t>Please enable macros when opening the Tool (a pop-up message may appear automatically)</a:t>
          </a:r>
        </a:p>
      </xdr:txBody>
    </xdr:sp>
    <xdr:clientData/>
  </xdr:oneCellAnchor>
  <xdr:twoCellAnchor>
    <xdr:from>
      <xdr:col>0</xdr:col>
      <xdr:colOff>0</xdr:colOff>
      <xdr:row>33</xdr:row>
      <xdr:rowOff>30017</xdr:rowOff>
    </xdr:from>
    <xdr:to>
      <xdr:col>3</xdr:col>
      <xdr:colOff>200025</xdr:colOff>
      <xdr:row>37</xdr:row>
      <xdr:rowOff>94934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02217"/>
          <a:ext cx="2057400" cy="7888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7</xdr:row>
      <xdr:rowOff>28576</xdr:rowOff>
    </xdr:from>
    <xdr:to>
      <xdr:col>12</xdr:col>
      <xdr:colOff>228600</xdr:colOff>
      <xdr:row>23</xdr:row>
      <xdr:rowOff>104776</xdr:rowOff>
    </xdr:to>
    <xdr:graphicFrame macro="">
      <xdr:nvGraphicFramePr>
        <xdr:cNvPr id="2" name="Grafico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24</xdr:row>
      <xdr:rowOff>76200</xdr:rowOff>
    </xdr:from>
    <xdr:to>
      <xdr:col>12</xdr:col>
      <xdr:colOff>238124</xdr:colOff>
      <xdr:row>40</xdr:row>
      <xdr:rowOff>142875</xdr:rowOff>
    </xdr:to>
    <xdr:graphicFrame macro="">
      <xdr:nvGraphicFramePr>
        <xdr:cNvPr id="3" name="Grafico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945577" cy="91098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3945577" cy="9109808"/>
    <xdr:graphicFrame macro="">
      <xdr:nvGraphicFramePr>
        <xdr:cNvPr id="2" name="Chart 1" title="WEEE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107950</xdr:rowOff>
        </xdr:from>
        <xdr:to>
          <xdr:col>5</xdr:col>
          <xdr:colOff>488950</xdr:colOff>
          <xdr:row>3</xdr:row>
          <xdr:rowOff>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1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107950</xdr:rowOff>
        </xdr:from>
        <xdr:to>
          <xdr:col>5</xdr:col>
          <xdr:colOff>488950</xdr:colOff>
          <xdr:row>4</xdr:row>
          <xdr:rowOff>203200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1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107950</xdr:rowOff>
        </xdr:from>
        <xdr:to>
          <xdr:col>5</xdr:col>
          <xdr:colOff>488950</xdr:colOff>
          <xdr:row>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114300</xdr:rowOff>
        </xdr:from>
        <xdr:to>
          <xdr:col>5</xdr:col>
          <xdr:colOff>488950</xdr:colOff>
          <xdr:row>5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88900</xdr:rowOff>
        </xdr:from>
        <xdr:to>
          <xdr:col>5</xdr:col>
          <xdr:colOff>482600</xdr:colOff>
          <xdr:row>2</xdr:row>
          <xdr:rowOff>184150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107950</xdr:rowOff>
        </xdr:from>
        <xdr:to>
          <xdr:col>5</xdr:col>
          <xdr:colOff>482600</xdr:colOff>
          <xdr:row>4</xdr:row>
          <xdr:rowOff>203200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88900</xdr:rowOff>
        </xdr:from>
        <xdr:to>
          <xdr:col>5</xdr:col>
          <xdr:colOff>482600</xdr:colOff>
          <xdr:row>2</xdr:row>
          <xdr:rowOff>184150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107950</xdr:rowOff>
        </xdr:from>
        <xdr:to>
          <xdr:col>5</xdr:col>
          <xdr:colOff>482600</xdr:colOff>
          <xdr:row>4</xdr:row>
          <xdr:rowOff>203200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107950</xdr:rowOff>
        </xdr:from>
        <xdr:to>
          <xdr:col>5</xdr:col>
          <xdr:colOff>488950</xdr:colOff>
          <xdr:row>3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17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107950</xdr:rowOff>
        </xdr:from>
        <xdr:to>
          <xdr:col>5</xdr:col>
          <xdr:colOff>488950</xdr:colOff>
          <xdr:row>4</xdr:row>
          <xdr:rowOff>203200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17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107950</xdr:rowOff>
        </xdr:from>
        <xdr:to>
          <xdr:col>5</xdr:col>
          <xdr:colOff>488950</xdr:colOff>
          <xdr:row>3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107950</xdr:rowOff>
        </xdr:from>
        <xdr:to>
          <xdr:col>5</xdr:col>
          <xdr:colOff>488950</xdr:colOff>
          <xdr:row>4</xdr:row>
          <xdr:rowOff>203200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8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13949112" cy="91114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13945577" cy="91098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tbl_CN_Match_Key" connectionId="1" xr16:uid="{00000000-0016-0000-0900-000000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Kantoor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Kantoor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Kantoor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10"/>
  <dimension ref="A1:Q40"/>
  <sheetViews>
    <sheetView showGridLines="0" tabSelected="1" zoomScaleNormal="100" workbookViewId="0">
      <selection activeCell="B6" sqref="B6"/>
    </sheetView>
  </sheetViews>
  <sheetFormatPr defaultColWidth="8.81640625" defaultRowHeight="14.5" x14ac:dyDescent="0.35"/>
  <cols>
    <col min="1" max="16384" width="8.81640625" style="18"/>
  </cols>
  <sheetData>
    <row r="1" spans="1:3" ht="23.5" x14ac:dyDescent="0.55000000000000004">
      <c r="B1" s="19" t="s">
        <v>1143</v>
      </c>
    </row>
    <row r="2" spans="1:3" ht="21" x14ac:dyDescent="0.5">
      <c r="B2" s="20"/>
    </row>
    <row r="5" spans="1:3" x14ac:dyDescent="0.35">
      <c r="A5" s="21" t="s">
        <v>128</v>
      </c>
      <c r="B5" s="21" t="s">
        <v>1147</v>
      </c>
    </row>
    <row r="7" spans="1:3" x14ac:dyDescent="0.35">
      <c r="C7"/>
    </row>
    <row r="19" spans="1:17" x14ac:dyDescent="0.35">
      <c r="J19" s="22"/>
    </row>
    <row r="20" spans="1:17" x14ac:dyDescent="0.35">
      <c r="J20" s="22"/>
    </row>
    <row r="21" spans="1:17" x14ac:dyDescent="0.35">
      <c r="J21" s="22"/>
    </row>
    <row r="22" spans="1:17" x14ac:dyDescent="0.35">
      <c r="J22" s="22"/>
    </row>
    <row r="23" spans="1:17" customFormat="1" x14ac:dyDescent="0.35"/>
    <row r="24" spans="1:17" customFormat="1" x14ac:dyDescent="0.35">
      <c r="A24" s="2" t="s">
        <v>1144</v>
      </c>
    </row>
    <row r="25" spans="1:17" customFormat="1" x14ac:dyDescent="0.35"/>
    <row r="26" spans="1:17" customFormat="1" x14ac:dyDescent="0.35"/>
    <row r="27" spans="1:17" customFormat="1" x14ac:dyDescent="0.35"/>
    <row r="28" spans="1:17" customFormat="1" x14ac:dyDescent="0.35"/>
    <row r="29" spans="1:17" customFormat="1" x14ac:dyDescent="0.35"/>
    <row r="30" spans="1:17" customFormat="1" x14ac:dyDescent="0.35"/>
    <row r="31" spans="1:17" customFormat="1" x14ac:dyDescent="0.35">
      <c r="A31" s="144" t="s">
        <v>1145</v>
      </c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</row>
    <row r="32" spans="1:17" customFormat="1" x14ac:dyDescent="0.35">
      <c r="A32" s="143" t="s">
        <v>1146</v>
      </c>
    </row>
    <row r="33" spans="11:11" customFormat="1" x14ac:dyDescent="0.35"/>
    <row r="34" spans="11:11" customFormat="1" x14ac:dyDescent="0.35"/>
    <row r="35" spans="11:11" customFormat="1" x14ac:dyDescent="0.35"/>
    <row r="36" spans="11:11" customFormat="1" x14ac:dyDescent="0.35"/>
    <row r="40" spans="11:11" x14ac:dyDescent="0.35">
      <c r="K4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4" name="Button 8">
              <controlPr defaultSize="0" print="0" autoFill="0" autoPict="0" macro="[0]!InputData">
                <anchor moveWithCells="1" sizeWithCells="1">
                  <from>
                    <xdr:col>1</xdr:col>
                    <xdr:colOff>146050</xdr:colOff>
                    <xdr:row>7</xdr:row>
                    <xdr:rowOff>114300</xdr:rowOff>
                  </from>
                  <to>
                    <xdr:col>4</xdr:col>
                    <xdr:colOff>342900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5" name="Button 9">
              <controlPr defaultSize="0" print="0" autoFill="0" autoPict="0" macro="[0]!CalculateWGFromTool">
                <anchor moveWithCells="1" sizeWithCells="1">
                  <from>
                    <xdr:col>1</xdr:col>
                    <xdr:colOff>152400</xdr:colOff>
                    <xdr:row>11</xdr:row>
                    <xdr:rowOff>0</xdr:rowOff>
                  </from>
                  <to>
                    <xdr:col>4</xdr:col>
                    <xdr:colOff>374650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6" name="Button 10">
              <controlPr defaultSize="0" print="0" autoFill="0" autoPict="0" macro="[0]!cmdHideSheets_Click">
                <anchor moveWithCells="1" sizeWithCells="1">
                  <from>
                    <xdr:col>8</xdr:col>
                    <xdr:colOff>508000</xdr:colOff>
                    <xdr:row>0</xdr:row>
                    <xdr:rowOff>114300</xdr:rowOff>
                  </from>
                  <to>
                    <xdr:col>10</xdr:col>
                    <xdr:colOff>114300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cmdShowSheets_Click">
                <anchor moveWithCells="1" sizeWithCells="1">
                  <from>
                    <xdr:col>8</xdr:col>
                    <xdr:colOff>495300</xdr:colOff>
                    <xdr:row>1</xdr:row>
                    <xdr:rowOff>203200</xdr:rowOff>
                  </from>
                  <to>
                    <xdr:col>10</xdr:col>
                    <xdr:colOff>107950</xdr:colOff>
                    <xdr:row>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ExportResults">
                <anchor moveWithCells="1" sizeWithCells="1">
                  <from>
                    <xdr:col>1</xdr:col>
                    <xdr:colOff>88900</xdr:colOff>
                    <xdr:row>17</xdr:row>
                    <xdr:rowOff>190500</xdr:rowOff>
                  </from>
                  <to>
                    <xdr:col>4</xdr:col>
                    <xdr:colOff>298450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9" name="updLifetime">
              <controlPr defaultSize="0" print="0" autoFill="0" autoPict="0" macro="[0]!updLifetime">
                <anchor moveWithCells="1" sizeWithCells="1">
                  <from>
                    <xdr:col>1</xdr:col>
                    <xdr:colOff>139700</xdr:colOff>
                    <xdr:row>14</xdr:row>
                    <xdr:rowOff>107950</xdr:rowOff>
                  </from>
                  <to>
                    <xdr:col>4</xdr:col>
                    <xdr:colOff>342900</xdr:colOff>
                    <xdr:row>16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L24"/>
  <sheetViews>
    <sheetView topLeftCell="P1" workbookViewId="0">
      <selection activeCell="B11" sqref="B11"/>
    </sheetView>
  </sheetViews>
  <sheetFormatPr defaultColWidth="10.81640625" defaultRowHeight="14.5" x14ac:dyDescent="0.35"/>
  <cols>
    <col min="1" max="1" width="10.81640625" style="25"/>
    <col min="2" max="2" width="47.453125" style="25" customWidth="1"/>
    <col min="3" max="16384" width="10.81640625" style="25"/>
  </cols>
  <sheetData>
    <row r="1" spans="1:38" ht="26.5" thickBot="1" x14ac:dyDescent="0.65">
      <c r="A1" s="78" t="s">
        <v>162</v>
      </c>
      <c r="B1" s="78"/>
    </row>
    <row r="2" spans="1:38" x14ac:dyDescent="0.35">
      <c r="A2" s="26" t="s">
        <v>173</v>
      </c>
      <c r="B2" s="26"/>
    </row>
    <row r="3" spans="1:38" x14ac:dyDescent="0.35">
      <c r="C3" s="86" t="s">
        <v>84</v>
      </c>
      <c r="D3" s="86"/>
      <c r="E3" s="86"/>
      <c r="F3" s="86"/>
      <c r="G3" s="86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</row>
    <row r="5" spans="1:38" ht="15.5" x14ac:dyDescent="0.35">
      <c r="A5" s="88"/>
      <c r="B5" s="89" t="s">
        <v>237</v>
      </c>
      <c r="C5" s="90">
        <v>1995</v>
      </c>
      <c r="D5" s="90">
        <v>1996</v>
      </c>
      <c r="E5" s="90">
        <v>1997</v>
      </c>
      <c r="F5" s="90">
        <v>1998</v>
      </c>
      <c r="G5" s="90">
        <v>1999</v>
      </c>
      <c r="H5" s="90">
        <v>2000</v>
      </c>
      <c r="I5" s="90">
        <v>2001</v>
      </c>
      <c r="J5" s="90">
        <v>2002</v>
      </c>
      <c r="K5" s="90">
        <v>2003</v>
      </c>
      <c r="L5" s="90">
        <v>2004</v>
      </c>
      <c r="M5" s="90">
        <v>2005</v>
      </c>
      <c r="N5" s="90">
        <v>2006</v>
      </c>
      <c r="O5" s="90">
        <v>2007</v>
      </c>
      <c r="P5" s="90">
        <v>2008</v>
      </c>
      <c r="Q5" s="90">
        <v>2009</v>
      </c>
      <c r="R5" s="90">
        <v>2010</v>
      </c>
      <c r="S5" s="90">
        <v>2011</v>
      </c>
      <c r="T5" s="90">
        <v>2012</v>
      </c>
      <c r="U5" s="90">
        <v>2013</v>
      </c>
      <c r="V5" s="90">
        <v>2014</v>
      </c>
      <c r="W5" s="90">
        <v>2015</v>
      </c>
      <c r="X5" s="90">
        <v>2016</v>
      </c>
      <c r="Y5" s="90">
        <v>2017</v>
      </c>
      <c r="Z5" s="90">
        <v>2018</v>
      </c>
      <c r="AA5" s="90">
        <v>2019</v>
      </c>
      <c r="AB5" s="90">
        <v>2020</v>
      </c>
      <c r="AC5" s="90">
        <v>2021</v>
      </c>
      <c r="AD5" s="90">
        <v>2022</v>
      </c>
      <c r="AE5" s="90">
        <v>2023</v>
      </c>
      <c r="AF5" s="90">
        <v>2024</v>
      </c>
      <c r="AG5" s="90">
        <v>2025</v>
      </c>
      <c r="AH5" s="90">
        <v>2026</v>
      </c>
      <c r="AI5" s="90">
        <v>2027</v>
      </c>
      <c r="AJ5" s="90">
        <v>2028</v>
      </c>
      <c r="AK5" s="90">
        <v>2029</v>
      </c>
      <c r="AL5" s="90">
        <v>2030</v>
      </c>
    </row>
    <row r="6" spans="1:38" x14ac:dyDescent="0.35">
      <c r="A6" s="91" t="s">
        <v>163</v>
      </c>
      <c r="B6" s="25" t="s">
        <v>172</v>
      </c>
      <c r="C6" s="84">
        <f>SUM(ResultPOM!C6:C12)</f>
        <v>45168.22</v>
      </c>
      <c r="D6" s="84">
        <f>SUM(ResultPOM!D6:D12)</f>
        <v>43428.729000000007</v>
      </c>
      <c r="E6" s="84">
        <f>SUM(ResultPOM!E6:E12)</f>
        <v>49594.775000000001</v>
      </c>
      <c r="F6" s="84">
        <f>SUM(ResultPOM!F6:F12)</f>
        <v>54231.313999999991</v>
      </c>
      <c r="G6" s="84">
        <f>SUM(ResultPOM!G6:G12)</f>
        <v>71264.781000000003</v>
      </c>
      <c r="H6" s="84">
        <f>SUM(ResultPOM!H6:H12)</f>
        <v>78316.872000000003</v>
      </c>
      <c r="I6" s="84">
        <f>SUM(ResultPOM!I6:I12)</f>
        <v>82968.084000000003</v>
      </c>
      <c r="J6" s="84">
        <f>SUM(ResultPOM!J6:J12)</f>
        <v>84962.315000000002</v>
      </c>
      <c r="K6" s="84">
        <f>SUM(ResultPOM!K6:K12)</f>
        <v>89697.005000000005</v>
      </c>
      <c r="L6" s="84">
        <f>SUM(ResultPOM!L6:L12)</f>
        <v>95455.957000000009</v>
      </c>
      <c r="M6" s="84">
        <f>SUM(ResultPOM!M6:M12)</f>
        <v>109589.36599999999</v>
      </c>
      <c r="N6" s="84">
        <f>SUM(ResultPOM!N6:N12)</f>
        <v>116479.03200000001</v>
      </c>
      <c r="O6" s="84">
        <f>SUM(ResultPOM!O6:O12)</f>
        <v>112191.06099999997</v>
      </c>
      <c r="P6" s="84">
        <f>SUM(ResultPOM!P6:P12)</f>
        <v>104406.60100000002</v>
      </c>
      <c r="Q6" s="84">
        <f>SUM(ResultPOM!Q6:Q12)</f>
        <v>97473.200999999986</v>
      </c>
      <c r="R6" s="84">
        <f>SUM(ResultPOM!R6:R12)</f>
        <v>99802.716</v>
      </c>
      <c r="S6" s="84">
        <f>SUM(ResultPOM!S6:S12)</f>
        <v>105812.20599999999</v>
      </c>
      <c r="T6" s="84">
        <f>SUM(ResultPOM!T6:T12)</f>
        <v>105335.495</v>
      </c>
      <c r="U6" s="84">
        <f>SUM(ResultPOM!U6:U12)</f>
        <v>106188.99399999999</v>
      </c>
      <c r="V6" s="84">
        <f>SUM(ResultPOM!V6:V12)</f>
        <v>107819.645</v>
      </c>
      <c r="W6" s="84">
        <f>SUM(ResultPOM!W6:W12)</f>
        <v>109241.41</v>
      </c>
      <c r="X6" s="84">
        <f>SUM(ResultPOM!X6:X12)</f>
        <v>111591.24299999999</v>
      </c>
      <c r="Y6" s="84">
        <f>SUM(ResultPOM!Y6:Y12)</f>
        <v>120950.21399999999</v>
      </c>
      <c r="Z6" s="84">
        <f>SUM(ResultPOM!Z6:Z12)</f>
        <v>126246.488</v>
      </c>
      <c r="AA6" s="84">
        <f>SUM(ResultPOM!AA6:AA12)</f>
        <v>129911.71199999998</v>
      </c>
      <c r="AB6" s="84">
        <f>SUM(ResultPOM!AB6:AB12)</f>
        <v>124379.59100000003</v>
      </c>
      <c r="AC6" s="84">
        <f>SUM(ResultPOM!AC6:AC12)</f>
        <v>124088.26300000001</v>
      </c>
      <c r="AD6" s="84">
        <f>SUM(ResultPOM!AD6:AD12)</f>
        <v>125685.542</v>
      </c>
      <c r="AE6" s="84">
        <f>SUM(ResultPOM!AE6:AE12)</f>
        <v>0</v>
      </c>
      <c r="AF6" s="84">
        <f>SUM(ResultPOM!AF6:AF12)</f>
        <v>0</v>
      </c>
      <c r="AG6" s="84">
        <f>SUM(ResultPOM!AG6:AG12)</f>
        <v>0</v>
      </c>
      <c r="AH6" s="84">
        <f>SUM(ResultPOM!AH6:AH12)</f>
        <v>0</v>
      </c>
      <c r="AI6" s="84">
        <f>SUM(ResultPOM!AI6:AI12)</f>
        <v>0</v>
      </c>
      <c r="AJ6" s="84">
        <f>SUM(ResultPOM!AJ6:AJ12)</f>
        <v>0</v>
      </c>
      <c r="AK6" s="84">
        <f>SUM(ResultPOM!AK6:AK12)</f>
        <v>0</v>
      </c>
      <c r="AL6" s="84">
        <f>SUM(ResultPOM!AL6:AL12)</f>
        <v>0</v>
      </c>
    </row>
    <row r="7" spans="1:38" x14ac:dyDescent="0.35">
      <c r="A7" s="92"/>
      <c r="B7" s="25" t="s">
        <v>260</v>
      </c>
      <c r="C7" s="84">
        <f>SUM(ResultWG!C6:C12)</f>
        <v>24921.919134357515</v>
      </c>
      <c r="D7" s="84">
        <f>SUM(ResultWG!D6:D12)</f>
        <v>26508.25331513572</v>
      </c>
      <c r="E7" s="84">
        <f>SUM(ResultWG!E6:E12)</f>
        <v>28352.542715565771</v>
      </c>
      <c r="F7" s="84">
        <f>SUM(ResultWG!F6:F12)</f>
        <v>30414.383022897822</v>
      </c>
      <c r="G7" s="84">
        <f>SUM(ResultWG!G6:G12)</f>
        <v>33269.050796984906</v>
      </c>
      <c r="H7" s="84">
        <f>SUM(ResultWG!H6:H12)</f>
        <v>36315.010450607326</v>
      </c>
      <c r="I7" s="84">
        <f>SUM(ResultWG!I6:I12)</f>
        <v>39179.243986558417</v>
      </c>
      <c r="J7" s="84">
        <f>SUM(ResultWG!J6:J12)</f>
        <v>42035.031363821683</v>
      </c>
      <c r="K7" s="84">
        <f>SUM(ResultWG!K6:K12)</f>
        <v>44779.930162532073</v>
      </c>
      <c r="L7" s="84">
        <f>SUM(ResultWG!L6:L12)</f>
        <v>47864.240591635629</v>
      </c>
      <c r="M7" s="84">
        <f>SUM(ResultWG!M6:M12)</f>
        <v>51662.010684955967</v>
      </c>
      <c r="N7" s="84">
        <f>SUM(ResultWG!N6:N12)</f>
        <v>55726.458788356496</v>
      </c>
      <c r="O7" s="84">
        <f>SUM(ResultWG!O6:O12)</f>
        <v>59317.774308846085</v>
      </c>
      <c r="P7" s="84">
        <f>SUM(ResultWG!P6:P12)</f>
        <v>62583.565421433297</v>
      </c>
      <c r="Q7" s="84">
        <f>SUM(ResultWG!Q6:Q12)</f>
        <v>65558.264690137876</v>
      </c>
      <c r="R7" s="84">
        <f>SUM(ResultWG!R6:R12)</f>
        <v>68515.338765923152</v>
      </c>
      <c r="S7" s="84">
        <f>SUM(ResultWG!S6:S12)</f>
        <v>71760.82872843137</v>
      </c>
      <c r="T7" s="84">
        <f>SUM(ResultWG!T6:T12)</f>
        <v>74790.481288394774</v>
      </c>
      <c r="U7" s="84">
        <f>SUM(ResultWG!U6:U12)</f>
        <v>77658.24974167881</v>
      </c>
      <c r="V7" s="84">
        <f>SUM(ResultWG!V6:V12)</f>
        <v>80365.355319120092</v>
      </c>
      <c r="W7" s="84">
        <f>SUM(ResultWG!W6:W12)</f>
        <v>82785.07767267579</v>
      </c>
      <c r="X7" s="84">
        <f>SUM(ResultWG!X6:X12)</f>
        <v>85142.981298906016</v>
      </c>
      <c r="Y7" s="84">
        <f>SUM(ResultWG!Y6:Y12)</f>
        <v>87790.061758839438</v>
      </c>
      <c r="Z7" s="84">
        <f>SUM(ResultWG!Z6:Z12)</f>
        <v>90693.430636104575</v>
      </c>
      <c r="AA7" s="84">
        <f>SUM(ResultWG!AA6:AA12)</f>
        <v>93415.407118921808</v>
      </c>
      <c r="AB7" s="84">
        <f>SUM(ResultWG!AB6:AB12)</f>
        <v>95749.960927427746</v>
      </c>
      <c r="AC7" s="84">
        <f>SUM(ResultWG!AC6:AC12)</f>
        <v>98209.94942916384</v>
      </c>
      <c r="AD7" s="84">
        <f>SUM(ResultWG!AD6:AD12)</f>
        <v>100622.18724469891</v>
      </c>
      <c r="AE7" s="84">
        <f>SUM(ResultWG!AE6:AE12)</f>
        <v>0</v>
      </c>
      <c r="AF7" s="84">
        <f>SUM(ResultWG!AF6:AF12)</f>
        <v>0</v>
      </c>
      <c r="AG7" s="84">
        <f>SUM(ResultWG!AG6:AG12)</f>
        <v>0</v>
      </c>
      <c r="AH7" s="84">
        <f>SUM(ResultWG!AH6:AH12)</f>
        <v>0</v>
      </c>
      <c r="AI7" s="84">
        <f>SUM(ResultWG!AI6:AI12)</f>
        <v>0</v>
      </c>
      <c r="AJ7" s="84">
        <f>SUM(ResultWG!AJ6:AJ12)</f>
        <v>0</v>
      </c>
      <c r="AK7" s="84">
        <f>SUM(ResultWG!AK6:AK12)</f>
        <v>0</v>
      </c>
      <c r="AL7" s="84">
        <f>SUM(ResultWG!AL6:AL12)</f>
        <v>0</v>
      </c>
    </row>
    <row r="8" spans="1:38" ht="15.5" x14ac:dyDescent="0.35">
      <c r="A8" s="88"/>
      <c r="B8" s="88"/>
    </row>
    <row r="9" spans="1:38" ht="15.5" x14ac:dyDescent="0.35">
      <c r="A9" s="88"/>
      <c r="B9" s="88"/>
    </row>
    <row r="10" spans="1:38" ht="15.5" x14ac:dyDescent="0.35">
      <c r="A10" s="88"/>
      <c r="B10" s="88"/>
    </row>
    <row r="11" spans="1:38" ht="15.5" x14ac:dyDescent="0.35">
      <c r="A11" s="88"/>
      <c r="B11" s="88"/>
    </row>
    <row r="12" spans="1:38" x14ac:dyDescent="0.35">
      <c r="A12" s="92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</row>
    <row r="13" spans="1:38" x14ac:dyDescent="0.35">
      <c r="A13" s="92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</row>
    <row r="14" spans="1:38" x14ac:dyDescent="0.35">
      <c r="A14" s="92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</row>
    <row r="15" spans="1:38" x14ac:dyDescent="0.35">
      <c r="A15" s="92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</row>
    <row r="16" spans="1:38" x14ac:dyDescent="0.35">
      <c r="A16" s="92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</row>
    <row r="17" spans="1:27" x14ac:dyDescent="0.35">
      <c r="A17" s="92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</row>
    <row r="18" spans="1:27" x14ac:dyDescent="0.35">
      <c r="A18" s="92"/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</row>
    <row r="19" spans="1:27" x14ac:dyDescent="0.35">
      <c r="A19" s="92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</row>
    <row r="20" spans="1:27" x14ac:dyDescent="0.35">
      <c r="A20" s="92"/>
      <c r="C20" s="77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</row>
    <row r="21" spans="1:27" x14ac:dyDescent="0.35">
      <c r="A21" s="92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</row>
    <row r="22" spans="1:27" x14ac:dyDescent="0.35">
      <c r="A22" s="92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</row>
    <row r="24" spans="1:27" x14ac:dyDescent="0.35"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</row>
  </sheetData>
  <conditionalFormatting sqref="C6:C7">
    <cfRule type="cellIs" dxfId="32" priority="1" operator="equal">
      <formula>0</formula>
    </cfRule>
  </conditionalFormatting>
  <pageMargins left="0.75" right="0.75" top="1" bottom="1" header="0.5" footer="0.5"/>
  <ignoredErrors>
    <ignoredError sqref="C6" evalError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2"/>
  <dimension ref="A1:AL27"/>
  <sheetViews>
    <sheetView topLeftCell="C1" workbookViewId="0">
      <selection activeCell="W6" sqref="W6"/>
    </sheetView>
  </sheetViews>
  <sheetFormatPr defaultColWidth="8.81640625" defaultRowHeight="14.5" x14ac:dyDescent="0.35"/>
  <cols>
    <col min="1" max="1" width="10.1796875" style="18" customWidth="1"/>
    <col min="2" max="2" width="54.81640625" style="18" customWidth="1"/>
    <col min="3" max="3" width="9.81640625" style="18" customWidth="1"/>
    <col min="4" max="8" width="9.453125" style="18" customWidth="1"/>
    <col min="9" max="13" width="8.81640625" style="18" customWidth="1"/>
    <col min="14" max="16384" width="8.81640625" style="18"/>
  </cols>
  <sheetData>
    <row r="1" spans="1:38" ht="26.5" thickBot="1" x14ac:dyDescent="0.65">
      <c r="A1" s="78" t="s">
        <v>64</v>
      </c>
      <c r="B1" s="79"/>
    </row>
    <row r="2" spans="1:38" x14ac:dyDescent="0.35">
      <c r="A2" s="21" t="s">
        <v>173</v>
      </c>
      <c r="B2" s="21"/>
      <c r="C2" s="21"/>
      <c r="D2" s="21"/>
      <c r="E2" s="21"/>
      <c r="F2" s="21"/>
      <c r="G2" s="21"/>
      <c r="H2" s="21"/>
    </row>
    <row r="3" spans="1:38" x14ac:dyDescent="0.35">
      <c r="C3" s="80" t="s">
        <v>84</v>
      </c>
      <c r="D3" s="80"/>
      <c r="E3" s="80"/>
      <c r="F3" s="80"/>
      <c r="G3" s="80"/>
      <c r="H3" s="80"/>
      <c r="I3" s="80"/>
      <c r="J3" s="80"/>
      <c r="K3" s="80"/>
      <c r="L3" s="80"/>
      <c r="M3" s="80"/>
      <c r="N3" s="76"/>
      <c r="O3" s="80"/>
      <c r="P3" s="80"/>
      <c r="Q3" s="80"/>
      <c r="R3" s="80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</row>
    <row r="5" spans="1:38" ht="15.5" x14ac:dyDescent="0.35">
      <c r="A5" s="83" t="s">
        <v>69</v>
      </c>
      <c r="B5" s="83" t="s">
        <v>237</v>
      </c>
      <c r="C5" s="82">
        <v>1995</v>
      </c>
      <c r="D5" s="82">
        <v>1996</v>
      </c>
      <c r="E5" s="82">
        <v>1997</v>
      </c>
      <c r="F5" s="82">
        <v>1998</v>
      </c>
      <c r="G5" s="82">
        <v>1999</v>
      </c>
      <c r="H5" s="82">
        <v>2000</v>
      </c>
      <c r="I5" s="82">
        <v>2001</v>
      </c>
      <c r="J5" s="82">
        <v>2002</v>
      </c>
      <c r="K5" s="82">
        <v>2003</v>
      </c>
      <c r="L5" s="82">
        <v>2004</v>
      </c>
      <c r="M5" s="82">
        <v>2005</v>
      </c>
      <c r="N5" s="82">
        <v>2006</v>
      </c>
      <c r="O5" s="82">
        <v>2007</v>
      </c>
      <c r="P5" s="82">
        <v>2008</v>
      </c>
      <c r="Q5" s="82">
        <v>2009</v>
      </c>
      <c r="R5" s="82">
        <v>2010</v>
      </c>
      <c r="S5" s="82">
        <v>2011</v>
      </c>
      <c r="T5" s="82">
        <v>2012</v>
      </c>
      <c r="U5" s="82">
        <v>2013</v>
      </c>
      <c r="V5" s="82">
        <v>2014</v>
      </c>
      <c r="W5" s="82">
        <v>2015</v>
      </c>
      <c r="X5" s="82">
        <v>2016</v>
      </c>
      <c r="Y5" s="82">
        <v>2017</v>
      </c>
      <c r="Z5" s="82">
        <v>2018</v>
      </c>
      <c r="AA5" s="82">
        <v>2019</v>
      </c>
      <c r="AB5" s="82">
        <v>2020</v>
      </c>
      <c r="AC5" s="82">
        <v>2021</v>
      </c>
      <c r="AD5" s="82">
        <v>2022</v>
      </c>
      <c r="AE5" s="82">
        <v>2023</v>
      </c>
      <c r="AF5" s="82">
        <v>2024</v>
      </c>
      <c r="AG5" s="82">
        <v>2025</v>
      </c>
      <c r="AH5" s="82">
        <v>2026</v>
      </c>
      <c r="AI5" s="82">
        <v>2027</v>
      </c>
      <c r="AJ5" s="82">
        <v>2028</v>
      </c>
      <c r="AK5" s="82">
        <v>2029</v>
      </c>
      <c r="AL5" s="82">
        <v>2030</v>
      </c>
    </row>
    <row r="6" spans="1:38" x14ac:dyDescent="0.35">
      <c r="A6" s="47">
        <v>1</v>
      </c>
      <c r="B6" s="18" t="s">
        <v>75</v>
      </c>
      <c r="C6" s="94">
        <f>SUMIF(ResultDetail!$D$6:$D$59,$A6,POM!V$6:V$59)</f>
        <v>4639.6709999999994</v>
      </c>
      <c r="D6" s="94">
        <f>SUMIF(ResultDetail!$D$6:$D$59,$A6,POM!W$6:W$59)</f>
        <v>4543.6569999999992</v>
      </c>
      <c r="E6" s="94">
        <f>SUMIF(ResultDetail!$D$6:$D$59,$A6,POM!X$6:X$59)</f>
        <v>5671.5730000000003</v>
      </c>
      <c r="F6" s="94">
        <f>SUMIF(ResultDetail!$D$6:$D$59,$A6,POM!Y$6:Y$59)</f>
        <v>7194.4060000000009</v>
      </c>
      <c r="G6" s="94">
        <f>SUMIF(ResultDetail!$D$6:$D$59,$A6,POM!Z$6:Z$59)</f>
        <v>9312.0409999999993</v>
      </c>
      <c r="H6" s="94">
        <f>SUMIF(ResultDetail!$D$6:$D$59,$A6,POM!AA$6:AA$59)</f>
        <v>10897.942999999999</v>
      </c>
      <c r="I6" s="94">
        <f>SUMIF(ResultDetail!$D$6:$D$59,$A6,POM!AB$6:AB$59)</f>
        <v>12621.723</v>
      </c>
      <c r="J6" s="94">
        <f>SUMIF(ResultDetail!$D$6:$D$59,$A6,POM!AC$6:AC$59)</f>
        <v>12050.847</v>
      </c>
      <c r="K6" s="94">
        <f>SUMIF(ResultDetail!$D$6:$D$59,$A6,POM!AD$6:AD$59)</f>
        <v>13410.864</v>
      </c>
      <c r="L6" s="94">
        <f>SUMIF(ResultDetail!$D$6:$D$59,$A6,POM!AE$6:AE$59)</f>
        <v>13831.54</v>
      </c>
      <c r="M6" s="94">
        <f>SUMIF(ResultDetail!$D$6:$D$59,$A6,POM!AF$6:AF$59)</f>
        <v>15619.682000000001</v>
      </c>
      <c r="N6" s="94">
        <f>SUMIF(ResultDetail!$D$6:$D$59,$A6,POM!AG$6:AG$59)</f>
        <v>19209.744999999999</v>
      </c>
      <c r="O6" s="94">
        <f>SUMIF(ResultDetail!$D$6:$D$59,$A6,POM!AH$6:AH$59)</f>
        <v>20477.095999999998</v>
      </c>
      <c r="P6" s="94">
        <f>SUMIF(ResultDetail!$D$6:$D$59,$A6,POM!AI$6:AI$59)</f>
        <v>19017.585999999999</v>
      </c>
      <c r="Q6" s="94">
        <f>SUMIF(ResultDetail!$D$6:$D$59,$A6,POM!AJ$6:AJ$59)</f>
        <v>16713.565999999999</v>
      </c>
      <c r="R6" s="94">
        <f>SUMIF(ResultDetail!$D$6:$D$59,$A6,POM!AK$6:AK$59)</f>
        <v>16860.492000000002</v>
      </c>
      <c r="S6" s="94">
        <f>SUMIF(ResultDetail!$D$6:$D$59,$A6,POM!AL$6:AL$59)</f>
        <v>16726.021000000001</v>
      </c>
      <c r="T6" s="94">
        <f>SUMIF(ResultDetail!$D$6:$D$59,$A6,POM!AM$6:AM$59)</f>
        <v>15666.505000000001</v>
      </c>
      <c r="U6" s="94">
        <f>SUMIF(ResultDetail!$D$6:$D$59,$A6,POM!AN$6:AN$59)</f>
        <v>14080.615999999998</v>
      </c>
      <c r="V6" s="94">
        <f>SUMIF(ResultDetail!$D$6:$D$59,$A6,POM!AO$6:AO$59)</f>
        <v>12630.961999999998</v>
      </c>
      <c r="W6" s="94">
        <f>SUMIF(ResultDetail!$D$6:$D$59,$A6,POM!AP$6:AP$59)</f>
        <v>13140.991999999998</v>
      </c>
      <c r="X6" s="94">
        <f>SUMIF(ResultDetail!$D$6:$D$59,$A6,POM!AQ$6:AQ$59)</f>
        <v>14430.223</v>
      </c>
      <c r="Y6" s="94">
        <f>SUMIF(ResultDetail!$D$6:$D$59,$A6,POM!AR$6:AR$59)</f>
        <v>17136.194</v>
      </c>
      <c r="Z6" s="94">
        <f>SUMIF(ResultDetail!$D$6:$D$59,$A6,POM!AS$6:AS$59)</f>
        <v>18100.500999999997</v>
      </c>
      <c r="AA6" s="94">
        <f>SUMIF(ResultDetail!$D$6:$D$59,$A6,POM!AT$6:AT$59)</f>
        <v>19057.845999999998</v>
      </c>
      <c r="AB6" s="94">
        <f>SUMIF(ResultDetail!$D$6:$D$59,$A6,POM!AU$6:AU$59)</f>
        <v>16432.323000000004</v>
      </c>
      <c r="AC6" s="94">
        <f>SUMIF(ResultDetail!$D$6:$D$59,$A6,POM!AV$6:AV$59)</f>
        <v>16570.957999999999</v>
      </c>
      <c r="AD6" s="94">
        <f>SUMIF(ResultDetail!$D$6:$D$59,$A6,POM!AW$6:AW$59)</f>
        <v>16920.745999999999</v>
      </c>
      <c r="AE6" s="94">
        <f>SUMIF(ResultDetail!$D$6:$D$59,$A6,POM!AX$6:AX$59)</f>
        <v>0</v>
      </c>
      <c r="AF6" s="94">
        <f>SUMIF(ResultDetail!$D$6:$D$59,$A6,POM!AY$6:AY$59)</f>
        <v>0</v>
      </c>
      <c r="AG6" s="94">
        <f>SUMIF(ResultDetail!$D$6:$D$59,$A6,POM!AZ$6:AZ$59)</f>
        <v>0</v>
      </c>
      <c r="AH6" s="94">
        <f>SUMIF(ResultDetail!$D$6:$D$59,$A6,POM!BA$6:BA$59)</f>
        <v>0</v>
      </c>
      <c r="AI6" s="94">
        <f>SUMIF(ResultDetail!$D$6:$D$59,$A6,POM!BB$6:BB$59)</f>
        <v>0</v>
      </c>
      <c r="AJ6" s="94">
        <f>SUMIF(ResultDetail!$D$6:$D$59,$A6,POM!BC$6:BC$59)</f>
        <v>0</v>
      </c>
      <c r="AK6" s="94">
        <f>SUMIF(ResultDetail!$D$6:$D$59,$A6,POM!BD$6:BD$59)</f>
        <v>0</v>
      </c>
      <c r="AL6" s="94">
        <f>SUMIF(ResultDetail!$D$6:$D$59,$A6,POM!BE$6:BE$59)</f>
        <v>0</v>
      </c>
    </row>
    <row r="7" spans="1:38" x14ac:dyDescent="0.35">
      <c r="A7" s="47">
        <v>2</v>
      </c>
      <c r="B7" s="18" t="s">
        <v>80</v>
      </c>
      <c r="C7" s="94">
        <f>SUMIF(ResultDetail!$D$6:$D$59,$A7,POM!V$6:V$59)</f>
        <v>2396.3229999999999</v>
      </c>
      <c r="D7" s="94">
        <f>SUMIF(ResultDetail!$D$6:$D$59,$A7,POM!W$6:W$59)</f>
        <v>2418.2669999999998</v>
      </c>
      <c r="E7" s="94">
        <f>SUMIF(ResultDetail!$D$6:$D$59,$A7,POM!X$6:X$59)</f>
        <v>5331.43</v>
      </c>
      <c r="F7" s="94">
        <f>SUMIF(ResultDetail!$D$6:$D$59,$A7,POM!Y$6:Y$59)</f>
        <v>2502.9960000000001</v>
      </c>
      <c r="G7" s="94">
        <f>SUMIF(ResultDetail!$D$6:$D$59,$A7,POM!Z$6:Z$59)</f>
        <v>5990.0940000000001</v>
      </c>
      <c r="H7" s="94">
        <f>SUMIF(ResultDetail!$D$6:$D$59,$A7,POM!AA$6:AA$59)</f>
        <v>6460.9649999999992</v>
      </c>
      <c r="I7" s="94">
        <f>SUMIF(ResultDetail!$D$6:$D$59,$A7,POM!AB$6:AB$59)</f>
        <v>6581.293999999999</v>
      </c>
      <c r="J7" s="94">
        <f>SUMIF(ResultDetail!$D$6:$D$59,$A7,POM!AC$6:AC$59)</f>
        <v>7191.9560000000001</v>
      </c>
      <c r="K7" s="94">
        <f>SUMIF(ResultDetail!$D$6:$D$59,$A7,POM!AD$6:AD$59)</f>
        <v>7855.8420000000006</v>
      </c>
      <c r="L7" s="94">
        <f>SUMIF(ResultDetail!$D$6:$D$59,$A7,POM!AE$6:AE$59)</f>
        <v>3189.7660000000001</v>
      </c>
      <c r="M7" s="94">
        <f>SUMIF(ResultDetail!$D$6:$D$59,$A7,POM!AF$6:AF$59)</f>
        <v>11006.528</v>
      </c>
      <c r="N7" s="94">
        <f>SUMIF(ResultDetail!$D$6:$D$59,$A7,POM!AG$6:AG$59)</f>
        <v>10079.57</v>
      </c>
      <c r="O7" s="94">
        <f>SUMIF(ResultDetail!$D$6:$D$59,$A7,POM!AH$6:AH$59)</f>
        <v>7237.4190000000008</v>
      </c>
      <c r="P7" s="94">
        <f>SUMIF(ResultDetail!$D$6:$D$59,$A7,POM!AI$6:AI$59)</f>
        <v>4288.5420000000004</v>
      </c>
      <c r="Q7" s="94">
        <f>SUMIF(ResultDetail!$D$6:$D$59,$A7,POM!AJ$6:AJ$59)</f>
        <v>3839.9189999999999</v>
      </c>
      <c r="R7" s="94">
        <f>SUMIF(ResultDetail!$D$6:$D$59,$A7,POM!AK$6:AK$59)</f>
        <v>3611.8389999999999</v>
      </c>
      <c r="S7" s="94">
        <f>SUMIF(ResultDetail!$D$6:$D$59,$A7,POM!AL$6:AL$59)</f>
        <v>4622.6570000000002</v>
      </c>
      <c r="T7" s="94">
        <f>SUMIF(ResultDetail!$D$6:$D$59,$A7,POM!AM$6:AM$59)</f>
        <v>4484.1200000000008</v>
      </c>
      <c r="U7" s="94">
        <f>SUMIF(ResultDetail!$D$6:$D$59,$A7,POM!AN$6:AN$59)</f>
        <v>4346.29</v>
      </c>
      <c r="V7" s="94">
        <f>SUMIF(ResultDetail!$D$6:$D$59,$A7,POM!AO$6:AO$59)</f>
        <v>4213.9439999999995</v>
      </c>
      <c r="W7" s="94">
        <f>SUMIF(ResultDetail!$D$6:$D$59,$A7,POM!AP$6:AP$59)</f>
        <v>4104.7440000000006</v>
      </c>
      <c r="X7" s="94">
        <f>SUMIF(ResultDetail!$D$6:$D$59,$A7,POM!AQ$6:AQ$59)</f>
        <v>4071.3289999999997</v>
      </c>
      <c r="Y7" s="94">
        <f>SUMIF(ResultDetail!$D$6:$D$59,$A7,POM!AR$6:AR$59)</f>
        <v>4589.4529999999995</v>
      </c>
      <c r="Z7" s="94">
        <f>SUMIF(ResultDetail!$D$6:$D$59,$A7,POM!AS$6:AS$59)</f>
        <v>5364.674</v>
      </c>
      <c r="AA7" s="94">
        <f>SUMIF(ResultDetail!$D$6:$D$59,$A7,POM!AT$6:AT$59)</f>
        <v>5758.5219999999999</v>
      </c>
      <c r="AB7" s="94">
        <f>SUMIF(ResultDetail!$D$6:$D$59,$A7,POM!AU$6:AU$59)</f>
        <v>6829.6109999999999</v>
      </c>
      <c r="AC7" s="94">
        <f>SUMIF(ResultDetail!$D$6:$D$59,$A7,POM!AV$6:AV$59)</f>
        <v>7015.2639999999992</v>
      </c>
      <c r="AD7" s="94">
        <f>SUMIF(ResultDetail!$D$6:$D$59,$A7,POM!AW$6:AW$59)</f>
        <v>7328.848</v>
      </c>
      <c r="AE7" s="94">
        <f>SUMIF(ResultDetail!$D$6:$D$59,$A7,POM!AX$6:AX$59)</f>
        <v>0</v>
      </c>
      <c r="AF7" s="94">
        <f>SUMIF(ResultDetail!$D$6:$D$59,$A7,POM!AY$6:AY$59)</f>
        <v>0</v>
      </c>
      <c r="AG7" s="94">
        <f>SUMIF(ResultDetail!$D$6:$D$59,$A7,POM!AZ$6:AZ$59)</f>
        <v>0</v>
      </c>
      <c r="AH7" s="94">
        <f>SUMIF(ResultDetail!$D$6:$D$59,$A7,POM!BA$6:BA$59)</f>
        <v>0</v>
      </c>
      <c r="AI7" s="94">
        <f>SUMIF(ResultDetail!$D$6:$D$59,$A7,POM!BB$6:BB$59)</f>
        <v>0</v>
      </c>
      <c r="AJ7" s="94">
        <f>SUMIF(ResultDetail!$D$6:$D$59,$A7,POM!BC$6:BC$59)</f>
        <v>0</v>
      </c>
      <c r="AK7" s="94">
        <f>SUMIF(ResultDetail!$D$6:$D$59,$A7,POM!BD$6:BD$59)</f>
        <v>0</v>
      </c>
      <c r="AL7" s="94">
        <f>SUMIF(ResultDetail!$D$6:$D$59,$A7,POM!BE$6:BE$59)</f>
        <v>0</v>
      </c>
    </row>
    <row r="8" spans="1:38" x14ac:dyDescent="0.35">
      <c r="A8" s="47">
        <v>3</v>
      </c>
      <c r="B8" s="18" t="s">
        <v>76</v>
      </c>
      <c r="C8" s="94">
        <f>SUMIF(ResultDetail!$D$6:$D$59,$A8,POM!V$6:V$59)</f>
        <v>369.44200000000001</v>
      </c>
      <c r="D8" s="94">
        <f>SUMIF(ResultDetail!$D$6:$D$59,$A8,POM!W$6:W$59)</f>
        <v>393.37599999999998</v>
      </c>
      <c r="E8" s="94">
        <f>SUMIF(ResultDetail!$D$6:$D$59,$A8,POM!X$6:X$59)</f>
        <v>473.21199999999999</v>
      </c>
      <c r="F8" s="94">
        <f>SUMIF(ResultDetail!$D$6:$D$59,$A8,POM!Y$6:Y$59)</f>
        <v>524.38600000000008</v>
      </c>
      <c r="G8" s="94">
        <f>SUMIF(ResultDetail!$D$6:$D$59,$A8,POM!Z$6:Z$59)</f>
        <v>598.63799999999992</v>
      </c>
      <c r="H8" s="94">
        <f>SUMIF(ResultDetail!$D$6:$D$59,$A8,POM!AA$6:AA$59)</f>
        <v>641.97599999999989</v>
      </c>
      <c r="I8" s="94">
        <f>SUMIF(ResultDetail!$D$6:$D$59,$A8,POM!AB$6:AB$59)</f>
        <v>716.20300000000009</v>
      </c>
      <c r="J8" s="94">
        <f>SUMIF(ResultDetail!$D$6:$D$59,$A8,POM!AC$6:AC$59)</f>
        <v>744.56599999999992</v>
      </c>
      <c r="K8" s="94">
        <f>SUMIF(ResultDetail!$D$6:$D$59,$A8,POM!AD$6:AD$59)</f>
        <v>839.98</v>
      </c>
      <c r="L8" s="94">
        <f>SUMIF(ResultDetail!$D$6:$D$59,$A8,POM!AE$6:AE$59)</f>
        <v>919.61500000000012</v>
      </c>
      <c r="M8" s="94">
        <f>SUMIF(ResultDetail!$D$6:$D$59,$A8,POM!AF$6:AF$59)</f>
        <v>995.52600000000007</v>
      </c>
      <c r="N8" s="94">
        <f>SUMIF(ResultDetail!$D$6:$D$59,$A8,POM!AG$6:AG$59)</f>
        <v>1125.1950000000002</v>
      </c>
      <c r="O8" s="94">
        <f>SUMIF(ResultDetail!$D$6:$D$59,$A8,POM!AH$6:AH$59)</f>
        <v>1226.6969999999999</v>
      </c>
      <c r="P8" s="94">
        <f>SUMIF(ResultDetail!$D$6:$D$59,$A8,POM!AI$6:AI$59)</f>
        <v>1242.5419999999999</v>
      </c>
      <c r="Q8" s="94">
        <f>SUMIF(ResultDetail!$D$6:$D$59,$A8,POM!AJ$6:AJ$59)</f>
        <v>1205.6189999999999</v>
      </c>
      <c r="R8" s="94">
        <f>SUMIF(ResultDetail!$D$6:$D$59,$A8,POM!AK$6:AK$59)</f>
        <v>1255.0810000000001</v>
      </c>
      <c r="S8" s="94">
        <f>SUMIF(ResultDetail!$D$6:$D$59,$A8,POM!AL$6:AL$59)</f>
        <v>1178.011</v>
      </c>
      <c r="T8" s="94">
        <f>SUMIF(ResultDetail!$D$6:$D$59,$A8,POM!AM$6:AM$59)</f>
        <v>990.62200000000007</v>
      </c>
      <c r="U8" s="94">
        <f>SUMIF(ResultDetail!$D$6:$D$59,$A8,POM!AN$6:AN$59)</f>
        <v>967.8309999999999</v>
      </c>
      <c r="V8" s="94">
        <f>SUMIF(ResultDetail!$D$6:$D$59,$A8,POM!AO$6:AO$59)</f>
        <v>940.95600000000002</v>
      </c>
      <c r="W8" s="94">
        <f>SUMIF(ResultDetail!$D$6:$D$59,$A8,POM!AP$6:AP$59)</f>
        <v>964.77999999999986</v>
      </c>
      <c r="X8" s="94">
        <f>SUMIF(ResultDetail!$D$6:$D$59,$A8,POM!AQ$6:AQ$59)</f>
        <v>905.09900000000005</v>
      </c>
      <c r="Y8" s="94">
        <f>SUMIF(ResultDetail!$D$6:$D$59,$A8,POM!AR$6:AR$59)</f>
        <v>949.15</v>
      </c>
      <c r="Z8" s="94">
        <f>SUMIF(ResultDetail!$D$6:$D$59,$A8,POM!AS$6:AS$59)</f>
        <v>1071.681</v>
      </c>
      <c r="AA8" s="94">
        <f>SUMIF(ResultDetail!$D$6:$D$59,$A8,POM!AT$6:AT$59)</f>
        <v>1105.75</v>
      </c>
      <c r="AB8" s="94">
        <f>SUMIF(ResultDetail!$D$6:$D$59,$A8,POM!AU$6:AU$59)</f>
        <v>1141.096</v>
      </c>
      <c r="AC8" s="94">
        <f>SUMIF(ResultDetail!$D$6:$D$59,$A8,POM!AV$6:AV$59)</f>
        <v>1131.451</v>
      </c>
      <c r="AD8" s="94">
        <f>SUMIF(ResultDetail!$D$6:$D$59,$A8,POM!AW$6:AW$59)</f>
        <v>1155.336</v>
      </c>
      <c r="AE8" s="94">
        <f>SUMIF(ResultDetail!$D$6:$D$59,$A8,POM!AX$6:AX$59)</f>
        <v>0</v>
      </c>
      <c r="AF8" s="94">
        <f>SUMIF(ResultDetail!$D$6:$D$59,$A8,POM!AY$6:AY$59)</f>
        <v>0</v>
      </c>
      <c r="AG8" s="94">
        <f>SUMIF(ResultDetail!$D$6:$D$59,$A8,POM!AZ$6:AZ$59)</f>
        <v>0</v>
      </c>
      <c r="AH8" s="94">
        <f>SUMIF(ResultDetail!$D$6:$D$59,$A8,POM!BA$6:BA$59)</f>
        <v>0</v>
      </c>
      <c r="AI8" s="94">
        <f>SUMIF(ResultDetail!$D$6:$D$59,$A8,POM!BB$6:BB$59)</f>
        <v>0</v>
      </c>
      <c r="AJ8" s="94">
        <f>SUMIF(ResultDetail!$D$6:$D$59,$A8,POM!BC$6:BC$59)</f>
        <v>0</v>
      </c>
      <c r="AK8" s="94">
        <f>SUMIF(ResultDetail!$D$6:$D$59,$A8,POM!BD$6:BD$59)</f>
        <v>0</v>
      </c>
      <c r="AL8" s="94">
        <f>SUMIF(ResultDetail!$D$6:$D$59,$A8,POM!BE$6:BE$59)</f>
        <v>0</v>
      </c>
    </row>
    <row r="9" spans="1:38" x14ac:dyDescent="0.35">
      <c r="A9" s="47" t="s">
        <v>120</v>
      </c>
      <c r="B9" s="18" t="s">
        <v>123</v>
      </c>
      <c r="C9" s="94">
        <f>SUMIF(ResultDetail!$D$6:$D$59,$A9,POM!V$6:V$59)</f>
        <v>18184.381999999998</v>
      </c>
      <c r="D9" s="94">
        <f>SUMIF(ResultDetail!$D$6:$D$59,$A9,POM!W$6:W$59)</f>
        <v>17395.827000000005</v>
      </c>
      <c r="E9" s="94">
        <f>SUMIF(ResultDetail!$D$6:$D$59,$A9,POM!X$6:X$59)</f>
        <v>17219.037</v>
      </c>
      <c r="F9" s="94">
        <f>SUMIF(ResultDetail!$D$6:$D$59,$A9,POM!Y$6:Y$59)</f>
        <v>18934.244999999995</v>
      </c>
      <c r="G9" s="94">
        <f>SUMIF(ResultDetail!$D$6:$D$59,$A9,POM!Z$6:Z$59)</f>
        <v>27883.034</v>
      </c>
      <c r="H9" s="94">
        <f>SUMIF(ResultDetail!$D$6:$D$59,$A9,POM!AA$6:AA$59)</f>
        <v>30800.782999999999</v>
      </c>
      <c r="I9" s="94">
        <f>SUMIF(ResultDetail!$D$6:$D$59,$A9,POM!AB$6:AB$59)</f>
        <v>32348.418000000001</v>
      </c>
      <c r="J9" s="94">
        <f>SUMIF(ResultDetail!$D$6:$D$59,$A9,POM!AC$6:AC$59)</f>
        <v>34602.019</v>
      </c>
      <c r="K9" s="94">
        <f>SUMIF(ResultDetail!$D$6:$D$59,$A9,POM!AD$6:AD$59)</f>
        <v>36558.17300000001</v>
      </c>
      <c r="L9" s="94">
        <f>SUMIF(ResultDetail!$D$6:$D$59,$A9,POM!AE$6:AE$59)</f>
        <v>37475.851000000002</v>
      </c>
      <c r="M9" s="94">
        <f>SUMIF(ResultDetail!$D$6:$D$59,$A9,POM!AF$6:AF$59)</f>
        <v>39632.124999999993</v>
      </c>
      <c r="N9" s="94">
        <f>SUMIF(ResultDetail!$D$6:$D$59,$A9,POM!AG$6:AG$59)</f>
        <v>41119.786</v>
      </c>
      <c r="O9" s="94">
        <f>SUMIF(ResultDetail!$D$6:$D$59,$A9,POM!AH$6:AH$59)</f>
        <v>37910.840999999993</v>
      </c>
      <c r="P9" s="94">
        <f>SUMIF(ResultDetail!$D$6:$D$59,$A9,POM!AI$6:AI$59)</f>
        <v>37325.640000000014</v>
      </c>
      <c r="Q9" s="94">
        <f>SUMIF(ResultDetail!$D$6:$D$59,$A9,POM!AJ$6:AJ$59)</f>
        <v>38488.490999999995</v>
      </c>
      <c r="R9" s="94">
        <f>SUMIF(ResultDetail!$D$6:$D$59,$A9,POM!AK$6:AK$59)</f>
        <v>38392.530999999995</v>
      </c>
      <c r="S9" s="94">
        <f>SUMIF(ResultDetail!$D$6:$D$59,$A9,POM!AL$6:AL$59)</f>
        <v>41641.808999999994</v>
      </c>
      <c r="T9" s="94">
        <f>SUMIF(ResultDetail!$D$6:$D$59,$A9,POM!AM$6:AM$59)</f>
        <v>42822.956999999995</v>
      </c>
      <c r="U9" s="94">
        <f>SUMIF(ResultDetail!$D$6:$D$59,$A9,POM!AN$6:AN$59)</f>
        <v>44976.756999999998</v>
      </c>
      <c r="V9" s="94">
        <f>SUMIF(ResultDetail!$D$6:$D$59,$A9,POM!AO$6:AO$59)</f>
        <v>47426.563999999998</v>
      </c>
      <c r="W9" s="94">
        <f>SUMIF(ResultDetail!$D$6:$D$59,$A9,POM!AP$6:AP$59)</f>
        <v>44956.931999999993</v>
      </c>
      <c r="X9" s="94">
        <f>SUMIF(ResultDetail!$D$6:$D$59,$A9,POM!AQ$6:AQ$59)</f>
        <v>47410.680999999997</v>
      </c>
      <c r="Y9" s="94">
        <f>SUMIF(ResultDetail!$D$6:$D$59,$A9,POM!AR$6:AR$59)</f>
        <v>47979.761000000006</v>
      </c>
      <c r="Z9" s="94">
        <f>SUMIF(ResultDetail!$D$6:$D$59,$A9,POM!AS$6:AS$59)</f>
        <v>50691.502</v>
      </c>
      <c r="AA9" s="94">
        <f>SUMIF(ResultDetail!$D$6:$D$59,$A9,POM!AT$6:AT$59)</f>
        <v>51301.643999999993</v>
      </c>
      <c r="AB9" s="94">
        <f>SUMIF(ResultDetail!$D$6:$D$59,$A9,POM!AU$6:AU$59)</f>
        <v>45903.114000000009</v>
      </c>
      <c r="AC9" s="94">
        <f>SUMIF(ResultDetail!$D$6:$D$59,$A9,POM!AV$6:AV$59)</f>
        <v>45011.72</v>
      </c>
      <c r="AD9" s="94">
        <f>SUMIF(ResultDetail!$D$6:$D$59,$A9,POM!AW$6:AW$59)</f>
        <v>44654.885999999999</v>
      </c>
      <c r="AE9" s="94">
        <f>SUMIF(ResultDetail!$D$6:$D$59,$A9,POM!AX$6:AX$59)</f>
        <v>0</v>
      </c>
      <c r="AF9" s="94">
        <f>SUMIF(ResultDetail!$D$6:$D$59,$A9,POM!AY$6:AY$59)</f>
        <v>0</v>
      </c>
      <c r="AG9" s="94">
        <f>SUMIF(ResultDetail!$D$6:$D$59,$A9,POM!AZ$6:AZ$59)</f>
        <v>0</v>
      </c>
      <c r="AH9" s="94">
        <f>SUMIF(ResultDetail!$D$6:$D$59,$A9,POM!BA$6:BA$59)</f>
        <v>0</v>
      </c>
      <c r="AI9" s="94">
        <f>SUMIF(ResultDetail!$D$6:$D$59,$A9,POM!BB$6:BB$59)</f>
        <v>0</v>
      </c>
      <c r="AJ9" s="94">
        <f>SUMIF(ResultDetail!$D$6:$D$59,$A9,POM!BC$6:BC$59)</f>
        <v>0</v>
      </c>
      <c r="AK9" s="94">
        <f>SUMIF(ResultDetail!$D$6:$D$59,$A9,POM!BD$6:BD$59)</f>
        <v>0</v>
      </c>
      <c r="AL9" s="94">
        <f>SUMIF(ResultDetail!$D$6:$D$59,$A9,POM!BE$6:BE$59)</f>
        <v>0</v>
      </c>
    </row>
    <row r="10" spans="1:38" x14ac:dyDescent="0.35">
      <c r="A10" s="47" t="s">
        <v>121</v>
      </c>
      <c r="B10" s="18" t="s">
        <v>122</v>
      </c>
      <c r="C10" s="94">
        <f>SUMIF(ResultDetail!$D$6:$D$59,$A10,POM!V$6:V$59)</f>
        <v>0</v>
      </c>
      <c r="D10" s="94">
        <f>SUMIF(ResultDetail!$D$6:$D$59,$A10,POM!W$6:W$59)</f>
        <v>0</v>
      </c>
      <c r="E10" s="94">
        <f>SUMIF(ResultDetail!$D$6:$D$59,$A10,POM!X$6:X$59)</f>
        <v>0</v>
      </c>
      <c r="F10" s="94">
        <f>SUMIF(ResultDetail!$D$6:$D$59,$A10,POM!Y$6:Y$59)</f>
        <v>0</v>
      </c>
      <c r="G10" s="94">
        <f>SUMIF(ResultDetail!$D$6:$D$59,$A10,POM!Z$6:Z$59)</f>
        <v>0</v>
      </c>
      <c r="H10" s="94">
        <f>SUMIF(ResultDetail!$D$6:$D$59,$A10,POM!AA$6:AA$59)</f>
        <v>0</v>
      </c>
      <c r="I10" s="94">
        <f>SUMIF(ResultDetail!$D$6:$D$59,$A10,POM!AB$6:AB$59)</f>
        <v>0</v>
      </c>
      <c r="J10" s="94">
        <f>SUMIF(ResultDetail!$D$6:$D$59,$A10,POM!AC$6:AC$59)</f>
        <v>0</v>
      </c>
      <c r="K10" s="94">
        <f>SUMIF(ResultDetail!$D$6:$D$59,$A10,POM!AD$6:AD$59)</f>
        <v>0</v>
      </c>
      <c r="L10" s="94">
        <f>SUMIF(ResultDetail!$D$6:$D$59,$A10,POM!AE$6:AE$59)</f>
        <v>0</v>
      </c>
      <c r="M10" s="94">
        <f>SUMIF(ResultDetail!$D$6:$D$59,$A10,POM!AF$6:AF$59)</f>
        <v>0</v>
      </c>
      <c r="N10" s="94">
        <f>SUMIF(ResultDetail!$D$6:$D$59,$A10,POM!AG$6:AG$59)</f>
        <v>0</v>
      </c>
      <c r="O10" s="94">
        <f>SUMIF(ResultDetail!$D$6:$D$59,$A10,POM!AH$6:AH$59)</f>
        <v>0</v>
      </c>
      <c r="P10" s="94">
        <f>SUMIF(ResultDetail!$D$6:$D$59,$A10,POM!AI$6:AI$59)</f>
        <v>0</v>
      </c>
      <c r="Q10" s="94">
        <f>SUMIF(ResultDetail!$D$6:$D$59,$A10,POM!AJ$6:AJ$59)</f>
        <v>57.381</v>
      </c>
      <c r="R10" s="94">
        <f>SUMIF(ResultDetail!$D$6:$D$59,$A10,POM!AK$6:AK$59)</f>
        <v>6.992</v>
      </c>
      <c r="S10" s="94">
        <f>SUMIF(ResultDetail!$D$6:$D$59,$A10,POM!AL$6:AL$59)</f>
        <v>8.5440000000000005</v>
      </c>
      <c r="T10" s="94">
        <f>SUMIF(ResultDetail!$D$6:$D$59,$A10,POM!AM$6:AM$59)</f>
        <v>12.986000000000001</v>
      </c>
      <c r="U10" s="94">
        <f>SUMIF(ResultDetail!$D$6:$D$59,$A10,POM!AN$6:AN$59)</f>
        <v>6.391</v>
      </c>
      <c r="V10" s="94">
        <f>SUMIF(ResultDetail!$D$6:$D$59,$A10,POM!AO$6:AO$59)</f>
        <v>47.124000000000002</v>
      </c>
      <c r="W10" s="94">
        <f>SUMIF(ResultDetail!$D$6:$D$59,$A10,POM!AP$6:AP$59)</f>
        <v>51.332999999999998</v>
      </c>
      <c r="X10" s="94">
        <f>SUMIF(ResultDetail!$D$6:$D$59,$A10,POM!AQ$6:AQ$59)</f>
        <v>232.375</v>
      </c>
      <c r="Y10" s="94">
        <f>SUMIF(ResultDetail!$D$6:$D$59,$A10,POM!AR$6:AR$59)</f>
        <v>707.59</v>
      </c>
      <c r="Z10" s="94">
        <f>SUMIF(ResultDetail!$D$6:$D$59,$A10,POM!AS$6:AS$59)</f>
        <v>959.27</v>
      </c>
      <c r="AA10" s="94">
        <f>SUMIF(ResultDetail!$D$6:$D$59,$A10,POM!AT$6:AT$59)</f>
        <v>1738.0350000000001</v>
      </c>
      <c r="AB10" s="94">
        <f>SUMIF(ResultDetail!$D$6:$D$59,$A10,POM!AU$6:AU$59)</f>
        <v>2241.1999999999998</v>
      </c>
      <c r="AC10" s="94">
        <f>SUMIF(ResultDetail!$D$6:$D$59,$A10,POM!AV$6:AV$59)</f>
        <v>122.069</v>
      </c>
      <c r="AD10" s="94">
        <f>SUMIF(ResultDetail!$D$6:$D$59,$A10,POM!AW$6:AW$59)</f>
        <v>122.069</v>
      </c>
      <c r="AE10" s="94">
        <f>SUMIF(ResultDetail!$D$6:$D$59,$A10,POM!AX$6:AX$59)</f>
        <v>0</v>
      </c>
      <c r="AF10" s="94">
        <f>SUMIF(ResultDetail!$D$6:$D$59,$A10,POM!AY$6:AY$59)</f>
        <v>0</v>
      </c>
      <c r="AG10" s="94">
        <f>SUMIF(ResultDetail!$D$6:$D$59,$A10,POM!AZ$6:AZ$59)</f>
        <v>0</v>
      </c>
      <c r="AH10" s="94">
        <f>SUMIF(ResultDetail!$D$6:$D$59,$A10,POM!BA$6:BA$59)</f>
        <v>0</v>
      </c>
      <c r="AI10" s="94">
        <f>SUMIF(ResultDetail!$D$6:$D$59,$A10,POM!BB$6:BB$59)</f>
        <v>0</v>
      </c>
      <c r="AJ10" s="94">
        <f>SUMIF(ResultDetail!$D$6:$D$59,$A10,POM!BC$6:BC$59)</f>
        <v>0</v>
      </c>
      <c r="AK10" s="94">
        <f>SUMIF(ResultDetail!$D$6:$D$59,$A10,POM!BD$6:BD$59)</f>
        <v>0</v>
      </c>
      <c r="AL10" s="94">
        <f>SUMIF(ResultDetail!$D$6:$D$59,$A10,POM!BE$6:BE$59)</f>
        <v>0</v>
      </c>
    </row>
    <row r="11" spans="1:38" x14ac:dyDescent="0.35">
      <c r="A11" s="47">
        <v>5</v>
      </c>
      <c r="B11" s="18" t="s">
        <v>78</v>
      </c>
      <c r="C11" s="94">
        <f>SUMIF(ResultDetail!$D$6:$D$59,$A11,POM!V$6:V$59)</f>
        <v>16393.225000000002</v>
      </c>
      <c r="D11" s="94">
        <f>SUMIF(ResultDetail!$D$6:$D$59,$A11,POM!W$6:W$59)</f>
        <v>15500.39</v>
      </c>
      <c r="E11" s="94">
        <f>SUMIF(ResultDetail!$D$6:$D$59,$A11,POM!X$6:X$59)</f>
        <v>16794.947</v>
      </c>
      <c r="F11" s="94">
        <f>SUMIF(ResultDetail!$D$6:$D$59,$A11,POM!Y$6:Y$59)</f>
        <v>20788.260999999999</v>
      </c>
      <c r="G11" s="94">
        <f>SUMIF(ResultDetail!$D$6:$D$59,$A11,POM!Z$6:Z$59)</f>
        <v>21043.301999999996</v>
      </c>
      <c r="H11" s="94">
        <f>SUMIF(ResultDetail!$D$6:$D$59,$A11,POM!AA$6:AA$59)</f>
        <v>21844.564999999999</v>
      </c>
      <c r="I11" s="94">
        <f>SUMIF(ResultDetail!$D$6:$D$59,$A11,POM!AB$6:AB$59)</f>
        <v>23331.497000000003</v>
      </c>
      <c r="J11" s="94">
        <f>SUMIF(ResultDetail!$D$6:$D$59,$A11,POM!AC$6:AC$59)</f>
        <v>23146.533000000003</v>
      </c>
      <c r="K11" s="94">
        <f>SUMIF(ResultDetail!$D$6:$D$59,$A11,POM!AD$6:AD$59)</f>
        <v>24763.370999999999</v>
      </c>
      <c r="L11" s="94">
        <f>SUMIF(ResultDetail!$D$6:$D$59,$A11,POM!AE$6:AE$59)</f>
        <v>27682.635000000002</v>
      </c>
      <c r="M11" s="94">
        <f>SUMIF(ResultDetail!$D$6:$D$59,$A11,POM!AF$6:AF$59)</f>
        <v>30070.516000000003</v>
      </c>
      <c r="N11" s="94">
        <f>SUMIF(ResultDetail!$D$6:$D$59,$A11,POM!AG$6:AG$59)</f>
        <v>34082.912000000004</v>
      </c>
      <c r="O11" s="94">
        <f>SUMIF(ResultDetail!$D$6:$D$59,$A11,POM!AH$6:AH$59)</f>
        <v>36704.482999999993</v>
      </c>
      <c r="P11" s="94">
        <f>SUMIF(ResultDetail!$D$6:$D$59,$A11,POM!AI$6:AI$59)</f>
        <v>34981.084999999999</v>
      </c>
      <c r="Q11" s="94">
        <f>SUMIF(ResultDetail!$D$6:$D$59,$A11,POM!AJ$6:AJ$59)</f>
        <v>30606.174000000003</v>
      </c>
      <c r="R11" s="94">
        <f>SUMIF(ResultDetail!$D$6:$D$59,$A11,POM!AK$6:AK$59)</f>
        <v>32692.409000000003</v>
      </c>
      <c r="S11" s="94">
        <f>SUMIF(ResultDetail!$D$6:$D$59,$A11,POM!AL$6:AL$59)</f>
        <v>33108.807000000001</v>
      </c>
      <c r="T11" s="94">
        <f>SUMIF(ResultDetail!$D$6:$D$59,$A11,POM!AM$6:AM$59)</f>
        <v>32749.007999999998</v>
      </c>
      <c r="U11" s="94">
        <f>SUMIF(ResultDetail!$D$6:$D$59,$A11,POM!AN$6:AN$59)</f>
        <v>31888.211999999996</v>
      </c>
      <c r="V11" s="94">
        <f>SUMIF(ResultDetail!$D$6:$D$59,$A11,POM!AO$6:AO$59)</f>
        <v>32586.131999999998</v>
      </c>
      <c r="W11" s="94">
        <f>SUMIF(ResultDetail!$D$6:$D$59,$A11,POM!AP$6:AP$59)</f>
        <v>37630.950000000004</v>
      </c>
      <c r="X11" s="94">
        <f>SUMIF(ResultDetail!$D$6:$D$59,$A11,POM!AQ$6:AQ$59)</f>
        <v>34661.348999999995</v>
      </c>
      <c r="Y11" s="94">
        <f>SUMIF(ResultDetail!$D$6:$D$59,$A11,POM!AR$6:AR$59)</f>
        <v>39593.165999999997</v>
      </c>
      <c r="Z11" s="94">
        <f>SUMIF(ResultDetail!$D$6:$D$59,$A11,POM!AS$6:AS$59)</f>
        <v>40216.86</v>
      </c>
      <c r="AA11" s="94">
        <f>SUMIF(ResultDetail!$D$6:$D$59,$A11,POM!AT$6:AT$59)</f>
        <v>41234.138999999996</v>
      </c>
      <c r="AB11" s="94">
        <f>SUMIF(ResultDetail!$D$6:$D$59,$A11,POM!AU$6:AU$59)</f>
        <v>41844.928000000014</v>
      </c>
      <c r="AC11" s="94">
        <f>SUMIF(ResultDetail!$D$6:$D$59,$A11,POM!AV$6:AV$59)</f>
        <v>44220.404000000002</v>
      </c>
      <c r="AD11" s="94">
        <f>SUMIF(ResultDetail!$D$6:$D$59,$A11,POM!AW$6:AW$59)</f>
        <v>45260.968000000008</v>
      </c>
      <c r="AE11" s="94">
        <f>SUMIF(ResultDetail!$D$6:$D$59,$A11,POM!AX$6:AX$59)</f>
        <v>0</v>
      </c>
      <c r="AF11" s="94">
        <f>SUMIF(ResultDetail!$D$6:$D$59,$A11,POM!AY$6:AY$59)</f>
        <v>0</v>
      </c>
      <c r="AG11" s="94">
        <f>SUMIF(ResultDetail!$D$6:$D$59,$A11,POM!AZ$6:AZ$59)</f>
        <v>0</v>
      </c>
      <c r="AH11" s="94">
        <f>SUMIF(ResultDetail!$D$6:$D$59,$A11,POM!BA$6:BA$59)</f>
        <v>0</v>
      </c>
      <c r="AI11" s="94">
        <f>SUMIF(ResultDetail!$D$6:$D$59,$A11,POM!BB$6:BB$59)</f>
        <v>0</v>
      </c>
      <c r="AJ11" s="94">
        <f>SUMIF(ResultDetail!$D$6:$D$59,$A11,POM!BC$6:BC$59)</f>
        <v>0</v>
      </c>
      <c r="AK11" s="94">
        <f>SUMIF(ResultDetail!$D$6:$D$59,$A11,POM!BD$6:BD$59)</f>
        <v>0</v>
      </c>
      <c r="AL11" s="94">
        <f>SUMIF(ResultDetail!$D$6:$D$59,$A11,POM!BE$6:BE$59)</f>
        <v>0</v>
      </c>
    </row>
    <row r="12" spans="1:38" x14ac:dyDescent="0.35">
      <c r="A12" s="47">
        <v>6</v>
      </c>
      <c r="B12" s="18" t="s">
        <v>79</v>
      </c>
      <c r="C12" s="94">
        <f>SUMIF(ResultDetail!$D$6:$D$59,$A12,POM!V$6:V$59)</f>
        <v>3185.1770000000001</v>
      </c>
      <c r="D12" s="94">
        <f>SUMIF(ResultDetail!$D$6:$D$59,$A12,POM!W$6:W$59)</f>
        <v>3177.2120000000004</v>
      </c>
      <c r="E12" s="94">
        <f>SUMIF(ResultDetail!$D$6:$D$59,$A12,POM!X$6:X$59)</f>
        <v>4104.576</v>
      </c>
      <c r="F12" s="94">
        <f>SUMIF(ResultDetail!$D$6:$D$59,$A12,POM!Y$6:Y$59)</f>
        <v>4287.0199999999995</v>
      </c>
      <c r="G12" s="94">
        <f>SUMIF(ResultDetail!$D$6:$D$59,$A12,POM!Z$6:Z$59)</f>
        <v>6437.6719999999996</v>
      </c>
      <c r="H12" s="94">
        <f>SUMIF(ResultDetail!$D$6:$D$59,$A12,POM!AA$6:AA$59)</f>
        <v>7670.6399999999994</v>
      </c>
      <c r="I12" s="94">
        <f>SUMIF(ResultDetail!$D$6:$D$59,$A12,POM!AB$6:AB$59)</f>
        <v>7368.9489999999996</v>
      </c>
      <c r="J12" s="94">
        <f>SUMIF(ResultDetail!$D$6:$D$59,$A12,POM!AC$6:AC$59)</f>
        <v>7226.3940000000002</v>
      </c>
      <c r="K12" s="94">
        <f>SUMIF(ResultDetail!$D$6:$D$59,$A12,POM!AD$6:AD$59)</f>
        <v>6268.7750000000005</v>
      </c>
      <c r="L12" s="94">
        <f>SUMIF(ResultDetail!$D$6:$D$59,$A12,POM!AE$6:AE$59)</f>
        <v>12356.550000000003</v>
      </c>
      <c r="M12" s="94">
        <f>SUMIF(ResultDetail!$D$6:$D$59,$A12,POM!AF$6:AF$59)</f>
        <v>12264.989</v>
      </c>
      <c r="N12" s="94">
        <f>SUMIF(ResultDetail!$D$6:$D$59,$A12,POM!AG$6:AG$59)</f>
        <v>10861.823999999999</v>
      </c>
      <c r="O12" s="94">
        <f>SUMIF(ResultDetail!$D$6:$D$59,$A12,POM!AH$6:AH$59)</f>
        <v>8634.5249999999996</v>
      </c>
      <c r="P12" s="94">
        <f>SUMIF(ResultDetail!$D$6:$D$59,$A12,POM!AI$6:AI$59)</f>
        <v>7551.2060000000001</v>
      </c>
      <c r="Q12" s="94">
        <f>SUMIF(ResultDetail!$D$6:$D$59,$A12,POM!AJ$6:AJ$59)</f>
        <v>6562.0509999999986</v>
      </c>
      <c r="R12" s="94">
        <f>SUMIF(ResultDetail!$D$6:$D$59,$A12,POM!AK$6:AK$59)</f>
        <v>6983.3719999999994</v>
      </c>
      <c r="S12" s="94">
        <f>SUMIF(ResultDetail!$D$6:$D$59,$A12,POM!AL$6:AL$59)</f>
        <v>8526.357</v>
      </c>
      <c r="T12" s="94">
        <f>SUMIF(ResultDetail!$D$6:$D$59,$A12,POM!AM$6:AM$59)</f>
        <v>8609.2969999999987</v>
      </c>
      <c r="U12" s="94">
        <f>SUMIF(ResultDetail!$D$6:$D$59,$A12,POM!AN$6:AN$59)</f>
        <v>9922.8970000000008</v>
      </c>
      <c r="V12" s="94">
        <f>SUMIF(ResultDetail!$D$6:$D$59,$A12,POM!AO$6:AO$59)</f>
        <v>9973.9629999999979</v>
      </c>
      <c r="W12" s="94">
        <f>SUMIF(ResultDetail!$D$6:$D$59,$A12,POM!AP$6:AP$59)</f>
        <v>8391.6790000000001</v>
      </c>
      <c r="X12" s="94">
        <f>SUMIF(ResultDetail!$D$6:$D$59,$A12,POM!AQ$6:AQ$59)</f>
        <v>9880.1869999999999</v>
      </c>
      <c r="Y12" s="94">
        <f>SUMIF(ResultDetail!$D$6:$D$59,$A12,POM!AR$6:AR$59)</f>
        <v>9994.9</v>
      </c>
      <c r="Z12" s="94">
        <f>SUMIF(ResultDetail!$D$6:$D$59,$A12,POM!AS$6:AS$59)</f>
        <v>9842</v>
      </c>
      <c r="AA12" s="94">
        <f>SUMIF(ResultDetail!$D$6:$D$59,$A12,POM!AT$6:AT$59)</f>
        <v>9715.775999999998</v>
      </c>
      <c r="AB12" s="94">
        <f>SUMIF(ResultDetail!$D$6:$D$59,$A12,POM!AU$6:AU$59)</f>
        <v>9987.3190000000013</v>
      </c>
      <c r="AC12" s="94">
        <f>SUMIF(ResultDetail!$D$6:$D$59,$A12,POM!AV$6:AV$59)</f>
        <v>10016.397000000001</v>
      </c>
      <c r="AD12" s="94">
        <f>SUMIF(ResultDetail!$D$6:$D$59,$A12,POM!AW$6:AW$59)</f>
        <v>10242.689</v>
      </c>
      <c r="AE12" s="94">
        <f>SUMIF(ResultDetail!$D$6:$D$59,$A12,POM!AX$6:AX$59)</f>
        <v>0</v>
      </c>
      <c r="AF12" s="94">
        <f>SUMIF(ResultDetail!$D$6:$D$59,$A12,POM!AY$6:AY$59)</f>
        <v>0</v>
      </c>
      <c r="AG12" s="94">
        <f>SUMIF(ResultDetail!$D$6:$D$59,$A12,POM!AZ$6:AZ$59)</f>
        <v>0</v>
      </c>
      <c r="AH12" s="94">
        <f>SUMIF(ResultDetail!$D$6:$D$59,$A12,POM!BA$6:BA$59)</f>
        <v>0</v>
      </c>
      <c r="AI12" s="94">
        <f>SUMIF(ResultDetail!$D$6:$D$59,$A12,POM!BB$6:BB$59)</f>
        <v>0</v>
      </c>
      <c r="AJ12" s="94">
        <f>SUMIF(ResultDetail!$D$6:$D$59,$A12,POM!BC$6:BC$59)</f>
        <v>0</v>
      </c>
      <c r="AK12" s="94">
        <f>SUMIF(ResultDetail!$D$6:$D$59,$A12,POM!BD$6:BD$59)</f>
        <v>0</v>
      </c>
      <c r="AL12" s="94">
        <f>SUMIF(ResultDetail!$D$6:$D$59,$A12,POM!BE$6:BE$59)</f>
        <v>0</v>
      </c>
    </row>
    <row r="14" spans="1:38" ht="15.5" x14ac:dyDescent="0.35">
      <c r="A14" s="83" t="s">
        <v>70</v>
      </c>
      <c r="B14" s="83" t="s">
        <v>237</v>
      </c>
    </row>
    <row r="15" spans="1:38" x14ac:dyDescent="0.35">
      <c r="A15" s="47">
        <v>1</v>
      </c>
      <c r="B15" s="18" t="s">
        <v>221</v>
      </c>
      <c r="C15" s="94">
        <f>SUMIF(ResultDetail!$F$6:$F$59,$A15,POM!V$6:V$59)</f>
        <v>22389.531000000003</v>
      </c>
      <c r="D15" s="94">
        <f>SUMIF(ResultDetail!$F$6:$F$59,$A15,POM!W$6:W$59)</f>
        <v>21175.928</v>
      </c>
      <c r="E15" s="94">
        <f>SUMIF(ResultDetail!$F$6:$F$59,$A15,POM!X$6:X$59)</f>
        <v>21967.475000000006</v>
      </c>
      <c r="F15" s="94">
        <f>SUMIF(ResultDetail!$F$6:$F$59,$A15,POM!Y$6:Y$59)</f>
        <v>25177.915999999997</v>
      </c>
      <c r="G15" s="94">
        <f>SUMIF(ResultDetail!$F$6:$F$59,$A15,POM!Z$6:Z$59)</f>
        <v>35177.264999999999</v>
      </c>
      <c r="H15" s="94">
        <f>SUMIF(ResultDetail!$F$6:$F$59,$A15,POM!AA$6:AA$59)</f>
        <v>39308.839</v>
      </c>
      <c r="I15" s="94">
        <f>SUMIF(ResultDetail!$F$6:$F$59,$A15,POM!AB$6:AB$59)</f>
        <v>42478.375000000015</v>
      </c>
      <c r="J15" s="94">
        <f>SUMIF(ResultDetail!$F$6:$F$59,$A15,POM!AC$6:AC$59)</f>
        <v>44382.697000000007</v>
      </c>
      <c r="K15" s="94">
        <f>SUMIF(ResultDetail!$F$6:$F$59,$A15,POM!AD$6:AD$59)</f>
        <v>46833.695999999996</v>
      </c>
      <c r="L15" s="94">
        <f>SUMIF(ResultDetail!$F$6:$F$59,$A15,POM!AE$6:AE$59)</f>
        <v>47525.285000000003</v>
      </c>
      <c r="M15" s="94">
        <f>SUMIF(ResultDetail!$F$6:$F$59,$A15,POM!AF$6:AF$59)</f>
        <v>51458.25499999999</v>
      </c>
      <c r="N15" s="94">
        <f>SUMIF(ResultDetail!$F$6:$F$59,$A15,POM!AG$6:AG$59)</f>
        <v>57515.6</v>
      </c>
      <c r="O15" s="94">
        <f>SUMIF(ResultDetail!$F$6:$F$59,$A15,POM!AH$6:AH$59)</f>
        <v>57536.490000000005</v>
      </c>
      <c r="P15" s="94">
        <f>SUMIF(ResultDetail!$F$6:$F$59,$A15,POM!AI$6:AI$59)</f>
        <v>56981.737000000001</v>
      </c>
      <c r="Q15" s="94">
        <f>SUMIF(ResultDetail!$F$6:$F$59,$A15,POM!AJ$6:AJ$59)</f>
        <v>56183.294999999998</v>
      </c>
      <c r="R15" s="94">
        <f>SUMIF(ResultDetail!$F$6:$F$59,$A15,POM!AK$6:AK$59)</f>
        <v>55714.262000000002</v>
      </c>
      <c r="S15" s="94">
        <f>SUMIF(ResultDetail!$F$6:$F$59,$A15,POM!AL$6:AL$59)</f>
        <v>57613.462999999989</v>
      </c>
      <c r="T15" s="94">
        <f>SUMIF(ResultDetail!$F$6:$F$59,$A15,POM!AM$6:AM$59)</f>
        <v>57705.796999999999</v>
      </c>
      <c r="U15" s="94">
        <f>SUMIF(ResultDetail!$F$6:$F$59,$A15,POM!AN$6:AN$59)</f>
        <v>58210.231</v>
      </c>
      <c r="V15" s="94">
        <f>SUMIF(ResultDetail!$F$6:$F$59,$A15,POM!AO$6:AO$59)</f>
        <v>58996.291999999987</v>
      </c>
      <c r="W15" s="94">
        <f>SUMIF(ResultDetail!$F$6:$F$59,$A15,POM!AP$6:AP$59)</f>
        <v>56821.956999999995</v>
      </c>
      <c r="X15" s="94">
        <f>SUMIF(ResultDetail!$F$6:$F$59,$A15,POM!AQ$6:AQ$59)</f>
        <v>60511.74</v>
      </c>
      <c r="Y15" s="94">
        <f>SUMIF(ResultDetail!$F$6:$F$59,$A15,POM!AR$6:AR$59)</f>
        <v>63857.743999999999</v>
      </c>
      <c r="Z15" s="94">
        <f>SUMIF(ResultDetail!$F$6:$F$59,$A15,POM!AS$6:AS$59)</f>
        <v>67644.834999999992</v>
      </c>
      <c r="AA15" s="94">
        <f>SUMIF(ResultDetail!$F$6:$F$59,$A15,POM!AT$6:AT$59)</f>
        <v>68976.06</v>
      </c>
      <c r="AB15" s="94">
        <f>SUMIF(ResultDetail!$F$6:$F$59,$A15,POM!AU$6:AU$59)</f>
        <v>60872.097000000009</v>
      </c>
      <c r="AC15" s="94">
        <f>SUMIF(ResultDetail!$F$6:$F$59,$A15,POM!AV$6:AV$59)</f>
        <v>60094.303000000007</v>
      </c>
      <c r="AD15" s="94">
        <f>SUMIF(ResultDetail!$F$6:$F$59,$A15,POM!AW$6:AW$59)</f>
        <v>60044.185999999994</v>
      </c>
      <c r="AE15" s="94">
        <f>SUMIF(ResultDetail!$F$6:$F$59,$A15,POM!AX$6:AX$59)</f>
        <v>0</v>
      </c>
      <c r="AF15" s="94">
        <f>SUMIF(ResultDetail!$F$6:$F$59,$A15,POM!AY$6:AY$59)</f>
        <v>0</v>
      </c>
      <c r="AG15" s="94">
        <f>SUMIF(ResultDetail!$F$6:$F$59,$A15,POM!AZ$6:AZ$59)</f>
        <v>0</v>
      </c>
      <c r="AH15" s="94">
        <f>SUMIF(ResultDetail!$F$6:$F$59,$A15,POM!BA$6:BA$59)</f>
        <v>0</v>
      </c>
      <c r="AI15" s="94">
        <f>SUMIF(ResultDetail!$F$6:$F$59,$A15,POM!BB$6:BB$59)</f>
        <v>0</v>
      </c>
      <c r="AJ15" s="94">
        <f>SUMIF(ResultDetail!$F$6:$F$59,$A15,POM!BC$6:BC$59)</f>
        <v>0</v>
      </c>
      <c r="AK15" s="94">
        <f>SUMIF(ResultDetail!$F$6:$F$59,$A15,POM!BD$6:BD$59)</f>
        <v>0</v>
      </c>
      <c r="AL15" s="94">
        <f>SUMIF(ResultDetail!$F$6:$F$59,$A15,POM!BE$6:BE$59)</f>
        <v>0</v>
      </c>
    </row>
    <row r="16" spans="1:38" x14ac:dyDescent="0.35">
      <c r="A16" s="47">
        <v>2</v>
      </c>
      <c r="B16" s="18" t="s">
        <v>222</v>
      </c>
      <c r="C16" s="94">
        <f>SUMIF(ResultDetail!$F$6:$F$59,$A16,POM!V$6:V$59)</f>
        <v>5390.884</v>
      </c>
      <c r="D16" s="94">
        <f>SUMIF(ResultDetail!$F$6:$F$59,$A16,POM!W$6:W$59)</f>
        <v>4640.9470000000001</v>
      </c>
      <c r="E16" s="94">
        <f>SUMIF(ResultDetail!$F$6:$F$59,$A16,POM!X$6:X$59)</f>
        <v>4862.5410000000002</v>
      </c>
      <c r="F16" s="94">
        <f>SUMIF(ResultDetail!$F$6:$F$59,$A16,POM!Y$6:Y$59)</f>
        <v>7393.0259999999998</v>
      </c>
      <c r="G16" s="94">
        <f>SUMIF(ResultDetail!$F$6:$F$59,$A16,POM!Z$6:Z$59)</f>
        <v>6690.7830000000004</v>
      </c>
      <c r="H16" s="94">
        <f>SUMIF(ResultDetail!$F$6:$F$59,$A16,POM!AA$6:AA$59)</f>
        <v>6372.0989999999993</v>
      </c>
      <c r="I16" s="94">
        <f>SUMIF(ResultDetail!$F$6:$F$59,$A16,POM!AB$6:AB$59)</f>
        <v>7016.4740000000002</v>
      </c>
      <c r="J16" s="94">
        <f>SUMIF(ResultDetail!$F$6:$F$59,$A16,POM!AC$6:AC$59)</f>
        <v>7060.2620000000006</v>
      </c>
      <c r="K16" s="94">
        <f>SUMIF(ResultDetail!$F$6:$F$59,$A16,POM!AD$6:AD$59)</f>
        <v>8980.91</v>
      </c>
      <c r="L16" s="94">
        <f>SUMIF(ResultDetail!$F$6:$F$59,$A16,POM!AE$6:AE$59)</f>
        <v>10673.522999999999</v>
      </c>
      <c r="M16" s="94">
        <f>SUMIF(ResultDetail!$F$6:$F$59,$A16,POM!AF$6:AF$59)</f>
        <v>11311.853999999999</v>
      </c>
      <c r="N16" s="94">
        <f>SUMIF(ResultDetail!$F$6:$F$59,$A16,POM!AG$6:AG$59)</f>
        <v>13245.925000000001</v>
      </c>
      <c r="O16" s="94">
        <f>SUMIF(ResultDetail!$F$6:$F$59,$A16,POM!AH$6:AH$59)</f>
        <v>12856.276</v>
      </c>
      <c r="P16" s="94">
        <f>SUMIF(ResultDetail!$F$6:$F$59,$A16,POM!AI$6:AI$59)</f>
        <v>11692.467000000001</v>
      </c>
      <c r="Q16" s="94">
        <f>SUMIF(ResultDetail!$F$6:$F$59,$A16,POM!AJ$6:AJ$59)</f>
        <v>10679.465</v>
      </c>
      <c r="R16" s="94">
        <f>SUMIF(ResultDetail!$F$6:$F$59,$A16,POM!AK$6:AK$59)</f>
        <v>11160.038999999999</v>
      </c>
      <c r="S16" s="94">
        <f>SUMIF(ResultDetail!$F$6:$F$59,$A16,POM!AL$6:AL$59)</f>
        <v>10120.499</v>
      </c>
      <c r="T16" s="94">
        <f>SUMIF(ResultDetail!$F$6:$F$59,$A16,POM!AM$6:AM$59)</f>
        <v>9531.884</v>
      </c>
      <c r="U16" s="94">
        <f>SUMIF(ResultDetail!$F$6:$F$59,$A16,POM!AN$6:AN$59)</f>
        <v>9735.491</v>
      </c>
      <c r="V16" s="94">
        <f>SUMIF(ResultDetail!$F$6:$F$59,$A16,POM!AO$6:AO$59)</f>
        <v>10013.663</v>
      </c>
      <c r="W16" s="94">
        <f>SUMIF(ResultDetail!$F$6:$F$59,$A16,POM!AP$6:AP$59)</f>
        <v>12172.145</v>
      </c>
      <c r="X16" s="94">
        <f>SUMIF(ResultDetail!$F$6:$F$59,$A16,POM!AQ$6:AQ$59)</f>
        <v>10074.664000000001</v>
      </c>
      <c r="Y16" s="94">
        <f>SUMIF(ResultDetail!$F$6:$F$59,$A16,POM!AR$6:AR$59)</f>
        <v>11227.602000000001</v>
      </c>
      <c r="Z16" s="94">
        <f>SUMIF(ResultDetail!$F$6:$F$59,$A16,POM!AS$6:AS$59)</f>
        <v>10899.025</v>
      </c>
      <c r="AA16" s="94">
        <f>SUMIF(ResultDetail!$F$6:$F$59,$A16,POM!AT$6:AT$59)</f>
        <v>10420.890000000001</v>
      </c>
      <c r="AB16" s="94">
        <f>SUMIF(ResultDetail!$F$6:$F$59,$A16,POM!AU$6:AU$59)</f>
        <v>11536.335999999999</v>
      </c>
      <c r="AC16" s="94">
        <f>SUMIF(ResultDetail!$F$6:$F$59,$A16,POM!AV$6:AV$59)</f>
        <v>13131.395999999999</v>
      </c>
      <c r="AD16" s="94">
        <f>SUMIF(ResultDetail!$F$6:$F$59,$A16,POM!AW$6:AW$59)</f>
        <v>13475.726999999999</v>
      </c>
      <c r="AE16" s="94">
        <f>SUMIF(ResultDetail!$F$6:$F$59,$A16,POM!AX$6:AX$59)</f>
        <v>0</v>
      </c>
      <c r="AF16" s="94">
        <f>SUMIF(ResultDetail!$F$6:$F$59,$A16,POM!AY$6:AY$59)</f>
        <v>0</v>
      </c>
      <c r="AG16" s="94">
        <f>SUMIF(ResultDetail!$F$6:$F$59,$A16,POM!AZ$6:AZ$59)</f>
        <v>0</v>
      </c>
      <c r="AH16" s="94">
        <f>SUMIF(ResultDetail!$F$6:$F$59,$A16,POM!BA$6:BA$59)</f>
        <v>0</v>
      </c>
      <c r="AI16" s="94">
        <f>SUMIF(ResultDetail!$F$6:$F$59,$A16,POM!BB$6:BB$59)</f>
        <v>0</v>
      </c>
      <c r="AJ16" s="94">
        <f>SUMIF(ResultDetail!$F$6:$F$59,$A16,POM!BC$6:BC$59)</f>
        <v>0</v>
      </c>
      <c r="AK16" s="94">
        <f>SUMIF(ResultDetail!$F$6:$F$59,$A16,POM!BD$6:BD$59)</f>
        <v>0</v>
      </c>
      <c r="AL16" s="94">
        <f>SUMIF(ResultDetail!$F$6:$F$59,$A16,POM!BE$6:BE$59)</f>
        <v>0</v>
      </c>
    </row>
    <row r="17" spans="1:38" x14ac:dyDescent="0.35">
      <c r="A17" s="47">
        <v>3</v>
      </c>
      <c r="B17" s="18" t="s">
        <v>223</v>
      </c>
      <c r="C17" s="94">
        <f>SUMIF(ResultDetail!$F$6:$F$59,$A17,POM!V$6:V$59)</f>
        <v>3941.54</v>
      </c>
      <c r="D17" s="94">
        <f>SUMIF(ResultDetail!$F$6:$F$59,$A17,POM!W$6:W$59)</f>
        <v>4027.4540000000006</v>
      </c>
      <c r="E17" s="94">
        <f>SUMIF(ResultDetail!$F$6:$F$59,$A17,POM!X$6:X$59)</f>
        <v>7949.3290000000006</v>
      </c>
      <c r="F17" s="94">
        <f>SUMIF(ResultDetail!$F$6:$F$59,$A17,POM!Y$6:Y$59)</f>
        <v>5199.3229999999985</v>
      </c>
      <c r="G17" s="94">
        <f>SUMIF(ResultDetail!$F$6:$F$59,$A17,POM!Z$6:Z$59)</f>
        <v>10690.936999999998</v>
      </c>
      <c r="H17" s="94">
        <f>SUMIF(ResultDetail!$F$6:$F$59,$A17,POM!AA$6:AA$59)</f>
        <v>12565.456999999999</v>
      </c>
      <c r="I17" s="94">
        <f>SUMIF(ResultDetail!$F$6:$F$59,$A17,POM!AB$6:AB$59)</f>
        <v>12531.050999999999</v>
      </c>
      <c r="J17" s="94">
        <f>SUMIF(ResultDetail!$F$6:$F$59,$A17,POM!AC$6:AC$59)</f>
        <v>12712.651000000002</v>
      </c>
      <c r="K17" s="94">
        <f>SUMIF(ResultDetail!$F$6:$F$59,$A17,POM!AD$6:AD$59)</f>
        <v>12303.421999999999</v>
      </c>
      <c r="L17" s="94">
        <f>SUMIF(ResultDetail!$F$6:$F$59,$A17,POM!AE$6:AE$59)</f>
        <v>13660.805000000004</v>
      </c>
      <c r="M17" s="94">
        <f>SUMIF(ResultDetail!$F$6:$F$59,$A17,POM!AF$6:AF$59)</f>
        <v>20622.232999999997</v>
      </c>
      <c r="N17" s="94">
        <f>SUMIF(ResultDetail!$F$6:$F$59,$A17,POM!AG$6:AG$59)</f>
        <v>18168.652000000002</v>
      </c>
      <c r="O17" s="94">
        <f>SUMIF(ResultDetail!$F$6:$F$59,$A17,POM!AH$6:AH$59)</f>
        <v>12795.301999999998</v>
      </c>
      <c r="P17" s="94">
        <f>SUMIF(ResultDetail!$F$6:$F$59,$A17,POM!AI$6:AI$59)</f>
        <v>9209.0670000000009</v>
      </c>
      <c r="Q17" s="94">
        <f>SUMIF(ResultDetail!$F$6:$F$59,$A17,POM!AJ$6:AJ$59)</f>
        <v>8226.4210000000003</v>
      </c>
      <c r="R17" s="94">
        <f>SUMIF(ResultDetail!$F$6:$F$59,$A17,POM!AK$6:AK$59)</f>
        <v>8851.8709999999992</v>
      </c>
      <c r="S17" s="94">
        <f>SUMIF(ResultDetail!$F$6:$F$59,$A17,POM!AL$6:AL$59)</f>
        <v>10891.216000000002</v>
      </c>
      <c r="T17" s="94">
        <f>SUMIF(ResultDetail!$F$6:$F$59,$A17,POM!AM$6:AM$59)</f>
        <v>11084.514999999999</v>
      </c>
      <c r="U17" s="94">
        <f>SUMIF(ResultDetail!$F$6:$F$59,$A17,POM!AN$6:AN$59)</f>
        <v>12515.166000000001</v>
      </c>
      <c r="V17" s="94">
        <f>SUMIF(ResultDetail!$F$6:$F$59,$A17,POM!AO$6:AO$59)</f>
        <v>12688.661999999998</v>
      </c>
      <c r="W17" s="94">
        <f>SUMIF(ResultDetail!$F$6:$F$59,$A17,POM!AP$6:AP$59)</f>
        <v>11187.555999999999</v>
      </c>
      <c r="X17" s="94">
        <f>SUMIF(ResultDetail!$F$6:$F$59,$A17,POM!AQ$6:AQ$59)</f>
        <v>12573.97</v>
      </c>
      <c r="Y17" s="94">
        <f>SUMIF(ResultDetail!$F$6:$F$59,$A17,POM!AR$6:AR$59)</f>
        <v>13084.483</v>
      </c>
      <c r="Z17" s="94">
        <f>SUMIF(ResultDetail!$F$6:$F$59,$A17,POM!AS$6:AS$59)</f>
        <v>13364.979000000001</v>
      </c>
      <c r="AA17" s="94">
        <f>SUMIF(ResultDetail!$F$6:$F$59,$A17,POM!AT$6:AT$59)</f>
        <v>13908.760999999999</v>
      </c>
      <c r="AB17" s="94">
        <f>SUMIF(ResultDetail!$F$6:$F$59,$A17,POM!AU$6:AU$59)</f>
        <v>14827.514000000003</v>
      </c>
      <c r="AC17" s="94">
        <f>SUMIF(ResultDetail!$F$6:$F$59,$A17,POM!AV$6:AV$59)</f>
        <v>15080.645</v>
      </c>
      <c r="AD17" s="94">
        <f>SUMIF(ResultDetail!$F$6:$F$59,$A17,POM!AW$6:AW$59)</f>
        <v>15564.477999999999</v>
      </c>
      <c r="AE17" s="94">
        <f>SUMIF(ResultDetail!$F$6:$F$59,$A17,POM!AX$6:AX$59)</f>
        <v>0</v>
      </c>
      <c r="AF17" s="94">
        <f>SUMIF(ResultDetail!$F$6:$F$59,$A17,POM!AY$6:AY$59)</f>
        <v>0</v>
      </c>
      <c r="AG17" s="94">
        <f>SUMIF(ResultDetail!$F$6:$F$59,$A17,POM!AZ$6:AZ$59)</f>
        <v>0</v>
      </c>
      <c r="AH17" s="94">
        <f>SUMIF(ResultDetail!$F$6:$F$59,$A17,POM!BA$6:BA$59)</f>
        <v>0</v>
      </c>
      <c r="AI17" s="94">
        <f>SUMIF(ResultDetail!$F$6:$F$59,$A17,POM!BB$6:BB$59)</f>
        <v>0</v>
      </c>
      <c r="AJ17" s="94">
        <f>SUMIF(ResultDetail!$F$6:$F$59,$A17,POM!BC$6:BC$59)</f>
        <v>0</v>
      </c>
      <c r="AK17" s="94">
        <f>SUMIF(ResultDetail!$F$6:$F$59,$A17,POM!BD$6:BD$59)</f>
        <v>0</v>
      </c>
      <c r="AL17" s="94">
        <f>SUMIF(ResultDetail!$F$6:$F$59,$A17,POM!BE$6:BE$59)</f>
        <v>0</v>
      </c>
    </row>
    <row r="18" spans="1:38" x14ac:dyDescent="0.35">
      <c r="A18" s="47" t="s">
        <v>120</v>
      </c>
      <c r="B18" s="18" t="s">
        <v>224</v>
      </c>
      <c r="C18" s="94">
        <f>SUMIF(ResultDetail!$F$6:$F$59,$A18,POM!V$6:V$59)</f>
        <v>8120.5119999999988</v>
      </c>
      <c r="D18" s="94">
        <f>SUMIF(ResultDetail!$F$6:$F$59,$A18,POM!W$6:W$59)</f>
        <v>7965.7790000000005</v>
      </c>
      <c r="E18" s="94">
        <f>SUMIF(ResultDetail!$F$6:$F$59,$A18,POM!X$6:X$59)</f>
        <v>7781.2950000000001</v>
      </c>
      <c r="F18" s="94">
        <f>SUMIF(ResultDetail!$F$6:$F$59,$A18,POM!Y$6:Y$59)</f>
        <v>7569.1729999999998</v>
      </c>
      <c r="G18" s="94">
        <f>SUMIF(ResultDetail!$F$6:$F$59,$A18,POM!Z$6:Z$59)</f>
        <v>7302.0869999999995</v>
      </c>
      <c r="H18" s="94">
        <f>SUMIF(ResultDetail!$F$6:$F$59,$A18,POM!AA$6:AA$59)</f>
        <v>6978.0769999999993</v>
      </c>
      <c r="I18" s="94">
        <f>SUMIF(ResultDetail!$F$6:$F$59,$A18,POM!AB$6:AB$59)</f>
        <v>6885.5349999999989</v>
      </c>
      <c r="J18" s="94">
        <f>SUMIF(ResultDetail!$F$6:$F$59,$A18,POM!AC$6:AC$59)</f>
        <v>6917.755000000001</v>
      </c>
      <c r="K18" s="94">
        <f>SUMIF(ResultDetail!$F$6:$F$59,$A18,POM!AD$6:AD$59)</f>
        <v>6914.51</v>
      </c>
      <c r="L18" s="94">
        <f>SUMIF(ResultDetail!$F$6:$F$59,$A18,POM!AE$6:AE$59)</f>
        <v>6682.1149999999998</v>
      </c>
      <c r="M18" s="94">
        <f>SUMIF(ResultDetail!$F$6:$F$59,$A18,POM!AF$6:AF$59)</f>
        <v>7858.8369999999995</v>
      </c>
      <c r="N18" s="94">
        <f>SUMIF(ResultDetail!$F$6:$F$59,$A18,POM!AG$6:AG$59)</f>
        <v>7679.2590000000009</v>
      </c>
      <c r="O18" s="94">
        <f>SUMIF(ResultDetail!$F$6:$F$59,$A18,POM!AH$6:AH$59)</f>
        <v>8043.2210000000005</v>
      </c>
      <c r="P18" s="94">
        <f>SUMIF(ResultDetail!$F$6:$F$59,$A18,POM!AI$6:AI$59)</f>
        <v>7889.0410000000002</v>
      </c>
      <c r="Q18" s="94">
        <f>SUMIF(ResultDetail!$F$6:$F$59,$A18,POM!AJ$6:AJ$59)</f>
        <v>7729.3670000000002</v>
      </c>
      <c r="R18" s="94">
        <f>SUMIF(ResultDetail!$F$6:$F$59,$A18,POM!AK$6:AK$59)</f>
        <v>7500.1729999999989</v>
      </c>
      <c r="S18" s="94">
        <f>SUMIF(ResultDetail!$F$6:$F$59,$A18,POM!AL$6:AL$59)</f>
        <v>8794.6350000000002</v>
      </c>
      <c r="T18" s="94">
        <f>SUMIF(ResultDetail!$F$6:$F$59,$A18,POM!AM$6:AM$59)</f>
        <v>8633.2389999999996</v>
      </c>
      <c r="U18" s="94">
        <f>SUMIF(ResultDetail!$F$6:$F$59,$A18,POM!AN$6:AN$59)</f>
        <v>8201.2860000000001</v>
      </c>
      <c r="V18" s="94">
        <f>SUMIF(ResultDetail!$F$6:$F$59,$A18,POM!AO$6:AO$59)</f>
        <v>7725.8730000000014</v>
      </c>
      <c r="W18" s="94">
        <f>SUMIF(ResultDetail!$F$6:$F$59,$A18,POM!AP$6:AP$59)</f>
        <v>7596.6260000000011</v>
      </c>
      <c r="X18" s="94">
        <f>SUMIF(ResultDetail!$F$6:$F$59,$A18,POM!AQ$6:AQ$59)</f>
        <v>7622.6669999999995</v>
      </c>
      <c r="Y18" s="94">
        <f>SUMIF(ResultDetail!$F$6:$F$59,$A18,POM!AR$6:AR$59)</f>
        <v>8254.25</v>
      </c>
      <c r="Z18" s="94">
        <f>SUMIF(ResultDetail!$F$6:$F$59,$A18,POM!AS$6:AS$59)</f>
        <v>8876.42</v>
      </c>
      <c r="AA18" s="94">
        <f>SUMIF(ResultDetail!$F$6:$F$59,$A18,POM!AT$6:AT$59)</f>
        <v>8931.991</v>
      </c>
      <c r="AB18" s="94">
        <f>SUMIF(ResultDetail!$F$6:$F$59,$A18,POM!AU$6:AU$59)</f>
        <v>9754.6739999999991</v>
      </c>
      <c r="AC18" s="94">
        <f>SUMIF(ResultDetail!$F$6:$F$59,$A18,POM!AV$6:AV$59)</f>
        <v>9879.146999999999</v>
      </c>
      <c r="AD18" s="94">
        <f>SUMIF(ResultDetail!$F$6:$F$59,$A18,POM!AW$6:AW$59)</f>
        <v>10104.476000000001</v>
      </c>
      <c r="AE18" s="94">
        <f>SUMIF(ResultDetail!$F$6:$F$59,$A18,POM!AX$6:AX$59)</f>
        <v>0</v>
      </c>
      <c r="AF18" s="94">
        <f>SUMIF(ResultDetail!$F$6:$F$59,$A18,POM!AY$6:AY$59)</f>
        <v>0</v>
      </c>
      <c r="AG18" s="94">
        <f>SUMIF(ResultDetail!$F$6:$F$59,$A18,POM!AZ$6:AZ$59)</f>
        <v>0</v>
      </c>
      <c r="AH18" s="94">
        <f>SUMIF(ResultDetail!$F$6:$F$59,$A18,POM!BA$6:BA$59)</f>
        <v>0</v>
      </c>
      <c r="AI18" s="94">
        <f>SUMIF(ResultDetail!$F$6:$F$59,$A18,POM!BB$6:BB$59)</f>
        <v>0</v>
      </c>
      <c r="AJ18" s="94">
        <f>SUMIF(ResultDetail!$F$6:$F$59,$A18,POM!BC$6:BC$59)</f>
        <v>0</v>
      </c>
      <c r="AK18" s="94">
        <f>SUMIF(ResultDetail!$F$6:$F$59,$A18,POM!BD$6:BD$59)</f>
        <v>0</v>
      </c>
      <c r="AL18" s="94">
        <f>SUMIF(ResultDetail!$F$6:$F$59,$A18,POM!BE$6:BE$59)</f>
        <v>0</v>
      </c>
    </row>
    <row r="19" spans="1:38" x14ac:dyDescent="0.35">
      <c r="A19" s="47" t="s">
        <v>121</v>
      </c>
      <c r="B19" s="18" t="s">
        <v>122</v>
      </c>
      <c r="C19" s="94">
        <f>SUMIF(ResultDetail!$F$6:$F$59,$A19,POM!V$6:V$59)</f>
        <v>0</v>
      </c>
      <c r="D19" s="94">
        <f>SUMIF(ResultDetail!$F$6:$F$59,$A19,POM!W$6:W$59)</f>
        <v>0</v>
      </c>
      <c r="E19" s="94">
        <f>SUMIF(ResultDetail!$F$6:$F$59,$A19,POM!X$6:X$59)</f>
        <v>0</v>
      </c>
      <c r="F19" s="94">
        <f>SUMIF(ResultDetail!$F$6:$F$59,$A19,POM!Y$6:Y$59)</f>
        <v>0</v>
      </c>
      <c r="G19" s="94">
        <f>SUMIF(ResultDetail!$F$6:$F$59,$A19,POM!Z$6:Z$59)</f>
        <v>0</v>
      </c>
      <c r="H19" s="94">
        <f>SUMIF(ResultDetail!$F$6:$F$59,$A19,POM!AA$6:AA$59)</f>
        <v>0</v>
      </c>
      <c r="I19" s="94">
        <f>SUMIF(ResultDetail!$F$6:$F$59,$A19,POM!AB$6:AB$59)</f>
        <v>0</v>
      </c>
      <c r="J19" s="94">
        <f>SUMIF(ResultDetail!$F$6:$F$59,$A19,POM!AC$6:AC$59)</f>
        <v>0</v>
      </c>
      <c r="K19" s="94">
        <f>SUMIF(ResultDetail!$F$6:$F$59,$A19,POM!AD$6:AD$59)</f>
        <v>0</v>
      </c>
      <c r="L19" s="94">
        <f>SUMIF(ResultDetail!$F$6:$F$59,$A19,POM!AE$6:AE$59)</f>
        <v>0</v>
      </c>
      <c r="M19" s="94">
        <f>SUMIF(ResultDetail!$F$6:$F$59,$A19,POM!AF$6:AF$59)</f>
        <v>0</v>
      </c>
      <c r="N19" s="94">
        <f>SUMIF(ResultDetail!$F$6:$F$59,$A19,POM!AG$6:AG$59)</f>
        <v>0</v>
      </c>
      <c r="O19" s="94">
        <f>SUMIF(ResultDetail!$F$6:$F$59,$A19,POM!AH$6:AH$59)</f>
        <v>0</v>
      </c>
      <c r="P19" s="94">
        <f>SUMIF(ResultDetail!$F$6:$F$59,$A19,POM!AI$6:AI$59)</f>
        <v>0</v>
      </c>
      <c r="Q19" s="94">
        <f>SUMIF(ResultDetail!$F$6:$F$59,$A19,POM!AJ$6:AJ$59)</f>
        <v>57.381</v>
      </c>
      <c r="R19" s="94">
        <f>SUMIF(ResultDetail!$F$6:$F$59,$A19,POM!AK$6:AK$59)</f>
        <v>6.992</v>
      </c>
      <c r="S19" s="94">
        <f>SUMIF(ResultDetail!$F$6:$F$59,$A19,POM!AL$6:AL$59)</f>
        <v>8.5440000000000005</v>
      </c>
      <c r="T19" s="94">
        <f>SUMIF(ResultDetail!$F$6:$F$59,$A19,POM!AM$6:AM$59)</f>
        <v>12.986000000000001</v>
      </c>
      <c r="U19" s="94">
        <f>SUMIF(ResultDetail!$F$6:$F$59,$A19,POM!AN$6:AN$59)</f>
        <v>6.391</v>
      </c>
      <c r="V19" s="94">
        <f>SUMIF(ResultDetail!$F$6:$F$59,$A19,POM!AO$6:AO$59)</f>
        <v>47.124000000000002</v>
      </c>
      <c r="W19" s="94">
        <f>SUMIF(ResultDetail!$F$6:$F$59,$A19,POM!AP$6:AP$59)</f>
        <v>51.332999999999998</v>
      </c>
      <c r="X19" s="94">
        <f>SUMIF(ResultDetail!$F$6:$F$59,$A19,POM!AQ$6:AQ$59)</f>
        <v>232.375</v>
      </c>
      <c r="Y19" s="94">
        <f>SUMIF(ResultDetail!$F$6:$F$59,$A19,POM!AR$6:AR$59)</f>
        <v>707.59</v>
      </c>
      <c r="Z19" s="94">
        <f>SUMIF(ResultDetail!$F$6:$F$59,$A19,POM!AS$6:AS$59)</f>
        <v>959.27</v>
      </c>
      <c r="AA19" s="94">
        <f>SUMIF(ResultDetail!$F$6:$F$59,$A19,POM!AT$6:AT$59)</f>
        <v>1738.0350000000001</v>
      </c>
      <c r="AB19" s="94">
        <f>SUMIF(ResultDetail!$F$6:$F$59,$A19,POM!AU$6:AU$59)</f>
        <v>2241.1999999999998</v>
      </c>
      <c r="AC19" s="94">
        <f>SUMIF(ResultDetail!$F$6:$F$59,$A19,POM!AV$6:AV$59)</f>
        <v>122.069</v>
      </c>
      <c r="AD19" s="94">
        <f>SUMIF(ResultDetail!$F$6:$F$59,$A19,POM!AW$6:AW$59)</f>
        <v>122.069</v>
      </c>
      <c r="AE19" s="94">
        <f>SUMIF(ResultDetail!$F$6:$F$59,$A19,POM!AX$6:AX$59)</f>
        <v>0</v>
      </c>
      <c r="AF19" s="94">
        <f>SUMIF(ResultDetail!$F$6:$F$59,$A19,POM!AY$6:AY$59)</f>
        <v>0</v>
      </c>
      <c r="AG19" s="94">
        <f>SUMIF(ResultDetail!$F$6:$F$59,$A19,POM!AZ$6:AZ$59)</f>
        <v>0</v>
      </c>
      <c r="AH19" s="94">
        <f>SUMIF(ResultDetail!$F$6:$F$59,$A19,POM!BA$6:BA$59)</f>
        <v>0</v>
      </c>
      <c r="AI19" s="94">
        <f>SUMIF(ResultDetail!$F$6:$F$59,$A19,POM!BB$6:BB$59)</f>
        <v>0</v>
      </c>
      <c r="AJ19" s="94">
        <f>SUMIF(ResultDetail!$F$6:$F$59,$A19,POM!BC$6:BC$59)</f>
        <v>0</v>
      </c>
      <c r="AK19" s="94">
        <f>SUMIF(ResultDetail!$F$6:$F$59,$A19,POM!BD$6:BD$59)</f>
        <v>0</v>
      </c>
      <c r="AL19" s="94">
        <f>SUMIF(ResultDetail!$F$6:$F$59,$A19,POM!BE$6:BE$59)</f>
        <v>0</v>
      </c>
    </row>
    <row r="20" spans="1:38" x14ac:dyDescent="0.35">
      <c r="A20" s="47">
        <v>5</v>
      </c>
      <c r="B20" s="18" t="s">
        <v>225</v>
      </c>
      <c r="C20" s="94">
        <f>SUMIF(ResultDetail!$F$6:$F$59,$A20,POM!V$6:V$59)</f>
        <v>2784.7290000000003</v>
      </c>
      <c r="D20" s="94">
        <f>SUMIF(ResultDetail!$F$6:$F$59,$A20,POM!W$6:W$59)</f>
        <v>2940.2650000000003</v>
      </c>
      <c r="E20" s="94">
        <f>SUMIF(ResultDetail!$F$6:$F$59,$A20,POM!X$6:X$59)</f>
        <v>3884.1170000000002</v>
      </c>
      <c r="F20" s="94">
        <f>SUMIF(ResultDetail!$F$6:$F$59,$A20,POM!Y$6:Y$59)</f>
        <v>4722.4810000000007</v>
      </c>
      <c r="G20" s="94">
        <f>SUMIF(ResultDetail!$F$6:$F$59,$A20,POM!Z$6:Z$59)</f>
        <v>5357.768</v>
      </c>
      <c r="H20" s="94">
        <f>SUMIF(ResultDetail!$F$6:$F$59,$A20,POM!AA$6:AA$59)</f>
        <v>5770.4459999999999</v>
      </c>
      <c r="I20" s="94">
        <f>SUMIF(ResultDetail!$F$6:$F$59,$A20,POM!AB$6:AB$59)</f>
        <v>6664.0389999999998</v>
      </c>
      <c r="J20" s="94">
        <f>SUMIF(ResultDetail!$F$6:$F$59,$A20,POM!AC$6:AC$59)</f>
        <v>6211.7649999999994</v>
      </c>
      <c r="K20" s="94">
        <f>SUMIF(ResultDetail!$F$6:$F$59,$A20,POM!AD$6:AD$59)</f>
        <v>7108.8960000000006</v>
      </c>
      <c r="L20" s="94">
        <f>SUMIF(ResultDetail!$F$6:$F$59,$A20,POM!AE$6:AE$59)</f>
        <v>9159.898000000001</v>
      </c>
      <c r="M20" s="94">
        <f>SUMIF(ResultDetail!$F$6:$F$59,$A20,POM!AF$6:AF$59)</f>
        <v>9470.69</v>
      </c>
      <c r="N20" s="94">
        <f>SUMIF(ResultDetail!$F$6:$F$59,$A20,POM!AG$6:AG$59)</f>
        <v>9828.4839999999986</v>
      </c>
      <c r="O20" s="94">
        <f>SUMIF(ResultDetail!$F$6:$F$59,$A20,POM!AH$6:AH$59)</f>
        <v>10593.278</v>
      </c>
      <c r="P20" s="94">
        <f>SUMIF(ResultDetail!$F$6:$F$59,$A20,POM!AI$6:AI$59)</f>
        <v>9652.259</v>
      </c>
      <c r="Q20" s="94">
        <f>SUMIF(ResultDetail!$F$6:$F$59,$A20,POM!AJ$6:AJ$59)</f>
        <v>6663.6189999999997</v>
      </c>
      <c r="R20" s="94">
        <f>SUMIF(ResultDetail!$F$6:$F$59,$A20,POM!AK$6:AK$59)</f>
        <v>7210.1310000000003</v>
      </c>
      <c r="S20" s="94">
        <f>SUMIF(ResultDetail!$F$6:$F$59,$A20,POM!AL$6:AL$59)</f>
        <v>8620.3819999999996</v>
      </c>
      <c r="T20" s="94">
        <f>SUMIF(ResultDetail!$F$6:$F$59,$A20,POM!AM$6:AM$59)</f>
        <v>7860.0940000000001</v>
      </c>
      <c r="U20" s="94">
        <f>SUMIF(ResultDetail!$F$6:$F$59,$A20,POM!AN$6:AN$59)</f>
        <v>8254.9989999999998</v>
      </c>
      <c r="V20" s="94">
        <f>SUMIF(ResultDetail!$F$6:$F$59,$A20,POM!AO$6:AO$59)</f>
        <v>8661.8819999999996</v>
      </c>
      <c r="W20" s="94">
        <f>SUMIF(ResultDetail!$F$6:$F$59,$A20,POM!AP$6:AP$59)</f>
        <v>11170.772000000001</v>
      </c>
      <c r="X20" s="94">
        <f>SUMIF(ResultDetail!$F$6:$F$59,$A20,POM!AQ$6:AQ$59)</f>
        <v>10679.313</v>
      </c>
      <c r="Y20" s="94">
        <f>SUMIF(ResultDetail!$F$6:$F$59,$A20,POM!AR$6:AR$59)</f>
        <v>13795.305999999999</v>
      </c>
      <c r="Z20" s="94">
        <f>SUMIF(ResultDetail!$F$6:$F$59,$A20,POM!AS$6:AS$59)</f>
        <v>13966.695</v>
      </c>
      <c r="AA20" s="94">
        <f>SUMIF(ResultDetail!$F$6:$F$59,$A20,POM!AT$6:AT$59)</f>
        <v>14170.975999999999</v>
      </c>
      <c r="AB20" s="94">
        <f>SUMIF(ResultDetail!$F$6:$F$59,$A20,POM!AU$6:AU$59)</f>
        <v>13942.468000000001</v>
      </c>
      <c r="AC20" s="94">
        <f>SUMIF(ResultDetail!$F$6:$F$59,$A20,POM!AV$6:AV$59)</f>
        <v>14040.826000000001</v>
      </c>
      <c r="AD20" s="94">
        <f>SUMIF(ResultDetail!$F$6:$F$59,$A20,POM!AW$6:AW$59)</f>
        <v>14337.207999999999</v>
      </c>
      <c r="AE20" s="94">
        <f>SUMIF(ResultDetail!$F$6:$F$59,$A20,POM!AX$6:AX$59)</f>
        <v>0</v>
      </c>
      <c r="AF20" s="94">
        <f>SUMIF(ResultDetail!$F$6:$F$59,$A20,POM!AY$6:AY$59)</f>
        <v>0</v>
      </c>
      <c r="AG20" s="94">
        <f>SUMIF(ResultDetail!$F$6:$F$59,$A20,POM!AZ$6:AZ$59)</f>
        <v>0</v>
      </c>
      <c r="AH20" s="94">
        <f>SUMIF(ResultDetail!$F$6:$F$59,$A20,POM!BA$6:BA$59)</f>
        <v>0</v>
      </c>
      <c r="AI20" s="94">
        <f>SUMIF(ResultDetail!$F$6:$F$59,$A20,POM!BB$6:BB$59)</f>
        <v>0</v>
      </c>
      <c r="AJ20" s="94">
        <f>SUMIF(ResultDetail!$F$6:$F$59,$A20,POM!BC$6:BC$59)</f>
        <v>0</v>
      </c>
      <c r="AK20" s="94">
        <f>SUMIF(ResultDetail!$F$6:$F$59,$A20,POM!BD$6:BD$59)</f>
        <v>0</v>
      </c>
      <c r="AL20" s="94">
        <f>SUMIF(ResultDetail!$F$6:$F$59,$A20,POM!BE$6:BE$59)</f>
        <v>0</v>
      </c>
    </row>
    <row r="21" spans="1:38" x14ac:dyDescent="0.35">
      <c r="A21" s="47">
        <v>6</v>
      </c>
      <c r="B21" s="18" t="s">
        <v>226</v>
      </c>
      <c r="C21" s="94">
        <f>SUMIF(ResultDetail!$F$6:$F$59,$A21,POM!V$6:V$59)</f>
        <v>756.30700000000002</v>
      </c>
      <c r="D21" s="94">
        <f>SUMIF(ResultDetail!$F$6:$F$59,$A21,POM!W$6:W$59)</f>
        <v>751.36599999999999</v>
      </c>
      <c r="E21" s="94">
        <f>SUMIF(ResultDetail!$F$6:$F$59,$A21,POM!X$6:X$59)</f>
        <v>952.7170000000001</v>
      </c>
      <c r="F21" s="94">
        <f>SUMIF(ResultDetail!$F$6:$F$59,$A21,POM!Y$6:Y$59)</f>
        <v>1605.769</v>
      </c>
      <c r="G21" s="94">
        <f>SUMIF(ResultDetail!$F$6:$F$59,$A21,POM!Z$6:Z$59)</f>
        <v>3452.0990000000002</v>
      </c>
      <c r="H21" s="94">
        <f>SUMIF(ResultDetail!$F$6:$F$59,$A21,POM!AA$6:AA$59)</f>
        <v>4132.9850000000006</v>
      </c>
      <c r="I21" s="94">
        <f>SUMIF(ResultDetail!$F$6:$F$59,$A21,POM!AB$6:AB$59)</f>
        <v>4129.7330000000002</v>
      </c>
      <c r="J21" s="94">
        <f>SUMIF(ResultDetail!$F$6:$F$59,$A21,POM!AC$6:AC$59)</f>
        <v>4247.9439999999995</v>
      </c>
      <c r="K21" s="94">
        <f>SUMIF(ResultDetail!$F$6:$F$59,$A21,POM!AD$6:AD$59)</f>
        <v>3804.7969999999996</v>
      </c>
      <c r="L21" s="94">
        <f>SUMIF(ResultDetail!$F$6:$F$59,$A21,POM!AE$6:AE$59)</f>
        <v>4211.3379999999997</v>
      </c>
      <c r="M21" s="94">
        <f>SUMIF(ResultDetail!$F$6:$F$59,$A21,POM!AF$6:AF$59)</f>
        <v>5443.3510000000006</v>
      </c>
      <c r="N21" s="94">
        <f>SUMIF(ResultDetail!$F$6:$F$59,$A21,POM!AG$6:AG$59)</f>
        <v>6034.585</v>
      </c>
      <c r="O21" s="94">
        <f>SUMIF(ResultDetail!$F$6:$F$59,$A21,POM!AH$6:AH$59)</f>
        <v>5636.1760000000004</v>
      </c>
      <c r="P21" s="94">
        <f>SUMIF(ResultDetail!$F$6:$F$59,$A21,POM!AI$6:AI$59)</f>
        <v>5176.4390000000003</v>
      </c>
      <c r="Q21" s="94">
        <f>SUMIF(ResultDetail!$F$6:$F$59,$A21,POM!AJ$6:AJ$59)</f>
        <v>4045.194</v>
      </c>
      <c r="R21" s="94">
        <f>SUMIF(ResultDetail!$F$6:$F$59,$A21,POM!AK$6:AK$59)</f>
        <v>5583.7240000000002</v>
      </c>
      <c r="S21" s="94">
        <f>SUMIF(ResultDetail!$F$6:$F$59,$A21,POM!AL$6:AL$59)</f>
        <v>5784.2049999999999</v>
      </c>
      <c r="T21" s="94">
        <f>SUMIF(ResultDetail!$F$6:$F$59,$A21,POM!AM$6:AM$59)</f>
        <v>6010.9780000000001</v>
      </c>
      <c r="U21" s="94">
        <f>SUMIF(ResultDetail!$F$6:$F$59,$A21,POM!AN$6:AN$59)</f>
        <v>4794.38</v>
      </c>
      <c r="V21" s="94">
        <f>SUMIF(ResultDetail!$F$6:$F$59,$A21,POM!AO$6:AO$59)</f>
        <v>5081.2759999999998</v>
      </c>
      <c r="W21" s="94">
        <f>SUMIF(ResultDetail!$F$6:$F$59,$A21,POM!AP$6:AP$59)</f>
        <v>5797.6409999999996</v>
      </c>
      <c r="X21" s="94">
        <f>SUMIF(ResultDetail!$F$6:$F$59,$A21,POM!AQ$6:AQ$59)</f>
        <v>5485.12</v>
      </c>
      <c r="Y21" s="94">
        <f>SUMIF(ResultDetail!$F$6:$F$59,$A21,POM!AR$6:AR$59)</f>
        <v>5689.87</v>
      </c>
      <c r="Z21" s="94">
        <f>SUMIF(ResultDetail!$F$6:$F$59,$A21,POM!AS$6:AS$59)</f>
        <v>5784.3469999999998</v>
      </c>
      <c r="AA21" s="94">
        <f>SUMIF(ResultDetail!$F$6:$F$59,$A21,POM!AT$6:AT$59)</f>
        <v>6891.4760000000006</v>
      </c>
      <c r="AB21" s="94">
        <f>SUMIF(ResultDetail!$F$6:$F$59,$A21,POM!AU$6:AU$59)</f>
        <v>6619.6550000000007</v>
      </c>
      <c r="AC21" s="94">
        <f>SUMIF(ResultDetail!$F$6:$F$59,$A21,POM!AV$6:AV$59)</f>
        <v>6675.5030000000006</v>
      </c>
      <c r="AD21" s="94">
        <f>SUMIF(ResultDetail!$F$6:$F$59,$A21,POM!AW$6:AW$59)</f>
        <v>6816.4129999999996</v>
      </c>
      <c r="AE21" s="94">
        <f>SUMIF(ResultDetail!$F$6:$F$59,$A21,POM!AX$6:AX$59)</f>
        <v>0</v>
      </c>
      <c r="AF21" s="94">
        <f>SUMIF(ResultDetail!$F$6:$F$59,$A21,POM!AY$6:AY$59)</f>
        <v>0</v>
      </c>
      <c r="AG21" s="94">
        <f>SUMIF(ResultDetail!$F$6:$F$59,$A21,POM!AZ$6:AZ$59)</f>
        <v>0</v>
      </c>
      <c r="AH21" s="94">
        <f>SUMIF(ResultDetail!$F$6:$F$59,$A21,POM!BA$6:BA$59)</f>
        <v>0</v>
      </c>
      <c r="AI21" s="94">
        <f>SUMIF(ResultDetail!$F$6:$F$59,$A21,POM!BB$6:BB$59)</f>
        <v>0</v>
      </c>
      <c r="AJ21" s="94">
        <f>SUMIF(ResultDetail!$F$6:$F$59,$A21,POM!BC$6:BC$59)</f>
        <v>0</v>
      </c>
      <c r="AK21" s="94">
        <f>SUMIF(ResultDetail!$F$6:$F$59,$A21,POM!BD$6:BD$59)</f>
        <v>0</v>
      </c>
      <c r="AL21" s="94">
        <f>SUMIF(ResultDetail!$F$6:$F$59,$A21,POM!BE$6:BE$59)</f>
        <v>0</v>
      </c>
    </row>
    <row r="22" spans="1:38" x14ac:dyDescent="0.35">
      <c r="A22" s="47">
        <v>7</v>
      </c>
      <c r="B22" s="18" t="s">
        <v>227</v>
      </c>
      <c r="C22" s="94">
        <f>SUMIF(ResultDetail!$F$6:$F$59,$A22,POM!V$6:V$59)</f>
        <v>451.697</v>
      </c>
      <c r="D22" s="94">
        <f>SUMIF(ResultDetail!$F$6:$F$59,$A22,POM!W$6:W$59)</f>
        <v>462.50700000000001</v>
      </c>
      <c r="E22" s="94">
        <f>SUMIF(ResultDetail!$F$6:$F$59,$A22,POM!X$6:X$59)</f>
        <v>461.53300000000002</v>
      </c>
      <c r="F22" s="94">
        <f>SUMIF(ResultDetail!$F$6:$F$59,$A22,POM!Y$6:Y$59)</f>
        <v>460.89699999999993</v>
      </c>
      <c r="G22" s="94">
        <f>SUMIF(ResultDetail!$F$6:$F$59,$A22,POM!Z$6:Z$59)</f>
        <v>509.09900000000005</v>
      </c>
      <c r="H22" s="94">
        <f>SUMIF(ResultDetail!$F$6:$F$59,$A22,POM!AA$6:AA$59)</f>
        <v>559.22500000000002</v>
      </c>
      <c r="I22" s="94">
        <f>SUMIF(ResultDetail!$F$6:$F$59,$A22,POM!AB$6:AB$59)</f>
        <v>626.35800000000006</v>
      </c>
      <c r="J22" s="94">
        <f>SUMIF(ResultDetail!$F$6:$F$59,$A22,POM!AC$6:AC$59)</f>
        <v>692.93100000000004</v>
      </c>
      <c r="K22" s="94">
        <f>SUMIF(ResultDetail!$F$6:$F$59,$A22,POM!AD$6:AD$59)</f>
        <v>763.14100000000008</v>
      </c>
      <c r="L22" s="94">
        <f>SUMIF(ResultDetail!$F$6:$F$59,$A22,POM!AE$6:AE$59)</f>
        <v>964.48199999999997</v>
      </c>
      <c r="M22" s="94">
        <f>SUMIF(ResultDetail!$F$6:$F$59,$A22,POM!AF$6:AF$59)</f>
        <v>1037.7539999999999</v>
      </c>
      <c r="N22" s="94">
        <f>SUMIF(ResultDetail!$F$6:$F$59,$A22,POM!AG$6:AG$59)</f>
        <v>1110.617</v>
      </c>
      <c r="O22" s="94">
        <f>SUMIF(ResultDetail!$F$6:$F$59,$A22,POM!AH$6:AH$59)</f>
        <v>1349.2150000000001</v>
      </c>
      <c r="P22" s="94">
        <f>SUMIF(ResultDetail!$F$6:$F$59,$A22,POM!AI$6:AI$59)</f>
        <v>1317.5909999999999</v>
      </c>
      <c r="Q22" s="94">
        <f>SUMIF(ResultDetail!$F$6:$F$59,$A22,POM!AJ$6:AJ$59)</f>
        <v>1253.9099999999999</v>
      </c>
      <c r="R22" s="94">
        <f>SUMIF(ResultDetail!$F$6:$F$59,$A22,POM!AK$6:AK$59)</f>
        <v>1248.6019999999999</v>
      </c>
      <c r="S22" s="94">
        <f>SUMIF(ResultDetail!$F$6:$F$59,$A22,POM!AL$6:AL$59)</f>
        <v>1068.9859999999999</v>
      </c>
      <c r="T22" s="94">
        <f>SUMIF(ResultDetail!$F$6:$F$59,$A22,POM!AM$6:AM$59)</f>
        <v>1069.425</v>
      </c>
      <c r="U22" s="94">
        <f>SUMIF(ResultDetail!$F$6:$F$59,$A22,POM!AN$6:AN$59)</f>
        <v>1065.604</v>
      </c>
      <c r="V22" s="94">
        <f>SUMIF(ResultDetail!$F$6:$F$59,$A22,POM!AO$6:AO$59)</f>
        <v>1063.4459999999999</v>
      </c>
      <c r="W22" s="94">
        <f>SUMIF(ResultDetail!$F$6:$F$59,$A22,POM!AP$6:AP$59)</f>
        <v>1149.5039999999999</v>
      </c>
      <c r="X22" s="94">
        <f>SUMIF(ResultDetail!$F$6:$F$59,$A22,POM!AQ$6:AQ$59)</f>
        <v>1315.088</v>
      </c>
      <c r="Y22" s="94">
        <f>SUMIF(ResultDetail!$F$6:$F$59,$A22,POM!AR$6:AR$59)</f>
        <v>1489.0060000000001</v>
      </c>
      <c r="Z22" s="94">
        <f>SUMIF(ResultDetail!$F$6:$F$59,$A22,POM!AS$6:AS$59)</f>
        <v>1616.5069999999998</v>
      </c>
      <c r="AA22" s="94">
        <f>SUMIF(ResultDetail!$F$6:$F$59,$A22,POM!AT$6:AT$59)</f>
        <v>1650.251</v>
      </c>
      <c r="AB22" s="94">
        <f>SUMIF(ResultDetail!$F$6:$F$59,$A22,POM!AU$6:AU$59)</f>
        <v>1679.6499999999999</v>
      </c>
      <c r="AC22" s="94">
        <f>SUMIF(ResultDetail!$F$6:$F$59,$A22,POM!AV$6:AV$59)</f>
        <v>1647.856</v>
      </c>
      <c r="AD22" s="94">
        <f>SUMIF(ResultDetail!$F$6:$F$59,$A22,POM!AW$6:AW$59)</f>
        <v>1706.914</v>
      </c>
      <c r="AE22" s="94">
        <f>SUMIF(ResultDetail!$F$6:$F$59,$A22,POM!AX$6:AX$59)</f>
        <v>0</v>
      </c>
      <c r="AF22" s="94">
        <f>SUMIF(ResultDetail!$F$6:$F$59,$A22,POM!AY$6:AY$59)</f>
        <v>0</v>
      </c>
      <c r="AG22" s="94">
        <f>SUMIF(ResultDetail!$F$6:$F$59,$A22,POM!AZ$6:AZ$59)</f>
        <v>0</v>
      </c>
      <c r="AH22" s="94">
        <f>SUMIF(ResultDetail!$F$6:$F$59,$A22,POM!BA$6:BA$59)</f>
        <v>0</v>
      </c>
      <c r="AI22" s="94">
        <f>SUMIF(ResultDetail!$F$6:$F$59,$A22,POM!BB$6:BB$59)</f>
        <v>0</v>
      </c>
      <c r="AJ22" s="94">
        <f>SUMIF(ResultDetail!$F$6:$F$59,$A22,POM!BC$6:BC$59)</f>
        <v>0</v>
      </c>
      <c r="AK22" s="94">
        <f>SUMIF(ResultDetail!$F$6:$F$59,$A22,POM!BD$6:BD$59)</f>
        <v>0</v>
      </c>
      <c r="AL22" s="94">
        <f>SUMIF(ResultDetail!$F$6:$F$59,$A22,POM!BE$6:BE$59)</f>
        <v>0</v>
      </c>
    </row>
    <row r="23" spans="1:38" x14ac:dyDescent="0.35">
      <c r="A23" s="47">
        <v>8</v>
      </c>
      <c r="B23" s="18" t="s">
        <v>228</v>
      </c>
      <c r="C23" s="94">
        <f>SUMIF(ResultDetail!$F$6:$F$59,$A23,POM!V$6:V$59)</f>
        <v>676.27800000000002</v>
      </c>
      <c r="D23" s="94">
        <f>SUMIF(ResultDetail!$F$6:$F$59,$A23,POM!W$6:W$59)</f>
        <v>755.44099999999992</v>
      </c>
      <c r="E23" s="94">
        <f>SUMIF(ResultDetail!$F$6:$F$59,$A23,POM!X$6:X$59)</f>
        <v>810.101</v>
      </c>
      <c r="F23" s="94">
        <f>SUMIF(ResultDetail!$F$6:$F$59,$A23,POM!Y$6:Y$59)</f>
        <v>938.65700000000004</v>
      </c>
      <c r="G23" s="94">
        <f>SUMIF(ResultDetail!$F$6:$F$59,$A23,POM!Z$6:Z$59)</f>
        <v>536.09699999999998</v>
      </c>
      <c r="H23" s="94">
        <f>SUMIF(ResultDetail!$F$6:$F$59,$A23,POM!AA$6:AA$59)</f>
        <v>606.90699999999993</v>
      </c>
      <c r="I23" s="94">
        <f>SUMIF(ResultDetail!$F$6:$F$59,$A23,POM!AB$6:AB$59)</f>
        <v>681.07799999999997</v>
      </c>
      <c r="J23" s="94">
        <f>SUMIF(ResultDetail!$F$6:$F$59,$A23,POM!AC$6:AC$59)</f>
        <v>838.39300000000003</v>
      </c>
      <c r="K23" s="94">
        <f>SUMIF(ResultDetail!$F$6:$F$59,$A23,POM!AD$6:AD$59)</f>
        <v>1406.7339999999999</v>
      </c>
      <c r="L23" s="94">
        <f>SUMIF(ResultDetail!$F$6:$F$59,$A23,POM!AE$6:AE$59)</f>
        <v>1350.585</v>
      </c>
      <c r="M23" s="94">
        <f>SUMIF(ResultDetail!$F$6:$F$59,$A23,POM!AF$6:AF$59)</f>
        <v>999.18600000000004</v>
      </c>
      <c r="N23" s="94">
        <f>SUMIF(ResultDetail!$F$6:$F$59,$A23,POM!AG$6:AG$59)</f>
        <v>839.08800000000008</v>
      </c>
      <c r="O23" s="94">
        <f>SUMIF(ResultDetail!$F$6:$F$59,$A23,POM!AH$6:AH$59)</f>
        <v>942.03</v>
      </c>
      <c r="P23" s="94">
        <f>SUMIF(ResultDetail!$F$6:$F$59,$A23,POM!AI$6:AI$59)</f>
        <v>68.542000000000002</v>
      </c>
      <c r="Q23" s="94">
        <f>SUMIF(ResultDetail!$F$6:$F$59,$A23,POM!AJ$6:AJ$59)</f>
        <v>59.741</v>
      </c>
      <c r="R23" s="94">
        <f>SUMIF(ResultDetail!$F$6:$F$59,$A23,POM!AK$6:AK$59)</f>
        <v>484.85699999999997</v>
      </c>
      <c r="S23" s="94">
        <f>SUMIF(ResultDetail!$F$6:$F$59,$A23,POM!AL$6:AL$59)</f>
        <v>902.70299999999997</v>
      </c>
      <c r="T23" s="94">
        <f>SUMIF(ResultDetail!$F$6:$F$59,$A23,POM!AM$6:AM$59)</f>
        <v>1323.5720000000001</v>
      </c>
      <c r="U23" s="94">
        <f>SUMIF(ResultDetail!$F$6:$F$59,$A23,POM!AN$6:AN$59)</f>
        <v>1205.31</v>
      </c>
      <c r="V23" s="94">
        <f>SUMIF(ResultDetail!$F$6:$F$59,$A23,POM!AO$6:AO$59)</f>
        <v>1091.028</v>
      </c>
      <c r="W23" s="94">
        <f>SUMIF(ResultDetail!$F$6:$F$59,$A23,POM!AP$6:AP$59)</f>
        <v>277.709</v>
      </c>
      <c r="X23" s="94">
        <f>SUMIF(ResultDetail!$F$6:$F$59,$A23,POM!AQ$6:AQ$59)</f>
        <v>301.11399999999998</v>
      </c>
      <c r="Y23" s="94">
        <f>SUMIF(ResultDetail!$F$6:$F$59,$A23,POM!AR$6:AR$59)</f>
        <v>318.911</v>
      </c>
      <c r="Z23" s="94">
        <f>SUMIF(ResultDetail!$F$6:$F$59,$A23,POM!AS$6:AS$59)</f>
        <v>328.83600000000001</v>
      </c>
      <c r="AA23" s="94">
        <f>SUMIF(ResultDetail!$F$6:$F$59,$A23,POM!AT$6:AT$59)</f>
        <v>297.60899999999998</v>
      </c>
      <c r="AB23" s="94">
        <f>SUMIF(ResultDetail!$F$6:$F$59,$A23,POM!AU$6:AU$59)</f>
        <v>293.78000000000003</v>
      </c>
      <c r="AC23" s="94">
        <f>SUMIF(ResultDetail!$F$6:$F$59,$A23,POM!AV$6:AV$59)</f>
        <v>296.25799999999998</v>
      </c>
      <c r="AD23" s="94">
        <f>SUMIF(ResultDetail!$F$6:$F$59,$A23,POM!AW$6:AW$59)</f>
        <v>302.512</v>
      </c>
      <c r="AE23" s="94">
        <f>SUMIF(ResultDetail!$F$6:$F$59,$A23,POM!AX$6:AX$59)</f>
        <v>0</v>
      </c>
      <c r="AF23" s="94">
        <f>SUMIF(ResultDetail!$F$6:$F$59,$A23,POM!AY$6:AY$59)</f>
        <v>0</v>
      </c>
      <c r="AG23" s="94">
        <f>SUMIF(ResultDetail!$F$6:$F$59,$A23,POM!AZ$6:AZ$59)</f>
        <v>0</v>
      </c>
      <c r="AH23" s="94">
        <f>SUMIF(ResultDetail!$F$6:$F$59,$A23,POM!BA$6:BA$59)</f>
        <v>0</v>
      </c>
      <c r="AI23" s="94">
        <f>SUMIF(ResultDetail!$F$6:$F$59,$A23,POM!BB$6:BB$59)</f>
        <v>0</v>
      </c>
      <c r="AJ23" s="94">
        <f>SUMIF(ResultDetail!$F$6:$F$59,$A23,POM!BC$6:BC$59)</f>
        <v>0</v>
      </c>
      <c r="AK23" s="94">
        <f>SUMIF(ResultDetail!$F$6:$F$59,$A23,POM!BD$6:BD$59)</f>
        <v>0</v>
      </c>
      <c r="AL23" s="94">
        <f>SUMIF(ResultDetail!$F$6:$F$59,$A23,POM!BE$6:BE$59)</f>
        <v>0</v>
      </c>
    </row>
    <row r="24" spans="1:38" x14ac:dyDescent="0.35">
      <c r="A24" s="47">
        <v>9</v>
      </c>
      <c r="B24" s="18" t="s">
        <v>229</v>
      </c>
      <c r="C24" s="94">
        <f>SUMIF(ResultDetail!$F$6:$F$59,$A24,POM!V$6:V$59)</f>
        <v>421.92700000000002</v>
      </c>
      <c r="D24" s="94">
        <f>SUMIF(ResultDetail!$F$6:$F$59,$A24,POM!W$6:W$59)</f>
        <v>487.31100000000004</v>
      </c>
      <c r="E24" s="94">
        <f>SUMIF(ResultDetail!$F$6:$F$59,$A24,POM!X$6:X$59)</f>
        <v>711.45699999999999</v>
      </c>
      <c r="F24" s="94">
        <f>SUMIF(ResultDetail!$F$6:$F$59,$A24,POM!Y$6:Y$59)</f>
        <v>957.36799999999994</v>
      </c>
      <c r="G24" s="94">
        <f>SUMIF(ResultDetail!$F$6:$F$59,$A24,POM!Z$6:Z$59)</f>
        <v>1359.8779999999999</v>
      </c>
      <c r="H24" s="94">
        <f>SUMIF(ResultDetail!$F$6:$F$59,$A24,POM!AA$6:AA$59)</f>
        <v>1813.86</v>
      </c>
      <c r="I24" s="94">
        <f>SUMIF(ResultDetail!$F$6:$F$59,$A24,POM!AB$6:AB$59)</f>
        <v>1767.3690000000001</v>
      </c>
      <c r="J24" s="94">
        <f>SUMIF(ResultDetail!$F$6:$F$59,$A24,POM!AC$6:AC$59)</f>
        <v>1730.94</v>
      </c>
      <c r="K24" s="94">
        <f>SUMIF(ResultDetail!$F$6:$F$59,$A24,POM!AD$6:AD$59)</f>
        <v>1405.7370000000001</v>
      </c>
      <c r="L24" s="94">
        <f>SUMIF(ResultDetail!$F$6:$F$59,$A24,POM!AE$6:AE$59)</f>
        <v>1069.068</v>
      </c>
      <c r="M24" s="94">
        <f>SUMIF(ResultDetail!$F$6:$F$59,$A24,POM!AF$6:AF$59)</f>
        <v>1265.4770000000001</v>
      </c>
      <c r="N24" s="94">
        <f>SUMIF(ResultDetail!$F$6:$F$59,$A24,POM!AG$6:AG$59)</f>
        <v>1932.5039999999999</v>
      </c>
      <c r="O24" s="94">
        <f>SUMIF(ResultDetail!$F$6:$F$59,$A24,POM!AH$6:AH$59)</f>
        <v>2311.1320000000001</v>
      </c>
      <c r="P24" s="94">
        <f>SUMIF(ResultDetail!$F$6:$F$59,$A24,POM!AI$6:AI$59)</f>
        <v>2289.9259999999999</v>
      </c>
      <c r="Q24" s="94">
        <f>SUMIF(ResultDetail!$F$6:$F$59,$A24,POM!AJ$6:AJ$59)</f>
        <v>2473.5879999999997</v>
      </c>
      <c r="R24" s="94">
        <f>SUMIF(ResultDetail!$F$6:$F$59,$A24,POM!AK$6:AK$59)</f>
        <v>1927.2179999999998</v>
      </c>
      <c r="S24" s="94">
        <f>SUMIF(ResultDetail!$F$6:$F$59,$A24,POM!AL$6:AL$59)</f>
        <v>1856.559</v>
      </c>
      <c r="T24" s="94">
        <f>SUMIF(ResultDetail!$F$6:$F$59,$A24,POM!AM$6:AM$59)</f>
        <v>1915.615</v>
      </c>
      <c r="U24" s="94">
        <f>SUMIF(ResultDetail!$F$6:$F$59,$A24,POM!AN$6:AN$59)</f>
        <v>1975.98</v>
      </c>
      <c r="V24" s="94">
        <f>SUMIF(ResultDetail!$F$6:$F$59,$A24,POM!AO$6:AO$59)</f>
        <v>2173.183</v>
      </c>
      <c r="W24" s="94">
        <f>SUMIF(ResultDetail!$F$6:$F$59,$A24,POM!AP$6:AP$59)</f>
        <v>2718.105</v>
      </c>
      <c r="X24" s="94">
        <f>SUMIF(ResultDetail!$F$6:$F$59,$A24,POM!AQ$6:AQ$59)</f>
        <v>2475.3670000000002</v>
      </c>
      <c r="Y24" s="94">
        <f>SUMIF(ResultDetail!$F$6:$F$59,$A24,POM!AR$6:AR$59)</f>
        <v>2174.5610000000001</v>
      </c>
      <c r="Z24" s="94">
        <f>SUMIF(ResultDetail!$F$6:$F$59,$A24,POM!AS$6:AS$59)</f>
        <v>2423.913</v>
      </c>
      <c r="AA24" s="94">
        <f>SUMIF(ResultDetail!$F$6:$F$59,$A24,POM!AT$6:AT$59)</f>
        <v>2571.0100000000002</v>
      </c>
      <c r="AB24" s="94">
        <f>SUMIF(ResultDetail!$F$6:$F$59,$A24,POM!AU$6:AU$59)</f>
        <v>2249.7689999999998</v>
      </c>
      <c r="AC24" s="94">
        <f>SUMIF(ResultDetail!$F$6:$F$59,$A24,POM!AV$6:AV$59)</f>
        <v>2751.2840000000001</v>
      </c>
      <c r="AD24" s="94">
        <f>SUMIF(ResultDetail!$F$6:$F$59,$A24,POM!AW$6:AW$59)</f>
        <v>2832.5540000000001</v>
      </c>
      <c r="AE24" s="94">
        <f>SUMIF(ResultDetail!$F$6:$F$59,$A24,POM!AX$6:AX$59)</f>
        <v>0</v>
      </c>
      <c r="AF24" s="94">
        <f>SUMIF(ResultDetail!$F$6:$F$59,$A24,POM!AY$6:AY$59)</f>
        <v>0</v>
      </c>
      <c r="AG24" s="94">
        <f>SUMIF(ResultDetail!$F$6:$F$59,$A24,POM!AZ$6:AZ$59)</f>
        <v>0</v>
      </c>
      <c r="AH24" s="94">
        <f>SUMIF(ResultDetail!$F$6:$F$59,$A24,POM!BA$6:BA$59)</f>
        <v>0</v>
      </c>
      <c r="AI24" s="94">
        <f>SUMIF(ResultDetail!$F$6:$F$59,$A24,POM!BB$6:BB$59)</f>
        <v>0</v>
      </c>
      <c r="AJ24" s="94">
        <f>SUMIF(ResultDetail!$F$6:$F$59,$A24,POM!BC$6:BC$59)</f>
        <v>0</v>
      </c>
      <c r="AK24" s="94">
        <f>SUMIF(ResultDetail!$F$6:$F$59,$A24,POM!BD$6:BD$59)</f>
        <v>0</v>
      </c>
      <c r="AL24" s="94">
        <f>SUMIF(ResultDetail!$F$6:$F$59,$A24,POM!BE$6:BE$59)</f>
        <v>0</v>
      </c>
    </row>
    <row r="25" spans="1:38" x14ac:dyDescent="0.35">
      <c r="A25" s="47">
        <v>10</v>
      </c>
      <c r="B25" s="18" t="s">
        <v>230</v>
      </c>
      <c r="C25" s="94">
        <f>SUMIF(ResultDetail!$F$6:$F$59,$A25,POM!V$6:V$59)</f>
        <v>234.815</v>
      </c>
      <c r="D25" s="94">
        <f>SUMIF(ResultDetail!$F$6:$F$59,$A25,POM!W$6:W$59)</f>
        <v>221.73099999999999</v>
      </c>
      <c r="E25" s="94">
        <f>SUMIF(ResultDetail!$F$6:$F$59,$A25,POM!X$6:X$59)</f>
        <v>214.21</v>
      </c>
      <c r="F25" s="94">
        <f>SUMIF(ResultDetail!$F$6:$F$59,$A25,POM!Y$6:Y$59)</f>
        <v>206.70400000000001</v>
      </c>
      <c r="G25" s="94">
        <f>SUMIF(ResultDetail!$F$6:$F$59,$A25,POM!Z$6:Z$59)</f>
        <v>188.768</v>
      </c>
      <c r="H25" s="94">
        <f>SUMIF(ResultDetail!$F$6:$F$59,$A25,POM!AA$6:AA$59)</f>
        <v>208.977</v>
      </c>
      <c r="I25" s="94">
        <f>SUMIF(ResultDetail!$F$6:$F$59,$A25,POM!AB$6:AB$59)</f>
        <v>188.072</v>
      </c>
      <c r="J25" s="94">
        <f>SUMIF(ResultDetail!$F$6:$F$59,$A25,POM!AC$6:AC$59)</f>
        <v>166.977</v>
      </c>
      <c r="K25" s="94">
        <f>SUMIF(ResultDetail!$F$6:$F$59,$A25,POM!AD$6:AD$59)</f>
        <v>175.16199999999998</v>
      </c>
      <c r="L25" s="94">
        <f>SUMIF(ResultDetail!$F$6:$F$59,$A25,POM!AE$6:AE$59)</f>
        <v>158.858</v>
      </c>
      <c r="M25" s="94">
        <f>SUMIF(ResultDetail!$F$6:$F$59,$A25,POM!AF$6:AF$59)</f>
        <v>121.729</v>
      </c>
      <c r="N25" s="94">
        <f>SUMIF(ResultDetail!$F$6:$F$59,$A25,POM!AG$6:AG$59)</f>
        <v>124.31799999999998</v>
      </c>
      <c r="O25" s="94">
        <f>SUMIF(ResultDetail!$F$6:$F$59,$A25,POM!AH$6:AH$59)</f>
        <v>127.941</v>
      </c>
      <c r="P25" s="94">
        <f>SUMIF(ResultDetail!$F$6:$F$59,$A25,POM!AI$6:AI$59)</f>
        <v>129.53199999999998</v>
      </c>
      <c r="Q25" s="94">
        <f>SUMIF(ResultDetail!$F$6:$F$59,$A25,POM!AJ$6:AJ$59)</f>
        <v>101.22</v>
      </c>
      <c r="R25" s="94">
        <f>SUMIF(ResultDetail!$F$6:$F$59,$A25,POM!AK$6:AK$59)</f>
        <v>114.84700000000001</v>
      </c>
      <c r="S25" s="94">
        <f>SUMIF(ResultDetail!$F$6:$F$59,$A25,POM!AL$6:AL$59)</f>
        <v>151.01400000000001</v>
      </c>
      <c r="T25" s="94">
        <f>SUMIF(ResultDetail!$F$6:$F$59,$A25,POM!AM$6:AM$59)</f>
        <v>187.39</v>
      </c>
      <c r="U25" s="94">
        <f>SUMIF(ResultDetail!$F$6:$F$59,$A25,POM!AN$6:AN$59)</f>
        <v>224.15600000000001</v>
      </c>
      <c r="V25" s="94">
        <f>SUMIF(ResultDetail!$F$6:$F$59,$A25,POM!AO$6:AO$59)</f>
        <v>277.21600000000001</v>
      </c>
      <c r="W25" s="94">
        <f>SUMIF(ResultDetail!$F$6:$F$59,$A25,POM!AP$6:AP$59)</f>
        <v>298.06200000000001</v>
      </c>
      <c r="X25" s="94">
        <f>SUMIF(ResultDetail!$F$6:$F$59,$A25,POM!AQ$6:AQ$59)</f>
        <v>319.82500000000005</v>
      </c>
      <c r="Y25" s="94">
        <f>SUMIF(ResultDetail!$F$6:$F$59,$A25,POM!AR$6:AR$59)</f>
        <v>350.89099999999996</v>
      </c>
      <c r="Z25" s="94">
        <f>SUMIF(ResultDetail!$F$6:$F$59,$A25,POM!AS$6:AS$59)</f>
        <v>381.661</v>
      </c>
      <c r="AA25" s="94">
        <f>SUMIF(ResultDetail!$F$6:$F$59,$A25,POM!AT$6:AT$59)</f>
        <v>354.65300000000002</v>
      </c>
      <c r="AB25" s="94">
        <f>SUMIF(ResultDetail!$F$6:$F$59,$A25,POM!AU$6:AU$59)</f>
        <v>362.44800000000004</v>
      </c>
      <c r="AC25" s="94">
        <f>SUMIF(ResultDetail!$F$6:$F$59,$A25,POM!AV$6:AV$59)</f>
        <v>368.976</v>
      </c>
      <c r="AD25" s="94">
        <f>SUMIF(ResultDetail!$F$6:$F$59,$A25,POM!AW$6:AW$59)</f>
        <v>379.005</v>
      </c>
      <c r="AE25" s="94">
        <f>SUMIF(ResultDetail!$F$6:$F$59,$A25,POM!AX$6:AX$59)</f>
        <v>0</v>
      </c>
      <c r="AF25" s="94">
        <f>SUMIF(ResultDetail!$F$6:$F$59,$A25,POM!AY$6:AY$59)</f>
        <v>0</v>
      </c>
      <c r="AG25" s="94">
        <f>SUMIF(ResultDetail!$F$6:$F$59,$A25,POM!AZ$6:AZ$59)</f>
        <v>0</v>
      </c>
      <c r="AH25" s="94">
        <f>SUMIF(ResultDetail!$F$6:$F$59,$A25,POM!BA$6:BA$59)</f>
        <v>0</v>
      </c>
      <c r="AI25" s="94">
        <f>SUMIF(ResultDetail!$F$6:$F$59,$A25,POM!BB$6:BB$59)</f>
        <v>0</v>
      </c>
      <c r="AJ25" s="94">
        <f>SUMIF(ResultDetail!$F$6:$F$59,$A25,POM!BC$6:BC$59)</f>
        <v>0</v>
      </c>
      <c r="AK25" s="94">
        <f>SUMIF(ResultDetail!$F$6:$F$59,$A25,POM!BD$6:BD$59)</f>
        <v>0</v>
      </c>
      <c r="AL25" s="94">
        <f>SUMIF(ResultDetail!$F$6:$F$59,$A25,POM!BE$6:BE$59)</f>
        <v>0</v>
      </c>
    </row>
    <row r="27" spans="1:38" x14ac:dyDescent="0.35">
      <c r="A27" s="96" t="s">
        <v>83</v>
      </c>
      <c r="B27" s="97"/>
      <c r="C27" s="95">
        <f>SUM(C6:C12)</f>
        <v>45168.22</v>
      </c>
      <c r="D27" s="95">
        <f t="shared" ref="D27:M27" si="0">SUM(D6:D12)</f>
        <v>43428.729000000007</v>
      </c>
      <c r="E27" s="95">
        <f t="shared" si="0"/>
        <v>49594.775000000001</v>
      </c>
      <c r="F27" s="95">
        <f t="shared" si="0"/>
        <v>54231.313999999991</v>
      </c>
      <c r="G27" s="95">
        <f t="shared" si="0"/>
        <v>71264.781000000003</v>
      </c>
      <c r="H27" s="95">
        <f>SUM(H6:H12)</f>
        <v>78316.872000000003</v>
      </c>
      <c r="I27" s="95">
        <f t="shared" si="0"/>
        <v>82968.084000000003</v>
      </c>
      <c r="J27" s="95">
        <f t="shared" si="0"/>
        <v>84962.315000000002</v>
      </c>
      <c r="K27" s="95">
        <f t="shared" si="0"/>
        <v>89697.005000000005</v>
      </c>
      <c r="L27" s="95">
        <f t="shared" si="0"/>
        <v>95455.957000000009</v>
      </c>
      <c r="M27" s="95">
        <f t="shared" si="0"/>
        <v>109589.36599999999</v>
      </c>
      <c r="N27" s="95">
        <f>SUM(N6:N12)</f>
        <v>116479.03200000001</v>
      </c>
      <c r="O27" s="95">
        <f t="shared" ref="O27:R27" si="1">SUM(O6:O12)</f>
        <v>112191.06099999997</v>
      </c>
      <c r="P27" s="95">
        <f t="shared" si="1"/>
        <v>104406.60100000002</v>
      </c>
      <c r="Q27" s="95">
        <f t="shared" si="1"/>
        <v>97473.200999999986</v>
      </c>
      <c r="R27" s="95">
        <f t="shared" si="1"/>
        <v>99802.716</v>
      </c>
      <c r="S27" s="95">
        <f t="shared" ref="S27:AL27" si="2">SUM(S6:S12)</f>
        <v>105812.20599999999</v>
      </c>
      <c r="T27" s="95">
        <f t="shared" si="2"/>
        <v>105335.495</v>
      </c>
      <c r="U27" s="95">
        <f t="shared" si="2"/>
        <v>106188.99399999999</v>
      </c>
      <c r="V27" s="95">
        <f t="shared" si="2"/>
        <v>107819.645</v>
      </c>
      <c r="W27" s="95">
        <f t="shared" si="2"/>
        <v>109241.41</v>
      </c>
      <c r="X27" s="95">
        <f t="shared" si="2"/>
        <v>111591.24299999999</v>
      </c>
      <c r="Y27" s="95">
        <f t="shared" si="2"/>
        <v>120950.21399999999</v>
      </c>
      <c r="Z27" s="95">
        <f t="shared" si="2"/>
        <v>126246.488</v>
      </c>
      <c r="AA27" s="95">
        <f t="shared" si="2"/>
        <v>129911.71199999998</v>
      </c>
      <c r="AB27" s="95">
        <f t="shared" si="2"/>
        <v>124379.59100000003</v>
      </c>
      <c r="AC27" s="95">
        <f t="shared" si="2"/>
        <v>124088.26300000001</v>
      </c>
      <c r="AD27" s="95">
        <f t="shared" si="2"/>
        <v>125685.542</v>
      </c>
      <c r="AE27" s="95">
        <f t="shared" si="2"/>
        <v>0</v>
      </c>
      <c r="AF27" s="95">
        <f t="shared" si="2"/>
        <v>0</v>
      </c>
      <c r="AG27" s="95">
        <f t="shared" si="2"/>
        <v>0</v>
      </c>
      <c r="AH27" s="95">
        <f t="shared" si="2"/>
        <v>0</v>
      </c>
      <c r="AI27" s="95">
        <f t="shared" si="2"/>
        <v>0</v>
      </c>
      <c r="AJ27" s="95">
        <f t="shared" si="2"/>
        <v>0</v>
      </c>
      <c r="AK27" s="95">
        <f t="shared" si="2"/>
        <v>0</v>
      </c>
      <c r="AL27" s="95">
        <f t="shared" si="2"/>
        <v>0</v>
      </c>
    </row>
  </sheetData>
  <conditionalFormatting sqref="A6">
    <cfRule type="expression" dxfId="31" priority="10">
      <formula>#REF!&gt;1</formula>
    </cfRule>
  </conditionalFormatting>
  <conditionalFormatting sqref="N13:AL13 N26:AL27 C27:M27 C6:AL12">
    <cfRule type="cellIs" dxfId="30" priority="8" operator="equal">
      <formula>0</formula>
    </cfRule>
  </conditionalFormatting>
  <conditionalFormatting sqref="A15">
    <cfRule type="expression" dxfId="29" priority="5">
      <formula>#REF!&gt;1</formula>
    </cfRule>
  </conditionalFormatting>
  <conditionalFormatting sqref="E14:AC14 C15:AL25">
    <cfRule type="cellIs" dxfId="28" priority="4" operator="equal">
      <formula>0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/>
  <dimension ref="A1:AL27"/>
  <sheetViews>
    <sheetView topLeftCell="C1" workbookViewId="0"/>
  </sheetViews>
  <sheetFormatPr defaultColWidth="8.81640625" defaultRowHeight="14.5" x14ac:dyDescent="0.35"/>
  <cols>
    <col min="1" max="1" width="10.1796875" style="18" customWidth="1"/>
    <col min="2" max="2" width="54.81640625" style="18" customWidth="1"/>
    <col min="3" max="3" width="9.81640625" style="18" customWidth="1"/>
    <col min="4" max="8" width="9.453125" style="18" customWidth="1"/>
    <col min="9" max="13" width="8.81640625" style="18" customWidth="1"/>
    <col min="14" max="16384" width="8.81640625" style="18"/>
  </cols>
  <sheetData>
    <row r="1" spans="1:38" ht="26.5" thickBot="1" x14ac:dyDescent="0.65">
      <c r="A1" s="78" t="s">
        <v>260</v>
      </c>
      <c r="B1" s="79"/>
    </row>
    <row r="2" spans="1:38" x14ac:dyDescent="0.35">
      <c r="A2" s="21" t="s">
        <v>238</v>
      </c>
      <c r="B2" s="21"/>
      <c r="C2" s="21"/>
      <c r="D2" s="21"/>
      <c r="E2" s="21"/>
      <c r="F2" s="21"/>
      <c r="G2" s="21"/>
      <c r="H2" s="21"/>
    </row>
    <row r="3" spans="1:38" x14ac:dyDescent="0.35">
      <c r="C3" s="80" t="s">
        <v>84</v>
      </c>
      <c r="D3" s="80"/>
      <c r="E3" s="80"/>
      <c r="F3" s="80"/>
      <c r="G3" s="80"/>
      <c r="H3" s="80"/>
      <c r="I3" s="80"/>
      <c r="J3" s="80"/>
      <c r="K3" s="80"/>
      <c r="L3" s="80"/>
      <c r="M3" s="80"/>
      <c r="N3" s="76"/>
      <c r="O3" s="80"/>
      <c r="P3" s="80"/>
      <c r="Q3" s="80"/>
      <c r="R3" s="80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</row>
    <row r="5" spans="1:38" ht="15.5" x14ac:dyDescent="0.35">
      <c r="A5" s="83" t="s">
        <v>69</v>
      </c>
      <c r="B5" s="83" t="s">
        <v>237</v>
      </c>
      <c r="C5" s="82">
        <v>1995</v>
      </c>
      <c r="D5" s="82">
        <v>1996</v>
      </c>
      <c r="E5" s="82">
        <v>1997</v>
      </c>
      <c r="F5" s="82">
        <v>1998</v>
      </c>
      <c r="G5" s="82">
        <v>1999</v>
      </c>
      <c r="H5" s="82">
        <v>2000</v>
      </c>
      <c r="I5" s="82">
        <v>2001</v>
      </c>
      <c r="J5" s="82">
        <v>2002</v>
      </c>
      <c r="K5" s="82">
        <v>2003</v>
      </c>
      <c r="L5" s="82">
        <v>2004</v>
      </c>
      <c r="M5" s="82">
        <v>2005</v>
      </c>
      <c r="N5" s="82">
        <v>2006</v>
      </c>
      <c r="O5" s="82">
        <v>2007</v>
      </c>
      <c r="P5" s="82">
        <v>2008</v>
      </c>
      <c r="Q5" s="82">
        <v>2009</v>
      </c>
      <c r="R5" s="82">
        <v>2010</v>
      </c>
      <c r="S5" s="82">
        <v>2011</v>
      </c>
      <c r="T5" s="82">
        <v>2012</v>
      </c>
      <c r="U5" s="82">
        <v>2013</v>
      </c>
      <c r="V5" s="82">
        <v>2014</v>
      </c>
      <c r="W5" s="82">
        <v>2015</v>
      </c>
      <c r="X5" s="82">
        <v>2016</v>
      </c>
      <c r="Y5" s="82">
        <v>2017</v>
      </c>
      <c r="Z5" s="82">
        <v>2018</v>
      </c>
      <c r="AA5" s="82">
        <v>2019</v>
      </c>
      <c r="AB5" s="82">
        <v>2020</v>
      </c>
      <c r="AC5" s="82">
        <v>2021</v>
      </c>
      <c r="AD5" s="82">
        <v>2022</v>
      </c>
      <c r="AE5" s="82">
        <v>2023</v>
      </c>
      <c r="AF5" s="82">
        <v>2024</v>
      </c>
      <c r="AG5" s="82">
        <v>2025</v>
      </c>
      <c r="AH5" s="82">
        <v>2026</v>
      </c>
      <c r="AI5" s="82">
        <v>2027</v>
      </c>
      <c r="AJ5" s="82">
        <v>2028</v>
      </c>
      <c r="AK5" s="82">
        <v>2029</v>
      </c>
      <c r="AL5" s="82">
        <v>2030</v>
      </c>
    </row>
    <row r="6" spans="1:38" x14ac:dyDescent="0.35">
      <c r="A6" s="47">
        <v>1</v>
      </c>
      <c r="B6" s="18" t="s">
        <v>75</v>
      </c>
      <c r="C6" s="94">
        <f>SUMIF(ResultDetail!$D$6:$D$59,$A6,ResultDetail!V$6:V$59)</f>
        <v>2256.4753934302112</v>
      </c>
      <c r="D6" s="94">
        <f>SUMIF(ResultDetail!$D$6:$D$59,$A6,ResultDetail!W$6:W$59)</f>
        <v>2442.8009544657152</v>
      </c>
      <c r="E6" s="94">
        <f>SUMIF(ResultDetail!$D$6:$D$59,$A6,ResultDetail!X$6:X$59)</f>
        <v>2668.3051556474766</v>
      </c>
      <c r="F6" s="94">
        <f>SUMIF(ResultDetail!$D$6:$D$59,$A6,ResultDetail!Y$6:Y$59)</f>
        <v>2948.449810828211</v>
      </c>
      <c r="G6" s="94">
        <f>SUMIF(ResultDetail!$D$6:$D$59,$A6,ResultDetail!Z$6:Z$59)</f>
        <v>3243.921630589422</v>
      </c>
      <c r="H6" s="94">
        <f>SUMIF(ResultDetail!$D$6:$D$59,$A6,ResultDetail!AA$6:AA$59)</f>
        <v>3529.6029322494151</v>
      </c>
      <c r="I6" s="94">
        <f>SUMIF(ResultDetail!$D$6:$D$59,$A6,ResultDetail!AB$6:AB$59)</f>
        <v>3829.175633656826</v>
      </c>
      <c r="J6" s="94">
        <f>SUMIF(ResultDetail!$D$6:$D$59,$A6,ResultDetail!AC$6:AC$59)</f>
        <v>4155.0214043609303</v>
      </c>
      <c r="K6" s="94">
        <f>SUMIF(ResultDetail!$D$6:$D$59,$A6,ResultDetail!AD$6:AD$59)</f>
        <v>4503.8869633737004</v>
      </c>
      <c r="L6" s="94">
        <f>SUMIF(ResultDetail!$D$6:$D$59,$A6,ResultDetail!AE$6:AE$59)</f>
        <v>4915.7734040072282</v>
      </c>
      <c r="M6" s="94">
        <f>SUMIF(ResultDetail!$D$6:$D$59,$A6,ResultDetail!AF$6:AF$59)</f>
        <v>5373.4716845054008</v>
      </c>
      <c r="N6" s="94">
        <f>SUMIF(ResultDetail!$D$6:$D$59,$A6,ResultDetail!AG$6:AG$59)</f>
        <v>6011.4989418620817</v>
      </c>
      <c r="O6" s="94">
        <f>SUMIF(ResultDetail!$D$6:$D$59,$A6,ResultDetail!AH$6:AH$59)</f>
        <v>6722.3605576407826</v>
      </c>
      <c r="P6" s="94">
        <f>SUMIF(ResultDetail!$D$6:$D$59,$A6,ResultDetail!AI$6:AI$59)</f>
        <v>7375.8477296917872</v>
      </c>
      <c r="Q6" s="94">
        <f>SUMIF(ResultDetail!$D$6:$D$59,$A6,ResultDetail!AJ$6:AJ$59)</f>
        <v>8053.0275542423506</v>
      </c>
      <c r="R6" s="94">
        <f>SUMIF(ResultDetail!$D$6:$D$59,$A6,ResultDetail!AK$6:AK$59)</f>
        <v>8701.2844530368111</v>
      </c>
      <c r="S6" s="94">
        <f>SUMIF(ResultDetail!$D$6:$D$59,$A6,ResultDetail!AL$6:AL$59)</f>
        <v>9413.2431974245865</v>
      </c>
      <c r="T6" s="94">
        <f>SUMIF(ResultDetail!$D$6:$D$59,$A6,ResultDetail!AM$6:AM$59)</f>
        <v>10059.885311810442</v>
      </c>
      <c r="U6" s="94">
        <f>SUMIF(ResultDetail!$D$6:$D$59,$A6,ResultDetail!AN$6:AN$59)</f>
        <v>10544.963205791353</v>
      </c>
      <c r="V6" s="94">
        <f>SUMIF(ResultDetail!$D$6:$D$59,$A6,ResultDetail!AO$6:AO$59)</f>
        <v>10882.616075739938</v>
      </c>
      <c r="W6" s="94">
        <f>SUMIF(ResultDetail!$D$6:$D$59,$A6,ResultDetail!AP$6:AP$59)</f>
        <v>11201.532369161539</v>
      </c>
      <c r="X6" s="94">
        <f>SUMIF(ResultDetail!$D$6:$D$59,$A6,ResultDetail!AQ$6:AQ$59)</f>
        <v>11514.84566669529</v>
      </c>
      <c r="Y6" s="94">
        <f>SUMIF(ResultDetail!$D$6:$D$59,$A6,ResultDetail!AR$6:AR$59)</f>
        <v>11907.585184600061</v>
      </c>
      <c r="Z6" s="94">
        <f>SUMIF(ResultDetail!$D$6:$D$59,$A6,ResultDetail!AS$6:AS$59)</f>
        <v>12356.162517752608</v>
      </c>
      <c r="AA6" s="94">
        <f>SUMIF(ResultDetail!$D$6:$D$59,$A6,ResultDetail!AT$6:AT$59)</f>
        <v>12721.279078369422</v>
      </c>
      <c r="AB6" s="94">
        <f>SUMIF(ResultDetail!$D$6:$D$59,$A6,ResultDetail!AU$6:AU$59)</f>
        <v>13004.288562626141</v>
      </c>
      <c r="AC6" s="94">
        <f>SUMIF(ResultDetail!$D$6:$D$59,$A6,ResultDetail!AV$6:AV$59)</f>
        <v>13278.552399666361</v>
      </c>
      <c r="AD6" s="94">
        <f>SUMIF(ResultDetail!$D$6:$D$59,$A6,ResultDetail!AW$6:AW$59)</f>
        <v>13546.618810065542</v>
      </c>
      <c r="AE6" s="94">
        <f>SUMIF(ResultDetail!$D$6:$D$59,$A6,ResultDetail!AX$6:AX$59)</f>
        <v>0</v>
      </c>
      <c r="AF6" s="94">
        <f>SUMIF(ResultDetail!$D$6:$D$59,$A6,ResultDetail!AY$6:AY$59)</f>
        <v>0</v>
      </c>
      <c r="AG6" s="94">
        <f>SUMIF(ResultDetail!$D$6:$D$59,$A6,ResultDetail!AZ$6:AZ$59)</f>
        <v>0</v>
      </c>
      <c r="AH6" s="94">
        <f>SUMIF(ResultDetail!$D$6:$D$59,$A6,ResultDetail!BA$6:BA$59)</f>
        <v>0</v>
      </c>
      <c r="AI6" s="94">
        <f>SUMIF(ResultDetail!$D$6:$D$59,$A6,ResultDetail!BB$6:BB$59)</f>
        <v>0</v>
      </c>
      <c r="AJ6" s="94">
        <f>SUMIF(ResultDetail!$D$6:$D$59,$A6,ResultDetail!BC$6:BC$59)</f>
        <v>0</v>
      </c>
      <c r="AK6" s="94">
        <f>SUMIF(ResultDetail!$D$6:$D$59,$A6,ResultDetail!BD$6:BD$59)</f>
        <v>0</v>
      </c>
      <c r="AL6" s="94">
        <f>SUMIF(ResultDetail!$D$6:$D$59,$A6,ResultDetail!BE$6:BE$59)</f>
        <v>0</v>
      </c>
    </row>
    <row r="7" spans="1:38" x14ac:dyDescent="0.35">
      <c r="A7" s="47">
        <v>2</v>
      </c>
      <c r="B7" s="18" t="s">
        <v>80</v>
      </c>
      <c r="C7" s="94">
        <f>SUMIF(ResultDetail!$D$6:$D$59,$A7,ResultDetail!V$6:V$59)</f>
        <v>1808.4883189891025</v>
      </c>
      <c r="D7" s="94">
        <f>SUMIF(ResultDetail!$D$6:$D$59,$A7,ResultDetail!W$6:W$59)</f>
        <v>1895.3528910035257</v>
      </c>
      <c r="E7" s="94">
        <f>SUMIF(ResultDetail!$D$6:$D$59,$A7,ResultDetail!X$6:X$59)</f>
        <v>2152.8403210480456</v>
      </c>
      <c r="F7" s="94">
        <f>SUMIF(ResultDetail!$D$6:$D$59,$A7,ResultDetail!Y$6:Y$59)</f>
        <v>2222.0727504516649</v>
      </c>
      <c r="G7" s="94">
        <f>SUMIF(ResultDetail!$D$6:$D$59,$A7,ResultDetail!Z$6:Z$59)</f>
        <v>2499.3638558868706</v>
      </c>
      <c r="H7" s="94">
        <f>SUMIF(ResultDetail!$D$6:$D$59,$A7,ResultDetail!AA$6:AA$59)</f>
        <v>2787.6476378631983</v>
      </c>
      <c r="I7" s="94">
        <f>SUMIF(ResultDetail!$D$6:$D$59,$A7,ResultDetail!AB$6:AB$59)</f>
        <v>3062.145532612371</v>
      </c>
      <c r="J7" s="94">
        <f>SUMIF(ResultDetail!$D$6:$D$59,$A7,ResultDetail!AC$6:AC$59)</f>
        <v>3355.094134165568</v>
      </c>
      <c r="K7" s="94">
        <f>SUMIF(ResultDetail!$D$6:$D$59,$A7,ResultDetail!AD$6:AD$59)</f>
        <v>3671.7732122785746</v>
      </c>
      <c r="L7" s="94">
        <f>SUMIF(ResultDetail!$D$6:$D$59,$A7,ResultDetail!AE$6:AE$59)</f>
        <v>3711.2429082223148</v>
      </c>
      <c r="M7" s="94">
        <f>SUMIF(ResultDetail!$D$6:$D$59,$A7,ResultDetail!AF$6:AF$59)</f>
        <v>4276.1251080294505</v>
      </c>
      <c r="N7" s="94">
        <f>SUMIF(ResultDetail!$D$6:$D$59,$A7,ResultDetail!AG$6:AG$59)</f>
        <v>4756.3345909632781</v>
      </c>
      <c r="O7" s="94">
        <f>SUMIF(ResultDetail!$D$6:$D$59,$A7,ResultDetail!AH$6:AH$59)</f>
        <v>5036.4985301320849</v>
      </c>
      <c r="P7" s="94">
        <f>SUMIF(ResultDetail!$D$6:$D$59,$A7,ResultDetail!AI$6:AI$59)</f>
        <v>5125.4589166200949</v>
      </c>
      <c r="Q7" s="94">
        <f>SUMIF(ResultDetail!$D$6:$D$59,$A7,ResultDetail!AJ$6:AJ$59)</f>
        <v>5162.5005954333255</v>
      </c>
      <c r="R7" s="94">
        <f>SUMIF(ResultDetail!$D$6:$D$59,$A7,ResultDetail!AK$6:AK$59)</f>
        <v>5174.9210794092105</v>
      </c>
      <c r="S7" s="94">
        <f>SUMIF(ResultDetail!$D$6:$D$59,$A7,ResultDetail!AL$6:AL$59)</f>
        <v>5233.8523827683557</v>
      </c>
      <c r="T7" s="94">
        <f>SUMIF(ResultDetail!$D$6:$D$59,$A7,ResultDetail!AM$6:AM$59)</f>
        <v>5237.7205904217717</v>
      </c>
      <c r="U7" s="94">
        <f>SUMIF(ResultDetail!$D$6:$D$59,$A7,ResultDetail!AN$6:AN$59)</f>
        <v>5195.9988360828547</v>
      </c>
      <c r="V7" s="94">
        <f>SUMIF(ResultDetail!$D$6:$D$59,$A7,ResultDetail!AO$6:AO$59)</f>
        <v>5118.1297690341362</v>
      </c>
      <c r="W7" s="94">
        <f>SUMIF(ResultDetail!$D$6:$D$59,$A7,ResultDetail!AP$6:AP$59)</f>
        <v>5014.6795944399682</v>
      </c>
      <c r="X7" s="94">
        <f>SUMIF(ResultDetail!$D$6:$D$59,$A7,ResultDetail!AQ$6:AQ$59)</f>
        <v>4898.5020228824606</v>
      </c>
      <c r="Y7" s="94">
        <f>SUMIF(ResultDetail!$D$6:$D$59,$A7,ResultDetail!AR$6:AR$59)</f>
        <v>4827.8429186986514</v>
      </c>
      <c r="Z7" s="94">
        <f>SUMIF(ResultDetail!$D$6:$D$59,$A7,ResultDetail!AS$6:AS$59)</f>
        <v>4822.2435301208907</v>
      </c>
      <c r="AA7" s="94">
        <f>SUMIF(ResultDetail!$D$6:$D$59,$A7,ResultDetail!AT$6:AT$59)</f>
        <v>4846.8520452156281</v>
      </c>
      <c r="AB7" s="94">
        <f>SUMIF(ResultDetail!$D$6:$D$59,$A7,ResultDetail!AU$6:AU$59)</f>
        <v>4961.2548316672901</v>
      </c>
      <c r="AC7" s="94">
        <f>SUMIF(ResultDetail!$D$6:$D$59,$A7,ResultDetail!AV$6:AV$59)</f>
        <v>5083.6367965768004</v>
      </c>
      <c r="AD7" s="94">
        <f>SUMIF(ResultDetail!$D$6:$D$59,$A7,ResultDetail!AW$6:AW$59)</f>
        <v>5224.8977276854348</v>
      </c>
      <c r="AE7" s="94">
        <f>SUMIF(ResultDetail!$D$6:$D$59,$A7,ResultDetail!AX$6:AX$59)</f>
        <v>0</v>
      </c>
      <c r="AF7" s="94">
        <f>SUMIF(ResultDetail!$D$6:$D$59,$A7,ResultDetail!AY$6:AY$59)</f>
        <v>0</v>
      </c>
      <c r="AG7" s="94">
        <f>SUMIF(ResultDetail!$D$6:$D$59,$A7,ResultDetail!AZ$6:AZ$59)</f>
        <v>0</v>
      </c>
      <c r="AH7" s="94">
        <f>SUMIF(ResultDetail!$D$6:$D$59,$A7,ResultDetail!BA$6:BA$59)</f>
        <v>0</v>
      </c>
      <c r="AI7" s="94">
        <f>SUMIF(ResultDetail!$D$6:$D$59,$A7,ResultDetail!BB$6:BB$59)</f>
        <v>0</v>
      </c>
      <c r="AJ7" s="94">
        <f>SUMIF(ResultDetail!$D$6:$D$59,$A7,ResultDetail!BC$6:BC$59)</f>
        <v>0</v>
      </c>
      <c r="AK7" s="94">
        <f>SUMIF(ResultDetail!$D$6:$D$59,$A7,ResultDetail!BD$6:BD$59)</f>
        <v>0</v>
      </c>
      <c r="AL7" s="94">
        <f>SUMIF(ResultDetail!$D$6:$D$59,$A7,ResultDetail!BE$6:BE$59)</f>
        <v>0</v>
      </c>
    </row>
    <row r="8" spans="1:38" x14ac:dyDescent="0.35">
      <c r="A8" s="47">
        <v>3</v>
      </c>
      <c r="B8" s="18" t="s">
        <v>76</v>
      </c>
      <c r="C8" s="94">
        <f>SUMIF(ResultDetail!$D$6:$D$59,$A8,ResultDetail!V$6:V$59)</f>
        <v>266.84355522965052</v>
      </c>
      <c r="D8" s="94">
        <f>SUMIF(ResultDetail!$D$6:$D$59,$A8,ResultDetail!W$6:W$59)</f>
        <v>281.37338495939537</v>
      </c>
      <c r="E8" s="94">
        <f>SUMIF(ResultDetail!$D$6:$D$59,$A8,ResultDetail!X$6:X$59)</f>
        <v>303.13080700275884</v>
      </c>
      <c r="F8" s="94">
        <f>SUMIF(ResultDetail!$D$6:$D$59,$A8,ResultDetail!Y$6:Y$59)</f>
        <v>327.56536270355332</v>
      </c>
      <c r="G8" s="94">
        <f>SUMIF(ResultDetail!$D$6:$D$59,$A8,ResultDetail!Z$6:Z$59)</f>
        <v>357.56040670713367</v>
      </c>
      <c r="H8" s="94">
        <f>SUMIF(ResultDetail!$D$6:$D$59,$A8,ResultDetail!AA$6:AA$59)</f>
        <v>388.83982656329374</v>
      </c>
      <c r="I8" s="94">
        <f>SUMIF(ResultDetail!$D$6:$D$59,$A8,ResultDetail!AB$6:AB$59)</f>
        <v>424.91234308229923</v>
      </c>
      <c r="J8" s="94">
        <f>SUMIF(ResultDetail!$D$6:$D$59,$A8,ResultDetail!AC$6:AC$59)</f>
        <v>460.27441005855496</v>
      </c>
      <c r="K8" s="94">
        <f>SUMIF(ResultDetail!$D$6:$D$59,$A8,ResultDetail!AD$6:AD$59)</f>
        <v>502.40595066747585</v>
      </c>
      <c r="L8" s="94">
        <f>SUMIF(ResultDetail!$D$6:$D$59,$A8,ResultDetail!AE$6:AE$59)</f>
        <v>547.24388342301495</v>
      </c>
      <c r="M8" s="94">
        <f>SUMIF(ResultDetail!$D$6:$D$59,$A8,ResultDetail!AF$6:AF$59)</f>
        <v>593.80879931641255</v>
      </c>
      <c r="N8" s="94">
        <f>SUMIF(ResultDetail!$D$6:$D$59,$A8,ResultDetail!AG$6:AG$59)</f>
        <v>647.81288627117988</v>
      </c>
      <c r="O8" s="94">
        <f>SUMIF(ResultDetail!$D$6:$D$59,$A8,ResultDetail!AH$6:AH$59)</f>
        <v>705.91311169869198</v>
      </c>
      <c r="P8" s="94">
        <f>SUMIF(ResultDetail!$D$6:$D$59,$A8,ResultDetail!AI$6:AI$59)</f>
        <v>760.02405211824521</v>
      </c>
      <c r="Q8" s="94">
        <f>SUMIF(ResultDetail!$D$6:$D$59,$A8,ResultDetail!AJ$6:AJ$59)</f>
        <v>804.31595707532881</v>
      </c>
      <c r="R8" s="94">
        <f>SUMIF(ResultDetail!$D$6:$D$59,$A8,ResultDetail!AK$6:AK$59)</f>
        <v>849.11990868230509</v>
      </c>
      <c r="S8" s="94">
        <f>SUMIF(ResultDetail!$D$6:$D$59,$A8,ResultDetail!AL$6:AL$59)</f>
        <v>881.30320638963849</v>
      </c>
      <c r="T8" s="94">
        <f>SUMIF(ResultDetail!$D$6:$D$59,$A8,ResultDetail!AM$6:AM$59)</f>
        <v>893.91277621893414</v>
      </c>
      <c r="U8" s="94">
        <f>SUMIF(ResultDetail!$D$6:$D$59,$A8,ResultDetail!AN$6:AN$59)</f>
        <v>903.08170722706996</v>
      </c>
      <c r="V8" s="94">
        <f>SUMIF(ResultDetail!$D$6:$D$59,$A8,ResultDetail!AO$6:AO$59)</f>
        <v>908.72558147617508</v>
      </c>
      <c r="W8" s="94">
        <f>SUMIF(ResultDetail!$D$6:$D$59,$A8,ResultDetail!AP$6:AP$59)</f>
        <v>913.70962047970534</v>
      </c>
      <c r="X8" s="94">
        <f>SUMIF(ResultDetail!$D$6:$D$59,$A8,ResultDetail!AQ$6:AQ$59)</f>
        <v>911.94724386800749</v>
      </c>
      <c r="Y8" s="94">
        <f>SUMIF(ResultDetail!$D$6:$D$59,$A8,ResultDetail!AR$6:AR$59)</f>
        <v>910.53392056415748</v>
      </c>
      <c r="Z8" s="94">
        <f>SUMIF(ResultDetail!$D$6:$D$59,$A8,ResultDetail!AS$6:AS$59)</f>
        <v>917.95433630388141</v>
      </c>
      <c r="AA8" s="94">
        <f>SUMIF(ResultDetail!$D$6:$D$59,$A8,ResultDetail!AT$6:AT$59)</f>
        <v>925.87933346844989</v>
      </c>
      <c r="AB8" s="94">
        <f>SUMIF(ResultDetail!$D$6:$D$59,$A8,ResultDetail!AU$6:AU$59)</f>
        <v>933.99821907093803</v>
      </c>
      <c r="AC8" s="94">
        <f>SUMIF(ResultDetail!$D$6:$D$59,$A8,ResultDetail!AV$6:AV$59)</f>
        <v>940.86560313532709</v>
      </c>
      <c r="AD8" s="94">
        <f>SUMIF(ResultDetail!$D$6:$D$59,$A8,ResultDetail!AW$6:AW$59)</f>
        <v>950.42230918890664</v>
      </c>
      <c r="AE8" s="94">
        <f>SUMIF(ResultDetail!$D$6:$D$59,$A8,ResultDetail!AX$6:AX$59)</f>
        <v>0</v>
      </c>
      <c r="AF8" s="94">
        <f>SUMIF(ResultDetail!$D$6:$D$59,$A8,ResultDetail!AY$6:AY$59)</f>
        <v>0</v>
      </c>
      <c r="AG8" s="94">
        <f>SUMIF(ResultDetail!$D$6:$D$59,$A8,ResultDetail!AZ$6:AZ$59)</f>
        <v>0</v>
      </c>
      <c r="AH8" s="94">
        <f>SUMIF(ResultDetail!$D$6:$D$59,$A8,ResultDetail!BA$6:BA$59)</f>
        <v>0</v>
      </c>
      <c r="AI8" s="94">
        <f>SUMIF(ResultDetail!$D$6:$D$59,$A8,ResultDetail!BB$6:BB$59)</f>
        <v>0</v>
      </c>
      <c r="AJ8" s="94">
        <f>SUMIF(ResultDetail!$D$6:$D$59,$A8,ResultDetail!BC$6:BC$59)</f>
        <v>0</v>
      </c>
      <c r="AK8" s="94">
        <f>SUMIF(ResultDetail!$D$6:$D$59,$A8,ResultDetail!BD$6:BD$59)</f>
        <v>0</v>
      </c>
      <c r="AL8" s="94">
        <f>SUMIF(ResultDetail!$D$6:$D$59,$A8,ResultDetail!BE$6:BE$59)</f>
        <v>0</v>
      </c>
    </row>
    <row r="9" spans="1:38" x14ac:dyDescent="0.35">
      <c r="A9" s="47" t="s">
        <v>120</v>
      </c>
      <c r="B9" s="18" t="s">
        <v>123</v>
      </c>
      <c r="C9" s="94">
        <f>SUMIF(ResultDetail!$D$6:$D$59,$A9,ResultDetail!V$6:V$59)</f>
        <v>8748.6599804467751</v>
      </c>
      <c r="D9" s="94">
        <f>SUMIF(ResultDetail!$D$6:$D$59,$A9,ResultDetail!W$6:W$59)</f>
        <v>9387.2558480456046</v>
      </c>
      <c r="E9" s="94">
        <f>SUMIF(ResultDetail!$D$6:$D$59,$A9,ResultDetail!X$6:X$59)</f>
        <v>9953.7553102237853</v>
      </c>
      <c r="F9" s="94">
        <f>SUMIF(ResultDetail!$D$6:$D$59,$A9,ResultDetail!Y$6:Y$59)</f>
        <v>10519.913131693529</v>
      </c>
      <c r="G9" s="94">
        <f>SUMIF(ResultDetail!$D$6:$D$59,$A9,ResultDetail!Z$6:Z$59)</f>
        <v>11453.680050502133</v>
      </c>
      <c r="H9" s="94">
        <f>SUMIF(ResultDetail!$D$6:$D$59,$A9,ResultDetail!AA$6:AA$59)</f>
        <v>12527.505883082558</v>
      </c>
      <c r="I9" s="94">
        <f>SUMIF(ResultDetail!$D$6:$D$59,$A9,ResultDetail!AB$6:AB$59)</f>
        <v>13597.375093673645</v>
      </c>
      <c r="J9" s="94">
        <f>SUMIF(ResultDetail!$D$6:$D$59,$A9,ResultDetail!AC$6:AC$59)</f>
        <v>14759.735394374949</v>
      </c>
      <c r="K9" s="94">
        <f>SUMIF(ResultDetail!$D$6:$D$59,$A9,ResultDetail!AD$6:AD$59)</f>
        <v>15882.613950275389</v>
      </c>
      <c r="L9" s="94">
        <f>SUMIF(ResultDetail!$D$6:$D$59,$A9,ResultDetail!AE$6:AE$59)</f>
        <v>16986.015077360404</v>
      </c>
      <c r="M9" s="94">
        <f>SUMIF(ResultDetail!$D$6:$D$59,$A9,ResultDetail!AF$6:AF$59)</f>
        <v>18267.903273944939</v>
      </c>
      <c r="N9" s="94">
        <f>SUMIF(ResultDetail!$D$6:$D$59,$A9,ResultDetail!AG$6:AG$59)</f>
        <v>19670.626797312769</v>
      </c>
      <c r="O9" s="94">
        <f>SUMIF(ResultDetail!$D$6:$D$59,$A9,ResultDetail!AH$6:AH$59)</f>
        <v>20878.479576855123</v>
      </c>
      <c r="P9" s="94">
        <f>SUMIF(ResultDetail!$D$6:$D$59,$A9,ResultDetail!AI$6:AI$59)</f>
        <v>22178.154503316575</v>
      </c>
      <c r="Q9" s="94">
        <f>SUMIF(ResultDetail!$D$6:$D$59,$A9,ResultDetail!AJ$6:AJ$59)</f>
        <v>23552.953040665871</v>
      </c>
      <c r="R9" s="94">
        <f>SUMIF(ResultDetail!$D$6:$D$59,$A9,ResultDetail!AK$6:AK$59)</f>
        <v>24797.319072034428</v>
      </c>
      <c r="S9" s="94">
        <f>SUMIF(ResultDetail!$D$6:$D$59,$A9,ResultDetail!AL$6:AL$59)</f>
        <v>26079.421605135878</v>
      </c>
      <c r="T9" s="94">
        <f>SUMIF(ResultDetail!$D$6:$D$59,$A9,ResultDetail!AM$6:AM$59)</f>
        <v>27362.859567976851</v>
      </c>
      <c r="U9" s="94">
        <f>SUMIF(ResultDetail!$D$6:$D$59,$A9,ResultDetail!AN$6:AN$59)</f>
        <v>28672.236921586977</v>
      </c>
      <c r="V9" s="94">
        <f>SUMIF(ResultDetail!$D$6:$D$59,$A9,ResultDetail!AO$6:AO$59)</f>
        <v>30023.781400605192</v>
      </c>
      <c r="W9" s="94">
        <f>SUMIF(ResultDetail!$D$6:$D$59,$A9,ResultDetail!AP$6:AP$59)</f>
        <v>31209.628914775767</v>
      </c>
      <c r="X9" s="94">
        <f>SUMIF(ResultDetail!$D$6:$D$59,$A9,ResultDetail!AQ$6:AQ$59)</f>
        <v>32459.375043480028</v>
      </c>
      <c r="Y9" s="94">
        <f>SUMIF(ResultDetail!$D$6:$D$59,$A9,ResultDetail!AR$6:AR$59)</f>
        <v>33696.791539685677</v>
      </c>
      <c r="Z9" s="94">
        <f>SUMIF(ResultDetail!$D$6:$D$59,$A9,ResultDetail!AS$6:AS$59)</f>
        <v>35165.883570778111</v>
      </c>
      <c r="AA9" s="94">
        <f>SUMIF(ResultDetail!$D$6:$D$59,$A9,ResultDetail!AT$6:AT$59)</f>
        <v>36635.604911851311</v>
      </c>
      <c r="AB9" s="94">
        <f>SUMIF(ResultDetail!$D$6:$D$59,$A9,ResultDetail!AU$6:AU$59)</f>
        <v>37789.221090689083</v>
      </c>
      <c r="AC9" s="94">
        <f>SUMIF(ResultDetail!$D$6:$D$59,$A9,ResultDetail!AV$6:AV$59)</f>
        <v>38810.926579295468</v>
      </c>
      <c r="AD9" s="94">
        <f>SUMIF(ResultDetail!$D$6:$D$59,$A9,ResultDetail!AW$6:AW$59)</f>
        <v>39719.960195643514</v>
      </c>
      <c r="AE9" s="94">
        <f>SUMIF(ResultDetail!$D$6:$D$59,$A9,ResultDetail!AX$6:AX$59)</f>
        <v>0</v>
      </c>
      <c r="AF9" s="94">
        <f>SUMIF(ResultDetail!$D$6:$D$59,$A9,ResultDetail!AY$6:AY$59)</f>
        <v>0</v>
      </c>
      <c r="AG9" s="94">
        <f>SUMIF(ResultDetail!$D$6:$D$59,$A9,ResultDetail!AZ$6:AZ$59)</f>
        <v>0</v>
      </c>
      <c r="AH9" s="94">
        <f>SUMIF(ResultDetail!$D$6:$D$59,$A9,ResultDetail!BA$6:BA$59)</f>
        <v>0</v>
      </c>
      <c r="AI9" s="94">
        <f>SUMIF(ResultDetail!$D$6:$D$59,$A9,ResultDetail!BB$6:BB$59)</f>
        <v>0</v>
      </c>
      <c r="AJ9" s="94">
        <f>SUMIF(ResultDetail!$D$6:$D$59,$A9,ResultDetail!BC$6:BC$59)</f>
        <v>0</v>
      </c>
      <c r="AK9" s="94">
        <f>SUMIF(ResultDetail!$D$6:$D$59,$A9,ResultDetail!BD$6:BD$59)</f>
        <v>0</v>
      </c>
      <c r="AL9" s="94">
        <f>SUMIF(ResultDetail!$D$6:$D$59,$A9,ResultDetail!BE$6:BE$59)</f>
        <v>0</v>
      </c>
    </row>
    <row r="10" spans="1:38" x14ac:dyDescent="0.35">
      <c r="A10" s="47" t="s">
        <v>121</v>
      </c>
      <c r="B10" s="18" t="s">
        <v>122</v>
      </c>
      <c r="C10" s="94">
        <f>SUMIF(ResultDetail!$D$6:$D$59,$A10,ResultDetail!V$6:V$59)</f>
        <v>0</v>
      </c>
      <c r="D10" s="94">
        <f>SUMIF(ResultDetail!$D$6:$D$59,$A10,ResultDetail!W$6:W$59)</f>
        <v>0</v>
      </c>
      <c r="E10" s="94">
        <f>SUMIF(ResultDetail!$D$6:$D$59,$A10,ResultDetail!X$6:X$59)</f>
        <v>0</v>
      </c>
      <c r="F10" s="94">
        <f>SUMIF(ResultDetail!$D$6:$D$59,$A10,ResultDetail!Y$6:Y$59)</f>
        <v>0</v>
      </c>
      <c r="G10" s="94">
        <f>SUMIF(ResultDetail!$D$6:$D$59,$A10,ResultDetail!Z$6:Z$59)</f>
        <v>0</v>
      </c>
      <c r="H10" s="94">
        <f>SUMIF(ResultDetail!$D$6:$D$59,$A10,ResultDetail!AA$6:AA$59)</f>
        <v>0</v>
      </c>
      <c r="I10" s="94">
        <f>SUMIF(ResultDetail!$D$6:$D$59,$A10,ResultDetail!AB$6:AB$59)</f>
        <v>0</v>
      </c>
      <c r="J10" s="94">
        <f>SUMIF(ResultDetail!$D$6:$D$59,$A10,ResultDetail!AC$6:AC$59)</f>
        <v>0</v>
      </c>
      <c r="K10" s="94">
        <f>SUMIF(ResultDetail!$D$6:$D$59,$A10,ResultDetail!AD$6:AD$59)</f>
        <v>0</v>
      </c>
      <c r="L10" s="94">
        <f>SUMIF(ResultDetail!$D$6:$D$59,$A10,ResultDetail!AE$6:AE$59)</f>
        <v>0</v>
      </c>
      <c r="M10" s="94">
        <f>SUMIF(ResultDetail!$D$6:$D$59,$A10,ResultDetail!AF$6:AF$59)</f>
        <v>0</v>
      </c>
      <c r="N10" s="94">
        <f>SUMIF(ResultDetail!$D$6:$D$59,$A10,ResultDetail!AG$6:AG$59)</f>
        <v>0</v>
      </c>
      <c r="O10" s="94">
        <f>SUMIF(ResultDetail!$D$6:$D$59,$A10,ResultDetail!AH$6:AH$59)</f>
        <v>0</v>
      </c>
      <c r="P10" s="94">
        <f>SUMIF(ResultDetail!$D$6:$D$59,$A10,ResultDetail!AI$6:AI$59)</f>
        <v>0</v>
      </c>
      <c r="Q10" s="94">
        <f>SUMIF(ResultDetail!$D$6:$D$59,$A10,ResultDetail!AJ$6:AJ$59)</f>
        <v>9.177288350378883E-2</v>
      </c>
      <c r="R10" s="94">
        <f>SUMIF(ResultDetail!$D$6:$D$59,$A10,ResultDetail!AK$6:AK$59)</f>
        <v>0.28562176497367259</v>
      </c>
      <c r="S10" s="94">
        <f>SUMIF(ResultDetail!$D$6:$D$59,$A10,ResultDetail!AL$6:AL$59)</f>
        <v>0.50158632447480211</v>
      </c>
      <c r="T10" s="94">
        <f>SUMIF(ResultDetail!$D$6:$D$59,$A10,ResultDetail!AM$6:AM$59)</f>
        <v>0.74720610707107704</v>
      </c>
      <c r="U10" s="94">
        <f>SUMIF(ResultDetail!$D$6:$D$59,$A10,ResultDetail!AN$6:AN$59)</f>
        <v>1.0167364379626989</v>
      </c>
      <c r="V10" s="94">
        <f>SUMIF(ResultDetail!$D$6:$D$59,$A10,ResultDetail!AO$6:AO$59)</f>
        <v>1.3622896779726954</v>
      </c>
      <c r="W10" s="94">
        <f>SUMIF(ResultDetail!$D$6:$D$59,$A10,ResultDetail!AP$6:AP$59)</f>
        <v>1.8525871816751032</v>
      </c>
      <c r="X10" s="94">
        <f>SUMIF(ResultDetail!$D$6:$D$59,$A10,ResultDetail!AQ$6:AQ$59)</f>
        <v>2.7794434707332281</v>
      </c>
      <c r="Y10" s="94">
        <f>SUMIF(ResultDetail!$D$6:$D$59,$A10,ResultDetail!AR$6:AR$59)</f>
        <v>5.1838978125152284</v>
      </c>
      <c r="Z10" s="94">
        <f>SUMIF(ResultDetail!$D$6:$D$59,$A10,ResultDetail!AS$6:AS$59)</f>
        <v>10.205953049756946</v>
      </c>
      <c r="AA10" s="94">
        <f>SUMIF(ResultDetail!$D$6:$D$59,$A10,ResultDetail!AT$6:AT$59)</f>
        <v>19.446295749057072</v>
      </c>
      <c r="AB10" s="94">
        <f>SUMIF(ResultDetail!$D$6:$D$59,$A10,ResultDetail!AU$6:AU$59)</f>
        <v>34.867973744174975</v>
      </c>
      <c r="AC10" s="94">
        <f>SUMIF(ResultDetail!$D$6:$D$59,$A10,ResultDetail!AV$6:AV$59)</f>
        <v>53.741122031110393</v>
      </c>
      <c r="AD10" s="94">
        <f>SUMIF(ResultDetail!$D$6:$D$59,$A10,ResultDetail!AW$6:AW$59)</f>
        <v>72.500053675882668</v>
      </c>
      <c r="AE10" s="94">
        <f>SUMIF(ResultDetail!$D$6:$D$59,$A10,ResultDetail!AX$6:AX$59)</f>
        <v>0</v>
      </c>
      <c r="AF10" s="94">
        <f>SUMIF(ResultDetail!$D$6:$D$59,$A10,ResultDetail!AY$6:AY$59)</f>
        <v>0</v>
      </c>
      <c r="AG10" s="94">
        <f>SUMIF(ResultDetail!$D$6:$D$59,$A10,ResultDetail!AZ$6:AZ$59)</f>
        <v>0</v>
      </c>
      <c r="AH10" s="94">
        <f>SUMIF(ResultDetail!$D$6:$D$59,$A10,ResultDetail!BA$6:BA$59)</f>
        <v>0</v>
      </c>
      <c r="AI10" s="94">
        <f>SUMIF(ResultDetail!$D$6:$D$59,$A10,ResultDetail!BB$6:BB$59)</f>
        <v>0</v>
      </c>
      <c r="AJ10" s="94">
        <f>SUMIF(ResultDetail!$D$6:$D$59,$A10,ResultDetail!BC$6:BC$59)</f>
        <v>0</v>
      </c>
      <c r="AK10" s="94">
        <f>SUMIF(ResultDetail!$D$6:$D$59,$A10,ResultDetail!BD$6:BD$59)</f>
        <v>0</v>
      </c>
      <c r="AL10" s="94">
        <f>SUMIF(ResultDetail!$D$6:$D$59,$A10,ResultDetail!BE$6:BE$59)</f>
        <v>0</v>
      </c>
    </row>
    <row r="11" spans="1:38" x14ac:dyDescent="0.35">
      <c r="A11" s="47">
        <v>5</v>
      </c>
      <c r="B11" s="18" t="s">
        <v>78</v>
      </c>
      <c r="C11" s="94">
        <f>SUMIF(ResultDetail!$D$6:$D$59,$A11,ResultDetail!V$6:V$59)</f>
        <v>9585.7856406307837</v>
      </c>
      <c r="D11" s="94">
        <f>SUMIF(ResultDetail!$D$6:$D$59,$A11,ResultDetail!W$6:W$59)</f>
        <v>10142.363839970098</v>
      </c>
      <c r="E11" s="94">
        <f>SUMIF(ResultDetail!$D$6:$D$59,$A11,ResultDetail!X$6:X$59)</f>
        <v>10716.252501446241</v>
      </c>
      <c r="F11" s="94">
        <f>SUMIF(ResultDetail!$D$6:$D$59,$A11,ResultDetail!Y$6:Y$59)</f>
        <v>11624.90973197729</v>
      </c>
      <c r="G11" s="94">
        <f>SUMIF(ResultDetail!$D$6:$D$59,$A11,ResultDetail!Z$6:Z$59)</f>
        <v>12535.99997650514</v>
      </c>
      <c r="H11" s="94">
        <f>SUMIF(ResultDetail!$D$6:$D$59,$A11,ResultDetail!AA$6:AA$59)</f>
        <v>13412.301962273077</v>
      </c>
      <c r="I11" s="94">
        <f>SUMIF(ResultDetail!$D$6:$D$59,$A11,ResultDetail!AB$6:AB$59)</f>
        <v>14192.490785425001</v>
      </c>
      <c r="J11" s="94">
        <f>SUMIF(ResultDetail!$D$6:$D$59,$A11,ResultDetail!AC$6:AC$59)</f>
        <v>14888.497954513128</v>
      </c>
      <c r="K11" s="94">
        <f>SUMIF(ResultDetail!$D$6:$D$59,$A11,ResultDetail!AD$6:AD$59)</f>
        <v>15576.810115098455</v>
      </c>
      <c r="L11" s="94">
        <f>SUMIF(ResultDetail!$D$6:$D$59,$A11,ResultDetail!AE$6:AE$59)</f>
        <v>16271.147248284406</v>
      </c>
      <c r="M11" s="94">
        <f>SUMIF(ResultDetail!$D$6:$D$59,$A11,ResultDetail!AF$6:AF$59)</f>
        <v>17028.006571231635</v>
      </c>
      <c r="N11" s="94">
        <f>SUMIF(ResultDetail!$D$6:$D$59,$A11,ResultDetail!AG$6:AG$59)</f>
        <v>18031.115743454986</v>
      </c>
      <c r="O11" s="94">
        <f>SUMIF(ResultDetail!$D$6:$D$59,$A11,ResultDetail!AH$6:AH$59)</f>
        <v>19149.563625223782</v>
      </c>
      <c r="P11" s="94">
        <f>SUMIF(ResultDetail!$D$6:$D$59,$A11,ResultDetail!AI$6:AI$59)</f>
        <v>20247.385387880942</v>
      </c>
      <c r="Q11" s="94">
        <f>SUMIF(ResultDetail!$D$6:$D$59,$A11,ResultDetail!AJ$6:AJ$59)</f>
        <v>21135.16032868384</v>
      </c>
      <c r="R11" s="94">
        <f>SUMIF(ResultDetail!$D$6:$D$59,$A11,ResultDetail!AK$6:AK$59)</f>
        <v>22150.92513491942</v>
      </c>
      <c r="S11" s="94">
        <f>SUMIF(ResultDetail!$D$6:$D$59,$A11,ResultDetail!AL$6:AL$59)</f>
        <v>23131.628708741733</v>
      </c>
      <c r="T11" s="94">
        <f>SUMIF(ResultDetail!$D$6:$D$59,$A11,ResultDetail!AM$6:AM$59)</f>
        <v>24045.768485202574</v>
      </c>
      <c r="U11" s="94">
        <f>SUMIF(ResultDetail!$D$6:$D$59,$A11,ResultDetail!AN$6:AN$59)</f>
        <v>24873.448549402608</v>
      </c>
      <c r="V11" s="94">
        <f>SUMIF(ResultDetail!$D$6:$D$59,$A11,ResultDetail!AO$6:AO$59)</f>
        <v>25706.828828612193</v>
      </c>
      <c r="W11" s="94">
        <f>SUMIF(ResultDetail!$D$6:$D$59,$A11,ResultDetail!AP$6:AP$59)</f>
        <v>26637.82192430774</v>
      </c>
      <c r="X11" s="94">
        <f>SUMIF(ResultDetail!$D$6:$D$59,$A11,ResultDetail!AQ$6:AQ$59)</f>
        <v>27329.343775605288</v>
      </c>
      <c r="Y11" s="94">
        <f>SUMIF(ResultDetail!$D$6:$D$59,$A11,ResultDetail!AR$6:AR$59)</f>
        <v>28199.598673128647</v>
      </c>
      <c r="Z11" s="94">
        <f>SUMIF(ResultDetail!$D$6:$D$59,$A11,ResultDetail!AS$6:AS$59)</f>
        <v>28989.846595697425</v>
      </c>
      <c r="AA11" s="94">
        <f>SUMIF(ResultDetail!$D$6:$D$59,$A11,ResultDetail!AT$6:AT$59)</f>
        <v>29677.735389664638</v>
      </c>
      <c r="AB11" s="94">
        <f>SUMIF(ResultDetail!$D$6:$D$59,$A11,ResultDetail!AU$6:AU$59)</f>
        <v>30284.147025528633</v>
      </c>
      <c r="AC11" s="94">
        <f>SUMIF(ResultDetail!$D$6:$D$59,$A11,ResultDetail!AV$6:AV$59)</f>
        <v>31165.474597784101</v>
      </c>
      <c r="AD11" s="94">
        <f>SUMIF(ResultDetail!$D$6:$D$59,$A11,ResultDetail!AW$6:AW$59)</f>
        <v>32084.676943503146</v>
      </c>
      <c r="AE11" s="94">
        <f>SUMIF(ResultDetail!$D$6:$D$59,$A11,ResultDetail!AX$6:AX$59)</f>
        <v>0</v>
      </c>
      <c r="AF11" s="94">
        <f>SUMIF(ResultDetail!$D$6:$D$59,$A11,ResultDetail!AY$6:AY$59)</f>
        <v>0</v>
      </c>
      <c r="AG11" s="94">
        <f>SUMIF(ResultDetail!$D$6:$D$59,$A11,ResultDetail!AZ$6:AZ$59)</f>
        <v>0</v>
      </c>
      <c r="AH11" s="94">
        <f>SUMIF(ResultDetail!$D$6:$D$59,$A11,ResultDetail!BA$6:BA$59)</f>
        <v>0</v>
      </c>
      <c r="AI11" s="94">
        <f>SUMIF(ResultDetail!$D$6:$D$59,$A11,ResultDetail!BB$6:BB$59)</f>
        <v>0</v>
      </c>
      <c r="AJ11" s="94">
        <f>SUMIF(ResultDetail!$D$6:$D$59,$A11,ResultDetail!BC$6:BC$59)</f>
        <v>0</v>
      </c>
      <c r="AK11" s="94">
        <f>SUMIF(ResultDetail!$D$6:$D$59,$A11,ResultDetail!BD$6:BD$59)</f>
        <v>0</v>
      </c>
      <c r="AL11" s="94">
        <f>SUMIF(ResultDetail!$D$6:$D$59,$A11,ResultDetail!BE$6:BE$59)</f>
        <v>0</v>
      </c>
    </row>
    <row r="12" spans="1:38" x14ac:dyDescent="0.35">
      <c r="A12" s="47">
        <v>6</v>
      </c>
      <c r="B12" s="18" t="s">
        <v>79</v>
      </c>
      <c r="C12" s="94">
        <f>SUMIF(ResultDetail!$D$6:$D$59,$A12,ResultDetail!V$6:V$59)</f>
        <v>2255.6662456309923</v>
      </c>
      <c r="D12" s="94">
        <f>SUMIF(ResultDetail!$D$6:$D$59,$A12,ResultDetail!W$6:W$59)</f>
        <v>2359.1063966913825</v>
      </c>
      <c r="E12" s="94">
        <f>SUMIF(ResultDetail!$D$6:$D$59,$A12,ResultDetail!X$6:X$59)</f>
        <v>2558.2586201974636</v>
      </c>
      <c r="F12" s="94">
        <f>SUMIF(ResultDetail!$D$6:$D$59,$A12,ResultDetail!Y$6:Y$59)</f>
        <v>2771.4722352435761</v>
      </c>
      <c r="G12" s="94">
        <f>SUMIF(ResultDetail!$D$6:$D$59,$A12,ResultDetail!Z$6:Z$59)</f>
        <v>3178.5248767942071</v>
      </c>
      <c r="H12" s="94">
        <f>SUMIF(ResultDetail!$D$6:$D$59,$A12,ResultDetail!AA$6:AA$59)</f>
        <v>3669.112208575782</v>
      </c>
      <c r="I12" s="94">
        <f>SUMIF(ResultDetail!$D$6:$D$59,$A12,ResultDetail!AB$6:AB$59)</f>
        <v>4073.1445981082761</v>
      </c>
      <c r="J12" s="94">
        <f>SUMIF(ResultDetail!$D$6:$D$59,$A12,ResultDetail!AC$6:AC$59)</f>
        <v>4416.408066348552</v>
      </c>
      <c r="K12" s="94">
        <f>SUMIF(ResultDetail!$D$6:$D$59,$A12,ResultDetail!AD$6:AD$59)</f>
        <v>4642.439970838479</v>
      </c>
      <c r="L12" s="94">
        <f>SUMIF(ResultDetail!$D$6:$D$59,$A12,ResultDetail!AE$6:AE$59)</f>
        <v>5432.8180703382586</v>
      </c>
      <c r="M12" s="94">
        <f>SUMIF(ResultDetail!$D$6:$D$59,$A12,ResultDetail!AF$6:AF$59)</f>
        <v>6122.6952479281344</v>
      </c>
      <c r="N12" s="94">
        <f>SUMIF(ResultDetail!$D$6:$D$59,$A12,ResultDetail!AG$6:AG$59)</f>
        <v>6609.0698284921973</v>
      </c>
      <c r="O12" s="94">
        <f>SUMIF(ResultDetail!$D$6:$D$59,$A12,ResultDetail!AH$6:AH$59)</f>
        <v>6824.9589072956187</v>
      </c>
      <c r="P12" s="94">
        <f>SUMIF(ResultDetail!$D$6:$D$59,$A12,ResultDetail!AI$6:AI$59)</f>
        <v>6896.6948318056484</v>
      </c>
      <c r="Q12" s="94">
        <f>SUMIF(ResultDetail!$D$6:$D$59,$A12,ResultDetail!AJ$6:AJ$59)</f>
        <v>6850.2154411536567</v>
      </c>
      <c r="R12" s="94">
        <f>SUMIF(ResultDetail!$D$6:$D$59,$A12,ResultDetail!AK$6:AK$59)</f>
        <v>6841.4834960760099</v>
      </c>
      <c r="S12" s="94">
        <f>SUMIF(ResultDetail!$D$6:$D$59,$A12,ResultDetail!AL$6:AL$59)</f>
        <v>7020.878041646708</v>
      </c>
      <c r="T12" s="94">
        <f>SUMIF(ResultDetail!$D$6:$D$59,$A12,ResultDetail!AM$6:AM$59)</f>
        <v>7189.5873506571243</v>
      </c>
      <c r="U12" s="94">
        <f>SUMIF(ResultDetail!$D$6:$D$59,$A12,ResultDetail!AN$6:AN$59)</f>
        <v>7467.503785150001</v>
      </c>
      <c r="V12" s="94">
        <f>SUMIF(ResultDetail!$D$6:$D$59,$A12,ResultDetail!AO$6:AO$59)</f>
        <v>7723.9113739744807</v>
      </c>
      <c r="W12" s="94">
        <f>SUMIF(ResultDetail!$D$6:$D$59,$A12,ResultDetail!AP$6:AP$59)</f>
        <v>7805.8526623294065</v>
      </c>
      <c r="X12" s="94">
        <f>SUMIF(ResultDetail!$D$6:$D$59,$A12,ResultDetail!AQ$6:AQ$59)</f>
        <v>8026.1881029042079</v>
      </c>
      <c r="Y12" s="94">
        <f>SUMIF(ResultDetail!$D$6:$D$59,$A12,ResultDetail!AR$6:AR$59)</f>
        <v>8242.5256243497352</v>
      </c>
      <c r="Z12" s="94">
        <f>SUMIF(ResultDetail!$D$6:$D$59,$A12,ResultDetail!AS$6:AS$59)</f>
        <v>8431.1341324018958</v>
      </c>
      <c r="AA12" s="94">
        <f>SUMIF(ResultDetail!$D$6:$D$59,$A12,ResultDetail!AT$6:AT$59)</f>
        <v>8588.610064603301</v>
      </c>
      <c r="AB12" s="94">
        <f>SUMIF(ResultDetail!$D$6:$D$59,$A12,ResultDetail!AU$6:AU$59)</f>
        <v>8742.1832241014818</v>
      </c>
      <c r="AC12" s="94">
        <f>SUMIF(ResultDetail!$D$6:$D$59,$A12,ResultDetail!AV$6:AV$59)</f>
        <v>8876.7523306746734</v>
      </c>
      <c r="AD12" s="94">
        <f>SUMIF(ResultDetail!$D$6:$D$59,$A12,ResultDetail!AW$6:AW$59)</f>
        <v>9023.1112049364874</v>
      </c>
      <c r="AE12" s="94">
        <f>SUMIF(ResultDetail!$D$6:$D$59,$A12,ResultDetail!AX$6:AX$59)</f>
        <v>0</v>
      </c>
      <c r="AF12" s="94">
        <f>SUMIF(ResultDetail!$D$6:$D$59,$A12,ResultDetail!AY$6:AY$59)</f>
        <v>0</v>
      </c>
      <c r="AG12" s="94">
        <f>SUMIF(ResultDetail!$D$6:$D$59,$A12,ResultDetail!AZ$6:AZ$59)</f>
        <v>0</v>
      </c>
      <c r="AH12" s="94">
        <f>SUMIF(ResultDetail!$D$6:$D$59,$A12,ResultDetail!BA$6:BA$59)</f>
        <v>0</v>
      </c>
      <c r="AI12" s="94">
        <f>SUMIF(ResultDetail!$D$6:$D$59,$A12,ResultDetail!BB$6:BB$59)</f>
        <v>0</v>
      </c>
      <c r="AJ12" s="94">
        <f>SUMIF(ResultDetail!$D$6:$D$59,$A12,ResultDetail!BC$6:BC$59)</f>
        <v>0</v>
      </c>
      <c r="AK12" s="94">
        <f>SUMIF(ResultDetail!$D$6:$D$59,$A12,ResultDetail!BD$6:BD$59)</f>
        <v>0</v>
      </c>
      <c r="AL12" s="94">
        <f>SUMIF(ResultDetail!$D$6:$D$59,$A12,ResultDetail!BE$6:BE$59)</f>
        <v>0</v>
      </c>
    </row>
    <row r="14" spans="1:38" ht="15.5" x14ac:dyDescent="0.35">
      <c r="A14" s="83" t="s">
        <v>70</v>
      </c>
      <c r="B14" s="83" t="s">
        <v>237</v>
      </c>
    </row>
    <row r="15" spans="1:38" x14ac:dyDescent="0.35">
      <c r="A15" s="47">
        <v>1</v>
      </c>
      <c r="B15" s="18" t="s">
        <v>221</v>
      </c>
      <c r="C15" s="94">
        <f>SUMIF(ResultDetail!$F$6:$F$59,$A15,ResultDetail!V$6:V$59)</f>
        <v>10073.166743480619</v>
      </c>
      <c r="D15" s="94">
        <f>SUMIF(ResultDetail!$F$6:$F$59,$A15,ResultDetail!W$6:W$59)</f>
        <v>10822.992118754952</v>
      </c>
      <c r="E15" s="94">
        <f>SUMIF(ResultDetail!$F$6:$F$59,$A15,ResultDetail!X$6:X$59)</f>
        <v>11532.813322666671</v>
      </c>
      <c r="F15" s="94">
        <f>SUMIF(ResultDetail!$F$6:$F$59,$A15,ResultDetail!Y$6:Y$59)</f>
        <v>12330.594719132931</v>
      </c>
      <c r="G15" s="94">
        <f>SUMIF(ResultDetail!$F$6:$F$59,$A15,ResultDetail!Z$6:Z$59)</f>
        <v>13537.261395753161</v>
      </c>
      <c r="H15" s="94">
        <f>SUMIF(ResultDetail!$F$6:$F$59,$A15,ResultDetail!AA$6:AA$59)</f>
        <v>14847.958931600584</v>
      </c>
      <c r="I15" s="94">
        <f>SUMIF(ResultDetail!$F$6:$F$59,$A15,ResultDetail!AB$6:AB$59)</f>
        <v>16139.234529596184</v>
      </c>
      <c r="J15" s="94">
        <f>SUMIF(ResultDetail!$F$6:$F$59,$A15,ResultDetail!AC$6:AC$59)</f>
        <v>17580.392620054437</v>
      </c>
      <c r="K15" s="94">
        <f>SUMIF(ResultDetail!$F$6:$F$59,$A15,ResultDetail!AD$6:AD$59)</f>
        <v>18995.362263196854</v>
      </c>
      <c r="L15" s="94">
        <f>SUMIF(ResultDetail!$F$6:$F$59,$A15,ResultDetail!AE$6:AE$59)</f>
        <v>20437.485810985974</v>
      </c>
      <c r="M15" s="94">
        <f>SUMIF(ResultDetail!$F$6:$F$59,$A15,ResultDetail!AF$6:AF$59)</f>
        <v>22043.414872068151</v>
      </c>
      <c r="N15" s="94">
        <f>SUMIF(ResultDetail!$F$6:$F$59,$A15,ResultDetail!AG$6:AG$59)</f>
        <v>23980.046646517389</v>
      </c>
      <c r="O15" s="94">
        <f>SUMIF(ResultDetail!$F$6:$F$59,$A15,ResultDetail!AH$6:AH$59)</f>
        <v>25843.266928502955</v>
      </c>
      <c r="P15" s="94">
        <f>SUMIF(ResultDetail!$F$6:$F$59,$A15,ResultDetail!AI$6:AI$59)</f>
        <v>27744.697045853114</v>
      </c>
      <c r="Q15" s="94">
        <f>SUMIF(ResultDetail!$F$6:$F$59,$A15,ResultDetail!AJ$6:AJ$59)</f>
        <v>29743.335637646513</v>
      </c>
      <c r="R15" s="94">
        <f>SUMIF(ResultDetail!$F$6:$F$59,$A15,ResultDetail!AK$6:AK$59)</f>
        <v>31585.936121547013</v>
      </c>
      <c r="S15" s="94">
        <f>SUMIF(ResultDetail!$F$6:$F$59,$A15,ResultDetail!AL$6:AL$59)</f>
        <v>33553.656153762531</v>
      </c>
      <c r="T15" s="94">
        <f>SUMIF(ResultDetail!$F$6:$F$59,$A15,ResultDetail!AM$6:AM$59)</f>
        <v>35481.733960785888</v>
      </c>
      <c r="U15" s="94">
        <f>SUMIF(ResultDetail!$F$6:$F$59,$A15,ResultDetail!AN$6:AN$59)</f>
        <v>37294.489296118671</v>
      </c>
      <c r="V15" s="94">
        <f>SUMIF(ResultDetail!$F$6:$F$59,$A15,ResultDetail!AO$6:AO$59)</f>
        <v>39007.453928866715</v>
      </c>
      <c r="W15" s="94">
        <f>SUMIF(ResultDetail!$F$6:$F$59,$A15,ResultDetail!AP$6:AP$59)</f>
        <v>40503.748320453968</v>
      </c>
      <c r="X15" s="94">
        <f>SUMIF(ResultDetail!$F$6:$F$59,$A15,ResultDetail!AQ$6:AQ$59)</f>
        <v>42093.033262621357</v>
      </c>
      <c r="Y15" s="94">
        <f>SUMIF(ResultDetail!$F$6:$F$59,$A15,ResultDetail!AR$6:AR$59)</f>
        <v>43743.852685911712</v>
      </c>
      <c r="Z15" s="94">
        <f>SUMIF(ResultDetail!$F$6:$F$59,$A15,ResultDetail!AS$6:AS$59)</f>
        <v>45628.503463664892</v>
      </c>
      <c r="AA15" s="94">
        <f>SUMIF(ResultDetail!$F$6:$F$59,$A15,ResultDetail!AT$6:AT$59)</f>
        <v>47381.733281191286</v>
      </c>
      <c r="AB15" s="94">
        <f>SUMIF(ResultDetail!$F$6:$F$59,$A15,ResultDetail!AU$6:AU$59)</f>
        <v>48689.30828468957</v>
      </c>
      <c r="AC15" s="94">
        <f>SUMIF(ResultDetail!$F$6:$F$59,$A15,ResultDetail!AV$6:AV$59)</f>
        <v>49886.780178724526</v>
      </c>
      <c r="AD15" s="94">
        <f>SUMIF(ResultDetail!$F$6:$F$59,$A15,ResultDetail!AW$6:AW$59)</f>
        <v>50986.19072362857</v>
      </c>
      <c r="AE15" s="94">
        <f>SUMIF(ResultDetail!$F$6:$F$59,$A15,ResultDetail!AX$6:AX$59)</f>
        <v>0</v>
      </c>
      <c r="AF15" s="94">
        <f>SUMIF(ResultDetail!$F$6:$F$59,$A15,ResultDetail!AY$6:AY$59)</f>
        <v>0</v>
      </c>
      <c r="AG15" s="94">
        <f>SUMIF(ResultDetail!$F$6:$F$59,$A15,ResultDetail!AZ$6:AZ$59)</f>
        <v>0</v>
      </c>
      <c r="AH15" s="94">
        <f>SUMIF(ResultDetail!$F$6:$F$59,$A15,ResultDetail!BA$6:BA$59)</f>
        <v>0</v>
      </c>
      <c r="AI15" s="94">
        <f>SUMIF(ResultDetail!$F$6:$F$59,$A15,ResultDetail!BB$6:BB$59)</f>
        <v>0</v>
      </c>
      <c r="AJ15" s="94">
        <f>SUMIF(ResultDetail!$F$6:$F$59,$A15,ResultDetail!BC$6:BC$59)</f>
        <v>0</v>
      </c>
      <c r="AK15" s="94">
        <f>SUMIF(ResultDetail!$F$6:$F$59,$A15,ResultDetail!BD$6:BD$59)</f>
        <v>0</v>
      </c>
      <c r="AL15" s="94">
        <f>SUMIF(ResultDetail!$F$6:$F$59,$A15,ResultDetail!BE$6:BE$59)</f>
        <v>0</v>
      </c>
    </row>
    <row r="16" spans="1:38" x14ac:dyDescent="0.35">
      <c r="A16" s="47">
        <v>2</v>
      </c>
      <c r="B16" s="18" t="s">
        <v>222</v>
      </c>
      <c r="C16" s="94">
        <f>SUMIF(ResultDetail!$F$6:$F$59,$A16,ResultDetail!V$6:V$59)</f>
        <v>3671.7597572576619</v>
      </c>
      <c r="D16" s="94">
        <f>SUMIF(ResultDetail!$F$6:$F$59,$A16,ResultDetail!W$6:W$59)</f>
        <v>3809.3086327853671</v>
      </c>
      <c r="E16" s="94">
        <f>SUMIF(ResultDetail!$F$6:$F$59,$A16,ResultDetail!X$6:X$59)</f>
        <v>3972.8472392568583</v>
      </c>
      <c r="F16" s="94">
        <f>SUMIF(ResultDetail!$F$6:$F$59,$A16,ResultDetail!Y$6:Y$59)</f>
        <v>4422.8888430741781</v>
      </c>
      <c r="G16" s="94">
        <f>SUMIF(ResultDetail!$F$6:$F$59,$A16,ResultDetail!Z$6:Z$59)</f>
        <v>4800.6789841011196</v>
      </c>
      <c r="H16" s="94">
        <f>SUMIF(ResultDetail!$F$6:$F$59,$A16,ResultDetail!AA$6:AA$59)</f>
        <v>5068.8193125140269</v>
      </c>
      <c r="I16" s="94">
        <f>SUMIF(ResultDetail!$F$6:$F$59,$A16,ResultDetail!AB$6:AB$59)</f>
        <v>5300.7554995312175</v>
      </c>
      <c r="J16" s="94">
        <f>SUMIF(ResultDetail!$F$6:$F$59,$A16,ResultDetail!AC$6:AC$59)</f>
        <v>5487.7329549985225</v>
      </c>
      <c r="K16" s="94">
        <f>SUMIF(ResultDetail!$F$6:$F$59,$A16,ResultDetail!AD$6:AD$59)</f>
        <v>5821.263061976435</v>
      </c>
      <c r="L16" s="94">
        <f>SUMIF(ResultDetail!$F$6:$F$59,$A16,ResultDetail!AE$6:AE$59)</f>
        <v>6247.4523549758924</v>
      </c>
      <c r="M16" s="94">
        <f>SUMIF(ResultDetail!$F$6:$F$59,$A16,ResultDetail!AF$6:AF$59)</f>
        <v>6624.8187210067372</v>
      </c>
      <c r="N16" s="94">
        <f>SUMIF(ResultDetail!$F$6:$F$59,$A16,ResultDetail!AG$6:AG$59)</f>
        <v>7069.5676298543658</v>
      </c>
      <c r="O16" s="94">
        <f>SUMIF(ResultDetail!$F$6:$F$59,$A16,ResultDetail!AH$6:AH$59)</f>
        <v>7431.2562194365128</v>
      </c>
      <c r="P16" s="94">
        <f>SUMIF(ResultDetail!$F$6:$F$59,$A16,ResultDetail!AI$6:AI$59)</f>
        <v>7771.6541784386791</v>
      </c>
      <c r="Q16" s="94">
        <f>SUMIF(ResultDetail!$F$6:$F$59,$A16,ResultDetail!AJ$6:AJ$59)</f>
        <v>7963.5643474331882</v>
      </c>
      <c r="R16" s="94">
        <f>SUMIF(ResultDetail!$F$6:$F$59,$A16,ResultDetail!AK$6:AK$59)</f>
        <v>8315.746780849091</v>
      </c>
      <c r="S16" s="94">
        <f>SUMIF(ResultDetail!$F$6:$F$59,$A16,ResultDetail!AL$6:AL$59)</f>
        <v>8616.0071332868174</v>
      </c>
      <c r="T16" s="94">
        <f>SUMIF(ResultDetail!$F$6:$F$59,$A16,ResultDetail!AM$6:AM$59)</f>
        <v>8826.4821965551237</v>
      </c>
      <c r="U16" s="94">
        <f>SUMIF(ResultDetail!$F$6:$F$59,$A16,ResultDetail!AN$6:AN$59)</f>
        <v>9053.9631383179039</v>
      </c>
      <c r="V16" s="94">
        <f>SUMIF(ResultDetail!$F$6:$F$59,$A16,ResultDetail!AO$6:AO$59)</f>
        <v>9295.8778428755759</v>
      </c>
      <c r="W16" s="94">
        <f>SUMIF(ResultDetail!$F$6:$F$59,$A16,ResultDetail!AP$6:AP$59)</f>
        <v>9634.5285666163545</v>
      </c>
      <c r="X16" s="94">
        <f>SUMIF(ResultDetail!$F$6:$F$59,$A16,ResultDetail!AQ$6:AQ$59)</f>
        <v>9769.9901551907333</v>
      </c>
      <c r="Y16" s="94">
        <f>SUMIF(ResultDetail!$F$6:$F$59,$A16,ResultDetail!AR$6:AR$59)</f>
        <v>10068.706299051686</v>
      </c>
      <c r="Z16" s="94">
        <f>SUMIF(ResultDetail!$F$6:$F$59,$A16,ResultDetail!AS$6:AS$59)</f>
        <v>10264.121887684687</v>
      </c>
      <c r="AA16" s="94">
        <f>SUMIF(ResultDetail!$F$6:$F$59,$A16,ResultDetail!AT$6:AT$59)</f>
        <v>10312.140792628135</v>
      </c>
      <c r="AB16" s="94">
        <f>SUMIF(ResultDetail!$F$6:$F$59,$A16,ResultDetail!AU$6:AU$59)</f>
        <v>10363.819353407695</v>
      </c>
      <c r="AC16" s="94">
        <f>SUMIF(ResultDetail!$F$6:$F$59,$A16,ResultDetail!AV$6:AV$59)</f>
        <v>10595.160537416174</v>
      </c>
      <c r="AD16" s="94">
        <f>SUMIF(ResultDetail!$F$6:$F$59,$A16,ResultDetail!AW$6:AW$59)</f>
        <v>10835.098208575353</v>
      </c>
      <c r="AE16" s="94">
        <f>SUMIF(ResultDetail!$F$6:$F$59,$A16,ResultDetail!AX$6:AX$59)</f>
        <v>0</v>
      </c>
      <c r="AF16" s="94">
        <f>SUMIF(ResultDetail!$F$6:$F$59,$A16,ResultDetail!AY$6:AY$59)</f>
        <v>0</v>
      </c>
      <c r="AG16" s="94">
        <f>SUMIF(ResultDetail!$F$6:$F$59,$A16,ResultDetail!AZ$6:AZ$59)</f>
        <v>0</v>
      </c>
      <c r="AH16" s="94">
        <f>SUMIF(ResultDetail!$F$6:$F$59,$A16,ResultDetail!BA$6:BA$59)</f>
        <v>0</v>
      </c>
      <c r="AI16" s="94">
        <f>SUMIF(ResultDetail!$F$6:$F$59,$A16,ResultDetail!BB$6:BB$59)</f>
        <v>0</v>
      </c>
      <c r="AJ16" s="94">
        <f>SUMIF(ResultDetail!$F$6:$F$59,$A16,ResultDetail!BC$6:BC$59)</f>
        <v>0</v>
      </c>
      <c r="AK16" s="94">
        <f>SUMIF(ResultDetail!$F$6:$F$59,$A16,ResultDetail!BD$6:BD$59)</f>
        <v>0</v>
      </c>
      <c r="AL16" s="94">
        <f>SUMIF(ResultDetail!$F$6:$F$59,$A16,ResultDetail!BE$6:BE$59)</f>
        <v>0</v>
      </c>
    </row>
    <row r="17" spans="1:38" x14ac:dyDescent="0.35">
      <c r="A17" s="47">
        <v>3</v>
      </c>
      <c r="B17" s="18" t="s">
        <v>223</v>
      </c>
      <c r="C17" s="94">
        <f>SUMIF(ResultDetail!$F$6:$F$59,$A17,ResultDetail!V$6:V$59)</f>
        <v>2815.9246996996644</v>
      </c>
      <c r="D17" s="94">
        <f>SUMIF(ResultDetail!$F$6:$F$59,$A17,ResultDetail!W$6:W$59)</f>
        <v>2968.5725109413934</v>
      </c>
      <c r="E17" s="94">
        <f>SUMIF(ResultDetail!$F$6:$F$59,$A17,ResultDetail!X$6:X$59)</f>
        <v>3400.6571490065303</v>
      </c>
      <c r="F17" s="94">
        <f>SUMIF(ResultDetail!$F$6:$F$59,$A17,ResultDetail!Y$6:Y$59)</f>
        <v>3648.6086720524863</v>
      </c>
      <c r="G17" s="94">
        <f>SUMIF(ResultDetail!$F$6:$F$59,$A17,ResultDetail!Z$6:Z$59)</f>
        <v>4282.4384934012005</v>
      </c>
      <c r="H17" s="94">
        <f>SUMIF(ResultDetail!$F$6:$F$59,$A17,ResultDetail!AA$6:AA$59)</f>
        <v>5036.5533023980379</v>
      </c>
      <c r="I17" s="94">
        <f>SUMIF(ResultDetail!$F$6:$F$59,$A17,ResultDetail!AB$6:AB$59)</f>
        <v>5709.8492371403427</v>
      </c>
      <c r="J17" s="94">
        <f>SUMIF(ResultDetail!$F$6:$F$59,$A17,ResultDetail!AC$6:AC$59)</f>
        <v>6304.7303152633322</v>
      </c>
      <c r="K17" s="94">
        <f>SUMIF(ResultDetail!$F$6:$F$59,$A17,ResultDetail!AD$6:AD$59)</f>
        <v>6798.255230378536</v>
      </c>
      <c r="L17" s="94">
        <f>SUMIF(ResultDetail!$F$6:$F$59,$A17,ResultDetail!AE$6:AE$59)</f>
        <v>7533.4910210979833</v>
      </c>
      <c r="M17" s="94">
        <f>SUMIF(ResultDetail!$F$6:$F$59,$A17,ResultDetail!AF$6:AF$59)</f>
        <v>8622.9873540800691</v>
      </c>
      <c r="N17" s="94">
        <f>SUMIF(ResultDetail!$F$6:$F$59,$A17,ResultDetail!AG$6:AG$59)</f>
        <v>9397.4174749218128</v>
      </c>
      <c r="O17" s="94">
        <f>SUMIF(ResultDetail!$F$6:$F$59,$A17,ResultDetail!AH$6:AH$59)</f>
        <v>9650.4689086813523</v>
      </c>
      <c r="P17" s="94">
        <f>SUMIF(ResultDetail!$F$6:$F$59,$A17,ResultDetail!AI$6:AI$59)</f>
        <v>9636.2942003396711</v>
      </c>
      <c r="Q17" s="94">
        <f>SUMIF(ResultDetail!$F$6:$F$59,$A17,ResultDetail!AJ$6:AJ$59)</f>
        <v>9515.5693695117461</v>
      </c>
      <c r="R17" s="94">
        <f>SUMIF(ResultDetail!$F$6:$F$59,$A17,ResultDetail!AK$6:AK$59)</f>
        <v>9460.4467591668563</v>
      </c>
      <c r="S17" s="94">
        <f>SUMIF(ResultDetail!$F$6:$F$59,$A17,ResultDetail!AL$6:AL$59)</f>
        <v>9661.4442236243394</v>
      </c>
      <c r="T17" s="94">
        <f>SUMIF(ResultDetail!$F$6:$F$59,$A17,ResultDetail!AM$6:AM$59)</f>
        <v>9852.2457594128136</v>
      </c>
      <c r="U17" s="94">
        <f>SUMIF(ResultDetail!$F$6:$F$59,$A17,ResultDetail!AN$6:AN$59)</f>
        <v>10155.252709573326</v>
      </c>
      <c r="V17" s="94">
        <f>SUMIF(ResultDetail!$F$6:$F$59,$A17,ResultDetail!AO$6:AO$59)</f>
        <v>10441.125448948667</v>
      </c>
      <c r="W17" s="94">
        <f>SUMIF(ResultDetail!$F$6:$F$59,$A17,ResultDetail!AP$6:AP$59)</f>
        <v>10546.493522537643</v>
      </c>
      <c r="X17" s="94">
        <f>SUMIF(ResultDetail!$F$6:$F$59,$A17,ResultDetail!AQ$6:AQ$59)</f>
        <v>10760.564503771773</v>
      </c>
      <c r="Y17" s="94">
        <f>SUMIF(ResultDetail!$F$6:$F$59,$A17,ResultDetail!AR$6:AR$59)</f>
        <v>11003.921374385453</v>
      </c>
      <c r="Z17" s="94">
        <f>SUMIF(ResultDetail!$F$6:$F$59,$A17,ResultDetail!AS$6:AS$59)</f>
        <v>11254.128630297395</v>
      </c>
      <c r="AA17" s="94">
        <f>SUMIF(ResultDetail!$F$6:$F$59,$A17,ResultDetail!AT$6:AT$59)</f>
        <v>11543.510010866125</v>
      </c>
      <c r="AB17" s="94">
        <f>SUMIF(ResultDetail!$F$6:$F$59,$A17,ResultDetail!AU$6:AU$59)</f>
        <v>11889.286875440706</v>
      </c>
      <c r="AC17" s="94">
        <f>SUMIF(ResultDetail!$F$6:$F$59,$A17,ResultDetail!AV$6:AV$59)</f>
        <v>12222.974965625523</v>
      </c>
      <c r="AD17" s="94">
        <f>SUMIF(ResultDetail!$F$6:$F$59,$A17,ResultDetail!AW$6:AW$59)</f>
        <v>12568.5127084094</v>
      </c>
      <c r="AE17" s="94">
        <f>SUMIF(ResultDetail!$F$6:$F$59,$A17,ResultDetail!AX$6:AX$59)</f>
        <v>0</v>
      </c>
      <c r="AF17" s="94">
        <f>SUMIF(ResultDetail!$F$6:$F$59,$A17,ResultDetail!AY$6:AY$59)</f>
        <v>0</v>
      </c>
      <c r="AG17" s="94">
        <f>SUMIF(ResultDetail!$F$6:$F$59,$A17,ResultDetail!AZ$6:AZ$59)</f>
        <v>0</v>
      </c>
      <c r="AH17" s="94">
        <f>SUMIF(ResultDetail!$F$6:$F$59,$A17,ResultDetail!BA$6:BA$59)</f>
        <v>0</v>
      </c>
      <c r="AI17" s="94">
        <f>SUMIF(ResultDetail!$F$6:$F$59,$A17,ResultDetail!BB$6:BB$59)</f>
        <v>0</v>
      </c>
      <c r="AJ17" s="94">
        <f>SUMIF(ResultDetail!$F$6:$F$59,$A17,ResultDetail!BC$6:BC$59)</f>
        <v>0</v>
      </c>
      <c r="AK17" s="94">
        <f>SUMIF(ResultDetail!$F$6:$F$59,$A17,ResultDetail!BD$6:BD$59)</f>
        <v>0</v>
      </c>
      <c r="AL17" s="94">
        <f>SUMIF(ResultDetail!$F$6:$F$59,$A17,ResultDetail!BE$6:BE$59)</f>
        <v>0</v>
      </c>
    </row>
    <row r="18" spans="1:38" x14ac:dyDescent="0.35">
      <c r="A18" s="47" t="s">
        <v>120</v>
      </c>
      <c r="B18" s="18" t="s">
        <v>224</v>
      </c>
      <c r="C18" s="94">
        <f>SUMIF(ResultDetail!$F$6:$F$59,$A18,ResultDetail!V$6:V$59)</f>
        <v>5208.7716716646737</v>
      </c>
      <c r="D18" s="94">
        <f>SUMIF(ResultDetail!$F$6:$F$59,$A18,ResultDetail!W$6:W$59)</f>
        <v>5522.6512066487167</v>
      </c>
      <c r="E18" s="94">
        <f>SUMIF(ResultDetail!$F$6:$F$59,$A18,ResultDetail!X$6:X$59)</f>
        <v>5804.4886127074042</v>
      </c>
      <c r="F18" s="94">
        <f>SUMIF(ResultDetail!$F$6:$F$59,$A18,ResultDetail!Y$6:Y$59)</f>
        <v>6051.8730554747299</v>
      </c>
      <c r="G18" s="94">
        <f>SUMIF(ResultDetail!$F$6:$F$59,$A18,ResultDetail!Z$6:Z$59)</f>
        <v>6266.6498626771308</v>
      </c>
      <c r="H18" s="94">
        <f>SUMIF(ResultDetail!$F$6:$F$59,$A18,ResultDetail!AA$6:AA$59)</f>
        <v>6438.7334286459536</v>
      </c>
      <c r="I18" s="94">
        <f>SUMIF(ResultDetail!$F$6:$F$59,$A18,ResultDetail!AB$6:AB$59)</f>
        <v>6570.7198006832641</v>
      </c>
      <c r="J18" s="94">
        <f>SUMIF(ResultDetail!$F$6:$F$59,$A18,ResultDetail!AC$6:AC$59)</f>
        <v>6665.980375346684</v>
      </c>
      <c r="K18" s="94">
        <f>SUMIF(ResultDetail!$F$6:$F$59,$A18,ResultDetail!AD$6:AD$59)</f>
        <v>6726.6362090611274</v>
      </c>
      <c r="L18" s="94">
        <f>SUMIF(ResultDetail!$F$6:$F$59,$A18,ResultDetail!AE$6:AE$59)</f>
        <v>6767.7398572076709</v>
      </c>
      <c r="M18" s="94">
        <f>SUMIF(ResultDetail!$F$6:$F$59,$A18,ResultDetail!AF$6:AF$59)</f>
        <v>6919.4848376617956</v>
      </c>
      <c r="N18" s="94">
        <f>SUMIF(ResultDetail!$F$6:$F$59,$A18,ResultDetail!AG$6:AG$59)</f>
        <v>7050.8417924987771</v>
      </c>
      <c r="O18" s="94">
        <f>SUMIF(ResultDetail!$F$6:$F$59,$A18,ResultDetail!AH$6:AH$59)</f>
        <v>7214.9698301691842</v>
      </c>
      <c r="P18" s="94">
        <f>SUMIF(ResultDetail!$F$6:$F$59,$A18,ResultDetail!AI$6:AI$59)</f>
        <v>7364.2947827961234</v>
      </c>
      <c r="Q18" s="94">
        <f>SUMIF(ResultDetail!$F$6:$F$59,$A18,ResultDetail!AJ$6:AJ$59)</f>
        <v>7496.036881048979</v>
      </c>
      <c r="R18" s="94">
        <f>SUMIF(ResultDetail!$F$6:$F$59,$A18,ResultDetail!AK$6:AK$59)</f>
        <v>7606.3838429691914</v>
      </c>
      <c r="S18" s="94">
        <f>SUMIF(ResultDetail!$F$6:$F$59,$A18,ResultDetail!AL$6:AL$59)</f>
        <v>7795.923586150433</v>
      </c>
      <c r="T18" s="94">
        <f>SUMIF(ResultDetail!$F$6:$F$59,$A18,ResultDetail!AM$6:AM$59)</f>
        <v>7920.9596211818607</v>
      </c>
      <c r="U18" s="94">
        <f>SUMIF(ResultDetail!$F$6:$F$59,$A18,ResultDetail!AN$6:AN$59)</f>
        <v>7995.3502558891696</v>
      </c>
      <c r="V18" s="94">
        <f>SUMIF(ResultDetail!$F$6:$F$59,$A18,ResultDetail!AO$6:AO$59)</f>
        <v>8019.187996826724</v>
      </c>
      <c r="W18" s="94">
        <f>SUMIF(ResultDetail!$F$6:$F$59,$A18,ResultDetail!AP$6:AP$59)</f>
        <v>8014.3907339843818</v>
      </c>
      <c r="X18" s="94">
        <f>SUMIF(ResultDetail!$F$6:$F$59,$A18,ResultDetail!AQ$6:AQ$59)</f>
        <v>8001.4440822131091</v>
      </c>
      <c r="Y18" s="94">
        <f>SUMIF(ResultDetail!$F$6:$F$59,$A18,ResultDetail!AR$6:AR$59)</f>
        <v>8016.4577213378279</v>
      </c>
      <c r="Z18" s="94">
        <f>SUMIF(ResultDetail!$F$6:$F$59,$A18,ResultDetail!AS$6:AS$59)</f>
        <v>8065.9456589803367</v>
      </c>
      <c r="AA18" s="94">
        <f>SUMIF(ResultDetail!$F$6:$F$59,$A18,ResultDetail!AT$6:AT$59)</f>
        <v>8101.5016310002502</v>
      </c>
      <c r="AB18" s="94">
        <f>SUMIF(ResultDetail!$F$6:$F$59,$A18,ResultDetail!AU$6:AU$59)</f>
        <v>8196.221977878271</v>
      </c>
      <c r="AC18" s="94">
        <f>SUMIF(ResultDetail!$F$6:$F$59,$A18,ResultDetail!AV$6:AV$59)</f>
        <v>8285.6595549487211</v>
      </c>
      <c r="AD18" s="94">
        <f>SUMIF(ResultDetail!$F$6:$F$59,$A18,ResultDetail!AW$6:AW$59)</f>
        <v>8388.2034037270205</v>
      </c>
      <c r="AE18" s="94">
        <f>SUMIF(ResultDetail!$F$6:$F$59,$A18,ResultDetail!AX$6:AX$59)</f>
        <v>0</v>
      </c>
      <c r="AF18" s="94">
        <f>SUMIF(ResultDetail!$F$6:$F$59,$A18,ResultDetail!AY$6:AY$59)</f>
        <v>0</v>
      </c>
      <c r="AG18" s="94">
        <f>SUMIF(ResultDetail!$F$6:$F$59,$A18,ResultDetail!AZ$6:AZ$59)</f>
        <v>0</v>
      </c>
      <c r="AH18" s="94">
        <f>SUMIF(ResultDetail!$F$6:$F$59,$A18,ResultDetail!BA$6:BA$59)</f>
        <v>0</v>
      </c>
      <c r="AI18" s="94">
        <f>SUMIF(ResultDetail!$F$6:$F$59,$A18,ResultDetail!BB$6:BB$59)</f>
        <v>0</v>
      </c>
      <c r="AJ18" s="94">
        <f>SUMIF(ResultDetail!$F$6:$F$59,$A18,ResultDetail!BC$6:BC$59)</f>
        <v>0</v>
      </c>
      <c r="AK18" s="94">
        <f>SUMIF(ResultDetail!$F$6:$F$59,$A18,ResultDetail!BD$6:BD$59)</f>
        <v>0</v>
      </c>
      <c r="AL18" s="94">
        <f>SUMIF(ResultDetail!$F$6:$F$59,$A18,ResultDetail!BE$6:BE$59)</f>
        <v>0</v>
      </c>
    </row>
    <row r="19" spans="1:38" x14ac:dyDescent="0.35">
      <c r="A19" s="47" t="s">
        <v>121</v>
      </c>
      <c r="B19" s="18" t="s">
        <v>122</v>
      </c>
      <c r="C19" s="94">
        <f>SUMIF(ResultDetail!$F$6:$F$59,$A19,ResultDetail!V$6:V$59)</f>
        <v>0</v>
      </c>
      <c r="D19" s="94">
        <f>SUMIF(ResultDetail!$F$6:$F$59,$A19,ResultDetail!W$6:W$59)</f>
        <v>0</v>
      </c>
      <c r="E19" s="94">
        <f>SUMIF(ResultDetail!$F$6:$F$59,$A19,ResultDetail!X$6:X$59)</f>
        <v>0</v>
      </c>
      <c r="F19" s="94">
        <f>SUMIF(ResultDetail!$F$6:$F$59,$A19,ResultDetail!Y$6:Y$59)</f>
        <v>0</v>
      </c>
      <c r="G19" s="94">
        <f>SUMIF(ResultDetail!$F$6:$F$59,$A19,ResultDetail!Z$6:Z$59)</f>
        <v>0</v>
      </c>
      <c r="H19" s="94">
        <f>SUMIF(ResultDetail!$F$6:$F$59,$A19,ResultDetail!AA$6:AA$59)</f>
        <v>0</v>
      </c>
      <c r="I19" s="94">
        <f>SUMIF(ResultDetail!$F$6:$F$59,$A19,ResultDetail!AB$6:AB$59)</f>
        <v>0</v>
      </c>
      <c r="J19" s="94">
        <f>SUMIF(ResultDetail!$F$6:$F$59,$A19,ResultDetail!AC$6:AC$59)</f>
        <v>0</v>
      </c>
      <c r="K19" s="94">
        <f>SUMIF(ResultDetail!$F$6:$F$59,$A19,ResultDetail!AD$6:AD$59)</f>
        <v>0</v>
      </c>
      <c r="L19" s="94">
        <f>SUMIF(ResultDetail!$F$6:$F$59,$A19,ResultDetail!AE$6:AE$59)</f>
        <v>0</v>
      </c>
      <c r="M19" s="94">
        <f>SUMIF(ResultDetail!$F$6:$F$59,$A19,ResultDetail!AF$6:AF$59)</f>
        <v>0</v>
      </c>
      <c r="N19" s="94">
        <f>SUMIF(ResultDetail!$F$6:$F$59,$A19,ResultDetail!AG$6:AG$59)</f>
        <v>0</v>
      </c>
      <c r="O19" s="94">
        <f>SUMIF(ResultDetail!$F$6:$F$59,$A19,ResultDetail!AH$6:AH$59)</f>
        <v>0</v>
      </c>
      <c r="P19" s="94">
        <f>SUMIF(ResultDetail!$F$6:$F$59,$A19,ResultDetail!AI$6:AI$59)</f>
        <v>0</v>
      </c>
      <c r="Q19" s="94">
        <f>SUMIF(ResultDetail!$F$6:$F$59,$A19,ResultDetail!AJ$6:AJ$59)</f>
        <v>9.177288350378883E-2</v>
      </c>
      <c r="R19" s="94">
        <f>SUMIF(ResultDetail!$F$6:$F$59,$A19,ResultDetail!AK$6:AK$59)</f>
        <v>0.28562176497367259</v>
      </c>
      <c r="S19" s="94">
        <f>SUMIF(ResultDetail!$F$6:$F$59,$A19,ResultDetail!AL$6:AL$59)</f>
        <v>0.50158632447480211</v>
      </c>
      <c r="T19" s="94">
        <f>SUMIF(ResultDetail!$F$6:$F$59,$A19,ResultDetail!AM$6:AM$59)</f>
        <v>0.74720610707107704</v>
      </c>
      <c r="U19" s="94">
        <f>SUMIF(ResultDetail!$F$6:$F$59,$A19,ResultDetail!AN$6:AN$59)</f>
        <v>1.0167364379626989</v>
      </c>
      <c r="V19" s="94">
        <f>SUMIF(ResultDetail!$F$6:$F$59,$A19,ResultDetail!AO$6:AO$59)</f>
        <v>1.3622896779726954</v>
      </c>
      <c r="W19" s="94">
        <f>SUMIF(ResultDetail!$F$6:$F$59,$A19,ResultDetail!AP$6:AP$59)</f>
        <v>1.8525871816751032</v>
      </c>
      <c r="X19" s="94">
        <f>SUMIF(ResultDetail!$F$6:$F$59,$A19,ResultDetail!AQ$6:AQ$59)</f>
        <v>2.7794434707332281</v>
      </c>
      <c r="Y19" s="94">
        <f>SUMIF(ResultDetail!$F$6:$F$59,$A19,ResultDetail!AR$6:AR$59)</f>
        <v>5.1838978125152284</v>
      </c>
      <c r="Z19" s="94">
        <f>SUMIF(ResultDetail!$F$6:$F$59,$A19,ResultDetail!AS$6:AS$59)</f>
        <v>10.205953049756946</v>
      </c>
      <c r="AA19" s="94">
        <f>SUMIF(ResultDetail!$F$6:$F$59,$A19,ResultDetail!AT$6:AT$59)</f>
        <v>19.446295749057072</v>
      </c>
      <c r="AB19" s="94">
        <f>SUMIF(ResultDetail!$F$6:$F$59,$A19,ResultDetail!AU$6:AU$59)</f>
        <v>34.867973744174975</v>
      </c>
      <c r="AC19" s="94">
        <f>SUMIF(ResultDetail!$F$6:$F$59,$A19,ResultDetail!AV$6:AV$59)</f>
        <v>53.741122031110393</v>
      </c>
      <c r="AD19" s="94">
        <f>SUMIF(ResultDetail!$F$6:$F$59,$A19,ResultDetail!AW$6:AW$59)</f>
        <v>72.500053675882668</v>
      </c>
      <c r="AE19" s="94">
        <f>SUMIF(ResultDetail!$F$6:$F$59,$A19,ResultDetail!AX$6:AX$59)</f>
        <v>0</v>
      </c>
      <c r="AF19" s="94">
        <f>SUMIF(ResultDetail!$F$6:$F$59,$A19,ResultDetail!AY$6:AY$59)</f>
        <v>0</v>
      </c>
      <c r="AG19" s="94">
        <f>SUMIF(ResultDetail!$F$6:$F$59,$A19,ResultDetail!AZ$6:AZ$59)</f>
        <v>0</v>
      </c>
      <c r="AH19" s="94">
        <f>SUMIF(ResultDetail!$F$6:$F$59,$A19,ResultDetail!BA$6:BA$59)</f>
        <v>0</v>
      </c>
      <c r="AI19" s="94">
        <f>SUMIF(ResultDetail!$F$6:$F$59,$A19,ResultDetail!BB$6:BB$59)</f>
        <v>0</v>
      </c>
      <c r="AJ19" s="94">
        <f>SUMIF(ResultDetail!$F$6:$F$59,$A19,ResultDetail!BC$6:BC$59)</f>
        <v>0</v>
      </c>
      <c r="AK19" s="94">
        <f>SUMIF(ResultDetail!$F$6:$F$59,$A19,ResultDetail!BD$6:BD$59)</f>
        <v>0</v>
      </c>
      <c r="AL19" s="94">
        <f>SUMIF(ResultDetail!$F$6:$F$59,$A19,ResultDetail!BE$6:BE$59)</f>
        <v>0</v>
      </c>
    </row>
    <row r="20" spans="1:38" x14ac:dyDescent="0.35">
      <c r="A20" s="47">
        <v>5</v>
      </c>
      <c r="B20" s="18" t="s">
        <v>225</v>
      </c>
      <c r="C20" s="94">
        <f>SUMIF(ResultDetail!$F$6:$F$59,$A20,ResultDetail!V$6:V$59)</f>
        <v>1474.929781987958</v>
      </c>
      <c r="D20" s="94">
        <f>SUMIF(ResultDetail!$F$6:$F$59,$A20,ResultDetail!W$6:W$59)</f>
        <v>1603.7533638979307</v>
      </c>
      <c r="E20" s="94">
        <f>SUMIF(ResultDetail!$F$6:$F$59,$A20,ResultDetail!X$6:X$59)</f>
        <v>1739.8693493248743</v>
      </c>
      <c r="F20" s="94">
        <f>SUMIF(ResultDetail!$F$6:$F$59,$A20,ResultDetail!Y$6:Y$59)</f>
        <v>1883.5289087001056</v>
      </c>
      <c r="G20" s="94">
        <f>SUMIF(ResultDetail!$F$6:$F$59,$A20,ResultDetail!Z$6:Z$59)</f>
        <v>2041.2970827263111</v>
      </c>
      <c r="H20" s="94">
        <f>SUMIF(ResultDetail!$F$6:$F$59,$A20,ResultDetail!AA$6:AA$59)</f>
        <v>2210.9302568211519</v>
      </c>
      <c r="I20" s="94">
        <f>SUMIF(ResultDetail!$F$6:$F$59,$A20,ResultDetail!AB$6:AB$59)</f>
        <v>2398.8544716993874</v>
      </c>
      <c r="J20" s="94">
        <f>SUMIF(ResultDetail!$F$6:$F$59,$A20,ResultDetail!AC$6:AC$59)</f>
        <v>2599.1483299086349</v>
      </c>
      <c r="K20" s="94">
        <f>SUMIF(ResultDetail!$F$6:$F$59,$A20,ResultDetail!AD$6:AD$59)</f>
        <v>2818.4809222353374</v>
      </c>
      <c r="L20" s="94">
        <f>SUMIF(ResultDetail!$F$6:$F$59,$A20,ResultDetail!AE$6:AE$59)</f>
        <v>3060.719260219008</v>
      </c>
      <c r="M20" s="94">
        <f>SUMIF(ResultDetail!$F$6:$F$59,$A20,ResultDetail!AF$6:AF$59)</f>
        <v>3330.3276231771874</v>
      </c>
      <c r="N20" s="94">
        <f>SUMIF(ResultDetail!$F$6:$F$59,$A20,ResultDetail!AG$6:AG$59)</f>
        <v>3631.7132465004884</v>
      </c>
      <c r="O20" s="94">
        <f>SUMIF(ResultDetail!$F$6:$F$59,$A20,ResultDetail!AH$6:AH$59)</f>
        <v>3961.4616260866133</v>
      </c>
      <c r="P20" s="94">
        <f>SUMIF(ResultDetail!$F$6:$F$59,$A20,ResultDetail!AI$6:AI$59)</f>
        <v>4306.877531097165</v>
      </c>
      <c r="Q20" s="94">
        <f>SUMIF(ResultDetail!$F$6:$F$59,$A20,ResultDetail!AJ$6:AJ$59)</f>
        <v>4644.1316191537735</v>
      </c>
      <c r="R20" s="94">
        <f>SUMIF(ResultDetail!$F$6:$F$59,$A20,ResultDetail!AK$6:AK$59)</f>
        <v>4971.0920807989414</v>
      </c>
      <c r="S20" s="94">
        <f>SUMIF(ResultDetail!$F$6:$F$59,$A20,ResultDetail!AL$6:AL$59)</f>
        <v>5278.7572095822698</v>
      </c>
      <c r="T20" s="94">
        <f>SUMIF(ResultDetail!$F$6:$F$59,$A20,ResultDetail!AM$6:AM$59)</f>
        <v>5560.5910355663691</v>
      </c>
      <c r="U20" s="94">
        <f>SUMIF(ResultDetail!$F$6:$F$59,$A20,ResultDetail!AN$6:AN$59)</f>
        <v>5829.4800374277338</v>
      </c>
      <c r="V20" s="94">
        <f>SUMIF(ResultDetail!$F$6:$F$59,$A20,ResultDetail!AO$6:AO$59)</f>
        <v>6085.9665420632973</v>
      </c>
      <c r="W20" s="94">
        <f>SUMIF(ResultDetail!$F$6:$F$59,$A20,ResultDetail!AP$6:AP$59)</f>
        <v>6341.4007328722018</v>
      </c>
      <c r="X20" s="94">
        <f>SUMIF(ResultDetail!$F$6:$F$59,$A20,ResultDetail!AQ$6:AQ$59)</f>
        <v>6595.1966584739812</v>
      </c>
      <c r="Y20" s="94">
        <f>SUMIF(ResultDetail!$F$6:$F$59,$A20,ResultDetail!AR$6:AR$59)</f>
        <v>6862.0439904306522</v>
      </c>
      <c r="Z20" s="94">
        <f>SUMIF(ResultDetail!$F$6:$F$59,$A20,ResultDetail!AS$6:AS$59)</f>
        <v>7159.6039633089667</v>
      </c>
      <c r="AA20" s="94">
        <f>SUMIF(ResultDetail!$F$6:$F$59,$A20,ResultDetail!AT$6:AT$59)</f>
        <v>7477.7949534636691</v>
      </c>
      <c r="AB20" s="94">
        <f>SUMIF(ResultDetail!$F$6:$F$59,$A20,ResultDetail!AU$6:AU$59)</f>
        <v>7813.123836199049</v>
      </c>
      <c r="AC20" s="94">
        <f>SUMIF(ResultDetail!$F$6:$F$59,$A20,ResultDetail!AV$6:AV$59)</f>
        <v>8160.473612931969</v>
      </c>
      <c r="AD20" s="94">
        <f>SUMIF(ResultDetail!$F$6:$F$59,$A20,ResultDetail!AW$6:AW$59)</f>
        <v>8521.723442288463</v>
      </c>
      <c r="AE20" s="94">
        <f>SUMIF(ResultDetail!$F$6:$F$59,$A20,ResultDetail!AX$6:AX$59)</f>
        <v>0</v>
      </c>
      <c r="AF20" s="94">
        <f>SUMIF(ResultDetail!$F$6:$F$59,$A20,ResultDetail!AY$6:AY$59)</f>
        <v>0</v>
      </c>
      <c r="AG20" s="94">
        <f>SUMIF(ResultDetail!$F$6:$F$59,$A20,ResultDetail!AZ$6:AZ$59)</f>
        <v>0</v>
      </c>
      <c r="AH20" s="94">
        <f>SUMIF(ResultDetail!$F$6:$F$59,$A20,ResultDetail!BA$6:BA$59)</f>
        <v>0</v>
      </c>
      <c r="AI20" s="94">
        <f>SUMIF(ResultDetail!$F$6:$F$59,$A20,ResultDetail!BB$6:BB$59)</f>
        <v>0</v>
      </c>
      <c r="AJ20" s="94">
        <f>SUMIF(ResultDetail!$F$6:$F$59,$A20,ResultDetail!BC$6:BC$59)</f>
        <v>0</v>
      </c>
      <c r="AK20" s="94">
        <f>SUMIF(ResultDetail!$F$6:$F$59,$A20,ResultDetail!BD$6:BD$59)</f>
        <v>0</v>
      </c>
      <c r="AL20" s="94">
        <f>SUMIF(ResultDetail!$F$6:$F$59,$A20,ResultDetail!BE$6:BE$59)</f>
        <v>0</v>
      </c>
    </row>
    <row r="21" spans="1:38" x14ac:dyDescent="0.35">
      <c r="A21" s="47">
        <v>6</v>
      </c>
      <c r="B21" s="18" t="s">
        <v>226</v>
      </c>
      <c r="C21" s="94">
        <f>SUMIF(ResultDetail!$F$6:$F$59,$A21,ResultDetail!V$6:V$59)</f>
        <v>404.8884544412557</v>
      </c>
      <c r="D21" s="94">
        <f>SUMIF(ResultDetail!$F$6:$F$59,$A21,ResultDetail!W$6:W$59)</f>
        <v>429.71461919205331</v>
      </c>
      <c r="E21" s="94">
        <f>SUMIF(ResultDetail!$F$6:$F$59,$A21,ResultDetail!X$6:X$59)</f>
        <v>460.07407417051445</v>
      </c>
      <c r="F21" s="94">
        <f>SUMIF(ResultDetail!$F$6:$F$59,$A21,ResultDetail!Y$6:Y$59)</f>
        <v>512.4636383605382</v>
      </c>
      <c r="G21" s="94">
        <f>SUMIF(ResultDetail!$F$6:$F$59,$A21,ResultDetail!Z$6:Z$59)</f>
        <v>593.47348880655443</v>
      </c>
      <c r="H21" s="94">
        <f>SUMIF(ResultDetail!$F$6:$F$59,$A21,ResultDetail!AA$6:AA$59)</f>
        <v>728.19770369186926</v>
      </c>
      <c r="I21" s="94">
        <f>SUMIF(ResultDetail!$F$6:$F$59,$A21,ResultDetail!AB$6:AB$59)</f>
        <v>869.12040647726019</v>
      </c>
      <c r="J21" s="94">
        <f>SUMIF(ResultDetail!$F$6:$F$59,$A21,ResultDetail!AC$6:AC$59)</f>
        <v>1023.4002693974001</v>
      </c>
      <c r="K21" s="94">
        <f>SUMIF(ResultDetail!$F$6:$F$59,$A21,ResultDetail!AD$6:AD$59)</f>
        <v>1132.7302884126575</v>
      </c>
      <c r="L21" s="94">
        <f>SUMIF(ResultDetail!$F$6:$F$59,$A21,ResultDetail!AE$6:AE$59)</f>
        <v>1248.676133339608</v>
      </c>
      <c r="M21" s="94">
        <f>SUMIF(ResultDetail!$F$6:$F$59,$A21,ResultDetail!AF$6:AF$59)</f>
        <v>1441.7838129158345</v>
      </c>
      <c r="N21" s="94">
        <f>SUMIF(ResultDetail!$F$6:$F$59,$A21,ResultDetail!AG$6:AG$59)</f>
        <v>1708.4159736129759</v>
      </c>
      <c r="O21" s="94">
        <f>SUMIF(ResultDetail!$F$6:$F$59,$A21,ResultDetail!AH$6:AH$59)</f>
        <v>2039.3325372363404</v>
      </c>
      <c r="P21" s="94">
        <f>SUMIF(ResultDetail!$F$6:$F$59,$A21,ResultDetail!AI$6:AI$59)</f>
        <v>2346.4400725563232</v>
      </c>
      <c r="Q21" s="94">
        <f>SUMIF(ResultDetail!$F$6:$F$59,$A21,ResultDetail!AJ$6:AJ$59)</f>
        <v>2584.1435325085931</v>
      </c>
      <c r="R21" s="94">
        <f>SUMIF(ResultDetail!$F$6:$F$59,$A21,ResultDetail!AK$6:AK$59)</f>
        <v>2901.7009587457246</v>
      </c>
      <c r="S21" s="94">
        <f>SUMIF(ResultDetail!$F$6:$F$59,$A21,ResultDetail!AL$6:AL$59)</f>
        <v>3166.6172714426752</v>
      </c>
      <c r="T21" s="94">
        <f>SUMIF(ResultDetail!$F$6:$F$59,$A21,ResultDetail!AM$6:AM$59)</f>
        <v>3436.3058603420982</v>
      </c>
      <c r="U21" s="94">
        <f>SUMIF(ResultDetail!$F$6:$F$59,$A21,ResultDetail!AN$6:AN$59)</f>
        <v>3583.9830156568109</v>
      </c>
      <c r="V21" s="94">
        <f>SUMIF(ResultDetail!$F$6:$F$59,$A21,ResultDetail!AO$6:AO$59)</f>
        <v>3715.8432978087485</v>
      </c>
      <c r="W21" s="94">
        <f>SUMIF(ResultDetail!$F$6:$F$59,$A21,ResultDetail!AP$6:AP$59)</f>
        <v>3837.2764830717788</v>
      </c>
      <c r="X21" s="94">
        <f>SUMIF(ResultDetail!$F$6:$F$59,$A21,ResultDetail!AQ$6:AQ$59)</f>
        <v>3923.969080937964</v>
      </c>
      <c r="Y21" s="94">
        <f>SUMIF(ResultDetail!$F$6:$F$59,$A21,ResultDetail!AR$6:AR$59)</f>
        <v>4024.158542282777</v>
      </c>
      <c r="Z21" s="94">
        <f>SUMIF(ResultDetail!$F$6:$F$59,$A21,ResultDetail!AS$6:AS$59)</f>
        <v>4136.2982491633356</v>
      </c>
      <c r="AA21" s="94">
        <f>SUMIF(ResultDetail!$F$6:$F$59,$A21,ResultDetail!AT$6:AT$59)</f>
        <v>4296.417562273301</v>
      </c>
      <c r="AB21" s="94">
        <f>SUMIF(ResultDetail!$F$6:$F$59,$A21,ResultDetail!AU$6:AU$59)</f>
        <v>4451.7983721209275</v>
      </c>
      <c r="AC21" s="94">
        <f>SUMIF(ResultDetail!$F$6:$F$59,$A21,ResultDetail!AV$6:AV$59)</f>
        <v>4600.7377658478317</v>
      </c>
      <c r="AD21" s="94">
        <f>SUMIF(ResultDetail!$F$6:$F$59,$A21,ResultDetail!AW$6:AW$59)</f>
        <v>4747.6317800692195</v>
      </c>
      <c r="AE21" s="94">
        <f>SUMIF(ResultDetail!$F$6:$F$59,$A21,ResultDetail!AX$6:AX$59)</f>
        <v>0</v>
      </c>
      <c r="AF21" s="94">
        <f>SUMIF(ResultDetail!$F$6:$F$59,$A21,ResultDetail!AY$6:AY$59)</f>
        <v>0</v>
      </c>
      <c r="AG21" s="94">
        <f>SUMIF(ResultDetail!$F$6:$F$59,$A21,ResultDetail!AZ$6:AZ$59)</f>
        <v>0</v>
      </c>
      <c r="AH21" s="94">
        <f>SUMIF(ResultDetail!$F$6:$F$59,$A21,ResultDetail!BA$6:BA$59)</f>
        <v>0</v>
      </c>
      <c r="AI21" s="94">
        <f>SUMIF(ResultDetail!$F$6:$F$59,$A21,ResultDetail!BB$6:BB$59)</f>
        <v>0</v>
      </c>
      <c r="AJ21" s="94">
        <f>SUMIF(ResultDetail!$F$6:$F$59,$A21,ResultDetail!BC$6:BC$59)</f>
        <v>0</v>
      </c>
      <c r="AK21" s="94">
        <f>SUMIF(ResultDetail!$F$6:$F$59,$A21,ResultDetail!BD$6:BD$59)</f>
        <v>0</v>
      </c>
      <c r="AL21" s="94">
        <f>SUMIF(ResultDetail!$F$6:$F$59,$A21,ResultDetail!BE$6:BE$59)</f>
        <v>0</v>
      </c>
    </row>
    <row r="22" spans="1:38" x14ac:dyDescent="0.35">
      <c r="A22" s="47">
        <v>7</v>
      </c>
      <c r="B22" s="18" t="s">
        <v>227</v>
      </c>
      <c r="C22" s="94">
        <f>SUMIF(ResultDetail!$F$6:$F$59,$A22,ResultDetail!V$6:V$59)</f>
        <v>314.00828006334314</v>
      </c>
      <c r="D22" s="94">
        <f>SUMIF(ResultDetail!$F$6:$F$59,$A22,ResultDetail!W$6:W$59)</f>
        <v>339.21647963548355</v>
      </c>
      <c r="E22" s="94">
        <f>SUMIF(ResultDetail!$F$6:$F$59,$A22,ResultDetail!X$6:X$59)</f>
        <v>360.05983793172544</v>
      </c>
      <c r="F22" s="94">
        <f>SUMIF(ResultDetail!$F$6:$F$59,$A22,ResultDetail!Y$6:Y$59)</f>
        <v>377.34275866424599</v>
      </c>
      <c r="G22" s="94">
        <f>SUMIF(ResultDetail!$F$6:$F$59,$A22,ResultDetail!Z$6:Z$59)</f>
        <v>400.93983138646036</v>
      </c>
      <c r="H22" s="94">
        <f>SUMIF(ResultDetail!$F$6:$F$59,$A22,ResultDetail!AA$6:AA$59)</f>
        <v>429.92195522384714</v>
      </c>
      <c r="I22" s="94">
        <f>SUMIF(ResultDetail!$F$6:$F$59,$A22,ResultDetail!AB$6:AB$59)</f>
        <v>466.22699472114027</v>
      </c>
      <c r="J22" s="94">
        <f>SUMIF(ResultDetail!$F$6:$F$59,$A22,ResultDetail!AC$6:AC$59)</f>
        <v>508.22984459583353</v>
      </c>
      <c r="K22" s="94">
        <f>SUMIF(ResultDetail!$F$6:$F$59,$A22,ResultDetail!AD$6:AD$59)</f>
        <v>555.73825712237033</v>
      </c>
      <c r="L22" s="94">
        <f>SUMIF(ResultDetail!$F$6:$F$59,$A22,ResultDetail!AE$6:AE$59)</f>
        <v>632.37267462122225</v>
      </c>
      <c r="M22" s="94">
        <f>SUMIF(ResultDetail!$F$6:$F$59,$A22,ResultDetail!AF$6:AF$59)</f>
        <v>708.31314772033761</v>
      </c>
      <c r="N22" s="94">
        <f>SUMIF(ResultDetail!$F$6:$F$59,$A22,ResultDetail!AG$6:AG$59)</f>
        <v>784.68664229424098</v>
      </c>
      <c r="O22" s="94">
        <f>SUMIF(ResultDetail!$F$6:$F$59,$A22,ResultDetail!AH$6:AH$59)</f>
        <v>892.51403764567885</v>
      </c>
      <c r="P22" s="94">
        <f>SUMIF(ResultDetail!$F$6:$F$59,$A22,ResultDetail!AI$6:AI$59)</f>
        <v>974.88666357408192</v>
      </c>
      <c r="Q22" s="94">
        <f>SUMIF(ResultDetail!$F$6:$F$59,$A22,ResultDetail!AJ$6:AJ$59)</f>
        <v>1033.0193157290855</v>
      </c>
      <c r="R22" s="94">
        <f>SUMIF(ResultDetail!$F$6:$F$59,$A22,ResultDetail!AK$6:AK$59)</f>
        <v>1078.6656154865686</v>
      </c>
      <c r="S22" s="94">
        <f>SUMIF(ResultDetail!$F$6:$F$59,$A22,ResultDetail!AL$6:AL$59)</f>
        <v>1081.5331863295871</v>
      </c>
      <c r="T22" s="94">
        <f>SUMIF(ResultDetail!$F$6:$F$59,$A22,ResultDetail!AM$6:AM$59)</f>
        <v>1083.5629783101394</v>
      </c>
      <c r="U22" s="94">
        <f>SUMIF(ResultDetail!$F$6:$F$59,$A22,ResultDetail!AN$6:AN$59)</f>
        <v>1084.0743349234986</v>
      </c>
      <c r="V22" s="94">
        <f>SUMIF(ResultDetail!$F$6:$F$59,$A22,ResultDetail!AO$6:AO$59)</f>
        <v>1083.6535862130036</v>
      </c>
      <c r="W22" s="94">
        <f>SUMIF(ResultDetail!$F$6:$F$59,$A22,ResultDetail!AP$6:AP$59)</f>
        <v>1098.3112940776157</v>
      </c>
      <c r="X22" s="94">
        <f>SUMIF(ResultDetail!$F$6:$F$59,$A22,ResultDetail!AQ$6:AQ$59)</f>
        <v>1139.1878153983553</v>
      </c>
      <c r="Y22" s="94">
        <f>SUMIF(ResultDetail!$F$6:$F$59,$A22,ResultDetail!AR$6:AR$59)</f>
        <v>1204.5598212970174</v>
      </c>
      <c r="Z22" s="94">
        <f>SUMIF(ResultDetail!$F$6:$F$59,$A22,ResultDetail!AS$6:AS$59)</f>
        <v>1279.1278911740385</v>
      </c>
      <c r="AA22" s="94">
        <f>SUMIF(ResultDetail!$F$6:$F$59,$A22,ResultDetail!AT$6:AT$59)</f>
        <v>1344.2518340433385</v>
      </c>
      <c r="AB22" s="94">
        <f>SUMIF(ResultDetail!$F$6:$F$59,$A22,ResultDetail!AU$6:AU$59)</f>
        <v>1401.1415800084924</v>
      </c>
      <c r="AC22" s="94">
        <f>SUMIF(ResultDetail!$F$6:$F$59,$A22,ResultDetail!AV$6:AV$59)</f>
        <v>1440.0857682377834</v>
      </c>
      <c r="AD22" s="94">
        <f>SUMIF(ResultDetail!$F$6:$F$59,$A22,ResultDetail!AW$6:AW$59)</f>
        <v>1481.6169966435068</v>
      </c>
      <c r="AE22" s="94">
        <f>SUMIF(ResultDetail!$F$6:$F$59,$A22,ResultDetail!AX$6:AX$59)</f>
        <v>0</v>
      </c>
      <c r="AF22" s="94">
        <f>SUMIF(ResultDetail!$F$6:$F$59,$A22,ResultDetail!AY$6:AY$59)</f>
        <v>0</v>
      </c>
      <c r="AG22" s="94">
        <f>SUMIF(ResultDetail!$F$6:$F$59,$A22,ResultDetail!AZ$6:AZ$59)</f>
        <v>0</v>
      </c>
      <c r="AH22" s="94">
        <f>SUMIF(ResultDetail!$F$6:$F$59,$A22,ResultDetail!BA$6:BA$59)</f>
        <v>0</v>
      </c>
      <c r="AI22" s="94">
        <f>SUMIF(ResultDetail!$F$6:$F$59,$A22,ResultDetail!BB$6:BB$59)</f>
        <v>0</v>
      </c>
      <c r="AJ22" s="94">
        <f>SUMIF(ResultDetail!$F$6:$F$59,$A22,ResultDetail!BC$6:BC$59)</f>
        <v>0</v>
      </c>
      <c r="AK22" s="94">
        <f>SUMIF(ResultDetail!$F$6:$F$59,$A22,ResultDetail!BD$6:BD$59)</f>
        <v>0</v>
      </c>
      <c r="AL22" s="94">
        <f>SUMIF(ResultDetail!$F$6:$F$59,$A22,ResultDetail!BE$6:BE$59)</f>
        <v>0</v>
      </c>
    </row>
    <row r="23" spans="1:38" x14ac:dyDescent="0.35">
      <c r="A23" s="47">
        <v>8</v>
      </c>
      <c r="B23" s="18" t="s">
        <v>228</v>
      </c>
      <c r="C23" s="94">
        <f>SUMIF(ResultDetail!$F$6:$F$59,$A23,ResultDetail!V$6:V$59)</f>
        <v>310.84599188871061</v>
      </c>
      <c r="D23" s="94">
        <f>SUMIF(ResultDetail!$F$6:$F$59,$A23,ResultDetail!W$6:W$59)</f>
        <v>340.94837889649801</v>
      </c>
      <c r="E23" s="94">
        <f>SUMIF(ResultDetail!$F$6:$F$59,$A23,ResultDetail!X$6:X$59)</f>
        <v>372.09274426955602</v>
      </c>
      <c r="F23" s="94">
        <f>SUMIF(ResultDetail!$F$6:$F$59,$A23,ResultDetail!Y$6:Y$59)</f>
        <v>404.85027665519578</v>
      </c>
      <c r="G23" s="94">
        <f>SUMIF(ResultDetail!$F$6:$F$59,$A23,ResultDetail!Z$6:Z$59)</f>
        <v>437.26297301969953</v>
      </c>
      <c r="H23" s="94">
        <f>SUMIF(ResultDetail!$F$6:$F$59,$A23,ResultDetail!AA$6:AA$59)</f>
        <v>467.19099393372534</v>
      </c>
      <c r="I23" s="94">
        <f>SUMIF(ResultDetail!$F$6:$F$59,$A23,ResultDetail!AB$6:AB$59)</f>
        <v>495.08467892768647</v>
      </c>
      <c r="J23" s="94">
        <f>SUMIF(ResultDetail!$F$6:$F$59,$A23,ResultDetail!AC$6:AC$59)</f>
        <v>521.94254197421469</v>
      </c>
      <c r="K23" s="94">
        <f>SUMIF(ResultDetail!$F$6:$F$59,$A23,ResultDetail!AD$6:AD$59)</f>
        <v>551.25912099105597</v>
      </c>
      <c r="L23" s="94">
        <f>SUMIF(ResultDetail!$F$6:$F$59,$A23,ResultDetail!AE$6:AE$59)</f>
        <v>585.82666238716342</v>
      </c>
      <c r="M23" s="94">
        <f>SUMIF(ResultDetail!$F$6:$F$59,$A23,ResultDetail!AF$6:AF$59)</f>
        <v>622.86564020065418</v>
      </c>
      <c r="N23" s="94">
        <f>SUMIF(ResultDetail!$F$6:$F$59,$A23,ResultDetail!AG$6:AG$59)</f>
        <v>658.85536830934177</v>
      </c>
      <c r="O23" s="94">
        <f>SUMIF(ResultDetail!$F$6:$F$59,$A23,ResultDetail!AH$6:AH$59)</f>
        <v>693.00733221491566</v>
      </c>
      <c r="P23" s="94">
        <f>SUMIF(ResultDetail!$F$6:$F$59,$A23,ResultDetail!AI$6:AI$59)</f>
        <v>720.73989725710658</v>
      </c>
      <c r="Q23" s="94">
        <f>SUMIF(ResultDetail!$F$6:$F$59,$A23,ResultDetail!AJ$6:AJ$59)</f>
        <v>737.05750667507698</v>
      </c>
      <c r="R23" s="94">
        <f>SUMIF(ResultDetail!$F$6:$F$59,$A23,ResultDetail!AK$6:AK$59)</f>
        <v>745.08309526013136</v>
      </c>
      <c r="S23" s="94">
        <f>SUMIF(ResultDetail!$F$6:$F$59,$A23,ResultDetail!AL$6:AL$59)</f>
        <v>748.96891255950914</v>
      </c>
      <c r="T23" s="94">
        <f>SUMIF(ResultDetail!$F$6:$F$59,$A23,ResultDetail!AM$6:AM$59)</f>
        <v>753.86581393167796</v>
      </c>
      <c r="U23" s="94">
        <f>SUMIF(ResultDetail!$F$6:$F$59,$A23,ResultDetail!AN$6:AN$59)</f>
        <v>761.78985548419791</v>
      </c>
      <c r="V23" s="94">
        <f>SUMIF(ResultDetail!$F$6:$F$59,$A23,ResultDetail!AO$6:AO$59)</f>
        <v>772.04628670515115</v>
      </c>
      <c r="W23" s="94">
        <f>SUMIF(ResultDetail!$F$6:$F$59,$A23,ResultDetail!AP$6:AP$59)</f>
        <v>779.72444962600593</v>
      </c>
      <c r="X23" s="94">
        <f>SUMIF(ResultDetail!$F$6:$F$59,$A23,ResultDetail!AQ$6:AQ$59)</f>
        <v>780.62213253533582</v>
      </c>
      <c r="Y23" s="94">
        <f>SUMIF(ResultDetail!$F$6:$F$59,$A23,ResultDetail!AR$6:AR$59)</f>
        <v>775.91813222272128</v>
      </c>
      <c r="Z23" s="94">
        <f>SUMIF(ResultDetail!$F$6:$F$59,$A23,ResultDetail!AS$6:AS$59)</f>
        <v>765.61902963419686</v>
      </c>
      <c r="AA23" s="94">
        <f>SUMIF(ResultDetail!$F$6:$F$59,$A23,ResultDetail!AT$6:AT$59)</f>
        <v>750.19921612981693</v>
      </c>
      <c r="AB23" s="94">
        <f>SUMIF(ResultDetail!$F$6:$F$59,$A23,ResultDetail!AU$6:AU$59)</f>
        <v>729.63191509623539</v>
      </c>
      <c r="AC23" s="94">
        <f>SUMIF(ResultDetail!$F$6:$F$59,$A23,ResultDetail!AV$6:AV$59)</f>
        <v>705.28103966327501</v>
      </c>
      <c r="AD23" s="94">
        <f>SUMIF(ResultDetail!$F$6:$F$59,$A23,ResultDetail!AW$6:AW$59)</f>
        <v>678.0124851072153</v>
      </c>
      <c r="AE23" s="94">
        <f>SUMIF(ResultDetail!$F$6:$F$59,$A23,ResultDetail!AX$6:AX$59)</f>
        <v>0</v>
      </c>
      <c r="AF23" s="94">
        <f>SUMIF(ResultDetail!$F$6:$F$59,$A23,ResultDetail!AY$6:AY$59)</f>
        <v>0</v>
      </c>
      <c r="AG23" s="94">
        <f>SUMIF(ResultDetail!$F$6:$F$59,$A23,ResultDetail!AZ$6:AZ$59)</f>
        <v>0</v>
      </c>
      <c r="AH23" s="94">
        <f>SUMIF(ResultDetail!$F$6:$F$59,$A23,ResultDetail!BA$6:BA$59)</f>
        <v>0</v>
      </c>
      <c r="AI23" s="94">
        <f>SUMIF(ResultDetail!$F$6:$F$59,$A23,ResultDetail!BB$6:BB$59)</f>
        <v>0</v>
      </c>
      <c r="AJ23" s="94">
        <f>SUMIF(ResultDetail!$F$6:$F$59,$A23,ResultDetail!BC$6:BC$59)</f>
        <v>0</v>
      </c>
      <c r="AK23" s="94">
        <f>SUMIF(ResultDetail!$F$6:$F$59,$A23,ResultDetail!BD$6:BD$59)</f>
        <v>0</v>
      </c>
      <c r="AL23" s="94">
        <f>SUMIF(ResultDetail!$F$6:$F$59,$A23,ResultDetail!BE$6:BE$59)</f>
        <v>0</v>
      </c>
    </row>
    <row r="24" spans="1:38" x14ac:dyDescent="0.35">
      <c r="A24" s="47">
        <v>9</v>
      </c>
      <c r="B24" s="18" t="s">
        <v>229</v>
      </c>
      <c r="C24" s="94">
        <f>SUMIF(ResultDetail!$F$6:$F$59,$A24,ResultDetail!V$6:V$59)</f>
        <v>381.6013616120448</v>
      </c>
      <c r="D24" s="94">
        <f>SUMIF(ResultDetail!$F$6:$F$59,$A24,ResultDetail!W$6:W$59)</f>
        <v>395.80761958914957</v>
      </c>
      <c r="E24" s="94">
        <f>SUMIF(ResultDetail!$F$6:$F$59,$A24,ResultDetail!X$6:X$59)</f>
        <v>429.20458681449111</v>
      </c>
      <c r="F24" s="94">
        <f>SUMIF(ResultDetail!$F$6:$F$59,$A24,ResultDetail!Y$6:Y$59)</f>
        <v>500.29485098537162</v>
      </c>
      <c r="G24" s="94">
        <f>SUMIF(ResultDetail!$F$6:$F$59,$A24,ResultDetail!Z$6:Z$59)</f>
        <v>628.71642229913516</v>
      </c>
      <c r="H24" s="94">
        <f>SUMIF(ResultDetail!$F$6:$F$59,$A24,ResultDetail!AA$6:AA$59)</f>
        <v>810.22682413912412</v>
      </c>
      <c r="I24" s="94">
        <f>SUMIF(ResultDetail!$F$6:$F$59,$A24,ResultDetail!AB$6:AB$59)</f>
        <v>958.30831369213752</v>
      </c>
      <c r="J24" s="94">
        <f>SUMIF(ResultDetail!$F$6:$F$59,$A24,ResultDetail!AC$6:AC$59)</f>
        <v>1079.0904449393549</v>
      </c>
      <c r="K24" s="94">
        <f>SUMIF(ResultDetail!$F$6:$F$59,$A24,ResultDetail!AD$6:AD$59)</f>
        <v>1123.4835062706534</v>
      </c>
      <c r="L24" s="94">
        <f>SUMIF(ResultDetail!$F$6:$F$59,$A24,ResultDetail!AE$6:AE$59)</f>
        <v>1101.9767200855699</v>
      </c>
      <c r="M24" s="94">
        <f>SUMIF(ResultDetail!$F$6:$F$59,$A24,ResultDetail!AF$6:AF$59)</f>
        <v>1108.1828361001226</v>
      </c>
      <c r="N24" s="94">
        <f>SUMIF(ResultDetail!$F$6:$F$59,$A24,ResultDetail!AG$6:AG$59)</f>
        <v>1214.0763293099099</v>
      </c>
      <c r="O24" s="94">
        <f>SUMIF(ResultDetail!$F$6:$F$59,$A24,ResultDetail!AH$6:AH$59)</f>
        <v>1369.7391587638806</v>
      </c>
      <c r="P24" s="94">
        <f>SUMIF(ResultDetail!$F$6:$F$59,$A24,ResultDetail!AI$6:AI$59)</f>
        <v>1504.9161291756764</v>
      </c>
      <c r="Q24" s="94">
        <f>SUMIF(ResultDetail!$F$6:$F$59,$A24,ResultDetail!AJ$6:AJ$59)</f>
        <v>1637.4810170163832</v>
      </c>
      <c r="R24" s="94">
        <f>SUMIF(ResultDetail!$F$6:$F$59,$A24,ResultDetail!AK$6:AK$59)</f>
        <v>1654.8960473911338</v>
      </c>
      <c r="S24" s="94">
        <f>SUMIF(ResultDetail!$F$6:$F$59,$A24,ResultDetail!AL$6:AL$59)</f>
        <v>1670.4223492552592</v>
      </c>
      <c r="T24" s="94">
        <f>SUMIF(ResultDetail!$F$6:$F$59,$A24,ResultDetail!AM$6:AM$59)</f>
        <v>1694.0859446367685</v>
      </c>
      <c r="U24" s="94">
        <f>SUMIF(ResultDetail!$F$6:$F$59,$A24,ResultDetail!AN$6:AN$59)</f>
        <v>1724.6932373824056</v>
      </c>
      <c r="V24" s="94">
        <f>SUMIF(ResultDetail!$F$6:$F$59,$A24,ResultDetail!AO$6:AO$59)</f>
        <v>1772.6135667232118</v>
      </c>
      <c r="W24" s="94">
        <f>SUMIF(ResultDetail!$F$6:$F$59,$A24,ResultDetail!AP$6:AP$59)</f>
        <v>1858.906052361428</v>
      </c>
      <c r="X24" s="94">
        <f>SUMIF(ResultDetail!$F$6:$F$59,$A24,ResultDetail!AQ$6:AQ$59)</f>
        <v>1907.3118180096935</v>
      </c>
      <c r="Y24" s="94">
        <f>SUMIF(ResultDetail!$F$6:$F$59,$A24,ResultDetail!AR$6:AR$59)</f>
        <v>1913.6269038475225</v>
      </c>
      <c r="Z24" s="94">
        <f>SUMIF(ResultDetail!$F$6:$F$59,$A24,ResultDetail!AS$6:AS$59)</f>
        <v>1953.0580257682614</v>
      </c>
      <c r="AA24" s="94">
        <f>SUMIF(ResultDetail!$F$6:$F$59,$A24,ResultDetail!AT$6:AT$59)</f>
        <v>2004.2578171779073</v>
      </c>
      <c r="AB24" s="94">
        <f>SUMIF(ResultDetail!$F$6:$F$59,$A24,ResultDetail!AU$6:AU$59)</f>
        <v>1987.5772945491981</v>
      </c>
      <c r="AC24" s="94">
        <f>SUMIF(ResultDetail!$F$6:$F$59,$A24,ResultDetail!AV$6:AV$59)</f>
        <v>2055.4123228178296</v>
      </c>
      <c r="AD24" s="94">
        <f>SUMIF(ResultDetail!$F$6:$F$59,$A24,ResultDetail!AW$6:AW$59)</f>
        <v>2127.429062954378</v>
      </c>
      <c r="AE24" s="94">
        <f>SUMIF(ResultDetail!$F$6:$F$59,$A24,ResultDetail!AX$6:AX$59)</f>
        <v>0</v>
      </c>
      <c r="AF24" s="94">
        <f>SUMIF(ResultDetail!$F$6:$F$59,$A24,ResultDetail!AY$6:AY$59)</f>
        <v>0</v>
      </c>
      <c r="AG24" s="94">
        <f>SUMIF(ResultDetail!$F$6:$F$59,$A24,ResultDetail!AZ$6:AZ$59)</f>
        <v>0</v>
      </c>
      <c r="AH24" s="94">
        <f>SUMIF(ResultDetail!$F$6:$F$59,$A24,ResultDetail!BA$6:BA$59)</f>
        <v>0</v>
      </c>
      <c r="AI24" s="94">
        <f>SUMIF(ResultDetail!$F$6:$F$59,$A24,ResultDetail!BB$6:BB$59)</f>
        <v>0</v>
      </c>
      <c r="AJ24" s="94">
        <f>SUMIF(ResultDetail!$F$6:$F$59,$A24,ResultDetail!BC$6:BC$59)</f>
        <v>0</v>
      </c>
      <c r="AK24" s="94">
        <f>SUMIF(ResultDetail!$F$6:$F$59,$A24,ResultDetail!BD$6:BD$59)</f>
        <v>0</v>
      </c>
      <c r="AL24" s="94">
        <f>SUMIF(ResultDetail!$F$6:$F$59,$A24,ResultDetail!BE$6:BE$59)</f>
        <v>0</v>
      </c>
    </row>
    <row r="25" spans="1:38" x14ac:dyDescent="0.35">
      <c r="A25" s="47">
        <v>10</v>
      </c>
      <c r="B25" s="18" t="s">
        <v>230</v>
      </c>
      <c r="C25" s="94">
        <f>SUMIF(ResultDetail!$F$6:$F$59,$A25,ResultDetail!V$6:V$59)</f>
        <v>266.02239226158019</v>
      </c>
      <c r="D25" s="94">
        <f>SUMIF(ResultDetail!$F$6:$F$59,$A25,ResultDetail!W$6:W$59)</f>
        <v>275.28838479417794</v>
      </c>
      <c r="E25" s="94">
        <f>SUMIF(ResultDetail!$F$6:$F$59,$A25,ResultDetail!X$6:X$59)</f>
        <v>280.43579941714449</v>
      </c>
      <c r="F25" s="94">
        <f>SUMIF(ResultDetail!$F$6:$F$59,$A25,ResultDetail!Y$6:Y$59)</f>
        <v>281.93729979804175</v>
      </c>
      <c r="G25" s="94">
        <f>SUMIF(ResultDetail!$F$6:$F$59,$A25,ResultDetail!Z$6:Z$59)</f>
        <v>280.33226281412942</v>
      </c>
      <c r="H25" s="94">
        <f>SUMIF(ResultDetail!$F$6:$F$59,$A25,ResultDetail!AA$6:AA$59)</f>
        <v>276.47774163900249</v>
      </c>
      <c r="I25" s="94">
        <f>SUMIF(ResultDetail!$F$6:$F$59,$A25,ResultDetail!AB$6:AB$59)</f>
        <v>271.09005408979493</v>
      </c>
      <c r="J25" s="94">
        <f>SUMIF(ResultDetail!$F$6:$F$59,$A25,ResultDetail!AC$6:AC$59)</f>
        <v>264.38366734326831</v>
      </c>
      <c r="K25" s="94">
        <f>SUMIF(ResultDetail!$F$6:$F$59,$A25,ResultDetail!AD$6:AD$59)</f>
        <v>256.72130288705034</v>
      </c>
      <c r="L25" s="94">
        <f>SUMIF(ResultDetail!$F$6:$F$59,$A25,ResultDetail!AE$6:AE$59)</f>
        <v>248.50009671553036</v>
      </c>
      <c r="M25" s="94">
        <f>SUMIF(ResultDetail!$F$6:$F$59,$A25,ResultDetail!AF$6:AF$59)</f>
        <v>239.83184002508131</v>
      </c>
      <c r="N25" s="94">
        <f>SUMIF(ResultDetail!$F$6:$F$59,$A25,ResultDetail!AG$6:AG$59)</f>
        <v>230.83768453719489</v>
      </c>
      <c r="O25" s="94">
        <f>SUMIF(ResultDetail!$F$6:$F$59,$A25,ResultDetail!AH$6:AH$59)</f>
        <v>221.75773010865336</v>
      </c>
      <c r="P25" s="94">
        <f>SUMIF(ResultDetail!$F$6:$F$59,$A25,ResultDetail!AI$6:AI$59)</f>
        <v>212.76492034535499</v>
      </c>
      <c r="Q25" s="94">
        <f>SUMIF(ResultDetail!$F$6:$F$59,$A25,ResultDetail!AJ$6:AJ$59)</f>
        <v>203.83369053104164</v>
      </c>
      <c r="R25" s="94">
        <f>SUMIF(ResultDetail!$F$6:$F$59,$A25,ResultDetail!AK$6:AK$59)</f>
        <v>195.10184194351797</v>
      </c>
      <c r="S25" s="94">
        <f>SUMIF(ResultDetail!$F$6:$F$59,$A25,ResultDetail!AL$6:AL$59)</f>
        <v>186.99711611347183</v>
      </c>
      <c r="T25" s="94">
        <f>SUMIF(ResultDetail!$F$6:$F$59,$A25,ResultDetail!AM$6:AM$59)</f>
        <v>179.90091156495262</v>
      </c>
      <c r="U25" s="94">
        <f>SUMIF(ResultDetail!$F$6:$F$59,$A25,ResultDetail!AN$6:AN$59)</f>
        <v>174.15712446714838</v>
      </c>
      <c r="V25" s="94">
        <f>SUMIF(ResultDetail!$F$6:$F$59,$A25,ResultDetail!AO$6:AO$59)</f>
        <v>170.22453241101834</v>
      </c>
      <c r="W25" s="94">
        <f>SUMIF(ResultDetail!$F$6:$F$59,$A25,ResultDetail!AP$6:AP$59)</f>
        <v>168.44492989274877</v>
      </c>
      <c r="X25" s="94">
        <f>SUMIF(ResultDetail!$F$6:$F$59,$A25,ResultDetail!AQ$6:AQ$59)</f>
        <v>168.88234628298329</v>
      </c>
      <c r="Y25" s="94">
        <f>SUMIF(ResultDetail!$F$6:$F$59,$A25,ResultDetail!AR$6:AR$59)</f>
        <v>171.63239025956113</v>
      </c>
      <c r="Z25" s="94">
        <f>SUMIF(ResultDetail!$F$6:$F$59,$A25,ResultDetail!AS$6:AS$59)</f>
        <v>176.81788337870191</v>
      </c>
      <c r="AA25" s="94">
        <f>SUMIF(ResultDetail!$F$6:$F$59,$A25,ResultDetail!AT$6:AT$59)</f>
        <v>184.15372439892127</v>
      </c>
      <c r="AB25" s="94">
        <f>SUMIF(ResultDetail!$F$6:$F$59,$A25,ResultDetail!AU$6:AU$59)</f>
        <v>193.18346429342074</v>
      </c>
      <c r="AC25" s="94">
        <f>SUMIF(ResultDetail!$F$6:$F$59,$A25,ResultDetail!AV$6:AV$59)</f>
        <v>203.64256091910741</v>
      </c>
      <c r="AD25" s="94">
        <f>SUMIF(ResultDetail!$F$6:$F$59,$A25,ResultDetail!AW$6:AW$59)</f>
        <v>215.26837961991666</v>
      </c>
      <c r="AE25" s="94">
        <f>SUMIF(ResultDetail!$F$6:$F$59,$A25,ResultDetail!AX$6:AX$59)</f>
        <v>0</v>
      </c>
      <c r="AF25" s="94">
        <f>SUMIF(ResultDetail!$F$6:$F$59,$A25,ResultDetail!AY$6:AY$59)</f>
        <v>0</v>
      </c>
      <c r="AG25" s="94">
        <f>SUMIF(ResultDetail!$F$6:$F$59,$A25,ResultDetail!AZ$6:AZ$59)</f>
        <v>0</v>
      </c>
      <c r="AH25" s="94">
        <f>SUMIF(ResultDetail!$F$6:$F$59,$A25,ResultDetail!BA$6:BA$59)</f>
        <v>0</v>
      </c>
      <c r="AI25" s="94">
        <f>SUMIF(ResultDetail!$F$6:$F$59,$A25,ResultDetail!BB$6:BB$59)</f>
        <v>0</v>
      </c>
      <c r="AJ25" s="94">
        <f>SUMIF(ResultDetail!$F$6:$F$59,$A25,ResultDetail!BC$6:BC$59)</f>
        <v>0</v>
      </c>
      <c r="AK25" s="94">
        <f>SUMIF(ResultDetail!$F$6:$F$59,$A25,ResultDetail!BD$6:BD$59)</f>
        <v>0</v>
      </c>
      <c r="AL25" s="94">
        <f>SUMIF(ResultDetail!$F$6:$F$59,$A25,ResultDetail!BE$6:BE$59)</f>
        <v>0</v>
      </c>
    </row>
    <row r="27" spans="1:38" x14ac:dyDescent="0.35">
      <c r="A27" s="96" t="s">
        <v>83</v>
      </c>
      <c r="B27" s="97"/>
      <c r="C27" s="95">
        <f>SUM(C6:C12)</f>
        <v>24921.919134357515</v>
      </c>
      <c r="D27" s="95">
        <f t="shared" ref="D27:R27" si="0">SUM(D6:D12)</f>
        <v>26508.25331513572</v>
      </c>
      <c r="E27" s="95">
        <f t="shared" si="0"/>
        <v>28352.542715565771</v>
      </c>
      <c r="F27" s="95">
        <f t="shared" si="0"/>
        <v>30414.383022897822</v>
      </c>
      <c r="G27" s="95">
        <f t="shared" si="0"/>
        <v>33269.050796984906</v>
      </c>
      <c r="H27" s="95">
        <f>SUM(H6:H12)</f>
        <v>36315.010450607326</v>
      </c>
      <c r="I27" s="95">
        <f t="shared" si="0"/>
        <v>39179.243986558417</v>
      </c>
      <c r="J27" s="95">
        <f t="shared" si="0"/>
        <v>42035.031363821683</v>
      </c>
      <c r="K27" s="95">
        <f t="shared" si="0"/>
        <v>44779.930162532073</v>
      </c>
      <c r="L27" s="95">
        <f t="shared" si="0"/>
        <v>47864.240591635629</v>
      </c>
      <c r="M27" s="95">
        <f t="shared" si="0"/>
        <v>51662.010684955967</v>
      </c>
      <c r="N27" s="95">
        <f t="shared" si="0"/>
        <v>55726.458788356496</v>
      </c>
      <c r="O27" s="95">
        <f t="shared" si="0"/>
        <v>59317.774308846085</v>
      </c>
      <c r="P27" s="95">
        <f t="shared" si="0"/>
        <v>62583.565421433297</v>
      </c>
      <c r="Q27" s="95">
        <f t="shared" si="0"/>
        <v>65558.264690137876</v>
      </c>
      <c r="R27" s="95">
        <f t="shared" si="0"/>
        <v>68515.338765923152</v>
      </c>
      <c r="S27" s="95">
        <f t="shared" ref="S27:AL27" si="1">SUM(S6:S12)</f>
        <v>71760.82872843137</v>
      </c>
      <c r="T27" s="95">
        <f t="shared" si="1"/>
        <v>74790.481288394774</v>
      </c>
      <c r="U27" s="95">
        <f t="shared" si="1"/>
        <v>77658.24974167881</v>
      </c>
      <c r="V27" s="95">
        <f t="shared" si="1"/>
        <v>80365.355319120092</v>
      </c>
      <c r="W27" s="95">
        <f t="shared" si="1"/>
        <v>82785.07767267579</v>
      </c>
      <c r="X27" s="95">
        <f t="shared" si="1"/>
        <v>85142.981298906016</v>
      </c>
      <c r="Y27" s="95">
        <f t="shared" si="1"/>
        <v>87790.061758839438</v>
      </c>
      <c r="Z27" s="95">
        <f t="shared" si="1"/>
        <v>90693.430636104575</v>
      </c>
      <c r="AA27" s="95">
        <f t="shared" si="1"/>
        <v>93415.407118921808</v>
      </c>
      <c r="AB27" s="95">
        <f t="shared" si="1"/>
        <v>95749.960927427746</v>
      </c>
      <c r="AC27" s="95">
        <f t="shared" si="1"/>
        <v>98209.94942916384</v>
      </c>
      <c r="AD27" s="95">
        <f t="shared" si="1"/>
        <v>100622.18724469891</v>
      </c>
      <c r="AE27" s="95">
        <f t="shared" si="1"/>
        <v>0</v>
      </c>
      <c r="AF27" s="95">
        <f t="shared" si="1"/>
        <v>0</v>
      </c>
      <c r="AG27" s="95">
        <f t="shared" si="1"/>
        <v>0</v>
      </c>
      <c r="AH27" s="95">
        <f t="shared" si="1"/>
        <v>0</v>
      </c>
      <c r="AI27" s="95">
        <f t="shared" si="1"/>
        <v>0</v>
      </c>
      <c r="AJ27" s="95">
        <f t="shared" si="1"/>
        <v>0</v>
      </c>
      <c r="AK27" s="95">
        <f t="shared" si="1"/>
        <v>0</v>
      </c>
      <c r="AL27" s="95">
        <f t="shared" si="1"/>
        <v>0</v>
      </c>
    </row>
  </sheetData>
  <conditionalFormatting sqref="N13:AL13 N26:AL27 C27:M27 C6:AL12">
    <cfRule type="cellIs" dxfId="27" priority="3" operator="equal">
      <formula>0</formula>
    </cfRule>
  </conditionalFormatting>
  <conditionalFormatting sqref="A6">
    <cfRule type="expression" dxfId="26" priority="4">
      <formula>#REF!&gt;1</formula>
    </cfRule>
  </conditionalFormatting>
  <conditionalFormatting sqref="A15">
    <cfRule type="expression" dxfId="25" priority="2">
      <formula>#REF!&gt;1</formula>
    </cfRule>
  </conditionalFormatting>
  <conditionalFormatting sqref="E14:AC14 C15:AL25">
    <cfRule type="cellIs" dxfId="24" priority="1" operator="equal">
      <formula>0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4"/>
  <dimension ref="A1:BE59"/>
  <sheetViews>
    <sheetView workbookViewId="0">
      <selection activeCell="AX6" sqref="AX6:BE59"/>
    </sheetView>
  </sheetViews>
  <sheetFormatPr defaultColWidth="8.81640625" defaultRowHeight="14.5" x14ac:dyDescent="0.35"/>
  <cols>
    <col min="2" max="2" width="54.81640625" customWidth="1"/>
  </cols>
  <sheetData>
    <row r="1" spans="1:57" ht="18.5" x14ac:dyDescent="0.45">
      <c r="A1" s="9" t="s">
        <v>261</v>
      </c>
    </row>
    <row r="2" spans="1:57" x14ac:dyDescent="0.35">
      <c r="A2" s="2" t="s">
        <v>74</v>
      </c>
      <c r="B2" s="2"/>
    </row>
    <row r="4" spans="1:57" x14ac:dyDescent="0.35">
      <c r="C4" s="7" t="s">
        <v>72</v>
      </c>
      <c r="D4" s="7"/>
      <c r="E4" s="6"/>
      <c r="F4" s="6"/>
    </row>
    <row r="5" spans="1:57" ht="15.5" x14ac:dyDescent="0.35">
      <c r="A5" s="1" t="s">
        <v>0</v>
      </c>
      <c r="B5" s="1" t="s">
        <v>1</v>
      </c>
      <c r="C5" s="8" t="s">
        <v>69</v>
      </c>
      <c r="D5" s="8" t="s">
        <v>117</v>
      </c>
      <c r="E5" s="8" t="s">
        <v>70</v>
      </c>
      <c r="F5" s="8" t="s">
        <v>118</v>
      </c>
      <c r="G5" s="4">
        <v>1980</v>
      </c>
      <c r="H5" s="4">
        <v>1981</v>
      </c>
      <c r="I5" s="4">
        <v>1982</v>
      </c>
      <c r="J5" s="4">
        <v>1983</v>
      </c>
      <c r="K5" s="4">
        <v>1984</v>
      </c>
      <c r="L5" s="4">
        <v>1985</v>
      </c>
      <c r="M5" s="4">
        <v>1986</v>
      </c>
      <c r="N5" s="4">
        <v>1987</v>
      </c>
      <c r="O5" s="4">
        <v>1988</v>
      </c>
      <c r="P5" s="4">
        <v>1989</v>
      </c>
      <c r="Q5" s="4">
        <v>1990</v>
      </c>
      <c r="R5" s="4">
        <v>1991</v>
      </c>
      <c r="S5" s="4">
        <v>1992</v>
      </c>
      <c r="T5" s="4">
        <v>1993</v>
      </c>
      <c r="U5" s="4">
        <v>1994</v>
      </c>
      <c r="V5" s="4">
        <v>1995</v>
      </c>
      <c r="W5" s="4">
        <v>1996</v>
      </c>
      <c r="X5" s="4">
        <v>1997</v>
      </c>
      <c r="Y5" s="4">
        <v>1998</v>
      </c>
      <c r="Z5" s="4">
        <v>1999</v>
      </c>
      <c r="AA5" s="4">
        <v>2000</v>
      </c>
      <c r="AB5" s="4">
        <v>2001</v>
      </c>
      <c r="AC5" s="4">
        <v>2002</v>
      </c>
      <c r="AD5" s="4">
        <v>2003</v>
      </c>
      <c r="AE5" s="4">
        <v>2004</v>
      </c>
      <c r="AF5" s="4">
        <v>2005</v>
      </c>
      <c r="AG5" s="4">
        <v>2006</v>
      </c>
      <c r="AH5" s="4">
        <v>2007</v>
      </c>
      <c r="AI5" s="4">
        <v>2008</v>
      </c>
      <c r="AJ5" s="4">
        <v>2009</v>
      </c>
      <c r="AK5" s="4">
        <v>2010</v>
      </c>
      <c r="AL5" s="4">
        <v>2011</v>
      </c>
      <c r="AM5" s="4">
        <v>2012</v>
      </c>
      <c r="AN5" s="4">
        <v>2013</v>
      </c>
      <c r="AO5" s="4">
        <v>2014</v>
      </c>
      <c r="AP5" s="4">
        <v>2015</v>
      </c>
      <c r="AQ5" s="4">
        <v>2016</v>
      </c>
      <c r="AR5" s="4">
        <v>2017</v>
      </c>
      <c r="AS5" s="4">
        <v>2018</v>
      </c>
      <c r="AT5" s="4">
        <v>2019</v>
      </c>
      <c r="AU5" s="4">
        <v>2020</v>
      </c>
      <c r="AV5" s="4">
        <v>2021</v>
      </c>
      <c r="AW5" s="4">
        <v>2022</v>
      </c>
      <c r="AX5" s="4">
        <v>2023</v>
      </c>
      <c r="AY5" s="4">
        <v>2024</v>
      </c>
      <c r="AZ5" s="4">
        <v>2025</v>
      </c>
      <c r="BA5" s="4">
        <v>2026</v>
      </c>
      <c r="BB5" s="4">
        <v>2027</v>
      </c>
      <c r="BC5" s="4">
        <v>2028</v>
      </c>
      <c r="BD5" s="4">
        <v>2029</v>
      </c>
      <c r="BE5" s="4">
        <v>2030</v>
      </c>
    </row>
    <row r="6" spans="1:57" x14ac:dyDescent="0.35">
      <c r="A6" t="s">
        <v>2</v>
      </c>
      <c r="B6" s="10" t="s">
        <v>93</v>
      </c>
      <c r="C6" s="3">
        <v>4</v>
      </c>
      <c r="D6" s="3" t="s">
        <v>120</v>
      </c>
      <c r="E6" s="3">
        <v>1</v>
      </c>
      <c r="F6" s="3">
        <v>1</v>
      </c>
      <c r="G6" s="5">
        <v>6.6612586314002016</v>
      </c>
      <c r="H6" s="5">
        <v>26.85283774112062</v>
      </c>
      <c r="I6" s="5">
        <v>60.784158854179289</v>
      </c>
      <c r="J6" s="5">
        <v>108.24894156356713</v>
      </c>
      <c r="K6" s="5">
        <v>168.66118675158086</v>
      </c>
      <c r="L6" s="5">
        <v>241.08509652842409</v>
      </c>
      <c r="M6" s="5">
        <v>324.26023509536611</v>
      </c>
      <c r="N6" s="5">
        <v>416.71245270688229</v>
      </c>
      <c r="O6" s="5">
        <v>516.79576164454386</v>
      </c>
      <c r="P6" s="5">
        <v>622.72808670572476</v>
      </c>
      <c r="Q6" s="5">
        <v>732.76636166286733</v>
      </c>
      <c r="R6" s="5">
        <v>845.36333049844256</v>
      </c>
      <c r="S6" s="5">
        <v>959.20479787015086</v>
      </c>
      <c r="T6" s="5">
        <v>1073.1457604355155</v>
      </c>
      <c r="U6" s="5">
        <v>1186.1797975159056</v>
      </c>
      <c r="V6" s="5">
        <v>1295.9995011542458</v>
      </c>
      <c r="W6" s="5">
        <v>1402.1492863294179</v>
      </c>
      <c r="X6" s="5">
        <v>1506.008013476833</v>
      </c>
      <c r="Y6" s="5">
        <v>1608.4471643871095</v>
      </c>
      <c r="Z6" s="5">
        <v>1713.9821685716809</v>
      </c>
      <c r="AA6" s="5">
        <v>1826.2722528203587</v>
      </c>
      <c r="AB6" s="5">
        <v>1949.5184373685004</v>
      </c>
      <c r="AC6" s="5">
        <v>2083.3105905511411</v>
      </c>
      <c r="AD6" s="5">
        <v>2220.9200390054534</v>
      </c>
      <c r="AE6" s="5">
        <v>2357.253835228928</v>
      </c>
      <c r="AF6" s="5">
        <v>2486.4740251556127</v>
      </c>
      <c r="AG6" s="5">
        <v>2604.504876230149</v>
      </c>
      <c r="AH6" s="5">
        <v>2707.9264942934947</v>
      </c>
      <c r="AI6" s="5">
        <v>2791.3397230011287</v>
      </c>
      <c r="AJ6" s="5">
        <v>2850.7009026154237</v>
      </c>
      <c r="AK6" s="5">
        <v>2884.5292493099728</v>
      </c>
      <c r="AL6" s="5">
        <v>2891.9463075053882</v>
      </c>
      <c r="AM6" s="5">
        <v>2877.8642112130715</v>
      </c>
      <c r="AN6" s="5">
        <v>2852.8432544710399</v>
      </c>
      <c r="AO6" s="5">
        <v>2827.6617709709062</v>
      </c>
      <c r="AP6" s="5">
        <v>2812.0593243213666</v>
      </c>
      <c r="AQ6" s="5">
        <v>2811.7413637950381</v>
      </c>
      <c r="AR6" s="5">
        <v>2828.3753709331017</v>
      </c>
      <c r="AS6" s="5">
        <v>2861.8758699643499</v>
      </c>
      <c r="AT6" s="5">
        <v>2911.0613656682972</v>
      </c>
      <c r="AU6" s="5">
        <v>2967.4404979345677</v>
      </c>
      <c r="AV6">
        <v>3022.6509598355774</v>
      </c>
      <c r="AW6">
        <v>3075.5657054877861</v>
      </c>
    </row>
    <row r="7" spans="1:57" x14ac:dyDescent="0.35">
      <c r="A7" t="s">
        <v>3</v>
      </c>
      <c r="B7" s="10" t="s">
        <v>131</v>
      </c>
      <c r="C7" s="3">
        <v>4</v>
      </c>
      <c r="D7" s="3" t="s">
        <v>121</v>
      </c>
      <c r="E7" s="3">
        <v>4</v>
      </c>
      <c r="F7" s="3" t="s">
        <v>121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0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9.177288350378883E-2</v>
      </c>
      <c r="AK7" s="5">
        <v>0.28562176497367259</v>
      </c>
      <c r="AL7" s="5">
        <v>0.50158632447480211</v>
      </c>
      <c r="AM7" s="5">
        <v>0.74720610707107704</v>
      </c>
      <c r="AN7" s="5">
        <v>1.0167364379626989</v>
      </c>
      <c r="AO7" s="5">
        <v>1.3622896779726954</v>
      </c>
      <c r="AP7" s="5">
        <v>1.8525871816751032</v>
      </c>
      <c r="AQ7" s="5">
        <v>2.7794434707332281</v>
      </c>
      <c r="AR7" s="5">
        <v>5.1838978125152284</v>
      </c>
      <c r="AS7" s="5">
        <v>10.205953049756946</v>
      </c>
      <c r="AT7" s="5">
        <v>19.446295749057072</v>
      </c>
      <c r="AU7" s="5">
        <v>34.867973744174975</v>
      </c>
      <c r="AV7">
        <v>53.741122031110393</v>
      </c>
      <c r="AW7">
        <v>72.500053675882668</v>
      </c>
    </row>
    <row r="8" spans="1:57" ht="12.75" customHeight="1" x14ac:dyDescent="0.35">
      <c r="A8" t="s">
        <v>4</v>
      </c>
      <c r="B8" s="10" t="s">
        <v>94</v>
      </c>
      <c r="C8" s="3">
        <v>4</v>
      </c>
      <c r="D8" s="3" t="s">
        <v>120</v>
      </c>
      <c r="E8" s="3">
        <v>1</v>
      </c>
      <c r="F8" s="3">
        <v>1</v>
      </c>
      <c r="G8" s="5">
        <v>11.419628503773531</v>
      </c>
      <c r="H8" s="5">
        <v>22.844174946403953</v>
      </c>
      <c r="I8" s="5">
        <v>34.261459303742022</v>
      </c>
      <c r="J8" s="5">
        <v>45.641457389930885</v>
      </c>
      <c r="K8" s="5">
        <v>56.994381155712581</v>
      </c>
      <c r="L8" s="5">
        <v>68.271978213746792</v>
      </c>
      <c r="M8" s="5">
        <v>79.435180726152922</v>
      </c>
      <c r="N8" s="5">
        <v>90.51755231400017</v>
      </c>
      <c r="O8" s="5">
        <v>101.42926497455153</v>
      </c>
      <c r="P8" s="5">
        <v>112.14249162140277</v>
      </c>
      <c r="Q8" s="5">
        <v>122.75082202194804</v>
      </c>
      <c r="R8" s="5">
        <v>133.38116720091699</v>
      </c>
      <c r="S8" s="5">
        <v>144.09089172058825</v>
      </c>
      <c r="T8" s="5">
        <v>154.8253207217692</v>
      </c>
      <c r="U8" s="5">
        <v>165.55020922498599</v>
      </c>
      <c r="V8" s="5">
        <v>176.68627149207248</v>
      </c>
      <c r="W8" s="5">
        <v>186.70591346358572</v>
      </c>
      <c r="X8" s="5">
        <v>195.73844015615893</v>
      </c>
      <c r="Y8" s="5">
        <v>207.71851354937604</v>
      </c>
      <c r="Z8" s="5">
        <v>222.53785535389474</v>
      </c>
      <c r="AA8" s="5">
        <v>241.53302371208292</v>
      </c>
      <c r="AB8" s="5">
        <v>258.21219749574249</v>
      </c>
      <c r="AC8" s="5">
        <v>271.06036619837619</v>
      </c>
      <c r="AD8" s="5">
        <v>280.17739935979284</v>
      </c>
      <c r="AE8" s="5">
        <v>285.67789184316888</v>
      </c>
      <c r="AF8" s="5">
        <v>287.75355260626407</v>
      </c>
      <c r="AG8" s="5">
        <v>291.87597964593715</v>
      </c>
      <c r="AH8" s="5">
        <v>298.19615164731454</v>
      </c>
      <c r="AI8" s="5">
        <v>296.40887228769265</v>
      </c>
      <c r="AJ8" s="5">
        <v>288.68491391147688</v>
      </c>
      <c r="AK8" s="5">
        <v>282.46218699716582</v>
      </c>
      <c r="AL8" s="5">
        <v>275.63405810908131</v>
      </c>
      <c r="AM8" s="5">
        <v>268.22124763345602</v>
      </c>
      <c r="AN8" s="5">
        <v>260.25444565542995</v>
      </c>
      <c r="AO8" s="5">
        <v>254.95313174717296</v>
      </c>
      <c r="AP8" s="5">
        <v>252.21391993614924</v>
      </c>
      <c r="AQ8" s="5">
        <v>251.94702085742423</v>
      </c>
      <c r="AR8" s="5">
        <v>263.83295362174113</v>
      </c>
      <c r="AS8" s="5">
        <v>281.29621365653827</v>
      </c>
      <c r="AT8" s="5">
        <v>304.34245747057372</v>
      </c>
      <c r="AU8" s="5">
        <v>326.48949218242285</v>
      </c>
      <c r="AV8">
        <v>347.64215196073212</v>
      </c>
      <c r="AW8">
        <v>368.38094210056477</v>
      </c>
    </row>
    <row r="9" spans="1:57" x14ac:dyDescent="0.35">
      <c r="A9" t="s">
        <v>5</v>
      </c>
      <c r="B9" s="10" t="s">
        <v>95</v>
      </c>
      <c r="C9" s="3">
        <v>4</v>
      </c>
      <c r="D9" s="3" t="s">
        <v>120</v>
      </c>
      <c r="E9" s="3">
        <v>1</v>
      </c>
      <c r="F9" s="3">
        <v>1</v>
      </c>
      <c r="G9" s="5">
        <v>74.618443686078095</v>
      </c>
      <c r="H9" s="5">
        <v>152.81043406235764</v>
      </c>
      <c r="I9" s="5">
        <v>234.3634647050439</v>
      </c>
      <c r="J9" s="5">
        <v>318.9246191638818</v>
      </c>
      <c r="K9" s="5">
        <v>406.42231357631715</v>
      </c>
      <c r="L9" s="5">
        <v>496.34558981016556</v>
      </c>
      <c r="M9" s="5">
        <v>588.2303238560047</v>
      </c>
      <c r="N9" s="5">
        <v>682.17904028500743</v>
      </c>
      <c r="O9" s="5">
        <v>777.30865524417754</v>
      </c>
      <c r="P9" s="5">
        <v>873.21570343451049</v>
      </c>
      <c r="Q9" s="5">
        <v>970.51725288826799</v>
      </c>
      <c r="R9" s="5">
        <v>1070.1635190848774</v>
      </c>
      <c r="S9" s="5">
        <v>1172.5559763282074</v>
      </c>
      <c r="T9" s="5">
        <v>1277.1350977862905</v>
      </c>
      <c r="U9" s="5">
        <v>1383.5057012264999</v>
      </c>
      <c r="V9" s="5">
        <v>1463.8146104810949</v>
      </c>
      <c r="W9" s="5">
        <v>1521.1712686900571</v>
      </c>
      <c r="X9" s="5">
        <v>1571.0200720994515</v>
      </c>
      <c r="Y9" s="5">
        <v>1613.8060939555937</v>
      </c>
      <c r="Z9" s="5">
        <v>1717.3340509170034</v>
      </c>
      <c r="AA9" s="5">
        <v>1816.6964399018937</v>
      </c>
      <c r="AB9" s="5">
        <v>1939.3636942203309</v>
      </c>
      <c r="AC9" s="5">
        <v>2074.2522345446041</v>
      </c>
      <c r="AD9" s="5">
        <v>2228.8598901210607</v>
      </c>
      <c r="AE9" s="5">
        <v>2402.8398453043478</v>
      </c>
      <c r="AF9" s="5">
        <v>2508.7378386123264</v>
      </c>
      <c r="AG9" s="5">
        <v>2658.8025091681247</v>
      </c>
      <c r="AH9" s="5">
        <v>2764.5607984782846</v>
      </c>
      <c r="AI9" s="5">
        <v>2856.3606957005063</v>
      </c>
      <c r="AJ9" s="5">
        <v>2931.3713575968577</v>
      </c>
      <c r="AK9" s="5">
        <v>3007.0552313944268</v>
      </c>
      <c r="AL9" s="5">
        <v>3077.838565735924</v>
      </c>
      <c r="AM9" s="5">
        <v>3157.6597910132145</v>
      </c>
      <c r="AN9" s="5">
        <v>3246.2244089692558</v>
      </c>
      <c r="AO9" s="5">
        <v>3343.6045599426748</v>
      </c>
      <c r="AP9" s="5">
        <v>3410.6277461408386</v>
      </c>
      <c r="AQ9" s="5">
        <v>3482.5362016831386</v>
      </c>
      <c r="AR9" s="5">
        <v>3567.5840510799453</v>
      </c>
      <c r="AS9" s="5">
        <v>3681.2980288254462</v>
      </c>
      <c r="AT9" s="5">
        <v>3787.5473939160397</v>
      </c>
      <c r="AU9" s="5">
        <v>3902.8676442647202</v>
      </c>
      <c r="AV9">
        <v>4014.4335575994733</v>
      </c>
      <c r="AW9">
        <v>4126.6996459088505</v>
      </c>
    </row>
    <row r="10" spans="1:57" ht="29" x14ac:dyDescent="0.35">
      <c r="A10" t="s">
        <v>6</v>
      </c>
      <c r="B10" s="10" t="s">
        <v>133</v>
      </c>
      <c r="C10" s="3">
        <v>4</v>
      </c>
      <c r="D10" s="3" t="s">
        <v>120</v>
      </c>
      <c r="E10" s="3">
        <v>1</v>
      </c>
      <c r="F10" s="3">
        <v>1</v>
      </c>
      <c r="G10" s="5">
        <v>2.7203591747545106</v>
      </c>
      <c r="H10" s="5">
        <v>11.003259030127627</v>
      </c>
      <c r="I10" s="5">
        <v>25.044549975111526</v>
      </c>
      <c r="J10" s="5">
        <v>44.939806148448682</v>
      </c>
      <c r="K10" s="5">
        <v>70.689819688257273</v>
      </c>
      <c r="L10" s="5">
        <v>102.19911119543086</v>
      </c>
      <c r="M10" s="5">
        <v>139.2690329677863</v>
      </c>
      <c r="N10" s="5">
        <v>181.62360301385709</v>
      </c>
      <c r="O10" s="5">
        <v>228.90657026708399</v>
      </c>
      <c r="P10" s="5">
        <v>280.67669845670525</v>
      </c>
      <c r="Q10" s="5">
        <v>336.46179025784329</v>
      </c>
      <c r="R10" s="5">
        <v>395.80876205276849</v>
      </c>
      <c r="S10" s="5">
        <v>458.28970271202041</v>
      </c>
      <c r="T10" s="5">
        <v>523.47174819145368</v>
      </c>
      <c r="U10" s="5">
        <v>590.905051916812</v>
      </c>
      <c r="V10" s="5">
        <v>660.5393706672329</v>
      </c>
      <c r="W10" s="5">
        <v>731.41476447936691</v>
      </c>
      <c r="X10" s="5">
        <v>802.405480031877</v>
      </c>
      <c r="Y10" s="5">
        <v>873.56705832122725</v>
      </c>
      <c r="Z10" s="5">
        <v>947.4438647919801</v>
      </c>
      <c r="AA10" s="5">
        <v>1026.6587686945127</v>
      </c>
      <c r="AB10" s="5">
        <v>1112.9052982908463</v>
      </c>
      <c r="AC10" s="5">
        <v>1208.1563532223508</v>
      </c>
      <c r="AD10" s="5">
        <v>1313.7670833819966</v>
      </c>
      <c r="AE10" s="5">
        <v>1431.6101749968693</v>
      </c>
      <c r="AF10" s="5">
        <v>1561.2289224856597</v>
      </c>
      <c r="AG10" s="5">
        <v>1699.8048998503073</v>
      </c>
      <c r="AH10" s="5">
        <v>1844.4640168158439</v>
      </c>
      <c r="AI10" s="5">
        <v>1992.2261374115647</v>
      </c>
      <c r="AJ10" s="5">
        <v>2141.1201797422232</v>
      </c>
      <c r="AK10" s="5">
        <v>2290.2374679020195</v>
      </c>
      <c r="AL10" s="5">
        <v>2441.3915340582653</v>
      </c>
      <c r="AM10" s="5">
        <v>2594.3740590436223</v>
      </c>
      <c r="AN10" s="5">
        <v>2747.221720512423</v>
      </c>
      <c r="AO10" s="5">
        <v>2901.0847754478968</v>
      </c>
      <c r="AP10" s="5">
        <v>3054.2803756488684</v>
      </c>
      <c r="AQ10" s="5">
        <v>3204.7807056341694</v>
      </c>
      <c r="AR10" s="5">
        <v>3353.54743255536</v>
      </c>
      <c r="AS10" s="5">
        <v>3501.6648738423155</v>
      </c>
      <c r="AT10" s="5">
        <v>3649.5679707423092</v>
      </c>
      <c r="AU10" s="5">
        <v>3796.7139006820153</v>
      </c>
      <c r="AV10">
        <v>3942.2709757370803</v>
      </c>
      <c r="AW10">
        <v>4085.9964277168183</v>
      </c>
    </row>
    <row r="11" spans="1:57" x14ac:dyDescent="0.35">
      <c r="A11" t="s">
        <v>7</v>
      </c>
      <c r="B11" s="10" t="s">
        <v>96</v>
      </c>
      <c r="C11" s="3">
        <v>4</v>
      </c>
      <c r="D11" s="3" t="s">
        <v>120</v>
      </c>
      <c r="E11" s="3">
        <v>1</v>
      </c>
      <c r="F11" s="3">
        <v>1</v>
      </c>
      <c r="G11" s="5">
        <v>193.09848054929938</v>
      </c>
      <c r="H11" s="5">
        <v>383.96435505070463</v>
      </c>
      <c r="I11" s="5">
        <v>572.55779057577797</v>
      </c>
      <c r="J11" s="5">
        <v>758.52801332263118</v>
      </c>
      <c r="K11" s="5">
        <v>942.1989560381985</v>
      </c>
      <c r="L11" s="5">
        <v>1122.8942979599963</v>
      </c>
      <c r="M11" s="5">
        <v>1300.0914823195644</v>
      </c>
      <c r="N11" s="5">
        <v>1474.4942205374441</v>
      </c>
      <c r="O11" s="5">
        <v>1644.7028312463262</v>
      </c>
      <c r="P11" s="5">
        <v>1810.3766740426954</v>
      </c>
      <c r="Q11" s="5">
        <v>1973.2228842512666</v>
      </c>
      <c r="R11" s="5">
        <v>2135.4851648362696</v>
      </c>
      <c r="S11" s="5">
        <v>2298.1985542117327</v>
      </c>
      <c r="T11" s="5">
        <v>2460.487878858326</v>
      </c>
      <c r="U11" s="5">
        <v>2621.8284029472588</v>
      </c>
      <c r="V11" s="5">
        <v>2859.6712127418837</v>
      </c>
      <c r="W11" s="5">
        <v>2997.3174588477041</v>
      </c>
      <c r="X11" s="5">
        <v>3057.5900943275465</v>
      </c>
      <c r="Y11" s="5">
        <v>3145.2972812232492</v>
      </c>
      <c r="Z11" s="5">
        <v>3543.042018989695</v>
      </c>
      <c r="AA11" s="5">
        <v>4026.8301130979607</v>
      </c>
      <c r="AB11" s="5">
        <v>4423.1394507870054</v>
      </c>
      <c r="AC11" s="5">
        <v>4897.5118679079551</v>
      </c>
      <c r="AD11" s="5">
        <v>5266.4699518121415</v>
      </c>
      <c r="AE11" s="5">
        <v>5541.3418096538271</v>
      </c>
      <c r="AF11" s="5">
        <v>5964.9695264620059</v>
      </c>
      <c r="AG11" s="5">
        <v>6456.0809261742152</v>
      </c>
      <c r="AH11" s="5">
        <v>6810.7018277121251</v>
      </c>
      <c r="AI11" s="5">
        <v>7256.3593210502004</v>
      </c>
      <c r="AJ11" s="5">
        <v>7778.9223145707747</v>
      </c>
      <c r="AK11" s="5">
        <v>8155.6954170658209</v>
      </c>
      <c r="AL11" s="5">
        <v>8585.6494916188003</v>
      </c>
      <c r="AM11" s="5">
        <v>9022.4511691964362</v>
      </c>
      <c r="AN11" s="5">
        <v>9489.3158025608791</v>
      </c>
      <c r="AO11" s="5">
        <v>9986.5097775410068</v>
      </c>
      <c r="AP11" s="5">
        <v>10313.830926247065</v>
      </c>
      <c r="AQ11" s="5">
        <v>10741.215033444085</v>
      </c>
      <c r="AR11" s="5">
        <v>11142.230479001722</v>
      </c>
      <c r="AS11" s="5">
        <v>11717.697051693542</v>
      </c>
      <c r="AT11" s="5">
        <v>12293.546738130315</v>
      </c>
      <c r="AU11" s="5">
        <v>12564.217926363712</v>
      </c>
      <c r="AV11">
        <v>12825.097673852391</v>
      </c>
      <c r="AW11">
        <v>13091.797513539379</v>
      </c>
    </row>
    <row r="12" spans="1:57" x14ac:dyDescent="0.35">
      <c r="A12" t="s">
        <v>8</v>
      </c>
      <c r="B12" s="10" t="s">
        <v>97</v>
      </c>
      <c r="C12" s="3">
        <v>4</v>
      </c>
      <c r="D12" s="3" t="s">
        <v>120</v>
      </c>
      <c r="E12" s="3">
        <v>1</v>
      </c>
      <c r="F12" s="3">
        <v>1</v>
      </c>
      <c r="G12" s="5">
        <v>0.79613556874398883</v>
      </c>
      <c r="H12" s="5">
        <v>3.4486709415972103</v>
      </c>
      <c r="I12" s="5">
        <v>8.4705910153362378</v>
      </c>
      <c r="J12" s="5">
        <v>16.336695905443637</v>
      </c>
      <c r="K12" s="5">
        <v>27.475908914374109</v>
      </c>
      <c r="L12" s="5">
        <v>42.259794252639203</v>
      </c>
      <c r="M12" s="5">
        <v>60.988137064970729</v>
      </c>
      <c r="N12" s="5">
        <v>83.895691899232162</v>
      </c>
      <c r="O12" s="5">
        <v>111.14021191583782</v>
      </c>
      <c r="P12" s="5">
        <v>142.78986727737617</v>
      </c>
      <c r="Q12" s="5">
        <v>178.85779390322276</v>
      </c>
      <c r="R12" s="5">
        <v>219.34042703169499</v>
      </c>
      <c r="S12" s="5">
        <v>264.22198857992532</v>
      </c>
      <c r="T12" s="5">
        <v>313.44475323503087</v>
      </c>
      <c r="U12" s="5">
        <v>366.89328332550826</v>
      </c>
      <c r="V12" s="5">
        <v>423.48539108922802</v>
      </c>
      <c r="W12" s="5">
        <v>482.98986456881784</v>
      </c>
      <c r="X12" s="5">
        <v>546.26676668989842</v>
      </c>
      <c r="Y12" s="5">
        <v>613.74282621423356</v>
      </c>
      <c r="Z12" s="5">
        <v>686.51733884517193</v>
      </c>
      <c r="AA12" s="5">
        <v>766.10455347874802</v>
      </c>
      <c r="AB12" s="5">
        <v>851.90421401625565</v>
      </c>
      <c r="AC12" s="5">
        <v>942.84783271039305</v>
      </c>
      <c r="AD12" s="5">
        <v>1039.5168576966753</v>
      </c>
      <c r="AE12" s="5">
        <v>1142.5455601365932</v>
      </c>
      <c r="AF12" s="5">
        <v>1253.6981705262308</v>
      </c>
      <c r="AG12" s="5">
        <v>1374.5242378879448</v>
      </c>
      <c r="AH12" s="5">
        <v>1505.2796099542568</v>
      </c>
      <c r="AI12" s="5">
        <v>1643.0822514383428</v>
      </c>
      <c r="AJ12" s="5">
        <v>1782.2148695009871</v>
      </c>
      <c r="AK12" s="5">
        <v>1918.5188073966731</v>
      </c>
      <c r="AL12" s="5">
        <v>2049.8799604843271</v>
      </c>
      <c r="AM12" s="5">
        <v>2174.6915814244035</v>
      </c>
      <c r="AN12" s="5">
        <v>2291.7715386141604</v>
      </c>
      <c r="AO12" s="5">
        <v>2400.7562681652098</v>
      </c>
      <c r="AP12" s="5">
        <v>2500.2436896358195</v>
      </c>
      <c r="AQ12" s="5">
        <v>2590.3498491191331</v>
      </c>
      <c r="AR12" s="5">
        <v>2671.9306156946864</v>
      </c>
      <c r="AS12" s="5">
        <v>2744.4881824828935</v>
      </c>
      <c r="AT12" s="5">
        <v>2808.6200159293385</v>
      </c>
      <c r="AU12" s="5">
        <v>2865.9444994096634</v>
      </c>
      <c r="AV12">
        <v>2917.8268896564482</v>
      </c>
      <c r="AW12">
        <v>2965.0248027726147</v>
      </c>
    </row>
    <row r="13" spans="1:57" ht="29" x14ac:dyDescent="0.35">
      <c r="A13" t="s">
        <v>9</v>
      </c>
      <c r="B13" s="10" t="s">
        <v>134</v>
      </c>
      <c r="C13" s="3">
        <v>4</v>
      </c>
      <c r="D13" s="3" t="s">
        <v>120</v>
      </c>
      <c r="E13" s="3">
        <v>1</v>
      </c>
      <c r="F13" s="3">
        <v>1</v>
      </c>
      <c r="G13" s="5">
        <v>3.5478297959228979</v>
      </c>
      <c r="H13" s="5">
        <v>14.445733025146872</v>
      </c>
      <c r="I13" s="5">
        <v>33.079559788684328</v>
      </c>
      <c r="J13" s="5">
        <v>59.582692693420725</v>
      </c>
      <c r="K13" s="5">
        <v>93.849185673692205</v>
      </c>
      <c r="L13" s="5">
        <v>135.54489741207323</v>
      </c>
      <c r="M13" s="5">
        <v>184.11727293507204</v>
      </c>
      <c r="N13" s="5">
        <v>238.8602584949908</v>
      </c>
      <c r="O13" s="5">
        <v>298.93634073065931</v>
      </c>
      <c r="P13" s="5">
        <v>363.39553525966073</v>
      </c>
      <c r="Q13" s="5">
        <v>431.28856253145051</v>
      </c>
      <c r="R13" s="5">
        <v>501.77242613252412</v>
      </c>
      <c r="S13" s="5">
        <v>574.13619458252197</v>
      </c>
      <c r="T13" s="5">
        <v>647.75482462671732</v>
      </c>
      <c r="U13" s="5">
        <v>722.06483278447365</v>
      </c>
      <c r="V13" s="5">
        <v>796.49235468287202</v>
      </c>
      <c r="W13" s="5">
        <v>870.29080061286516</v>
      </c>
      <c r="X13" s="5">
        <v>942.67817093357678</v>
      </c>
      <c r="Y13" s="5">
        <v>1014.7864548838073</v>
      </c>
      <c r="Z13" s="5">
        <v>1088.8825665734339</v>
      </c>
      <c r="AA13" s="5">
        <v>1166.5713420701791</v>
      </c>
      <c r="AB13" s="5">
        <v>1248.5246245281107</v>
      </c>
      <c r="AC13" s="5">
        <v>1338.1934459603879</v>
      </c>
      <c r="AD13" s="5">
        <v>1443.6705862655729</v>
      </c>
      <c r="AE13" s="5">
        <v>1570.8718426324278</v>
      </c>
      <c r="AF13" s="5">
        <v>1722.9752247871024</v>
      </c>
      <c r="AG13" s="5">
        <v>1900.6890547191251</v>
      </c>
      <c r="AH13" s="5">
        <v>2105.6386845410566</v>
      </c>
      <c r="AI13" s="5">
        <v>2342.8968658005324</v>
      </c>
      <c r="AJ13" s="5">
        <v>2616.5043983974997</v>
      </c>
      <c r="AK13" s="5">
        <v>2930.2161775415334</v>
      </c>
      <c r="AL13" s="5">
        <v>3283.8806122788778</v>
      </c>
      <c r="AM13" s="5">
        <v>3672.5849247560091</v>
      </c>
      <c r="AN13" s="5">
        <v>4087.1804150294683</v>
      </c>
      <c r="AO13" s="5">
        <v>4514.7379045550806</v>
      </c>
      <c r="AP13" s="5">
        <v>4942.7232936480677</v>
      </c>
      <c r="AQ13" s="5">
        <v>5359.4251602721843</v>
      </c>
      <c r="AR13" s="5">
        <v>5754.2819439898431</v>
      </c>
      <c r="AS13" s="5">
        <v>6111.7489069174808</v>
      </c>
      <c r="AT13" s="5">
        <v>6413.3792493465171</v>
      </c>
      <c r="AU13" s="5">
        <v>6644.4169127977229</v>
      </c>
      <c r="AV13">
        <v>6792.1837488372103</v>
      </c>
      <c r="AW13">
        <v>6846.5371449339318</v>
      </c>
    </row>
    <row r="14" spans="1:57" x14ac:dyDescent="0.35">
      <c r="A14" t="s">
        <v>10</v>
      </c>
      <c r="B14" s="10" t="s">
        <v>98</v>
      </c>
      <c r="C14" s="3">
        <v>1</v>
      </c>
      <c r="D14" s="3">
        <v>1</v>
      </c>
      <c r="E14" s="3">
        <v>1</v>
      </c>
      <c r="F14" s="3">
        <v>1</v>
      </c>
      <c r="G14" s="5">
        <v>6.4038681333354042</v>
      </c>
      <c r="H14" s="5">
        <v>25.867480672515477</v>
      </c>
      <c r="I14" s="5">
        <v>58.747614974017985</v>
      </c>
      <c r="J14" s="5">
        <v>105.09778606583127</v>
      </c>
      <c r="K14" s="5">
        <v>164.68773490975713</v>
      </c>
      <c r="L14" s="5">
        <v>237.01025889072636</v>
      </c>
      <c r="M14" s="5">
        <v>321.27847573709033</v>
      </c>
      <c r="N14" s="5">
        <v>416.50259736959401</v>
      </c>
      <c r="O14" s="5">
        <v>521.50022204383481</v>
      </c>
      <c r="P14" s="5">
        <v>634.90276724589057</v>
      </c>
      <c r="Q14" s="5">
        <v>755.29969971193088</v>
      </c>
      <c r="R14" s="5">
        <v>881.37148378605605</v>
      </c>
      <c r="S14" s="5">
        <v>1011.9156702903055</v>
      </c>
      <c r="T14" s="5">
        <v>1145.7840446800874</v>
      </c>
      <c r="U14" s="5">
        <v>1281.8588622432846</v>
      </c>
      <c r="V14" s="5">
        <v>1418.0152181601525</v>
      </c>
      <c r="W14" s="5">
        <v>1551.2892652865253</v>
      </c>
      <c r="X14" s="5">
        <v>1680.680744348841</v>
      </c>
      <c r="Y14" s="5">
        <v>1807.0816462891769</v>
      </c>
      <c r="Z14" s="5">
        <v>1936.9954114692205</v>
      </c>
      <c r="AA14" s="5">
        <v>2079.1294748312043</v>
      </c>
      <c r="AB14" s="5">
        <v>2241.2149289690833</v>
      </c>
      <c r="AC14" s="5">
        <v>2424.2623782689925</v>
      </c>
      <c r="AD14" s="5">
        <v>2628.5308330931389</v>
      </c>
      <c r="AE14" s="5">
        <v>2856.2882354737017</v>
      </c>
      <c r="AF14" s="5">
        <v>3106.738422304491</v>
      </c>
      <c r="AG14" s="5">
        <v>3381.7560228819084</v>
      </c>
      <c r="AH14" s="5">
        <v>3680.4438789942596</v>
      </c>
      <c r="AI14" s="5">
        <v>3999.3447600857025</v>
      </c>
      <c r="AJ14" s="5">
        <v>4327.5971637860812</v>
      </c>
      <c r="AK14" s="5">
        <v>4656.6324472034876</v>
      </c>
      <c r="AL14" s="5">
        <v>4979.675811638117</v>
      </c>
      <c r="AM14" s="5">
        <v>5287.5557536067727</v>
      </c>
      <c r="AN14" s="5">
        <v>5577.999026417705</v>
      </c>
      <c r="AO14" s="5">
        <v>5850.8011123447413</v>
      </c>
      <c r="AP14" s="5">
        <v>6104.0247290815987</v>
      </c>
      <c r="AQ14" s="5">
        <v>6337.0471065095126</v>
      </c>
      <c r="AR14" s="5">
        <v>6553.2274827926685</v>
      </c>
      <c r="AS14" s="5">
        <v>6754.1971903566018</v>
      </c>
      <c r="AT14" s="5">
        <v>6944.6761949134825</v>
      </c>
      <c r="AU14" s="5">
        <v>7126.5707317141323</v>
      </c>
      <c r="AV14">
        <v>7297.1578753570757</v>
      </c>
      <c r="AW14">
        <v>7457.7628087098064</v>
      </c>
    </row>
    <row r="15" spans="1:57" x14ac:dyDescent="0.35">
      <c r="A15" t="s">
        <v>11</v>
      </c>
      <c r="B15" s="10" t="s">
        <v>99</v>
      </c>
      <c r="C15" s="3">
        <v>1</v>
      </c>
      <c r="D15" s="3">
        <v>1</v>
      </c>
      <c r="E15" s="3">
        <v>1</v>
      </c>
      <c r="F15" s="3">
        <v>1</v>
      </c>
      <c r="G15" s="5">
        <v>19.272806014790696</v>
      </c>
      <c r="H15" s="5">
        <v>40.563781985065887</v>
      </c>
      <c r="I15" s="5">
        <v>63.785483303951999</v>
      </c>
      <c r="J15" s="5">
        <v>88.806043172679409</v>
      </c>
      <c r="K15" s="5">
        <v>115.57125120938812</v>
      </c>
      <c r="L15" s="5">
        <v>143.89472462552118</v>
      </c>
      <c r="M15" s="5">
        <v>173.59750083747764</v>
      </c>
      <c r="N15" s="5">
        <v>204.67462256904508</v>
      </c>
      <c r="O15" s="5">
        <v>236.81058500826549</v>
      </c>
      <c r="P15" s="5">
        <v>269.83573905296959</v>
      </c>
      <c r="Q15" s="5">
        <v>303.9138950386988</v>
      </c>
      <c r="R15" s="5">
        <v>339.3304036377358</v>
      </c>
      <c r="S15" s="5">
        <v>376.19984260604582</v>
      </c>
      <c r="T15" s="5">
        <v>414.3173975775909</v>
      </c>
      <c r="U15" s="5">
        <v>453.53003828405406</v>
      </c>
      <c r="V15" s="5">
        <v>485.95893814953769</v>
      </c>
      <c r="W15" s="5">
        <v>520.80530445507713</v>
      </c>
      <c r="X15" s="5">
        <v>569.21645712910242</v>
      </c>
      <c r="Y15" s="5">
        <v>645.76601704953248</v>
      </c>
      <c r="Z15" s="5">
        <v>704.90500236060905</v>
      </c>
      <c r="AA15" s="5">
        <v>747.39291535429777</v>
      </c>
      <c r="AB15" s="5">
        <v>785.09103885781337</v>
      </c>
      <c r="AC15" s="5">
        <v>829.30396625329456</v>
      </c>
      <c r="AD15" s="5">
        <v>882.38993231244694</v>
      </c>
      <c r="AE15" s="5">
        <v>967.42604853611238</v>
      </c>
      <c r="AF15" s="5">
        <v>1066.9813701789769</v>
      </c>
      <c r="AG15" s="5">
        <v>1152.2306496634928</v>
      </c>
      <c r="AH15" s="5">
        <v>1224.4310117504228</v>
      </c>
      <c r="AI15" s="5">
        <v>1250.314829180337</v>
      </c>
      <c r="AJ15" s="5">
        <v>1298.5296286971561</v>
      </c>
      <c r="AK15" s="5">
        <v>1336.6825267927059</v>
      </c>
      <c r="AL15" s="5">
        <v>1360.0435119996414</v>
      </c>
      <c r="AM15" s="5">
        <v>1358.325164547507</v>
      </c>
      <c r="AN15" s="5">
        <v>1342.7930366393232</v>
      </c>
      <c r="AO15" s="5">
        <v>1320.9631570400152</v>
      </c>
      <c r="AP15" s="5">
        <v>1309.047509001166</v>
      </c>
      <c r="AQ15" s="5">
        <v>1302.9397140039873</v>
      </c>
      <c r="AR15" s="5">
        <v>1310.5413319973325</v>
      </c>
      <c r="AS15" s="5">
        <v>1349.9170399448788</v>
      </c>
      <c r="AT15" s="5">
        <v>1414.3850790569327</v>
      </c>
      <c r="AU15" s="5">
        <v>1502.9491975937844</v>
      </c>
      <c r="AV15">
        <v>1588.2387976062357</v>
      </c>
      <c r="AW15">
        <v>1672.5176335640037</v>
      </c>
    </row>
    <row r="16" spans="1:57" x14ac:dyDescent="0.35">
      <c r="A16" t="s">
        <v>12</v>
      </c>
      <c r="B16" s="10" t="s">
        <v>100</v>
      </c>
      <c r="C16" s="3">
        <v>1</v>
      </c>
      <c r="D16" s="3">
        <v>1</v>
      </c>
      <c r="E16" s="3">
        <v>1</v>
      </c>
      <c r="F16" s="3">
        <v>1</v>
      </c>
      <c r="G16" s="5">
        <v>9.2979423828035285E-3</v>
      </c>
      <c r="H16" s="5">
        <v>4.6589358170636974E-2</v>
      </c>
      <c r="I16" s="5">
        <v>0.13058592785616827</v>
      </c>
      <c r="J16" s="5">
        <v>0.27959863568079396</v>
      </c>
      <c r="K16" s="5">
        <v>0.51125030226448509</v>
      </c>
      <c r="L16" s="5">
        <v>0.84207868668189034</v>
      </c>
      <c r="M16" s="5">
        <v>1.2870445414961591</v>
      </c>
      <c r="N16" s="5">
        <v>1.8595839988202076</v>
      </c>
      <c r="O16" s="5">
        <v>2.5711384152394356</v>
      </c>
      <c r="P16" s="5">
        <v>3.4306559956920499</v>
      </c>
      <c r="Q16" s="5">
        <v>4.4454401265485082</v>
      </c>
      <c r="R16" s="5">
        <v>5.6221609238761845</v>
      </c>
      <c r="S16" s="5">
        <v>6.9668979074910196</v>
      </c>
      <c r="T16" s="5">
        <v>8.4841407870077479</v>
      </c>
      <c r="U16" s="5">
        <v>10.176190069232812</v>
      </c>
      <c r="V16" s="5">
        <v>12.065436166676713</v>
      </c>
      <c r="W16" s="5">
        <v>14.123699102425718</v>
      </c>
      <c r="X16" s="5">
        <v>16.300151339490043</v>
      </c>
      <c r="Y16" s="5">
        <v>18.593117452216401</v>
      </c>
      <c r="Z16" s="5">
        <v>21.197526229750654</v>
      </c>
      <c r="AA16" s="5">
        <v>26.6107640837023</v>
      </c>
      <c r="AB16" s="5">
        <v>37.187571166843497</v>
      </c>
      <c r="AC16" s="5">
        <v>53.008957583043816</v>
      </c>
      <c r="AD16" s="5">
        <v>73.782750324723338</v>
      </c>
      <c r="AE16" s="5">
        <v>99.098431497252506</v>
      </c>
      <c r="AF16" s="5">
        <v>129.6790267365557</v>
      </c>
      <c r="AG16" s="5">
        <v>167.79429577906276</v>
      </c>
      <c r="AH16" s="5">
        <v>214.16903326967721</v>
      </c>
      <c r="AI16" s="5">
        <v>267.24351812640509</v>
      </c>
      <c r="AJ16" s="5">
        <v>323.50746705849292</v>
      </c>
      <c r="AK16" s="5">
        <v>379.33313537561901</v>
      </c>
      <c r="AL16" s="5">
        <v>433.11234480004373</v>
      </c>
      <c r="AM16" s="5">
        <v>483.70662289784008</v>
      </c>
      <c r="AN16" s="5">
        <v>530.42345259479475</v>
      </c>
      <c r="AO16" s="5">
        <v>572.87807925756306</v>
      </c>
      <c r="AP16" s="5">
        <v>611.73317807261242</v>
      </c>
      <c r="AQ16" s="5">
        <v>648.1149424751593</v>
      </c>
      <c r="AR16" s="5">
        <v>682.65660528169587</v>
      </c>
      <c r="AS16" s="5">
        <v>715.68592640554368</v>
      </c>
      <c r="AT16" s="5">
        <v>747.62057532783558</v>
      </c>
      <c r="AU16" s="5">
        <v>779.32980377713727</v>
      </c>
      <c r="AV16">
        <v>811.27054500199108</v>
      </c>
      <c r="AW16">
        <v>843.52174086294997</v>
      </c>
    </row>
    <row r="17" spans="1:49" ht="29" x14ac:dyDescent="0.35">
      <c r="A17" t="s">
        <v>13</v>
      </c>
      <c r="B17" s="10" t="s">
        <v>135</v>
      </c>
      <c r="C17" s="3">
        <v>1</v>
      </c>
      <c r="D17" s="3">
        <v>1</v>
      </c>
      <c r="E17" s="3">
        <v>1</v>
      </c>
      <c r="F17" s="3">
        <v>1</v>
      </c>
      <c r="G17" s="5">
        <v>6.2465111584037253E-2</v>
      </c>
      <c r="H17" s="5">
        <v>0.26437192770101409</v>
      </c>
      <c r="I17" s="5">
        <v>0.63241217134364125</v>
      </c>
      <c r="J17" s="5">
        <v>1.1880890873795655</v>
      </c>
      <c r="K17" s="5">
        <v>1.9472855992541065</v>
      </c>
      <c r="L17" s="5">
        <v>2.9197670904886817</v>
      </c>
      <c r="M17" s="5">
        <v>4.1086770066866514</v>
      </c>
      <c r="N17" s="5">
        <v>5.5115900604647035</v>
      </c>
      <c r="O17" s="5">
        <v>7.1204488728038333</v>
      </c>
      <c r="P17" s="5">
        <v>8.9215310542156168</v>
      </c>
      <c r="Q17" s="5">
        <v>10.898455048345093</v>
      </c>
      <c r="R17" s="5">
        <v>13.035326272614018</v>
      </c>
      <c r="S17" s="5">
        <v>15.317580203696458</v>
      </c>
      <c r="T17" s="5">
        <v>17.730499384636673</v>
      </c>
      <c r="U17" s="5">
        <v>20.25849145401622</v>
      </c>
      <c r="V17" s="5">
        <v>22.588651927932379</v>
      </c>
      <c r="W17" s="5">
        <v>24.851359447035847</v>
      </c>
      <c r="X17" s="5">
        <v>27.921727699933374</v>
      </c>
      <c r="Y17" s="5">
        <v>33.136717354720425</v>
      </c>
      <c r="Z17" s="5">
        <v>41.338831934236872</v>
      </c>
      <c r="AA17" s="5">
        <v>52.498008128143418</v>
      </c>
      <c r="AB17" s="5">
        <v>67.623086039105573</v>
      </c>
      <c r="AC17" s="5">
        <v>88.517774103578546</v>
      </c>
      <c r="AD17" s="5">
        <v>115.3028610379934</v>
      </c>
      <c r="AE17" s="5">
        <v>146.29415345334527</v>
      </c>
      <c r="AF17" s="5">
        <v>181.36188737466841</v>
      </c>
      <c r="AG17" s="5">
        <v>219.68976884891097</v>
      </c>
      <c r="AH17" s="5">
        <v>261.93226283053838</v>
      </c>
      <c r="AI17" s="5">
        <v>309.41669442306045</v>
      </c>
      <c r="AJ17" s="5">
        <v>361.53880849166666</v>
      </c>
      <c r="AK17" s="5">
        <v>418.17557735604748</v>
      </c>
      <c r="AL17" s="5">
        <v>479.16443092087786</v>
      </c>
      <c r="AM17" s="5">
        <v>542.12027618743366</v>
      </c>
      <c r="AN17" s="5">
        <v>604.09022828540844</v>
      </c>
      <c r="AO17" s="5">
        <v>664.73347229611772</v>
      </c>
      <c r="AP17" s="5">
        <v>725.40385817917081</v>
      </c>
      <c r="AQ17" s="5">
        <v>789.17943682556927</v>
      </c>
      <c r="AR17" s="5">
        <v>859.50795651998862</v>
      </c>
      <c r="AS17" s="5">
        <v>936.48155907918783</v>
      </c>
      <c r="AT17" s="5">
        <v>1020.1268293388848</v>
      </c>
      <c r="AU17" s="5">
        <v>1106.8671533207516</v>
      </c>
      <c r="AV17">
        <v>1190.7222023677552</v>
      </c>
      <c r="AW17">
        <v>1270.6699491074364</v>
      </c>
    </row>
    <row r="18" spans="1:49" ht="29" x14ac:dyDescent="0.35">
      <c r="A18" t="s">
        <v>14</v>
      </c>
      <c r="B18" s="10" t="s">
        <v>136</v>
      </c>
      <c r="C18" s="3">
        <v>1</v>
      </c>
      <c r="D18" s="3">
        <v>1</v>
      </c>
      <c r="E18" s="3">
        <v>1</v>
      </c>
      <c r="F18" s="3">
        <v>1</v>
      </c>
      <c r="G18" s="5">
        <v>16.16803183082785</v>
      </c>
      <c r="H18" s="5">
        <v>32.299456713850518</v>
      </c>
      <c r="I18" s="5">
        <v>48.379692894840346</v>
      </c>
      <c r="J18" s="5">
        <v>64.368861800384522</v>
      </c>
      <c r="K18" s="5">
        <v>80.283920798092851</v>
      </c>
      <c r="L18" s="5">
        <v>96.058959751938758</v>
      </c>
      <c r="M18" s="5">
        <v>111.64104551293887</v>
      </c>
      <c r="N18" s="5">
        <v>127.0800883369176</v>
      </c>
      <c r="O18" s="5">
        <v>142.25099978183107</v>
      </c>
      <c r="P18" s="5">
        <v>157.11673593199998</v>
      </c>
      <c r="Q18" s="5">
        <v>171.81204587987941</v>
      </c>
      <c r="R18" s="5">
        <v>186.51839011841821</v>
      </c>
      <c r="S18" s="5">
        <v>201.31819523230109</v>
      </c>
      <c r="T18" s="5">
        <v>216.13498907511979</v>
      </c>
      <c r="U18" s="5">
        <v>230.92125583258928</v>
      </c>
      <c r="V18" s="5">
        <v>241.28460388369203</v>
      </c>
      <c r="W18" s="5">
        <v>247.75922648379421</v>
      </c>
      <c r="X18" s="5">
        <v>283.2011201286615</v>
      </c>
      <c r="Y18" s="5">
        <v>346.419012027478</v>
      </c>
      <c r="Z18" s="5">
        <v>436.28121280637129</v>
      </c>
      <c r="AA18" s="5">
        <v>515.87691869773994</v>
      </c>
      <c r="AB18" s="5">
        <v>585.96792294261672</v>
      </c>
      <c r="AC18" s="5">
        <v>644.72165662280281</v>
      </c>
      <c r="AD18" s="5">
        <v>686.34858025028905</v>
      </c>
      <c r="AE18" s="5">
        <v>727.54683118636763</v>
      </c>
      <c r="AF18" s="5">
        <v>768.87694769251016</v>
      </c>
      <c r="AG18" s="5">
        <v>970.39134794785298</v>
      </c>
      <c r="AH18" s="5">
        <v>1222.7006483978648</v>
      </c>
      <c r="AI18" s="5">
        <v>1432.3860400633935</v>
      </c>
      <c r="AJ18" s="5">
        <v>1626.8022762853032</v>
      </c>
      <c r="AK18" s="5">
        <v>1798.0618251162427</v>
      </c>
      <c r="AL18" s="5">
        <v>2051.8169924014405</v>
      </c>
      <c r="AM18" s="5">
        <v>2281.5973335576646</v>
      </c>
      <c r="AN18" s="5">
        <v>2385.3885570883344</v>
      </c>
      <c r="AO18" s="5">
        <v>2370.3473143915267</v>
      </c>
      <c r="AP18" s="5">
        <v>2348.5896880391579</v>
      </c>
      <c r="AQ18" s="5">
        <v>2333.6133151166846</v>
      </c>
      <c r="AR18" s="5">
        <v>2394.9809480098602</v>
      </c>
      <c r="AS18" s="5">
        <v>2488.9041730985505</v>
      </c>
      <c r="AT18" s="5">
        <v>2477.7424502322788</v>
      </c>
      <c r="AU18" s="5">
        <v>2364.900917707007</v>
      </c>
      <c r="AV18">
        <v>2259.5373763750158</v>
      </c>
      <c r="AW18">
        <v>2161.7372603602257</v>
      </c>
    </row>
    <row r="19" spans="1:49" x14ac:dyDescent="0.35">
      <c r="A19" t="s">
        <v>15</v>
      </c>
      <c r="B19" s="10" t="s">
        <v>101</v>
      </c>
      <c r="C19" s="3">
        <v>5</v>
      </c>
      <c r="D19" s="3">
        <v>5</v>
      </c>
      <c r="E19" s="3">
        <v>1</v>
      </c>
      <c r="F19" s="3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0.48085740674838007</v>
      </c>
      <c r="M19" s="5">
        <v>2.3953998528694873</v>
      </c>
      <c r="N19" s="5">
        <v>6.6724933685551493</v>
      </c>
      <c r="O19" s="5">
        <v>14.1906002972297</v>
      </c>
      <c r="P19" s="5">
        <v>25.751292868213817</v>
      </c>
      <c r="Q19" s="5">
        <v>42.08438468235974</v>
      </c>
      <c r="R19" s="5">
        <v>63.867174814178085</v>
      </c>
      <c r="S19" s="5">
        <v>91.722725533259634</v>
      </c>
      <c r="T19" s="5">
        <v>126.18564284528618</v>
      </c>
      <c r="U19" s="5">
        <v>167.67668109360051</v>
      </c>
      <c r="V19" s="5">
        <v>216.56518288399806</v>
      </c>
      <c r="W19" s="5">
        <v>272.12390698827937</v>
      </c>
      <c r="X19" s="5">
        <v>333.78608430529704</v>
      </c>
      <c r="Y19" s="5">
        <v>402.23281642521016</v>
      </c>
      <c r="Z19" s="5">
        <v>476.80354691011496</v>
      </c>
      <c r="AA19" s="5">
        <v>555.78435672975945</v>
      </c>
      <c r="AB19" s="5">
        <v>638.58206491392843</v>
      </c>
      <c r="AC19" s="5">
        <v>725.24519612751703</v>
      </c>
      <c r="AD19" s="5">
        <v>815.62549853556663</v>
      </c>
      <c r="AE19" s="5">
        <v>908.69115104303421</v>
      </c>
      <c r="AF19" s="5">
        <v>1003.9399571457495</v>
      </c>
      <c r="AG19" s="5">
        <v>1101.9020777203548</v>
      </c>
      <c r="AH19" s="5">
        <v>1202.822509817815</v>
      </c>
      <c r="AI19" s="5">
        <v>1307.3173372842448</v>
      </c>
      <c r="AJ19" s="5">
        <v>1415.8413569925635</v>
      </c>
      <c r="AK19" s="5">
        <v>1528.3360720953003</v>
      </c>
      <c r="AL19" s="5">
        <v>1643.6225322117502</v>
      </c>
      <c r="AM19" s="5">
        <v>1760.5818257084632</v>
      </c>
      <c r="AN19" s="5">
        <v>1878.9834092804558</v>
      </c>
      <c r="AO19" s="5">
        <v>1998.4226051668024</v>
      </c>
      <c r="AP19" s="5">
        <v>2118.970082502095</v>
      </c>
      <c r="AQ19" s="5">
        <v>2240.1434128852684</v>
      </c>
      <c r="AR19" s="5">
        <v>2361.1555144337658</v>
      </c>
      <c r="AS19" s="5">
        <v>2483.2484473975633</v>
      </c>
      <c r="AT19" s="5">
        <v>2609.1169611184891</v>
      </c>
      <c r="AU19" s="5">
        <v>2740.5996069419339</v>
      </c>
      <c r="AV19">
        <v>2877.7474245375347</v>
      </c>
      <c r="AW19">
        <v>3019.979148564199</v>
      </c>
    </row>
    <row r="20" spans="1:49" ht="29" x14ac:dyDescent="0.35">
      <c r="A20" t="s">
        <v>16</v>
      </c>
      <c r="B20" s="10" t="s">
        <v>137</v>
      </c>
      <c r="C20" s="3">
        <v>5</v>
      </c>
      <c r="D20" s="3">
        <v>5</v>
      </c>
      <c r="E20" s="3">
        <v>2</v>
      </c>
      <c r="F20" s="3">
        <v>2</v>
      </c>
      <c r="G20" s="5">
        <v>144.60152508236229</v>
      </c>
      <c r="H20" s="5">
        <v>280.93846674173449</v>
      </c>
      <c r="I20" s="5">
        <v>409.83465147540448</v>
      </c>
      <c r="J20" s="5">
        <v>531.78178683787269</v>
      </c>
      <c r="K20" s="5">
        <v>647.69957503008538</v>
      </c>
      <c r="L20" s="5">
        <v>757.66818356896908</v>
      </c>
      <c r="M20" s="5">
        <v>861.83657312690912</v>
      </c>
      <c r="N20" s="5">
        <v>961.22630946272625</v>
      </c>
      <c r="O20" s="5">
        <v>1055.2012623879259</v>
      </c>
      <c r="P20" s="5">
        <v>1143.9177285429901</v>
      </c>
      <c r="Q20" s="5">
        <v>1229.0285371368609</v>
      </c>
      <c r="R20" s="5">
        <v>1312.4859613226868</v>
      </c>
      <c r="S20" s="5">
        <v>1395.2284235857067</v>
      </c>
      <c r="T20" s="5">
        <v>1476.7091928735999</v>
      </c>
      <c r="U20" s="5">
        <v>1556.6611851996158</v>
      </c>
      <c r="V20" s="5">
        <v>1595.6802584253714</v>
      </c>
      <c r="W20" s="5">
        <v>1600.8739606999784</v>
      </c>
      <c r="X20" s="5">
        <v>1637.9462097947949</v>
      </c>
      <c r="Y20" s="5">
        <v>1938.5031335770122</v>
      </c>
      <c r="Z20" s="5">
        <v>2165.6815673608585</v>
      </c>
      <c r="AA20" s="5">
        <v>2313.0112945819665</v>
      </c>
      <c r="AB20" s="5">
        <v>2389.3736424637814</v>
      </c>
      <c r="AC20" s="5">
        <v>2418.8110963929707</v>
      </c>
      <c r="AD20" s="5">
        <v>2547.9356276356975</v>
      </c>
      <c r="AE20" s="5">
        <v>2648.4032227172074</v>
      </c>
      <c r="AF20" s="5">
        <v>2724.661048952853</v>
      </c>
      <c r="AG20" s="5">
        <v>2823.4527850842283</v>
      </c>
      <c r="AH20" s="5">
        <v>2909.1194530550415</v>
      </c>
      <c r="AI20" s="5">
        <v>2980.4503175191462</v>
      </c>
      <c r="AJ20" s="5">
        <v>2918.2826675010474</v>
      </c>
      <c r="AK20" s="5">
        <v>2975.4862651607327</v>
      </c>
      <c r="AL20" s="5">
        <v>2978.9499129839778</v>
      </c>
      <c r="AM20" s="5">
        <v>2887.2305178900733</v>
      </c>
      <c r="AN20" s="5">
        <v>2856.0031734830695</v>
      </c>
      <c r="AO20" s="5">
        <v>2879.1544418113485</v>
      </c>
      <c r="AP20" s="5">
        <v>2955.2363774465339</v>
      </c>
      <c r="AQ20" s="5">
        <v>2925.0387885867672</v>
      </c>
      <c r="AR20" s="5">
        <v>3096.9702316431558</v>
      </c>
      <c r="AS20" s="5">
        <v>3169.7223725497547</v>
      </c>
      <c r="AT20" s="5">
        <v>3093.613525752241</v>
      </c>
      <c r="AU20" s="5">
        <v>3008.4255998501958</v>
      </c>
      <c r="AV20">
        <v>3089.8200430599454</v>
      </c>
      <c r="AW20">
        <v>3176.6264664048927</v>
      </c>
    </row>
    <row r="21" spans="1:49" ht="29" x14ac:dyDescent="0.35">
      <c r="A21" t="s">
        <v>17</v>
      </c>
      <c r="B21" s="10" t="s">
        <v>158</v>
      </c>
      <c r="C21" s="3">
        <v>5</v>
      </c>
      <c r="D21" s="3">
        <v>5</v>
      </c>
      <c r="E21" s="3">
        <v>2</v>
      </c>
      <c r="F21" s="3">
        <v>2</v>
      </c>
      <c r="G21" s="5">
        <v>6.1571037199138452</v>
      </c>
      <c r="H21" s="5">
        <v>24.970720635352354</v>
      </c>
      <c r="I21" s="5">
        <v>56.815876508466999</v>
      </c>
      <c r="J21" s="5">
        <v>101.45314820685175</v>
      </c>
      <c r="K21" s="5">
        <v>158.09430210195464</v>
      </c>
      <c r="L21" s="5">
        <v>225.48192637872503</v>
      </c>
      <c r="M21" s="5">
        <v>301.97614164268174</v>
      </c>
      <c r="N21" s="5">
        <v>385.73780306418678</v>
      </c>
      <c r="O21" s="5">
        <v>474.82858774955048</v>
      </c>
      <c r="P21" s="5">
        <v>567.29063659259396</v>
      </c>
      <c r="Q21" s="5">
        <v>661.3707414534116</v>
      </c>
      <c r="R21" s="5">
        <v>755.70891002886151</v>
      </c>
      <c r="S21" s="5">
        <v>849.36554062355833</v>
      </c>
      <c r="T21" s="5">
        <v>941.70499107930573</v>
      </c>
      <c r="U21" s="5">
        <v>1032.3061703098961</v>
      </c>
      <c r="V21" s="5">
        <v>1122.4300307788471</v>
      </c>
      <c r="W21" s="5">
        <v>1209.1607412745777</v>
      </c>
      <c r="X21" s="5">
        <v>1286.3520628250953</v>
      </c>
      <c r="Y21" s="5">
        <v>1350.6308511612913</v>
      </c>
      <c r="Z21" s="5">
        <v>1394.8550815615574</v>
      </c>
      <c r="AA21" s="5">
        <v>1414.9871673267048</v>
      </c>
      <c r="AB21" s="5">
        <v>1417.7804747740115</v>
      </c>
      <c r="AC21" s="5">
        <v>1410.1770506187211</v>
      </c>
      <c r="AD21" s="5">
        <v>1398.6075839193763</v>
      </c>
      <c r="AE21" s="5">
        <v>1392.3450257601248</v>
      </c>
      <c r="AF21" s="5">
        <v>1403.3699793300464</v>
      </c>
      <c r="AG21" s="5">
        <v>1448.9124088057235</v>
      </c>
      <c r="AH21" s="5">
        <v>1542.2597422127142</v>
      </c>
      <c r="AI21" s="5">
        <v>1677.5404271199197</v>
      </c>
      <c r="AJ21" s="5">
        <v>1845.0898800750349</v>
      </c>
      <c r="AK21" s="5">
        <v>2033.8574170760594</v>
      </c>
      <c r="AL21" s="5">
        <v>2222.3441406062566</v>
      </c>
      <c r="AM21" s="5">
        <v>2395.5189465725794</v>
      </c>
      <c r="AN21" s="5">
        <v>2545.447475958108</v>
      </c>
      <c r="AO21" s="5">
        <v>2665.8663889884615</v>
      </c>
      <c r="AP21" s="5">
        <v>2761.2046652747799</v>
      </c>
      <c r="AQ21" s="5">
        <v>2834.340565582193</v>
      </c>
      <c r="AR21" s="5">
        <v>2877.6496770481881</v>
      </c>
      <c r="AS21" s="5">
        <v>2888.9569583686066</v>
      </c>
      <c r="AT21" s="5">
        <v>2874.4265655702852</v>
      </c>
      <c r="AU21" s="5">
        <v>2848.5580025335307</v>
      </c>
      <c r="AV21">
        <v>2823.4128147631131</v>
      </c>
      <c r="AW21">
        <v>2803.6133826935247</v>
      </c>
    </row>
    <row r="22" spans="1:49" ht="29" x14ac:dyDescent="0.35">
      <c r="A22" t="s">
        <v>18</v>
      </c>
      <c r="B22" s="10" t="s">
        <v>159</v>
      </c>
      <c r="C22" s="3">
        <v>5</v>
      </c>
      <c r="D22" s="3">
        <v>5</v>
      </c>
      <c r="E22" s="3">
        <v>2</v>
      </c>
      <c r="F22" s="3">
        <v>2</v>
      </c>
      <c r="G22" s="5">
        <v>21.340894539734308</v>
      </c>
      <c r="H22" s="5">
        <v>42.286152962448213</v>
      </c>
      <c r="I22" s="5">
        <v>62.881663098776961</v>
      </c>
      <c r="J22" s="5">
        <v>83.123979551845622</v>
      </c>
      <c r="K22" s="5">
        <v>103.08489545865021</v>
      </c>
      <c r="L22" s="5">
        <v>122.70062218271946</v>
      </c>
      <c r="M22" s="5">
        <v>141.92027095603743</v>
      </c>
      <c r="N22" s="5">
        <v>160.85376990764428</v>
      </c>
      <c r="O22" s="5">
        <v>179.31720337323006</v>
      </c>
      <c r="P22" s="5">
        <v>197.27222950062338</v>
      </c>
      <c r="Q22" s="5">
        <v>214.97058025695725</v>
      </c>
      <c r="R22" s="5">
        <v>232.73819732405525</v>
      </c>
      <c r="S22" s="5">
        <v>250.71937920459484</v>
      </c>
      <c r="T22" s="5">
        <v>268.77240717664421</v>
      </c>
      <c r="U22" s="5">
        <v>286.81078981292967</v>
      </c>
      <c r="V22" s="5">
        <v>302.38505561355487</v>
      </c>
      <c r="W22" s="5">
        <v>317.42571923926312</v>
      </c>
      <c r="X22" s="5">
        <v>335.24847867843937</v>
      </c>
      <c r="Y22" s="5">
        <v>355.6488131291776</v>
      </c>
      <c r="Z22" s="5">
        <v>381.1265492588808</v>
      </c>
      <c r="AA22" s="5">
        <v>411.34193975545293</v>
      </c>
      <c r="AB22" s="5">
        <v>456.51598467909474</v>
      </c>
      <c r="AC22" s="5">
        <v>484.71204338368256</v>
      </c>
      <c r="AD22" s="5">
        <v>536.29490249573735</v>
      </c>
      <c r="AE22" s="5">
        <v>608.50472371404123</v>
      </c>
      <c r="AF22" s="5">
        <v>665.45590487860966</v>
      </c>
      <c r="AG22" s="5">
        <v>709.0640384787207</v>
      </c>
      <c r="AH22" s="5">
        <v>741.51899855559202</v>
      </c>
      <c r="AI22" s="5">
        <v>763.24004032954861</v>
      </c>
      <c r="AJ22" s="5">
        <v>768.37979374403255</v>
      </c>
      <c r="AK22" s="5">
        <v>769.40446038217431</v>
      </c>
      <c r="AL22" s="5">
        <v>766.6361905228689</v>
      </c>
      <c r="AM22" s="5">
        <v>785.1284959292077</v>
      </c>
      <c r="AN22" s="5">
        <v>808.58061689578676</v>
      </c>
      <c r="AO22" s="5">
        <v>843.64679271051182</v>
      </c>
      <c r="AP22" s="5">
        <v>896.3721627561996</v>
      </c>
      <c r="AQ22" s="5">
        <v>965.2733737985609</v>
      </c>
      <c r="AR22" s="5">
        <v>1015.7530718527739</v>
      </c>
      <c r="AS22" s="5">
        <v>1064.9411131555335</v>
      </c>
      <c r="AT22" s="5">
        <v>1112.5888862186207</v>
      </c>
      <c r="AU22" s="5">
        <v>1158.4390172271333</v>
      </c>
      <c r="AV22">
        <v>1223.4879764419004</v>
      </c>
      <c r="AW22">
        <v>1287.1135238657432</v>
      </c>
    </row>
    <row r="23" spans="1:49" x14ac:dyDescent="0.35">
      <c r="A23" t="s">
        <v>19</v>
      </c>
      <c r="B23" s="10" t="s">
        <v>102</v>
      </c>
      <c r="C23" s="3">
        <v>5</v>
      </c>
      <c r="D23" s="3">
        <v>5</v>
      </c>
      <c r="E23" s="3">
        <v>2</v>
      </c>
      <c r="F23" s="3">
        <v>2</v>
      </c>
      <c r="G23" s="5">
        <v>30.136574861075054</v>
      </c>
      <c r="H23" s="5">
        <v>59.388824349841826</v>
      </c>
      <c r="I23" s="5">
        <v>87.805086997389566</v>
      </c>
      <c r="J23" s="5">
        <v>115.38025538425111</v>
      </c>
      <c r="K23" s="5">
        <v>142.21101547733662</v>
      </c>
      <c r="L23" s="5">
        <v>168.23293603481758</v>
      </c>
      <c r="M23" s="5">
        <v>193.40378500149683</v>
      </c>
      <c r="N23" s="5">
        <v>217.87068803647787</v>
      </c>
      <c r="O23" s="5">
        <v>241.44694057530307</v>
      </c>
      <c r="P23" s="5">
        <v>264.11236438598974</v>
      </c>
      <c r="Q23" s="5">
        <v>286.16430856559811</v>
      </c>
      <c r="R23" s="5">
        <v>307.97619328461548</v>
      </c>
      <c r="S23" s="5">
        <v>329.72466690819289</v>
      </c>
      <c r="T23" s="5">
        <v>351.28393530884614</v>
      </c>
      <c r="U23" s="5">
        <v>372.58439615724501</v>
      </c>
      <c r="V23" s="5">
        <v>393.59901860223431</v>
      </c>
      <c r="W23" s="5">
        <v>414.9312929790745</v>
      </c>
      <c r="X23" s="5">
        <v>449.06872922561638</v>
      </c>
      <c r="Y23" s="5">
        <v>508.90622815198458</v>
      </c>
      <c r="Z23" s="5">
        <v>587.39517945496664</v>
      </c>
      <c r="AA23" s="5">
        <v>654.14307376365014</v>
      </c>
      <c r="AB23" s="5">
        <v>744.9555066079547</v>
      </c>
      <c r="AC23" s="5">
        <v>852.9876267893718</v>
      </c>
      <c r="AD23" s="5">
        <v>977.34652372845301</v>
      </c>
      <c r="AE23" s="5">
        <v>1172.2741911199382</v>
      </c>
      <c r="AF23" s="5">
        <v>1341.9909676802881</v>
      </c>
      <c r="AG23" s="5">
        <v>1536.1007695322583</v>
      </c>
      <c r="AH23" s="5">
        <v>1623.0331410382219</v>
      </c>
      <c r="AI23" s="5">
        <v>1671.4723583486568</v>
      </c>
      <c r="AJ23" s="5">
        <v>1690.4030668432915</v>
      </c>
      <c r="AK23" s="5">
        <v>1740.5518910445151</v>
      </c>
      <c r="AL23" s="5">
        <v>1812.0909802576855</v>
      </c>
      <c r="AM23" s="5">
        <v>1903.158397104263</v>
      </c>
      <c r="AN23" s="5">
        <v>1986.8532398840248</v>
      </c>
      <c r="AO23" s="5">
        <v>2064.2563339110193</v>
      </c>
      <c r="AP23" s="5">
        <v>2190.5104058614202</v>
      </c>
      <c r="AQ23" s="5">
        <v>2222.8878991568017</v>
      </c>
      <c r="AR23" s="5">
        <v>2257.8386673368409</v>
      </c>
      <c r="AS23" s="5">
        <v>2326.3268637107749</v>
      </c>
      <c r="AT23" s="5">
        <v>2421.5605636617106</v>
      </c>
      <c r="AU23" s="5">
        <v>2541.0675583665166</v>
      </c>
      <c r="AV23">
        <v>2652.6552171711091</v>
      </c>
      <c r="AW23">
        <v>2761.3766225044183</v>
      </c>
    </row>
    <row r="24" spans="1:49" ht="29" x14ac:dyDescent="0.35">
      <c r="A24" t="s">
        <v>20</v>
      </c>
      <c r="B24" s="10" t="s">
        <v>138</v>
      </c>
      <c r="C24" s="3">
        <v>5</v>
      </c>
      <c r="D24" s="3">
        <v>5</v>
      </c>
      <c r="E24" s="3">
        <v>2</v>
      </c>
      <c r="F24" s="3">
        <v>2</v>
      </c>
      <c r="G24" s="5">
        <v>21.653484017694829</v>
      </c>
      <c r="H24" s="5">
        <v>42.104952796911618</v>
      </c>
      <c r="I24" s="5">
        <v>61.471627702788865</v>
      </c>
      <c r="J24" s="5">
        <v>79.821891264615147</v>
      </c>
      <c r="K24" s="5">
        <v>97.288916685585946</v>
      </c>
      <c r="L24" s="5">
        <v>113.88093106372236</v>
      </c>
      <c r="M24" s="5">
        <v>129.6170573976533</v>
      </c>
      <c r="N24" s="5">
        <v>144.64724535689473</v>
      </c>
      <c r="O24" s="5">
        <v>158.873931135211</v>
      </c>
      <c r="P24" s="5">
        <v>172.31838112974589</v>
      </c>
      <c r="Q24" s="5">
        <v>185.22609722829765</v>
      </c>
      <c r="R24" s="5">
        <v>197.88828804594127</v>
      </c>
      <c r="S24" s="5">
        <v>210.44482264676077</v>
      </c>
      <c r="T24" s="5">
        <v>222.81339855955397</v>
      </c>
      <c r="U24" s="5">
        <v>234.95370312811355</v>
      </c>
      <c r="V24" s="5">
        <v>257.66539383765422</v>
      </c>
      <c r="W24" s="5">
        <v>266.91691859247345</v>
      </c>
      <c r="X24" s="5">
        <v>264.23175873291268</v>
      </c>
      <c r="Y24" s="5">
        <v>269.19981705471281</v>
      </c>
      <c r="Z24" s="5">
        <v>271.62060646485617</v>
      </c>
      <c r="AA24" s="5">
        <v>275.33583708625241</v>
      </c>
      <c r="AB24" s="5">
        <v>292.12989100637492</v>
      </c>
      <c r="AC24" s="5">
        <v>321.04513781377716</v>
      </c>
      <c r="AD24" s="5">
        <v>361.0784241971711</v>
      </c>
      <c r="AE24" s="5">
        <v>425.92519166458123</v>
      </c>
      <c r="AF24" s="5">
        <v>489.34082016494017</v>
      </c>
      <c r="AG24" s="5">
        <v>552.03762795343346</v>
      </c>
      <c r="AH24" s="5">
        <v>615.32488457494401</v>
      </c>
      <c r="AI24" s="5">
        <v>678.95103512140781</v>
      </c>
      <c r="AJ24" s="5">
        <v>741.40893926978254</v>
      </c>
      <c r="AK24" s="5">
        <v>796.44674718560998</v>
      </c>
      <c r="AL24" s="5">
        <v>835.98590891602908</v>
      </c>
      <c r="AM24" s="5">
        <v>855.44583905900072</v>
      </c>
      <c r="AN24" s="5">
        <v>857.07863209691425</v>
      </c>
      <c r="AO24" s="5">
        <v>842.95388545423339</v>
      </c>
      <c r="AP24" s="5">
        <v>831.2049552774215</v>
      </c>
      <c r="AQ24" s="5">
        <v>822.44952806641038</v>
      </c>
      <c r="AR24" s="5">
        <v>820.49465117072771</v>
      </c>
      <c r="AS24" s="5">
        <v>814.17457990001549</v>
      </c>
      <c r="AT24" s="5">
        <v>809.95125142527797</v>
      </c>
      <c r="AU24" s="5">
        <v>807.32917543031806</v>
      </c>
      <c r="AV24">
        <v>805.78448598010527</v>
      </c>
      <c r="AW24">
        <v>806.36821310677283</v>
      </c>
    </row>
    <row r="25" spans="1:49" ht="29" x14ac:dyDescent="0.35">
      <c r="A25" t="s">
        <v>21</v>
      </c>
      <c r="B25" s="10" t="s">
        <v>139</v>
      </c>
      <c r="C25" s="3">
        <v>6</v>
      </c>
      <c r="D25" s="3">
        <v>6</v>
      </c>
      <c r="E25" s="3">
        <v>3</v>
      </c>
      <c r="F25" s="3">
        <v>3</v>
      </c>
      <c r="G25" s="5">
        <v>5.4157712196185424</v>
      </c>
      <c r="H25" s="5">
        <v>15.570531225887978</v>
      </c>
      <c r="I25" s="5">
        <v>29.855783590470011</v>
      </c>
      <c r="J25" s="5">
        <v>47.695886133481473</v>
      </c>
      <c r="K25" s="5">
        <v>68.636361445114773</v>
      </c>
      <c r="L25" s="5">
        <v>92.158269664069238</v>
      </c>
      <c r="M25" s="5">
        <v>117.78726945330581</v>
      </c>
      <c r="N25" s="5">
        <v>145.28300094897384</v>
      </c>
      <c r="O25" s="5">
        <v>174.08560027959663</v>
      </c>
      <c r="P25" s="5">
        <v>203.84094544272503</v>
      </c>
      <c r="Q25" s="5">
        <v>234.64935356262805</v>
      </c>
      <c r="R25" s="5">
        <v>266.7953110130527</v>
      </c>
      <c r="S25" s="5">
        <v>300.34687121196356</v>
      </c>
      <c r="T25" s="5">
        <v>334.94438909568998</v>
      </c>
      <c r="U25" s="5">
        <v>370.32506449600618</v>
      </c>
      <c r="V25" s="5">
        <v>402.70858768226447</v>
      </c>
      <c r="W25" s="5">
        <v>433.47505316435263</v>
      </c>
      <c r="X25" s="5">
        <v>507.96218312027003</v>
      </c>
      <c r="Y25" s="5">
        <v>636.37284130759099</v>
      </c>
      <c r="Z25" s="5">
        <v>746.18100189474308</v>
      </c>
      <c r="AA25" s="5">
        <v>818.90891297238136</v>
      </c>
      <c r="AB25" s="5">
        <v>861.46736604561181</v>
      </c>
      <c r="AC25" s="5">
        <v>878.18917368366715</v>
      </c>
      <c r="AD25" s="5">
        <v>928.12286927091259</v>
      </c>
      <c r="AE25" s="5">
        <v>987.80238629177506</v>
      </c>
      <c r="AF25" s="5">
        <v>1007.5918155491117</v>
      </c>
      <c r="AG25" s="5">
        <v>1009.6756188353622</v>
      </c>
      <c r="AH25" s="5">
        <v>931.2807590437709</v>
      </c>
      <c r="AI25" s="5">
        <v>859.27684073432397</v>
      </c>
      <c r="AJ25" s="5">
        <v>783.92588147763934</v>
      </c>
      <c r="AK25" s="5">
        <v>727.26239040822213</v>
      </c>
      <c r="AL25" s="5">
        <v>862.576046780512</v>
      </c>
      <c r="AM25" s="5">
        <v>961.8054826164107</v>
      </c>
      <c r="AN25" s="5">
        <v>1041.9538308662704</v>
      </c>
      <c r="AO25" s="5">
        <v>1106.198647032104</v>
      </c>
      <c r="AP25" s="5">
        <v>1134.4121828672976</v>
      </c>
      <c r="AQ25" s="5">
        <v>1168.5378815737483</v>
      </c>
      <c r="AR25" s="5">
        <v>1203.2303256779078</v>
      </c>
      <c r="AS25" s="5">
        <v>1224.5926579300583</v>
      </c>
      <c r="AT25" s="5">
        <v>1262.381309475662</v>
      </c>
      <c r="AU25" s="5">
        <v>1259.6198395170773</v>
      </c>
      <c r="AV25">
        <v>1258.8476870664042</v>
      </c>
      <c r="AW25">
        <v>1262.1653957871554</v>
      </c>
    </row>
    <row r="26" spans="1:49" x14ac:dyDescent="0.35">
      <c r="A26" t="s">
        <v>22</v>
      </c>
      <c r="B26" s="10" t="s">
        <v>103</v>
      </c>
      <c r="C26" s="3">
        <v>6</v>
      </c>
      <c r="D26" s="3">
        <v>6</v>
      </c>
      <c r="E26" s="3">
        <v>3</v>
      </c>
      <c r="F26" s="3">
        <v>3</v>
      </c>
      <c r="G26" s="5">
        <v>0</v>
      </c>
      <c r="H26" s="5">
        <v>0</v>
      </c>
      <c r="I26" s="5">
        <v>0</v>
      </c>
      <c r="J26" s="5">
        <v>5.4430341589906579</v>
      </c>
      <c r="K26" s="5">
        <v>15.903993369581222</v>
      </c>
      <c r="L26" s="5">
        <v>30.9322458101901</v>
      </c>
      <c r="M26" s="5">
        <v>50.072345901305212</v>
      </c>
      <c r="N26" s="5">
        <v>72.991296588794143</v>
      </c>
      <c r="O26" s="5">
        <v>99.164640221516692</v>
      </c>
      <c r="P26" s="5">
        <v>128.17026483462354</v>
      </c>
      <c r="Q26" s="5">
        <v>159.90105411385531</v>
      </c>
      <c r="R26" s="5">
        <v>194.42616047435996</v>
      </c>
      <c r="S26" s="5">
        <v>231.70367321651537</v>
      </c>
      <c r="T26" s="5">
        <v>271.38546677350001</v>
      </c>
      <c r="U26" s="5">
        <v>313.1788707503506</v>
      </c>
      <c r="V26" s="5">
        <v>343.4679126866896</v>
      </c>
      <c r="W26" s="5">
        <v>384.31164759998603</v>
      </c>
      <c r="X26" s="5">
        <v>435.22098963325675</v>
      </c>
      <c r="Y26" s="5">
        <v>466.24882527175896</v>
      </c>
      <c r="Z26" s="5">
        <v>522.02971972724515</v>
      </c>
      <c r="AA26" s="5">
        <v>601.14204403675842</v>
      </c>
      <c r="AB26" s="5">
        <v>661.49725492322113</v>
      </c>
      <c r="AC26" s="5">
        <v>704.77603279932168</v>
      </c>
      <c r="AD26" s="5">
        <v>748.45641566199947</v>
      </c>
      <c r="AE26" s="5">
        <v>1282.2713081093448</v>
      </c>
      <c r="AF26" s="5">
        <v>1769.2083761515623</v>
      </c>
      <c r="AG26" s="5">
        <v>2079.847377840631</v>
      </c>
      <c r="AH26" s="5">
        <v>2179.5626207195614</v>
      </c>
      <c r="AI26" s="5">
        <v>2264.7483626609987</v>
      </c>
      <c r="AJ26" s="5">
        <v>2283.7733157541529</v>
      </c>
      <c r="AK26" s="5">
        <v>2358.5489594039759</v>
      </c>
      <c r="AL26" s="5">
        <v>2474.922163169088</v>
      </c>
      <c r="AM26" s="5">
        <v>2576.926305588328</v>
      </c>
      <c r="AN26" s="5">
        <v>2706.12809699321</v>
      </c>
      <c r="AO26" s="5">
        <v>2756.1987647950132</v>
      </c>
      <c r="AP26" s="5">
        <v>2661.6744234887105</v>
      </c>
      <c r="AQ26" s="5">
        <v>2721.562477830922</v>
      </c>
      <c r="AR26" s="5">
        <v>2779.6797414177313</v>
      </c>
      <c r="AS26" s="5">
        <v>2835.4084007987149</v>
      </c>
      <c r="AT26" s="5">
        <v>2890.7681879893275</v>
      </c>
      <c r="AU26" s="5">
        <v>2944.9109448310292</v>
      </c>
      <c r="AV26">
        <v>2996.7651739289513</v>
      </c>
      <c r="AW26">
        <v>3050.6651428117648</v>
      </c>
    </row>
    <row r="27" spans="1:49" x14ac:dyDescent="0.35">
      <c r="A27" t="s">
        <v>23</v>
      </c>
      <c r="B27" s="10" t="s">
        <v>104</v>
      </c>
      <c r="C27" s="3">
        <v>2</v>
      </c>
      <c r="D27" s="3">
        <v>2</v>
      </c>
      <c r="E27" s="3">
        <v>3</v>
      </c>
      <c r="F27" s="3">
        <v>3</v>
      </c>
      <c r="G27" s="5">
        <v>0</v>
      </c>
      <c r="H27" s="5">
        <v>0.51657521707228771</v>
      </c>
      <c r="I27" s="5">
        <v>1.5046716071553348</v>
      </c>
      <c r="J27" s="5">
        <v>2.919243591433939</v>
      </c>
      <c r="K27" s="5">
        <v>4.7216146412893432</v>
      </c>
      <c r="L27" s="5">
        <v>6.8671454052739707</v>
      </c>
      <c r="M27" s="5">
        <v>9.3121306579445307</v>
      </c>
      <c r="N27" s="5">
        <v>12.030626580321876</v>
      </c>
      <c r="O27" s="5">
        <v>14.969837136215091</v>
      </c>
      <c r="P27" s="5">
        <v>18.09215029152454</v>
      </c>
      <c r="Q27" s="5">
        <v>21.397975550346374</v>
      </c>
      <c r="R27" s="5">
        <v>24.905684513771938</v>
      </c>
      <c r="S27" s="5">
        <v>28.617326517907543</v>
      </c>
      <c r="T27" s="5">
        <v>32.498501622280919</v>
      </c>
      <c r="U27" s="5">
        <v>36.522079097277405</v>
      </c>
      <c r="V27" s="5">
        <v>39.256993594468177</v>
      </c>
      <c r="W27" s="5">
        <v>43.105019352261152</v>
      </c>
      <c r="X27" s="5">
        <v>47.995455784820301</v>
      </c>
      <c r="Y27" s="5">
        <v>54.402506566596621</v>
      </c>
      <c r="Z27" s="5">
        <v>69.00235508775522</v>
      </c>
      <c r="AA27" s="5">
        <v>87.317019108381857</v>
      </c>
      <c r="AB27" s="5">
        <v>103.52962739961151</v>
      </c>
      <c r="AC27" s="5">
        <v>125.82421473745504</v>
      </c>
      <c r="AD27" s="5">
        <v>158.46295450558085</v>
      </c>
      <c r="AE27" s="5">
        <v>208.86251581461386</v>
      </c>
      <c r="AF27" s="5">
        <v>268.41175187293709</v>
      </c>
      <c r="AG27" s="5">
        <v>330.06873825961713</v>
      </c>
      <c r="AH27" s="5">
        <v>395.56435291544176</v>
      </c>
      <c r="AI27" s="5">
        <v>476.79182503205925</v>
      </c>
      <c r="AJ27" s="5">
        <v>518.16336984278394</v>
      </c>
      <c r="AK27" s="5">
        <v>550.72510092470873</v>
      </c>
      <c r="AL27" s="5">
        <v>582.1522842299762</v>
      </c>
      <c r="AM27" s="5">
        <v>607.0789598010291</v>
      </c>
      <c r="AN27" s="5">
        <v>626.21664912611993</v>
      </c>
      <c r="AO27" s="5">
        <v>640.29240999341778</v>
      </c>
      <c r="AP27" s="5">
        <v>651.60648223580813</v>
      </c>
      <c r="AQ27" s="5">
        <v>655.18850746588328</v>
      </c>
      <c r="AR27" s="5">
        <v>673.78744536483339</v>
      </c>
      <c r="AS27" s="5">
        <v>687.65450270209317</v>
      </c>
      <c r="AT27" s="5">
        <v>702.20045178933401</v>
      </c>
      <c r="AU27" s="5">
        <v>714.11286478762167</v>
      </c>
      <c r="AV27">
        <v>723.30796036351376</v>
      </c>
      <c r="AW27">
        <v>734.86219176082045</v>
      </c>
    </row>
    <row r="28" spans="1:49" x14ac:dyDescent="0.35">
      <c r="A28" t="s">
        <v>24</v>
      </c>
      <c r="B28" s="10" t="s">
        <v>140</v>
      </c>
      <c r="C28" s="3">
        <v>6</v>
      </c>
      <c r="D28" s="3">
        <v>6</v>
      </c>
      <c r="E28" s="3">
        <v>3</v>
      </c>
      <c r="F28" s="3">
        <v>3</v>
      </c>
      <c r="G28" s="5">
        <v>32.164862886444617</v>
      </c>
      <c r="H28" s="5">
        <v>64.418355855765881</v>
      </c>
      <c r="I28" s="5">
        <v>96.747075292572219</v>
      </c>
      <c r="J28" s="5">
        <v>129.07342671008445</v>
      </c>
      <c r="K28" s="5">
        <v>161.44040515556316</v>
      </c>
      <c r="L28" s="5">
        <v>193.69525238751677</v>
      </c>
      <c r="M28" s="5">
        <v>225.70870766432114</v>
      </c>
      <c r="N28" s="5">
        <v>257.59747971173442</v>
      </c>
      <c r="O28" s="5">
        <v>289.0440439375497</v>
      </c>
      <c r="P28" s="5">
        <v>319.94837870356173</v>
      </c>
      <c r="Q28" s="5">
        <v>350.6507326277889</v>
      </c>
      <c r="R28" s="5">
        <v>381.61529861686063</v>
      </c>
      <c r="S28" s="5">
        <v>413.04583574027765</v>
      </c>
      <c r="T28" s="5">
        <v>444.72081832004437</v>
      </c>
      <c r="U28" s="5">
        <v>476.49838868218063</v>
      </c>
      <c r="V28" s="5">
        <v>506.24628495186727</v>
      </c>
      <c r="W28" s="5">
        <v>534.99738485062755</v>
      </c>
      <c r="X28" s="5">
        <v>604.03089195609778</v>
      </c>
      <c r="Y28" s="5">
        <v>665.84106021270838</v>
      </c>
      <c r="Z28" s="5">
        <v>891.4460329663616</v>
      </c>
      <c r="AA28" s="5">
        <v>1139.9871954002442</v>
      </c>
      <c r="AB28" s="5">
        <v>1359.5962320259951</v>
      </c>
      <c r="AC28" s="5">
        <v>1569.6748567780764</v>
      </c>
      <c r="AD28" s="5">
        <v>1607.3519635521261</v>
      </c>
      <c r="AE28" s="5">
        <v>1665.5053055514013</v>
      </c>
      <c r="AF28" s="5">
        <v>1726.9957607199995</v>
      </c>
      <c r="AG28" s="5">
        <v>1795.693907184336</v>
      </c>
      <c r="AH28" s="5">
        <v>1873.364548044292</v>
      </c>
      <c r="AI28" s="5">
        <v>1857.6364917019021</v>
      </c>
      <c r="AJ28" s="5">
        <v>1844.188094394844</v>
      </c>
      <c r="AK28" s="5">
        <v>1831.3724405618339</v>
      </c>
      <c r="AL28" s="5">
        <v>1846.4055249502483</v>
      </c>
      <c r="AM28" s="5">
        <v>1834.3851445028145</v>
      </c>
      <c r="AN28" s="5">
        <v>1908.4373984081512</v>
      </c>
      <c r="AO28" s="5">
        <v>2061.1109964086891</v>
      </c>
      <c r="AP28" s="5">
        <v>2199.3737885968994</v>
      </c>
      <c r="AQ28" s="5">
        <v>2297.0535537433821</v>
      </c>
      <c r="AR28" s="5">
        <v>2379.9097623591324</v>
      </c>
      <c r="AS28" s="5">
        <v>2420.7212928759973</v>
      </c>
      <c r="AT28" s="5">
        <v>2424.4928830734798</v>
      </c>
      <c r="AU28" s="5">
        <v>2472.0832899204697</v>
      </c>
      <c r="AV28">
        <v>2517.3116174675401</v>
      </c>
      <c r="AW28">
        <v>2564.2028599153218</v>
      </c>
    </row>
    <row r="29" spans="1:49" ht="29" x14ac:dyDescent="0.35">
      <c r="A29" t="s">
        <v>25</v>
      </c>
      <c r="B29" s="10" t="s">
        <v>141</v>
      </c>
      <c r="C29" s="3">
        <v>6</v>
      </c>
      <c r="D29" s="3">
        <v>6</v>
      </c>
      <c r="E29" s="3">
        <v>3</v>
      </c>
      <c r="F29" s="3">
        <v>3</v>
      </c>
      <c r="G29" s="5">
        <v>82.570375736815379</v>
      </c>
      <c r="H29" s="5">
        <v>160.10174983162423</v>
      </c>
      <c r="I29" s="5">
        <v>233.1219012184124</v>
      </c>
      <c r="J29" s="5">
        <v>301.95984636031346</v>
      </c>
      <c r="K29" s="5">
        <v>367.18226138808336</v>
      </c>
      <c r="L29" s="5">
        <v>428.86923687789573</v>
      </c>
      <c r="M29" s="5">
        <v>487.13589656384556</v>
      </c>
      <c r="N29" s="5">
        <v>542.59158317927302</v>
      </c>
      <c r="O29" s="5">
        <v>594.8935692964908</v>
      </c>
      <c r="P29" s="5">
        <v>644.15064909420039</v>
      </c>
      <c r="Q29" s="5">
        <v>691.32344561934519</v>
      </c>
      <c r="R29" s="5">
        <v>737.53769926925418</v>
      </c>
      <c r="S29" s="5">
        <v>783.33478014298407</v>
      </c>
      <c r="T29" s="5">
        <v>828.40512749782329</v>
      </c>
      <c r="U29" s="5">
        <v>872.59980418149723</v>
      </c>
      <c r="V29" s="5">
        <v>887.19951335302244</v>
      </c>
      <c r="W29" s="5">
        <v>877.03348046968972</v>
      </c>
      <c r="X29" s="5">
        <v>872.62788754305257</v>
      </c>
      <c r="Y29" s="5">
        <v>860.48851415688569</v>
      </c>
      <c r="Z29" s="5">
        <v>867.56537140537307</v>
      </c>
      <c r="AA29" s="5">
        <v>942.30133124317513</v>
      </c>
      <c r="AB29" s="5">
        <v>996.24551819904821</v>
      </c>
      <c r="AC29" s="5">
        <v>1031.988713266124</v>
      </c>
      <c r="AD29" s="5">
        <v>1085.2349922807616</v>
      </c>
      <c r="AE29" s="5">
        <v>1154.4878237583675</v>
      </c>
      <c r="AF29" s="5">
        <v>1206.0539392723572</v>
      </c>
      <c r="AG29" s="5">
        <v>1242.141937044682</v>
      </c>
      <c r="AH29" s="5">
        <v>1265.4354114813168</v>
      </c>
      <c r="AI29" s="5">
        <v>1276.1037170906006</v>
      </c>
      <c r="AJ29" s="5">
        <v>1262.9896771719912</v>
      </c>
      <c r="AK29" s="5">
        <v>1227.3704713293675</v>
      </c>
      <c r="AL29" s="5">
        <v>1171.5419404011029</v>
      </c>
      <c r="AM29" s="5">
        <v>1189.1298395651083</v>
      </c>
      <c r="AN29" s="5">
        <v>1224.173486429019</v>
      </c>
      <c r="AO29" s="5">
        <v>1256.044615690254</v>
      </c>
      <c r="AP29" s="5">
        <v>1285.58612529218</v>
      </c>
      <c r="AQ29" s="5">
        <v>1313.4283566033721</v>
      </c>
      <c r="AR29" s="5">
        <v>1340.1465448729632</v>
      </c>
      <c r="AS29" s="5">
        <v>1365.4058594048927</v>
      </c>
      <c r="AT29" s="5">
        <v>1390.4703158093646</v>
      </c>
      <c r="AU29" s="5">
        <v>1414.831064985462</v>
      </c>
      <c r="AV29">
        <v>1437.8592818916854</v>
      </c>
      <c r="AW29">
        <v>1462.2062447912017</v>
      </c>
    </row>
    <row r="30" spans="1:49" x14ac:dyDescent="0.35">
      <c r="A30" t="s">
        <v>26</v>
      </c>
      <c r="B30" s="10" t="s">
        <v>105</v>
      </c>
      <c r="C30" s="3">
        <v>6</v>
      </c>
      <c r="D30" s="3">
        <v>6</v>
      </c>
      <c r="E30" s="3">
        <v>3</v>
      </c>
      <c r="F30" s="3">
        <v>3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0.46948383272692318</v>
      </c>
      <c r="M30" s="5">
        <v>1.331923772964529</v>
      </c>
      <c r="N30" s="5">
        <v>2.5257082548280989</v>
      </c>
      <c r="O30" s="5">
        <v>3.9872222466747198</v>
      </c>
      <c r="P30" s="5">
        <v>5.6643597429802863</v>
      </c>
      <c r="Q30" s="5">
        <v>7.5302755033482889</v>
      </c>
      <c r="R30" s="5">
        <v>9.575360508721463</v>
      </c>
      <c r="S30" s="5">
        <v>11.78620000714589</v>
      </c>
      <c r="T30" s="5">
        <v>14.13056610744022</v>
      </c>
      <c r="U30" s="5">
        <v>16.582623716264955</v>
      </c>
      <c r="V30" s="5">
        <v>19.371607002483799</v>
      </c>
      <c r="W30" s="5">
        <v>22.501850986528183</v>
      </c>
      <c r="X30" s="5">
        <v>27.847919461909221</v>
      </c>
      <c r="Y30" s="5">
        <v>33.378733424787129</v>
      </c>
      <c r="Z30" s="5">
        <v>40.336212841113174</v>
      </c>
      <c r="AA30" s="5">
        <v>51.240406880854678</v>
      </c>
      <c r="AB30" s="5">
        <v>65.624123252094336</v>
      </c>
      <c r="AC30" s="5">
        <v>81.706755898065609</v>
      </c>
      <c r="AD30" s="5">
        <v>99.317350453004536</v>
      </c>
      <c r="AE30" s="5">
        <v>118.32909770259791</v>
      </c>
      <c r="AF30" s="5">
        <v>138.81004319933828</v>
      </c>
      <c r="AG30" s="5">
        <v>158.14479454648614</v>
      </c>
      <c r="AH30" s="5">
        <v>172.07620564493027</v>
      </c>
      <c r="AI30" s="5">
        <v>181.14904561639563</v>
      </c>
      <c r="AJ30" s="5">
        <v>185.55572846568481</v>
      </c>
      <c r="AK30" s="5">
        <v>185.22663176404379</v>
      </c>
      <c r="AL30" s="5">
        <v>178.06161783604153</v>
      </c>
      <c r="AM30" s="5">
        <v>167.87629099765147</v>
      </c>
      <c r="AN30" s="5">
        <v>159.0834246881027</v>
      </c>
      <c r="AO30" s="5">
        <v>151.48306531765104</v>
      </c>
      <c r="AP30" s="5">
        <v>154.01964814445827</v>
      </c>
      <c r="AQ30" s="5">
        <v>153.59494534356571</v>
      </c>
      <c r="AR30" s="5">
        <v>146.84918373172258</v>
      </c>
      <c r="AS30" s="5">
        <v>144.07346861293129</v>
      </c>
      <c r="AT30" s="5">
        <v>138.57500420056618</v>
      </c>
      <c r="AU30" s="5">
        <v>134.03857808283422</v>
      </c>
      <c r="AV30">
        <v>130.39397801912583</v>
      </c>
      <c r="AW30">
        <v>127.72764454062262</v>
      </c>
    </row>
    <row r="31" spans="1:49" ht="29" x14ac:dyDescent="0.35">
      <c r="A31" t="s">
        <v>27</v>
      </c>
      <c r="B31" s="10" t="s">
        <v>142</v>
      </c>
      <c r="C31" s="3">
        <v>4</v>
      </c>
      <c r="D31" s="3" t="s">
        <v>120</v>
      </c>
      <c r="E31" s="3">
        <v>3</v>
      </c>
      <c r="F31" s="3">
        <v>3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18.060568395283028</v>
      </c>
      <c r="R31" s="5">
        <v>52.207719998833213</v>
      </c>
      <c r="S31" s="5">
        <v>100.85924651579012</v>
      </c>
      <c r="T31" s="5">
        <v>162.34727588247102</v>
      </c>
      <c r="U31" s="5">
        <v>235.13905707406252</v>
      </c>
      <c r="V31" s="5">
        <v>308.66671016940455</v>
      </c>
      <c r="W31" s="5">
        <v>382.50132968704906</v>
      </c>
      <c r="X31" s="5">
        <v>457.12286045148653</v>
      </c>
      <c r="Y31" s="5">
        <v>510.32431102911517</v>
      </c>
      <c r="Z31" s="5">
        <v>544.40918536408583</v>
      </c>
      <c r="AA31" s="5">
        <v>601.5068453260958</v>
      </c>
      <c r="AB31" s="5">
        <v>683.29697626984569</v>
      </c>
      <c r="AC31" s="5">
        <v>728.18943692425444</v>
      </c>
      <c r="AD31" s="5">
        <v>762.96278544424081</v>
      </c>
      <c r="AE31" s="5">
        <v>788.62107933549555</v>
      </c>
      <c r="AF31" s="5">
        <v>850.16041114838742</v>
      </c>
      <c r="AG31" s="5">
        <v>867.39655527387208</v>
      </c>
      <c r="AH31" s="5">
        <v>844.481387520422</v>
      </c>
      <c r="AI31" s="5">
        <v>841.48975455967411</v>
      </c>
      <c r="AJ31" s="5">
        <v>855.4263568864128</v>
      </c>
      <c r="AK31" s="5">
        <v>883.65163434324938</v>
      </c>
      <c r="AL31" s="5">
        <v>922.0746022630392</v>
      </c>
      <c r="AM31" s="5">
        <v>950.70365231689198</v>
      </c>
      <c r="AN31" s="5">
        <v>970.73504328223885</v>
      </c>
      <c r="AO31" s="5">
        <v>983.36647040841194</v>
      </c>
      <c r="AP31" s="5">
        <v>991.75436376137486</v>
      </c>
      <c r="AQ31" s="5">
        <v>987.89230955971493</v>
      </c>
      <c r="AR31" s="5">
        <v>1008.4082154238383</v>
      </c>
      <c r="AS31" s="5">
        <v>1082.7707382439362</v>
      </c>
      <c r="AT31" s="5">
        <v>1206.9787901847569</v>
      </c>
      <c r="AU31" s="5">
        <v>1375.8366523119262</v>
      </c>
      <c r="AV31">
        <v>1526.9803456118154</v>
      </c>
      <c r="AW31">
        <v>1666.5869182898987</v>
      </c>
    </row>
    <row r="32" spans="1:49" x14ac:dyDescent="0.35">
      <c r="A32" t="s">
        <v>28</v>
      </c>
      <c r="B32" s="10" t="s">
        <v>106</v>
      </c>
      <c r="C32" s="3">
        <v>2</v>
      </c>
      <c r="D32" s="3">
        <v>2</v>
      </c>
      <c r="E32" s="3">
        <v>3</v>
      </c>
      <c r="F32" s="3">
        <v>3</v>
      </c>
      <c r="G32" s="5">
        <v>3.4192155876670789</v>
      </c>
      <c r="H32" s="5">
        <v>10.135578089852546</v>
      </c>
      <c r="I32" s="5">
        <v>20.013405486178996</v>
      </c>
      <c r="J32" s="5">
        <v>32.888422742790425</v>
      </c>
      <c r="K32" s="5">
        <v>48.628292105989146</v>
      </c>
      <c r="L32" s="5">
        <v>67.024821841852074</v>
      </c>
      <c r="M32" s="5">
        <v>87.861626226810102</v>
      </c>
      <c r="N32" s="5">
        <v>111.0381652298249</v>
      </c>
      <c r="O32" s="5">
        <v>136.23560723721707</v>
      </c>
      <c r="P32" s="5">
        <v>163.23129592454683</v>
      </c>
      <c r="Q32" s="5">
        <v>192.06952006590885</v>
      </c>
      <c r="R32" s="5">
        <v>222.91760547613731</v>
      </c>
      <c r="S32" s="5">
        <v>255.82296294675555</v>
      </c>
      <c r="T32" s="5">
        <v>290.56668282539943</v>
      </c>
      <c r="U32" s="5">
        <v>326.97016118646962</v>
      </c>
      <c r="V32" s="5">
        <v>307.4522711284817</v>
      </c>
      <c r="W32" s="5">
        <v>288.89237980580117</v>
      </c>
      <c r="X32" s="5">
        <v>445.85858155405776</v>
      </c>
      <c r="Y32" s="5">
        <v>419.30862387778092</v>
      </c>
      <c r="Z32" s="5">
        <v>598.93132353748626</v>
      </c>
      <c r="AA32" s="5">
        <v>791.20825457514536</v>
      </c>
      <c r="AB32" s="5">
        <v>975.16562752502227</v>
      </c>
      <c r="AC32" s="5">
        <v>1180.4039504047591</v>
      </c>
      <c r="AD32" s="5">
        <v>1403.7759908829639</v>
      </c>
      <c r="AE32" s="5">
        <v>1321.9147079771226</v>
      </c>
      <c r="AF32" s="5">
        <v>1647.8260706825081</v>
      </c>
      <c r="AG32" s="5">
        <v>1902.6994244604093</v>
      </c>
      <c r="AH32" s="5">
        <v>1970.530203778882</v>
      </c>
      <c r="AI32" s="5">
        <v>1850.7063708540425</v>
      </c>
      <c r="AJ32" s="5">
        <v>1738.1687753638112</v>
      </c>
      <c r="AK32" s="5">
        <v>1632.4743564023765</v>
      </c>
      <c r="AL32" s="5">
        <v>1533.2069946737804</v>
      </c>
      <c r="AM32" s="5">
        <v>1439.975874228797</v>
      </c>
      <c r="AN32" s="5">
        <v>1352.4139438211814</v>
      </c>
      <c r="AO32" s="5">
        <v>1270.1764718256309</v>
      </c>
      <c r="AP32" s="5">
        <v>1192.9396890281748</v>
      </c>
      <c r="AQ32" s="5">
        <v>1120.3995139456508</v>
      </c>
      <c r="AR32" s="5">
        <v>1052.2703556558447</v>
      </c>
      <c r="AS32" s="5">
        <v>988.28398942503509</v>
      </c>
      <c r="AT32" s="5">
        <v>928.18850070628037</v>
      </c>
      <c r="AU32" s="5">
        <v>871.7472933509697</v>
      </c>
      <c r="AV32">
        <v>818.73815812896066</v>
      </c>
      <c r="AW32">
        <v>768.95239789006609</v>
      </c>
    </row>
    <row r="33" spans="1:49" x14ac:dyDescent="0.35">
      <c r="A33" t="s">
        <v>29</v>
      </c>
      <c r="B33" s="10" t="s">
        <v>107</v>
      </c>
      <c r="C33" s="3">
        <v>2</v>
      </c>
      <c r="D33" s="3">
        <v>2</v>
      </c>
      <c r="E33" s="3">
        <v>3</v>
      </c>
      <c r="F33" s="3">
        <v>3</v>
      </c>
      <c r="G33" s="5">
        <v>1.5948575787410857E-3</v>
      </c>
      <c r="H33" s="5">
        <v>7.9573234370338766E-3</v>
      </c>
      <c r="I33" s="5">
        <v>2.2137610256944305E-2</v>
      </c>
      <c r="J33" s="5">
        <v>4.6920551565954816E-2</v>
      </c>
      <c r="K33" s="5">
        <v>8.4727893356970882E-2</v>
      </c>
      <c r="L33" s="5">
        <v>0.13751076494448025</v>
      </c>
      <c r="M33" s="5">
        <v>0.20665735292664136</v>
      </c>
      <c r="N33" s="5">
        <v>0.29301294867509386</v>
      </c>
      <c r="O33" s="5">
        <v>0.39684136681688231</v>
      </c>
      <c r="P33" s="5">
        <v>0.51780041659660681</v>
      </c>
      <c r="Q33" s="5">
        <v>0.65516441577688611</v>
      </c>
      <c r="R33" s="5">
        <v>0.80807911075391792</v>
      </c>
      <c r="S33" s="5">
        <v>0.97564681592654101</v>
      </c>
      <c r="T33" s="5">
        <v>1.1568289341964622</v>
      </c>
      <c r="U33" s="5">
        <v>1.3503902263133978</v>
      </c>
      <c r="V33" s="5">
        <v>1.5548191309821182</v>
      </c>
      <c r="W33" s="5">
        <v>1.7543650250980536</v>
      </c>
      <c r="X33" s="5">
        <v>1.9903795015788288</v>
      </c>
      <c r="Y33" s="5">
        <v>2.2432562052620706</v>
      </c>
      <c r="Z33" s="5">
        <v>2.5372905770375875</v>
      </c>
      <c r="AA33" s="5">
        <v>2.9412928550005311</v>
      </c>
      <c r="AB33" s="5">
        <v>3.4265114998928872</v>
      </c>
      <c r="AC33" s="5">
        <v>3.9771807716075744</v>
      </c>
      <c r="AD33" s="5">
        <v>4.5699083269465364</v>
      </c>
      <c r="AE33" s="5">
        <v>5.6967965572639923</v>
      </c>
      <c r="AF33" s="5">
        <v>7.929185483869249</v>
      </c>
      <c r="AG33" s="5">
        <v>11.749121476417828</v>
      </c>
      <c r="AH33" s="5">
        <v>18.173419532735117</v>
      </c>
      <c r="AI33" s="5">
        <v>28.391792089675519</v>
      </c>
      <c r="AJ33" s="5">
        <v>43.378170154425455</v>
      </c>
      <c r="AK33" s="5">
        <v>63.814774029079075</v>
      </c>
      <c r="AL33" s="5">
        <v>90.503049320550389</v>
      </c>
      <c r="AM33" s="5">
        <v>124.36420979578217</v>
      </c>
      <c r="AN33" s="5">
        <v>166.11083595903006</v>
      </c>
      <c r="AO33" s="5">
        <v>216.25400747749475</v>
      </c>
      <c r="AP33" s="5">
        <v>275.12681912273905</v>
      </c>
      <c r="AQ33" s="5">
        <v>342.90695770553521</v>
      </c>
      <c r="AR33" s="5">
        <v>419.63979988147963</v>
      </c>
      <c r="AS33" s="5">
        <v>505.21772030373592</v>
      </c>
      <c r="AT33" s="5">
        <v>599.45456763735285</v>
      </c>
      <c r="AU33" s="5">
        <v>702.10634765331884</v>
      </c>
      <c r="AV33">
        <v>812.77076314752435</v>
      </c>
      <c r="AW33">
        <v>931.14391262254708</v>
      </c>
    </row>
    <row r="34" spans="1:49" x14ac:dyDescent="0.35">
      <c r="A34" t="s">
        <v>30</v>
      </c>
      <c r="B34" s="10" t="s">
        <v>143</v>
      </c>
      <c r="C34" s="3">
        <v>5</v>
      </c>
      <c r="D34" s="3">
        <v>5</v>
      </c>
      <c r="E34" s="3">
        <v>4</v>
      </c>
      <c r="F34" s="3" t="s">
        <v>120</v>
      </c>
      <c r="G34" s="5">
        <v>3.1488369426026108</v>
      </c>
      <c r="H34" s="5">
        <v>6.3236605139442545</v>
      </c>
      <c r="I34" s="5">
        <v>9.5214852474345761</v>
      </c>
      <c r="J34" s="5">
        <v>12.733353032193067</v>
      </c>
      <c r="K34" s="5">
        <v>15.961955889914673</v>
      </c>
      <c r="L34" s="5">
        <v>19.19123447946216</v>
      </c>
      <c r="M34" s="5">
        <v>22.407351021355357</v>
      </c>
      <c r="N34" s="5">
        <v>25.620530777310137</v>
      </c>
      <c r="O34" s="5">
        <v>28.798695757576876</v>
      </c>
      <c r="P34" s="5">
        <v>31.931158153680599</v>
      </c>
      <c r="Q34" s="5">
        <v>35.050155850925989</v>
      </c>
      <c r="R34" s="5">
        <v>38.20032679211613</v>
      </c>
      <c r="S34" s="5">
        <v>41.401300732854452</v>
      </c>
      <c r="T34" s="5">
        <v>44.63123164346672</v>
      </c>
      <c r="U34" s="5">
        <v>47.875771930694683</v>
      </c>
      <c r="V34" s="5">
        <v>48.258782018894493</v>
      </c>
      <c r="W34" s="5">
        <v>53.618043391070351</v>
      </c>
      <c r="X34" s="5">
        <v>57.084038967385673</v>
      </c>
      <c r="Y34" s="5">
        <v>63.118158090001295</v>
      </c>
      <c r="Z34" s="5">
        <v>69.003792384353901</v>
      </c>
      <c r="AA34" s="5">
        <v>75.109004265827267</v>
      </c>
      <c r="AB34" s="5">
        <v>81.462237523534739</v>
      </c>
      <c r="AC34" s="5">
        <v>87.962737131127113</v>
      </c>
      <c r="AD34" s="5">
        <v>87.200004248005243</v>
      </c>
      <c r="AE34" s="5">
        <v>87.17830451203406</v>
      </c>
      <c r="AF34" s="5">
        <v>87.883927842592698</v>
      </c>
      <c r="AG34" s="5">
        <v>107.75398832139975</v>
      </c>
      <c r="AH34" s="5">
        <v>146.2133435595303</v>
      </c>
      <c r="AI34" s="5">
        <v>192.30113942262517</v>
      </c>
      <c r="AJ34" s="5">
        <v>236.66306455395869</v>
      </c>
      <c r="AK34" s="5">
        <v>279.00995153216491</v>
      </c>
      <c r="AL34" s="5">
        <v>354.56727312207857</v>
      </c>
      <c r="AM34" s="5">
        <v>424.33741084838954</v>
      </c>
      <c r="AN34" s="5">
        <v>497.64558545331107</v>
      </c>
      <c r="AO34" s="5">
        <v>574.44195043157333</v>
      </c>
      <c r="AP34" s="5">
        <v>643.45201656589711</v>
      </c>
      <c r="AQ34" s="5">
        <v>705.63463423351379</v>
      </c>
      <c r="AR34" s="5">
        <v>761.86242913814158</v>
      </c>
      <c r="AS34" s="5">
        <v>812.36292676172047</v>
      </c>
      <c r="AT34" s="5">
        <v>843.48555655829477</v>
      </c>
      <c r="AU34" s="5">
        <v>856.34457157902852</v>
      </c>
      <c r="AV34">
        <v>868.75876636001283</v>
      </c>
      <c r="AW34">
        <v>881.98049178801034</v>
      </c>
    </row>
    <row r="35" spans="1:49" x14ac:dyDescent="0.35">
      <c r="A35" t="s">
        <v>31</v>
      </c>
      <c r="B35" s="10" t="s">
        <v>144</v>
      </c>
      <c r="C35" s="3">
        <v>5</v>
      </c>
      <c r="D35" s="3">
        <v>5</v>
      </c>
      <c r="E35" s="3">
        <v>4</v>
      </c>
      <c r="F35" s="3" t="s">
        <v>120</v>
      </c>
      <c r="G35" s="5">
        <v>8.7144950415000686</v>
      </c>
      <c r="H35" s="5">
        <v>17.130005994854869</v>
      </c>
      <c r="I35" s="5">
        <v>25.265929827511798</v>
      </c>
      <c r="J35" s="5">
        <v>33.125564495662644</v>
      </c>
      <c r="K35" s="5">
        <v>40.741164471282339</v>
      </c>
      <c r="L35" s="5">
        <v>48.0980126337261</v>
      </c>
      <c r="M35" s="5">
        <v>55.187352618895048</v>
      </c>
      <c r="N35" s="5">
        <v>62.054954002986278</v>
      </c>
      <c r="O35" s="5">
        <v>68.64957810385188</v>
      </c>
      <c r="P35" s="5">
        <v>74.968192506320392</v>
      </c>
      <c r="Q35" s="5">
        <v>81.099189415743595</v>
      </c>
      <c r="R35" s="5">
        <v>87.152492685763448</v>
      </c>
      <c r="S35" s="5">
        <v>93.180344236503856</v>
      </c>
      <c r="T35" s="5">
        <v>99.147055721323227</v>
      </c>
      <c r="U35" s="5">
        <v>105.03344626990199</v>
      </c>
      <c r="V35" s="5">
        <v>112.30238731161288</v>
      </c>
      <c r="W35" s="5">
        <v>118.4929961575817</v>
      </c>
      <c r="X35" s="5">
        <v>123.75787441735012</v>
      </c>
      <c r="Y35" s="5">
        <v>128.72101752938653</v>
      </c>
      <c r="Z35" s="5">
        <v>133.41253760312506</v>
      </c>
      <c r="AA35" s="5">
        <v>137.52754477273373</v>
      </c>
      <c r="AB35" s="5">
        <v>141.15477603925535</v>
      </c>
      <c r="AC35" s="5">
        <v>148.19180392245866</v>
      </c>
      <c r="AD35" s="5">
        <v>155.8246909171763</v>
      </c>
      <c r="AE35" s="5">
        <v>161.58010681932117</v>
      </c>
      <c r="AF35" s="5">
        <v>165.67408480746403</v>
      </c>
      <c r="AG35" s="5">
        <v>169.29492552668495</v>
      </c>
      <c r="AH35" s="5">
        <v>172.6217022556184</v>
      </c>
      <c r="AI35" s="5">
        <v>172.74367731460848</v>
      </c>
      <c r="AJ35" s="5">
        <v>169.62627159717266</v>
      </c>
      <c r="AK35" s="5">
        <v>163.30889780801556</v>
      </c>
      <c r="AL35" s="5">
        <v>155.46406415820971</v>
      </c>
      <c r="AM35" s="5">
        <v>146.21285129686163</v>
      </c>
      <c r="AN35" s="5">
        <v>137.10675904126765</v>
      </c>
      <c r="AO35" s="5">
        <v>130.07170210833965</v>
      </c>
      <c r="AP35" s="5">
        <v>123.95114283276367</v>
      </c>
      <c r="AQ35" s="5">
        <v>118.67372328135431</v>
      </c>
      <c r="AR35" s="5">
        <v>114.81234876750871</v>
      </c>
      <c r="AS35" s="5">
        <v>112.06057374508518</v>
      </c>
      <c r="AT35" s="5">
        <v>108.53874141308893</v>
      </c>
      <c r="AU35" s="5">
        <v>106.14212401698899</v>
      </c>
      <c r="AV35">
        <v>104.7489198200841</v>
      </c>
      <c r="AW35">
        <v>104.02577035406863</v>
      </c>
    </row>
    <row r="36" spans="1:49" x14ac:dyDescent="0.35">
      <c r="A36" t="s">
        <v>32</v>
      </c>
      <c r="B36" s="10" t="s">
        <v>145</v>
      </c>
      <c r="C36" s="3">
        <v>5</v>
      </c>
      <c r="D36" s="3">
        <v>5</v>
      </c>
      <c r="E36" s="3">
        <v>4</v>
      </c>
      <c r="F36" s="3" t="s">
        <v>120</v>
      </c>
      <c r="G36" s="5">
        <v>10.480535881311956</v>
      </c>
      <c r="H36" s="5">
        <v>41.93639389896164</v>
      </c>
      <c r="I36" s="5">
        <v>93.785979230202528</v>
      </c>
      <c r="J36" s="5">
        <v>164.29107748304438</v>
      </c>
      <c r="K36" s="5">
        <v>250.7824058030474</v>
      </c>
      <c r="L36" s="5">
        <v>349.92179726649573</v>
      </c>
      <c r="M36" s="5">
        <v>457.97122699451387</v>
      </c>
      <c r="N36" s="5">
        <v>571.179847381988</v>
      </c>
      <c r="O36" s="5">
        <v>686.01558010880774</v>
      </c>
      <c r="P36" s="5">
        <v>799.32302374466508</v>
      </c>
      <c r="Q36" s="5">
        <v>908.63075445474726</v>
      </c>
      <c r="R36" s="5">
        <v>1012.3581797380276</v>
      </c>
      <c r="S36" s="5">
        <v>1109.7708921082051</v>
      </c>
      <c r="T36" s="5">
        <v>1200.7335864070667</v>
      </c>
      <c r="U36" s="5">
        <v>1285.4990808594966</v>
      </c>
      <c r="V36" s="5">
        <v>1364.2592759925396</v>
      </c>
      <c r="W36" s="5">
        <v>1435.1803449365821</v>
      </c>
      <c r="X36" s="5">
        <v>1494.8296298072878</v>
      </c>
      <c r="Y36" s="5">
        <v>1540.1962585826432</v>
      </c>
      <c r="Z36" s="5">
        <v>1567.5339064888583</v>
      </c>
      <c r="AA36" s="5">
        <v>1572.5196604661369</v>
      </c>
      <c r="AB36" s="5">
        <v>1553.7100958902406</v>
      </c>
      <c r="AC36" s="5">
        <v>1513.9479997243529</v>
      </c>
      <c r="AD36" s="5">
        <v>1458.1366965834948</v>
      </c>
      <c r="AE36" s="5">
        <v>1391.531344653597</v>
      </c>
      <c r="AF36" s="5">
        <v>1319.3973339109195</v>
      </c>
      <c r="AG36" s="5">
        <v>1246.6919391239396</v>
      </c>
      <c r="AH36" s="5">
        <v>1177.8238580102054</v>
      </c>
      <c r="AI36" s="5">
        <v>1116.4003523214669</v>
      </c>
      <c r="AJ36" s="5">
        <v>1064.9295509087885</v>
      </c>
      <c r="AK36" s="5">
        <v>1024.5961181062039</v>
      </c>
      <c r="AL36" s="5">
        <v>995.45697407114778</v>
      </c>
      <c r="AM36" s="5">
        <v>977.74835959928919</v>
      </c>
      <c r="AN36" s="5">
        <v>968.72166082690455</v>
      </c>
      <c r="AO36" s="5">
        <v>962.0403612739243</v>
      </c>
      <c r="AP36" s="5">
        <v>952.94621728813604</v>
      </c>
      <c r="AQ36" s="5">
        <v>938.58677200035777</v>
      </c>
      <c r="AR36" s="5">
        <v>919.24056954470984</v>
      </c>
      <c r="AS36" s="5">
        <v>896.80862201811942</v>
      </c>
      <c r="AT36" s="5">
        <v>872.20406892492099</v>
      </c>
      <c r="AU36" s="5">
        <v>846.60455439985492</v>
      </c>
      <c r="AV36">
        <v>821.98637584927769</v>
      </c>
      <c r="AW36">
        <v>800.40761338696632</v>
      </c>
    </row>
    <row r="37" spans="1:49" ht="29" x14ac:dyDescent="0.35">
      <c r="A37" t="s">
        <v>33</v>
      </c>
      <c r="B37" s="10" t="s">
        <v>161</v>
      </c>
      <c r="C37" s="3">
        <v>5</v>
      </c>
      <c r="D37" s="3">
        <v>5</v>
      </c>
      <c r="E37" s="3">
        <v>4</v>
      </c>
      <c r="F37" s="3" t="s">
        <v>120</v>
      </c>
      <c r="G37" s="5">
        <v>0</v>
      </c>
      <c r="H37" s="5">
        <v>0</v>
      </c>
      <c r="I37" s="5">
        <v>0</v>
      </c>
      <c r="J37" s="5">
        <v>0</v>
      </c>
      <c r="K37" s="5">
        <v>10.452091742555485</v>
      </c>
      <c r="L37" s="5">
        <v>30.2385791546848</v>
      </c>
      <c r="M37" s="5">
        <v>58.271201799323165</v>
      </c>
      <c r="N37" s="5">
        <v>93.687684971094598</v>
      </c>
      <c r="O37" s="5">
        <v>135.37949835292184</v>
      </c>
      <c r="P37" s="5">
        <v>182.42501247547648</v>
      </c>
      <c r="Q37" s="5">
        <v>234.45963685871288</v>
      </c>
      <c r="R37" s="5">
        <v>291.45984415945151</v>
      </c>
      <c r="S37" s="5">
        <v>353.24604032782725</v>
      </c>
      <c r="T37" s="5">
        <v>419.12985347807279</v>
      </c>
      <c r="U37" s="5">
        <v>488.53311534934062</v>
      </c>
      <c r="V37" s="5">
        <v>554.87521348374423</v>
      </c>
      <c r="W37" s="5">
        <v>619.79147789504509</v>
      </c>
      <c r="X37" s="5">
        <v>686.00715935174776</v>
      </c>
      <c r="Y37" s="5">
        <v>753.65597871071111</v>
      </c>
      <c r="Z37" s="5">
        <v>822.73951888653801</v>
      </c>
      <c r="AA37" s="5">
        <v>884.66434724693954</v>
      </c>
      <c r="AB37" s="5">
        <v>940.60396820423955</v>
      </c>
      <c r="AC37" s="5">
        <v>991.67194376541477</v>
      </c>
      <c r="AD37" s="5">
        <v>1038.2784993404223</v>
      </c>
      <c r="AE37" s="5">
        <v>1070.1834181004774</v>
      </c>
      <c r="AF37" s="5">
        <v>1111.3658988756101</v>
      </c>
      <c r="AG37" s="5">
        <v>1137.6128711709605</v>
      </c>
      <c r="AH37" s="5">
        <v>1181.7619011339159</v>
      </c>
      <c r="AI37" s="5">
        <v>1242.1441034345535</v>
      </c>
      <c r="AJ37" s="5">
        <v>1311.6060921482815</v>
      </c>
      <c r="AK37" s="5">
        <v>1387.7408020963492</v>
      </c>
      <c r="AL37" s="5">
        <v>1469.6091222651153</v>
      </c>
      <c r="AM37" s="5">
        <v>1547.7216117932835</v>
      </c>
      <c r="AN37" s="5">
        <v>1622.652596045169</v>
      </c>
      <c r="AO37" s="5">
        <v>1695.2213131700469</v>
      </c>
      <c r="AP37" s="5">
        <v>1773.3538482362844</v>
      </c>
      <c r="AQ37" s="5">
        <v>1869.5155450802508</v>
      </c>
      <c r="AR37" s="5">
        <v>1982.8028752604032</v>
      </c>
      <c r="AS37" s="5">
        <v>2081.6114186457344</v>
      </c>
      <c r="AT37" s="5">
        <v>2169.3223433212052</v>
      </c>
      <c r="AU37" s="5">
        <v>2246.1589635214177</v>
      </c>
      <c r="AV37">
        <v>2317.0222755397413</v>
      </c>
      <c r="AW37">
        <v>2386.7286048431665</v>
      </c>
    </row>
    <row r="38" spans="1:49" x14ac:dyDescent="0.35">
      <c r="A38" t="s">
        <v>34</v>
      </c>
      <c r="B38" s="10" t="s">
        <v>88</v>
      </c>
      <c r="C38" s="3">
        <v>5</v>
      </c>
      <c r="D38" s="3">
        <v>5</v>
      </c>
      <c r="E38" s="3">
        <v>4</v>
      </c>
      <c r="F38" s="3" t="s">
        <v>120</v>
      </c>
      <c r="G38" s="5">
        <v>118.83907189536643</v>
      </c>
      <c r="H38" s="5">
        <v>235.79045255855959</v>
      </c>
      <c r="I38" s="5">
        <v>350.87499940906366</v>
      </c>
      <c r="J38" s="5">
        <v>463.91879261768145</v>
      </c>
      <c r="K38" s="5">
        <v>575.16078008224144</v>
      </c>
      <c r="L38" s="5">
        <v>684.22060333288096</v>
      </c>
      <c r="M38" s="5">
        <v>790.81134832403973</v>
      </c>
      <c r="N38" s="5">
        <v>895.39973421064622</v>
      </c>
      <c r="O38" s="5">
        <v>997.15342187683405</v>
      </c>
      <c r="P38" s="5">
        <v>1095.8933666967523</v>
      </c>
      <c r="Q38" s="5">
        <v>1192.699295215439</v>
      </c>
      <c r="R38" s="5">
        <v>1288.9744553853363</v>
      </c>
      <c r="S38" s="5">
        <v>1385.3704826534718</v>
      </c>
      <c r="T38" s="5">
        <v>1481.3596494074231</v>
      </c>
      <c r="U38" s="5">
        <v>1576.6313043053212</v>
      </c>
      <c r="V38" s="5">
        <v>1654.621032802376</v>
      </c>
      <c r="W38" s="5">
        <v>1718.7263950253828</v>
      </c>
      <c r="X38" s="5">
        <v>1770.5229377104217</v>
      </c>
      <c r="Y38" s="5">
        <v>1803.8478799637674</v>
      </c>
      <c r="Z38" s="5">
        <v>1827.9151341340012</v>
      </c>
      <c r="AA38" s="5">
        <v>1843.5450111534401</v>
      </c>
      <c r="AB38" s="5">
        <v>1851.553720200543</v>
      </c>
      <c r="AC38" s="5">
        <v>1852.703951679011</v>
      </c>
      <c r="AD38" s="5">
        <v>1849.976547825753</v>
      </c>
      <c r="AE38" s="5">
        <v>1843.4741639971617</v>
      </c>
      <c r="AF38" s="5">
        <v>1833.8669850208903</v>
      </c>
      <c r="AG38" s="5">
        <v>1814.7217751531355</v>
      </c>
      <c r="AH38" s="5">
        <v>1804.5091608988178</v>
      </c>
      <c r="AI38" s="5">
        <v>1778.2219074699351</v>
      </c>
      <c r="AJ38" s="5">
        <v>1749.4464910414126</v>
      </c>
      <c r="AK38" s="5">
        <v>1717.4068887340341</v>
      </c>
      <c r="AL38" s="5">
        <v>1684.6059201471971</v>
      </c>
      <c r="AM38" s="5">
        <v>1651.0037823759139</v>
      </c>
      <c r="AN38" s="5">
        <v>1613.7477299971933</v>
      </c>
      <c r="AO38" s="5">
        <v>1567.646530208905</v>
      </c>
      <c r="AP38" s="5">
        <v>1531.339845200549</v>
      </c>
      <c r="AQ38" s="5">
        <v>1498.688250871985</v>
      </c>
      <c r="AR38" s="5">
        <v>1469.5807090682163</v>
      </c>
      <c r="AS38" s="5">
        <v>1443.5289483794984</v>
      </c>
      <c r="AT38" s="5">
        <v>1420.7978256749793</v>
      </c>
      <c r="AU38" s="5">
        <v>1404.3331786443523</v>
      </c>
      <c r="AV38">
        <v>1386.4362830279483</v>
      </c>
      <c r="AW38">
        <v>1371.805464440728</v>
      </c>
    </row>
    <row r="39" spans="1:49" x14ac:dyDescent="0.35">
      <c r="A39" t="s">
        <v>35</v>
      </c>
      <c r="B39" s="10" t="s">
        <v>147</v>
      </c>
      <c r="C39" s="3">
        <v>5</v>
      </c>
      <c r="D39" s="3">
        <v>5</v>
      </c>
      <c r="E39" s="3">
        <v>4</v>
      </c>
      <c r="F39" s="3" t="s">
        <v>120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0.34021259055908659</v>
      </c>
      <c r="M39" s="5">
        <v>0.97365406919333952</v>
      </c>
      <c r="N39" s="5">
        <v>1.8618737935475151</v>
      </c>
      <c r="O39" s="5">
        <v>2.962773543589543</v>
      </c>
      <c r="P39" s="5">
        <v>4.2408773076743014</v>
      </c>
      <c r="Q39" s="5">
        <v>5.677975373951722</v>
      </c>
      <c r="R39" s="5">
        <v>7.2673075488232737</v>
      </c>
      <c r="S39" s="5">
        <v>8.9994676538334026</v>
      </c>
      <c r="T39" s="5">
        <v>10.851074350827997</v>
      </c>
      <c r="U39" s="5">
        <v>12.802516116633008</v>
      </c>
      <c r="V39" s="5">
        <v>14.230744920336125</v>
      </c>
      <c r="W39" s="5">
        <v>15.240822422689639</v>
      </c>
      <c r="X39" s="5">
        <v>15.291068245622132</v>
      </c>
      <c r="Y39" s="5">
        <v>16.215398796194769</v>
      </c>
      <c r="Z39" s="5">
        <v>17.152086495663248</v>
      </c>
      <c r="AA39" s="5">
        <v>19.186789416206192</v>
      </c>
      <c r="AB39" s="5">
        <v>22.21123663760806</v>
      </c>
      <c r="AC39" s="5">
        <v>26.613150872572668</v>
      </c>
      <c r="AD39" s="5">
        <v>32.255411583193009</v>
      </c>
      <c r="AE39" s="5">
        <v>39.023631251765565</v>
      </c>
      <c r="AF39" s="5">
        <v>49.338507214183153</v>
      </c>
      <c r="AG39" s="5">
        <v>62.948986435823159</v>
      </c>
      <c r="AH39" s="5">
        <v>79.809310406070765</v>
      </c>
      <c r="AI39" s="5">
        <v>92.914674188615095</v>
      </c>
      <c r="AJ39" s="5">
        <v>100.97513072705996</v>
      </c>
      <c r="AK39" s="5">
        <v>106.41433663937804</v>
      </c>
      <c r="AL39" s="5">
        <v>108.23017784263547</v>
      </c>
      <c r="AM39" s="5">
        <v>107.63405867196029</v>
      </c>
      <c r="AN39" s="5">
        <v>104.21851734880062</v>
      </c>
      <c r="AO39" s="5">
        <v>98.359259896344099</v>
      </c>
      <c r="AP39" s="5">
        <v>94.341059807504237</v>
      </c>
      <c r="AQ39" s="5">
        <v>90.338112980255389</v>
      </c>
      <c r="AR39" s="5">
        <v>86.013471762354044</v>
      </c>
      <c r="AS39" s="5">
        <v>78.485851740152142</v>
      </c>
      <c r="AT39" s="5">
        <v>70.144570025100293</v>
      </c>
      <c r="AU39" s="5">
        <v>63.350259841247627</v>
      </c>
      <c r="AV39">
        <v>57.887019414855132</v>
      </c>
      <c r="AW39">
        <v>53.316233502079363</v>
      </c>
    </row>
    <row r="40" spans="1:49" x14ac:dyDescent="0.35">
      <c r="A40" t="s">
        <v>36</v>
      </c>
      <c r="B40" s="10" t="s">
        <v>108</v>
      </c>
      <c r="C40" s="3">
        <v>2</v>
      </c>
      <c r="D40" s="3">
        <v>2</v>
      </c>
      <c r="E40" s="3">
        <v>4</v>
      </c>
      <c r="F40" s="3" t="s">
        <v>120</v>
      </c>
      <c r="G40" s="5">
        <v>8.8359961436919665</v>
      </c>
      <c r="H40" s="5">
        <v>35.520061925712852</v>
      </c>
      <c r="I40" s="5">
        <v>80.036844359540879</v>
      </c>
      <c r="J40" s="5">
        <v>141.64812301322087</v>
      </c>
      <c r="K40" s="5">
        <v>218.9827580339869</v>
      </c>
      <c r="L40" s="5">
        <v>310.13339251227444</v>
      </c>
      <c r="M40" s="5">
        <v>412.75503075927145</v>
      </c>
      <c r="N40" s="5">
        <v>524.27851300753491</v>
      </c>
      <c r="O40" s="5">
        <v>642.02564161703663</v>
      </c>
      <c r="P40" s="5">
        <v>763.30375767850558</v>
      </c>
      <c r="Q40" s="5">
        <v>885.66905509843718</v>
      </c>
      <c r="R40" s="5">
        <v>1007.1458295226579</v>
      </c>
      <c r="S40" s="5">
        <v>1126.266223067654</v>
      </c>
      <c r="T40" s="5">
        <v>1241.9576369772294</v>
      </c>
      <c r="U40" s="5">
        <v>1353.4618021789786</v>
      </c>
      <c r="V40" s="5">
        <v>1460.2242351351704</v>
      </c>
      <c r="W40" s="5">
        <v>1561.6011268203652</v>
      </c>
      <c r="X40" s="5">
        <v>1656.9959042075884</v>
      </c>
      <c r="Y40" s="5">
        <v>1746.1183638020254</v>
      </c>
      <c r="Z40" s="5">
        <v>1828.8928866845918</v>
      </c>
      <c r="AA40" s="5">
        <v>1905.4361485829609</v>
      </c>
      <c r="AB40" s="5">
        <v>1976.0632499504593</v>
      </c>
      <c r="AC40" s="5">
        <v>2041.2739389101596</v>
      </c>
      <c r="AD40" s="5">
        <v>2101.6650069182083</v>
      </c>
      <c r="AE40" s="5">
        <v>2155.3043723184978</v>
      </c>
      <c r="AF40" s="5">
        <v>2197.7957329647584</v>
      </c>
      <c r="AG40" s="5">
        <v>2224.9326136511072</v>
      </c>
      <c r="AH40" s="5">
        <v>2232.8369825923596</v>
      </c>
      <c r="AI40" s="5">
        <v>2217.9906863366509</v>
      </c>
      <c r="AJ40" s="5">
        <v>2177.2257504900208</v>
      </c>
      <c r="AK40" s="5">
        <v>2107.9182083056057</v>
      </c>
      <c r="AL40" s="5">
        <v>2011.0782890473936</v>
      </c>
      <c r="AM40" s="5">
        <v>1891.3221295793253</v>
      </c>
      <c r="AN40" s="5">
        <v>1753.7551052043443</v>
      </c>
      <c r="AO40" s="5">
        <v>1603.6948732086132</v>
      </c>
      <c r="AP40" s="5">
        <v>1446.400722499933</v>
      </c>
      <c r="AQ40" s="5">
        <v>1286.8286716774376</v>
      </c>
      <c r="AR40" s="5">
        <v>1129.4279453299482</v>
      </c>
      <c r="AS40" s="5">
        <v>977.9894610405488</v>
      </c>
      <c r="AT40" s="5">
        <v>835.55143576164232</v>
      </c>
      <c r="AU40" s="5">
        <v>704.3618242074391</v>
      </c>
      <c r="AV40">
        <v>585.89259894265876</v>
      </c>
      <c r="AW40">
        <v>480.89728510725411</v>
      </c>
    </row>
    <row r="41" spans="1:49" x14ac:dyDescent="0.35">
      <c r="A41" t="s">
        <v>37</v>
      </c>
      <c r="B41" s="10" t="s">
        <v>109</v>
      </c>
      <c r="C41" s="3">
        <v>2</v>
      </c>
      <c r="D41" s="3">
        <v>2</v>
      </c>
      <c r="E41" s="3">
        <v>4</v>
      </c>
      <c r="F41" s="3" t="s">
        <v>120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0.74492274170952899</v>
      </c>
      <c r="AB41" s="5">
        <v>3.9605162373849629</v>
      </c>
      <c r="AC41" s="5">
        <v>3.6148493415866891</v>
      </c>
      <c r="AD41" s="5">
        <v>3.2993516448748728</v>
      </c>
      <c r="AE41" s="5">
        <v>19.464515554816522</v>
      </c>
      <c r="AF41" s="5">
        <v>154.16236702537759</v>
      </c>
      <c r="AG41" s="5">
        <v>286.8846931157268</v>
      </c>
      <c r="AH41" s="5">
        <v>419.39357131266695</v>
      </c>
      <c r="AI41" s="5">
        <v>551.57824230766721</v>
      </c>
      <c r="AJ41" s="5">
        <v>685.56452958228419</v>
      </c>
      <c r="AK41" s="5">
        <v>819.9886397474404</v>
      </c>
      <c r="AL41" s="5">
        <v>1016.9117654966547</v>
      </c>
      <c r="AM41" s="5">
        <v>1174.9794170168375</v>
      </c>
      <c r="AN41" s="5">
        <v>1297.5023019721784</v>
      </c>
      <c r="AO41" s="5">
        <v>1387.7120065289787</v>
      </c>
      <c r="AP41" s="5">
        <v>1448.6058815533133</v>
      </c>
      <c r="AQ41" s="5">
        <v>1493.1783720879537</v>
      </c>
      <c r="AR41" s="5">
        <v>1552.7173724665452</v>
      </c>
      <c r="AS41" s="5">
        <v>1663.0978566494778</v>
      </c>
      <c r="AT41" s="5">
        <v>1781.4570893210189</v>
      </c>
      <c r="AU41" s="5">
        <v>1968.926501667941</v>
      </c>
      <c r="AV41">
        <v>2142.9273159941431</v>
      </c>
      <c r="AW41">
        <v>2309.0419403047472</v>
      </c>
    </row>
    <row r="42" spans="1:49" x14ac:dyDescent="0.35">
      <c r="A42" t="s">
        <v>38</v>
      </c>
      <c r="B42" s="17" t="s">
        <v>132</v>
      </c>
      <c r="C42" s="3">
        <v>3</v>
      </c>
      <c r="D42" s="3">
        <v>3</v>
      </c>
      <c r="E42" s="3">
        <v>5</v>
      </c>
      <c r="F42" s="3">
        <v>5</v>
      </c>
      <c r="G42" s="5">
        <v>6.3770946491641913</v>
      </c>
      <c r="H42" s="5">
        <v>12.730302030229034</v>
      </c>
      <c r="I42" s="5">
        <v>19.061235676974277</v>
      </c>
      <c r="J42" s="5">
        <v>25.358556287968746</v>
      </c>
      <c r="K42" s="5">
        <v>31.634352237663073</v>
      </c>
      <c r="L42" s="5">
        <v>37.861501269086929</v>
      </c>
      <c r="M42" s="5">
        <v>44.01744408014261</v>
      </c>
      <c r="N42" s="5">
        <v>50.128088118195357</v>
      </c>
      <c r="O42" s="5">
        <v>56.132827008995591</v>
      </c>
      <c r="P42" s="5">
        <v>62.014438935711333</v>
      </c>
      <c r="Q42" s="5">
        <v>67.842790871381709</v>
      </c>
      <c r="R42" s="5">
        <v>73.711583461344276</v>
      </c>
      <c r="S42" s="5">
        <v>79.662024408539793</v>
      </c>
      <c r="T42" s="5">
        <v>85.650939936967276</v>
      </c>
      <c r="U42" s="5">
        <v>91.650879446096539</v>
      </c>
      <c r="V42" s="5">
        <v>97.544238652598281</v>
      </c>
      <c r="W42" s="5">
        <v>102.89782546026072</v>
      </c>
      <c r="X42" s="5">
        <v>107.8248084714138</v>
      </c>
      <c r="Y42" s="5">
        <v>112.38700268703596</v>
      </c>
      <c r="Z42" s="5">
        <v>122.90237615408243</v>
      </c>
      <c r="AA42" s="5">
        <v>136.99904362176821</v>
      </c>
      <c r="AB42" s="5">
        <v>150.24603894575287</v>
      </c>
      <c r="AC42" s="5">
        <v>162.83006598116035</v>
      </c>
      <c r="AD42" s="5">
        <v>186.03977685330005</v>
      </c>
      <c r="AE42" s="5">
        <v>206.98914053313064</v>
      </c>
      <c r="AF42" s="5">
        <v>226.09328931373011</v>
      </c>
      <c r="AG42" s="5">
        <v>243.67169800613152</v>
      </c>
      <c r="AH42" s="5">
        <v>252.79452288374904</v>
      </c>
      <c r="AI42" s="5">
        <v>258.61684937369631</v>
      </c>
      <c r="AJ42" s="5">
        <v>259.90996405111258</v>
      </c>
      <c r="AK42" s="5">
        <v>265.83350313876076</v>
      </c>
      <c r="AL42" s="5">
        <v>267.31118333260486</v>
      </c>
      <c r="AM42" s="5">
        <v>264.77001717372349</v>
      </c>
      <c r="AN42" s="5">
        <v>268.23284489629634</v>
      </c>
      <c r="AO42" s="5">
        <v>277.16111826658511</v>
      </c>
      <c r="AP42" s="5">
        <v>291.14112843636326</v>
      </c>
      <c r="AQ42" s="5">
        <v>308.98641467768107</v>
      </c>
      <c r="AR42" s="5">
        <v>324.90946910976743</v>
      </c>
      <c r="AS42" s="5">
        <v>338.98081827423999</v>
      </c>
      <c r="AT42" s="5">
        <v>351.67007797369763</v>
      </c>
      <c r="AU42" s="5">
        <v>362.97279181462966</v>
      </c>
      <c r="AV42">
        <v>373.4676852803388</v>
      </c>
      <c r="AW42">
        <v>383.87717773355587</v>
      </c>
    </row>
    <row r="43" spans="1:49" x14ac:dyDescent="0.35">
      <c r="A43" t="s">
        <v>39</v>
      </c>
      <c r="B43" s="10" t="s">
        <v>110</v>
      </c>
      <c r="C43" s="3">
        <v>3</v>
      </c>
      <c r="D43" s="3">
        <v>3</v>
      </c>
      <c r="E43" s="3">
        <v>5</v>
      </c>
      <c r="F43" s="3">
        <v>5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0.89171469584193408</v>
      </c>
      <c r="P43" s="5">
        <v>2.5472665554735938</v>
      </c>
      <c r="Q43" s="5">
        <v>4.868796786851842</v>
      </c>
      <c r="R43" s="5">
        <v>7.7910815559002256</v>
      </c>
      <c r="S43" s="5">
        <v>11.257847946730589</v>
      </c>
      <c r="T43" s="5">
        <v>15.19608462118669</v>
      </c>
      <c r="U43" s="5">
        <v>19.54117975979403</v>
      </c>
      <c r="V43" s="5">
        <v>23.940197629184969</v>
      </c>
      <c r="W43" s="5">
        <v>28.235302999482432</v>
      </c>
      <c r="X43" s="5">
        <v>31.934623601919199</v>
      </c>
      <c r="Y43" s="5">
        <v>33.076344624557798</v>
      </c>
      <c r="Z43" s="5">
        <v>34.384601783196153</v>
      </c>
      <c r="AA43" s="5">
        <v>35.853931859094644</v>
      </c>
      <c r="AB43" s="5">
        <v>38.150799726941564</v>
      </c>
      <c r="AC43" s="5">
        <v>40.149848849618749</v>
      </c>
      <c r="AD43" s="5">
        <v>43.086011563522504</v>
      </c>
      <c r="AE43" s="5">
        <v>46.258463806574952</v>
      </c>
      <c r="AF43" s="5">
        <v>49.69401675552426</v>
      </c>
      <c r="AG43" s="5">
        <v>53.446378114399685</v>
      </c>
      <c r="AH43" s="5">
        <v>57.590132358386811</v>
      </c>
      <c r="AI43" s="5">
        <v>62.069469898509418</v>
      </c>
      <c r="AJ43" s="5">
        <v>66.717786132380169</v>
      </c>
      <c r="AK43" s="5">
        <v>71.424420602654919</v>
      </c>
      <c r="AL43" s="5">
        <v>76.168481029702605</v>
      </c>
      <c r="AM43" s="5">
        <v>80.940861906311099</v>
      </c>
      <c r="AN43" s="5">
        <v>85.749515015302237</v>
      </c>
      <c r="AO43" s="5">
        <v>90.621406514831165</v>
      </c>
      <c r="AP43" s="5">
        <v>92.474825669534098</v>
      </c>
      <c r="AQ43" s="5">
        <v>91.684439594772044</v>
      </c>
      <c r="AR43" s="5">
        <v>88.562254684441911</v>
      </c>
      <c r="AS43" s="5">
        <v>84.536131553894165</v>
      </c>
      <c r="AT43" s="5">
        <v>78.11913836776796</v>
      </c>
      <c r="AU43" s="5">
        <v>70.374704703540687</v>
      </c>
      <c r="AV43">
        <v>61.141259365904119</v>
      </c>
      <c r="AW43">
        <v>53.119279329078026</v>
      </c>
    </row>
    <row r="44" spans="1:49" x14ac:dyDescent="0.35">
      <c r="A44" t="s">
        <v>40</v>
      </c>
      <c r="B44" s="10" t="s">
        <v>111</v>
      </c>
      <c r="C44" s="3">
        <v>3</v>
      </c>
      <c r="D44" s="3">
        <v>3</v>
      </c>
      <c r="E44" s="3">
        <v>5</v>
      </c>
      <c r="F44" s="3">
        <v>5</v>
      </c>
      <c r="G44" s="5">
        <v>10.908936535675155</v>
      </c>
      <c r="H44" s="5">
        <v>21.296209814269915</v>
      </c>
      <c r="I44" s="5">
        <v>31.207177023383217</v>
      </c>
      <c r="J44" s="5">
        <v>40.664364073514818</v>
      </c>
      <c r="K44" s="5">
        <v>49.724640207579114</v>
      </c>
      <c r="L44" s="5">
        <v>58.383461512861807</v>
      </c>
      <c r="M44" s="5">
        <v>66.642854747679394</v>
      </c>
      <c r="N44" s="5">
        <v>74.571585214064413</v>
      </c>
      <c r="O44" s="5">
        <v>82.115049065421545</v>
      </c>
      <c r="P44" s="5">
        <v>89.278724399341939</v>
      </c>
      <c r="Q44" s="5">
        <v>96.181769075560524</v>
      </c>
      <c r="R44" s="5">
        <v>102.96762582686125</v>
      </c>
      <c r="S44" s="5">
        <v>109.70512555281034</v>
      </c>
      <c r="T44" s="5">
        <v>116.35198596657534</v>
      </c>
      <c r="U44" s="5">
        <v>122.88657728872997</v>
      </c>
      <c r="V44" s="5">
        <v>125.88254266784067</v>
      </c>
      <c r="W44" s="5">
        <v>130.18776981411321</v>
      </c>
      <c r="X44" s="5">
        <v>141.1399582666638</v>
      </c>
      <c r="Y44" s="5">
        <v>158.18090748145272</v>
      </c>
      <c r="Z44" s="5">
        <v>173.73983231030428</v>
      </c>
      <c r="AA44" s="5">
        <v>188.03929584738637</v>
      </c>
      <c r="AB44" s="5">
        <v>207.22051591108669</v>
      </c>
      <c r="AC44" s="5">
        <v>225.47605962062784</v>
      </c>
      <c r="AD44" s="5">
        <v>238.17082660841908</v>
      </c>
      <c r="AE44" s="5">
        <v>251.64362051945258</v>
      </c>
      <c r="AF44" s="5">
        <v>266.79567442897581</v>
      </c>
      <c r="AG44" s="5">
        <v>288.86417377725473</v>
      </c>
      <c r="AH44" s="5">
        <v>317.93916503981654</v>
      </c>
      <c r="AI44" s="5">
        <v>344.73343960359028</v>
      </c>
      <c r="AJ44" s="5">
        <v>368.71957329845304</v>
      </c>
      <c r="AK44" s="5">
        <v>391.90368603934684</v>
      </c>
      <c r="AL44" s="5">
        <v>405.89842050849109</v>
      </c>
      <c r="AM44" s="5">
        <v>411.60315328772344</v>
      </c>
      <c r="AN44" s="5">
        <v>409.88124528078561</v>
      </c>
      <c r="AO44" s="5">
        <v>400.95101518691956</v>
      </c>
      <c r="AP44" s="5">
        <v>385.57280583984777</v>
      </c>
      <c r="AQ44" s="5">
        <v>364.5609218291662</v>
      </c>
      <c r="AR44" s="5">
        <v>339.52701212667114</v>
      </c>
      <c r="AS44" s="5">
        <v>320.55407172062411</v>
      </c>
      <c r="AT44" s="5">
        <v>301.11094364422456</v>
      </c>
      <c r="AU44" s="5">
        <v>282.9319804385251</v>
      </c>
      <c r="AV44">
        <v>266.84935061211689</v>
      </c>
      <c r="AW44">
        <v>252.82208812690007</v>
      </c>
    </row>
    <row r="45" spans="1:49" ht="29" x14ac:dyDescent="0.35">
      <c r="A45" t="s">
        <v>41</v>
      </c>
      <c r="B45" s="10" t="s">
        <v>148</v>
      </c>
      <c r="C45" s="3">
        <v>3</v>
      </c>
      <c r="D45" s="3">
        <v>3</v>
      </c>
      <c r="E45" s="3">
        <v>5</v>
      </c>
      <c r="F45" s="3">
        <v>5</v>
      </c>
      <c r="G45" s="5">
        <v>1.8957416254097075</v>
      </c>
      <c r="H45" s="5">
        <v>3.6639205332516793</v>
      </c>
      <c r="I45" s="5">
        <v>5.3189482588614654</v>
      </c>
      <c r="J45" s="5">
        <v>6.8703213771848315</v>
      </c>
      <c r="K45" s="5">
        <v>8.3324607861076387</v>
      </c>
      <c r="L45" s="5">
        <v>9.7087311707051125</v>
      </c>
      <c r="M45" s="5">
        <v>11.002706065316369</v>
      </c>
      <c r="N45" s="5">
        <v>12.229397882502106</v>
      </c>
      <c r="O45" s="5">
        <v>13.381686167777833</v>
      </c>
      <c r="P45" s="5">
        <v>14.46282792813177</v>
      </c>
      <c r="Q45" s="5">
        <v>15.495490472804329</v>
      </c>
      <c r="R45" s="5">
        <v>16.505835180742423</v>
      </c>
      <c r="S45" s="5">
        <v>17.506440884877691</v>
      </c>
      <c r="T45" s="5">
        <v>18.490367612870173</v>
      </c>
      <c r="U45" s="5">
        <v>19.454250106130385</v>
      </c>
      <c r="V45" s="5">
        <v>19.47657628002662</v>
      </c>
      <c r="W45" s="5">
        <v>20.052486685538994</v>
      </c>
      <c r="X45" s="5">
        <v>22.23141666276203</v>
      </c>
      <c r="Y45" s="5">
        <v>23.92110791050689</v>
      </c>
      <c r="Z45" s="5">
        <v>26.533596459550832</v>
      </c>
      <c r="AA45" s="5">
        <v>27.947555235044518</v>
      </c>
      <c r="AB45" s="5">
        <v>29.294988498518158</v>
      </c>
      <c r="AC45" s="5">
        <v>31.818435607148036</v>
      </c>
      <c r="AD45" s="5">
        <v>35.109335642234214</v>
      </c>
      <c r="AE45" s="5">
        <v>39.056521249643509</v>
      </c>
      <c r="AF45" s="5">
        <v>41.44742417475063</v>
      </c>
      <c r="AG45" s="5">
        <v>42.452239009849208</v>
      </c>
      <c r="AH45" s="5">
        <v>45.451471166778056</v>
      </c>
      <c r="AI45" s="5">
        <v>50.272690396840488</v>
      </c>
      <c r="AJ45" s="5">
        <v>53.14380425193562</v>
      </c>
      <c r="AK45" s="5">
        <v>53.404581758941916</v>
      </c>
      <c r="AL45" s="5">
        <v>55.371657019105172</v>
      </c>
      <c r="AM45" s="5">
        <v>58.83554774365254</v>
      </c>
      <c r="AN45" s="5">
        <v>61.428881202024712</v>
      </c>
      <c r="AO45" s="5">
        <v>63.274616846411604</v>
      </c>
      <c r="AP45" s="5">
        <v>64.486113180727614</v>
      </c>
      <c r="AQ45" s="5">
        <v>65.153006718547445</v>
      </c>
      <c r="AR45" s="5">
        <v>65.351923888118009</v>
      </c>
      <c r="AS45" s="5">
        <v>62.362736710885024</v>
      </c>
      <c r="AT45" s="5">
        <v>59.685991920640987</v>
      </c>
      <c r="AU45" s="5">
        <v>54.041533738888567</v>
      </c>
      <c r="AV45">
        <v>49.136424069672309</v>
      </c>
      <c r="AW45">
        <v>44.901852514826317</v>
      </c>
    </row>
    <row r="46" spans="1:49" x14ac:dyDescent="0.35">
      <c r="A46" t="s">
        <v>42</v>
      </c>
      <c r="B46" s="10" t="s">
        <v>129</v>
      </c>
      <c r="C46" s="3">
        <v>3</v>
      </c>
      <c r="D46" s="3">
        <v>3</v>
      </c>
      <c r="E46" s="3">
        <v>5</v>
      </c>
      <c r="F46" s="3">
        <v>5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5">
        <v>0</v>
      </c>
      <c r="AB46" s="5">
        <v>0</v>
      </c>
      <c r="AC46" s="5">
        <v>0</v>
      </c>
      <c r="AD46" s="5">
        <v>0</v>
      </c>
      <c r="AE46" s="5">
        <v>3.2961373142132975</v>
      </c>
      <c r="AF46" s="5">
        <v>9.7783946434316995</v>
      </c>
      <c r="AG46" s="5">
        <v>19.378397363544629</v>
      </c>
      <c r="AH46" s="5">
        <v>32.137820249961464</v>
      </c>
      <c r="AI46" s="5">
        <v>44.331602845608728</v>
      </c>
      <c r="AJ46" s="5">
        <v>55.824829341447447</v>
      </c>
      <c r="AK46" s="5">
        <v>66.553717142600647</v>
      </c>
      <c r="AL46" s="5">
        <v>76.55346449973473</v>
      </c>
      <c r="AM46" s="5">
        <v>77.763196107523584</v>
      </c>
      <c r="AN46" s="5">
        <v>77.789220832661002</v>
      </c>
      <c r="AO46" s="5">
        <v>76.717424661427572</v>
      </c>
      <c r="AP46" s="5">
        <v>80.034747353232603</v>
      </c>
      <c r="AQ46" s="5">
        <v>81.562461047840785</v>
      </c>
      <c r="AR46" s="5">
        <v>92.183260755159054</v>
      </c>
      <c r="AS46" s="5">
        <v>111.52057804423814</v>
      </c>
      <c r="AT46" s="5">
        <v>135.29318156211883</v>
      </c>
      <c r="AU46" s="5">
        <v>163.67720837535398</v>
      </c>
      <c r="AV46">
        <v>190.27088380729492</v>
      </c>
      <c r="AW46">
        <v>215.70191148454634</v>
      </c>
    </row>
    <row r="47" spans="1:49" ht="15" customHeight="1" x14ac:dyDescent="0.35">
      <c r="A47" t="s">
        <v>43</v>
      </c>
      <c r="B47" s="10" t="s">
        <v>130</v>
      </c>
      <c r="C47" s="3">
        <v>5</v>
      </c>
      <c r="D47" s="3">
        <v>5</v>
      </c>
      <c r="E47" s="3">
        <v>5</v>
      </c>
      <c r="F47" s="3">
        <v>5</v>
      </c>
      <c r="G47" s="5">
        <v>4.8626240986845266</v>
      </c>
      <c r="H47" s="5">
        <v>19.640350201148067</v>
      </c>
      <c r="I47" s="5">
        <v>44.599589689914858</v>
      </c>
      <c r="J47" s="5">
        <v>79.773619282014934</v>
      </c>
      <c r="K47" s="5">
        <v>124.97773204593999</v>
      </c>
      <c r="L47" s="5">
        <v>179.81495621348668</v>
      </c>
      <c r="M47" s="5">
        <v>243.67464933367685</v>
      </c>
      <c r="N47" s="5">
        <v>315.79156467765847</v>
      </c>
      <c r="O47" s="5">
        <v>395.25447227258331</v>
      </c>
      <c r="P47" s="5">
        <v>481.01184693614192</v>
      </c>
      <c r="Q47" s="5">
        <v>571.98213108494883</v>
      </c>
      <c r="R47" s="5">
        <v>667.15529121759357</v>
      </c>
      <c r="S47" s="5">
        <v>765.61306063236441</v>
      </c>
      <c r="T47" s="5">
        <v>866.48144842872341</v>
      </c>
      <c r="U47" s="5">
        <v>968.91273969791337</v>
      </c>
      <c r="V47" s="5">
        <v>1070.9051142264209</v>
      </c>
      <c r="W47" s="5">
        <v>1170.6464470632634</v>
      </c>
      <c r="X47" s="5">
        <v>1270.4173502440533</v>
      </c>
      <c r="Y47" s="5">
        <v>1374.9577797361326</v>
      </c>
      <c r="Z47" s="5">
        <v>1487.8760556933912</v>
      </c>
      <c r="AA47" s="5">
        <v>1611.0812312709643</v>
      </c>
      <c r="AB47" s="5">
        <v>1747.5706700014905</v>
      </c>
      <c r="AC47" s="5">
        <v>1896.9691843861483</v>
      </c>
      <c r="AD47" s="5">
        <v>2058.3076658541272</v>
      </c>
      <c r="AE47" s="5">
        <v>2239.4405330868685</v>
      </c>
      <c r="AF47" s="5">
        <v>2445.6241982197766</v>
      </c>
      <c r="AG47" s="5">
        <v>2675.4735758802813</v>
      </c>
      <c r="AH47" s="5">
        <v>2929.0446251337803</v>
      </c>
      <c r="AI47" s="5">
        <v>3202.1779078088962</v>
      </c>
      <c r="AJ47" s="5">
        <v>3477.3494300350344</v>
      </c>
      <c r="AK47" s="5">
        <v>3742.8022153121742</v>
      </c>
      <c r="AL47" s="5">
        <v>4003.4690812925951</v>
      </c>
      <c r="AM47" s="5">
        <v>4260.2269840411145</v>
      </c>
      <c r="AN47" s="5">
        <v>4510.0559091058485</v>
      </c>
      <c r="AO47" s="5">
        <v>4753.4576114028732</v>
      </c>
      <c r="AP47" s="5">
        <v>4998.754485613249</v>
      </c>
      <c r="AQ47" s="5">
        <v>5251.2720705658458</v>
      </c>
      <c r="AR47" s="5">
        <v>5518.3279299942569</v>
      </c>
      <c r="AS47" s="5">
        <v>5808.8481531368407</v>
      </c>
      <c r="AT47" s="5">
        <v>6120.8366264659426</v>
      </c>
      <c r="AU47" s="5">
        <v>6451.0225190012479</v>
      </c>
      <c r="AV47">
        <v>6795.7429956518663</v>
      </c>
      <c r="AW47">
        <v>7152.7503587873198</v>
      </c>
    </row>
    <row r="48" spans="1:49" x14ac:dyDescent="0.35">
      <c r="A48" t="s">
        <v>44</v>
      </c>
      <c r="B48" s="10" t="s">
        <v>112</v>
      </c>
      <c r="C48" s="3">
        <v>5</v>
      </c>
      <c r="D48" s="3">
        <v>5</v>
      </c>
      <c r="E48" s="3">
        <v>5</v>
      </c>
      <c r="F48" s="3">
        <v>5</v>
      </c>
      <c r="G48" s="5">
        <v>0.54955043787645741</v>
      </c>
      <c r="H48" s="5">
        <v>2.2237655366549784</v>
      </c>
      <c r="I48" s="5">
        <v>5.0650846265034231</v>
      </c>
      <c r="J48" s="5">
        <v>9.0975826995572877</v>
      </c>
      <c r="K48" s="5">
        <v>14.327951644179802</v>
      </c>
      <c r="L48" s="5">
        <v>20.744984175092668</v>
      </c>
      <c r="M48" s="5">
        <v>28.317882877558077</v>
      </c>
      <c r="N48" s="5">
        <v>37.001111590135274</v>
      </c>
      <c r="O48" s="5">
        <v>46.733393624007157</v>
      </c>
      <c r="P48" s="5">
        <v>57.436322399423631</v>
      </c>
      <c r="Q48" s="5">
        <v>69.024828465736789</v>
      </c>
      <c r="R48" s="5">
        <v>81.416870383724486</v>
      </c>
      <c r="S48" s="5">
        <v>94.534292968259336</v>
      </c>
      <c r="T48" s="5">
        <v>108.29644322618535</v>
      </c>
      <c r="U48" s="5">
        <v>122.6175074637503</v>
      </c>
      <c r="V48" s="5">
        <v>137.18111253188653</v>
      </c>
      <c r="W48" s="5">
        <v>151.73353187527198</v>
      </c>
      <c r="X48" s="5">
        <v>166.32119207806235</v>
      </c>
      <c r="Y48" s="5">
        <v>181.00576626041962</v>
      </c>
      <c r="Z48" s="5">
        <v>195.86062032578647</v>
      </c>
      <c r="AA48" s="5">
        <v>211.00919898689378</v>
      </c>
      <c r="AB48" s="5">
        <v>226.37145861559765</v>
      </c>
      <c r="AC48" s="5">
        <v>241.9047354639317</v>
      </c>
      <c r="AD48" s="5">
        <v>257.76730571373429</v>
      </c>
      <c r="AE48" s="5">
        <v>274.03484370912406</v>
      </c>
      <c r="AF48" s="5">
        <v>290.89462564099802</v>
      </c>
      <c r="AG48" s="5">
        <v>308.42678434902734</v>
      </c>
      <c r="AH48" s="5">
        <v>326.5038892541412</v>
      </c>
      <c r="AI48" s="5">
        <v>344.67557117002337</v>
      </c>
      <c r="AJ48" s="5">
        <v>362.46623204340966</v>
      </c>
      <c r="AK48" s="5">
        <v>379.16995680446274</v>
      </c>
      <c r="AL48" s="5">
        <v>393.98492190003634</v>
      </c>
      <c r="AM48" s="5">
        <v>406.45127530632107</v>
      </c>
      <c r="AN48" s="5">
        <v>416.34242109481477</v>
      </c>
      <c r="AO48" s="5">
        <v>423.783349184249</v>
      </c>
      <c r="AP48" s="5">
        <v>428.93662677924749</v>
      </c>
      <c r="AQ48" s="5">
        <v>431.97734404012732</v>
      </c>
      <c r="AR48" s="5">
        <v>433.18213987223783</v>
      </c>
      <c r="AS48" s="5">
        <v>432.80147386824495</v>
      </c>
      <c r="AT48" s="5">
        <v>431.07899352927683</v>
      </c>
      <c r="AU48" s="5">
        <v>428.10309812686302</v>
      </c>
      <c r="AV48">
        <v>423.86501414477493</v>
      </c>
      <c r="AW48">
        <v>418.550774312236</v>
      </c>
    </row>
    <row r="49" spans="1:49" ht="29" x14ac:dyDescent="0.35">
      <c r="A49" t="s">
        <v>45</v>
      </c>
      <c r="B49" s="10" t="s">
        <v>149</v>
      </c>
      <c r="C49" s="3">
        <v>5</v>
      </c>
      <c r="D49" s="3">
        <v>5</v>
      </c>
      <c r="E49" s="3">
        <v>6</v>
      </c>
      <c r="F49" s="3">
        <v>6</v>
      </c>
      <c r="G49" s="5">
        <v>18.70905242469366</v>
      </c>
      <c r="H49" s="5">
        <v>37.346727315420097</v>
      </c>
      <c r="I49" s="5">
        <v>55.898200116550143</v>
      </c>
      <c r="J49" s="5">
        <v>74.319129242444433</v>
      </c>
      <c r="K49" s="5">
        <v>92.630922140015343</v>
      </c>
      <c r="L49" s="5">
        <v>110.75901715880927</v>
      </c>
      <c r="M49" s="5">
        <v>128.64373959143634</v>
      </c>
      <c r="N49" s="5">
        <v>146.34451555778043</v>
      </c>
      <c r="O49" s="5">
        <v>163.71801108411958</v>
      </c>
      <c r="P49" s="5">
        <v>180.72299161962871</v>
      </c>
      <c r="Q49" s="5">
        <v>197.51683800594242</v>
      </c>
      <c r="R49" s="5">
        <v>214.31081579082223</v>
      </c>
      <c r="S49" s="5">
        <v>231.20105271609867</v>
      </c>
      <c r="T49" s="5">
        <v>248.09972346279287</v>
      </c>
      <c r="U49" s="5">
        <v>264.95243678866393</v>
      </c>
      <c r="V49" s="5">
        <v>280.19608904687789</v>
      </c>
      <c r="W49" s="5">
        <v>293.72081505047811</v>
      </c>
      <c r="X49" s="5">
        <v>312.57898798804655</v>
      </c>
      <c r="Y49" s="5">
        <v>351.61152090202995</v>
      </c>
      <c r="Z49" s="5">
        <v>409.95666736634911</v>
      </c>
      <c r="AA49" s="5">
        <v>506.70271754766765</v>
      </c>
      <c r="AB49" s="5">
        <v>594.83020888487579</v>
      </c>
      <c r="AC49" s="5">
        <v>682.29082498852677</v>
      </c>
      <c r="AD49" s="5">
        <v>710.40950796780783</v>
      </c>
      <c r="AE49" s="5">
        <v>728.64779477254262</v>
      </c>
      <c r="AF49" s="5">
        <v>806.17019543223</v>
      </c>
      <c r="AG49" s="5">
        <v>942.14156296326951</v>
      </c>
      <c r="AH49" s="5">
        <v>1137.6587271191174</v>
      </c>
      <c r="AI49" s="5">
        <v>1314.8461237184054</v>
      </c>
      <c r="AJ49" s="5">
        <v>1433.6391687397968</v>
      </c>
      <c r="AK49" s="5">
        <v>1647.0111434614146</v>
      </c>
      <c r="AL49" s="5">
        <v>1821.5030456567567</v>
      </c>
      <c r="AM49" s="5">
        <v>2013.7963358896527</v>
      </c>
      <c r="AN49" s="5">
        <v>2097.2078919787273</v>
      </c>
      <c r="AO49" s="5">
        <v>2175.4978829103466</v>
      </c>
      <c r="AP49" s="5">
        <v>2249.521173204419</v>
      </c>
      <c r="AQ49" s="5">
        <v>2290.9451120904805</v>
      </c>
      <c r="AR49" s="5">
        <v>2347.165466723362</v>
      </c>
      <c r="AS49" s="5">
        <v>2417.0412464358305</v>
      </c>
      <c r="AT49" s="5">
        <v>2535.6116873642491</v>
      </c>
      <c r="AU49" s="5">
        <v>2649.8967085508439</v>
      </c>
      <c r="AV49">
        <v>2759.1472490226647</v>
      </c>
      <c r="AW49">
        <v>2867.2610172032832</v>
      </c>
    </row>
    <row r="50" spans="1:49" x14ac:dyDescent="0.35">
      <c r="A50" t="s">
        <v>46</v>
      </c>
      <c r="B50" s="10" t="s">
        <v>150</v>
      </c>
      <c r="C50" s="3">
        <v>4</v>
      </c>
      <c r="D50" s="3" t="s">
        <v>120</v>
      </c>
      <c r="E50" s="3">
        <v>6</v>
      </c>
      <c r="F50" s="3">
        <v>6</v>
      </c>
      <c r="G50" s="5">
        <v>0.59505165311054908</v>
      </c>
      <c r="H50" s="5">
        <v>2.4015654700501154</v>
      </c>
      <c r="I50" s="5">
        <v>5.4465529726453914</v>
      </c>
      <c r="J50" s="5">
        <v>9.7249859703118702</v>
      </c>
      <c r="K50" s="5">
        <v>15.202130224275392</v>
      </c>
      <c r="L50" s="5">
        <v>21.814968076673814</v>
      </c>
      <c r="M50" s="5">
        <v>29.472919999376646</v>
      </c>
      <c r="N50" s="5">
        <v>38.066081435401408</v>
      </c>
      <c r="O50" s="5">
        <v>47.467326827791254</v>
      </c>
      <c r="P50" s="5">
        <v>57.534010191538172</v>
      </c>
      <c r="Q50" s="5">
        <v>68.12236102445857</v>
      </c>
      <c r="R50" s="5">
        <v>79.100626551571764</v>
      </c>
      <c r="S50" s="5">
        <v>90.352010189296891</v>
      </c>
      <c r="T50" s="5">
        <v>101.76905000893049</v>
      </c>
      <c r="U50" s="5">
        <v>113.25135687514177</v>
      </c>
      <c r="V50" s="5">
        <v>124.69236539437784</v>
      </c>
      <c r="W50" s="5">
        <v>135.99380414157523</v>
      </c>
      <c r="X50" s="5">
        <v>147.49508618246787</v>
      </c>
      <c r="Y50" s="5">
        <v>160.85211745850825</v>
      </c>
      <c r="Z50" s="5">
        <v>183.51682144020532</v>
      </c>
      <c r="AA50" s="5">
        <v>221.49498614420168</v>
      </c>
      <c r="AB50" s="5">
        <v>274.2901975923844</v>
      </c>
      <c r="AC50" s="5">
        <v>341.10944440887334</v>
      </c>
      <c r="AD50" s="5">
        <v>422.32078044484973</v>
      </c>
      <c r="AE50" s="5">
        <v>520.02833856706548</v>
      </c>
      <c r="AF50" s="5">
        <v>635.61361748360446</v>
      </c>
      <c r="AG50" s="5">
        <v>766.27441064970651</v>
      </c>
      <c r="AH50" s="5">
        <v>901.67381011722296</v>
      </c>
      <c r="AI50" s="5">
        <v>1031.5939488379179</v>
      </c>
      <c r="AJ50" s="5">
        <v>1150.5043637687966</v>
      </c>
      <c r="AK50" s="5">
        <v>1254.68981528431</v>
      </c>
      <c r="AL50" s="5">
        <v>1345.1142257859185</v>
      </c>
      <c r="AM50" s="5">
        <v>1422.5095244524455</v>
      </c>
      <c r="AN50" s="5">
        <v>1486.7751236780837</v>
      </c>
      <c r="AO50" s="5">
        <v>1540.3454148984022</v>
      </c>
      <c r="AP50" s="5">
        <v>1587.7553098673595</v>
      </c>
      <c r="AQ50" s="5">
        <v>1633.0239688474835</v>
      </c>
      <c r="AR50" s="5">
        <v>1676.993075559415</v>
      </c>
      <c r="AS50" s="5">
        <v>1719.2570027275053</v>
      </c>
      <c r="AT50" s="5">
        <v>1760.8058749090519</v>
      </c>
      <c r="AU50" s="5">
        <v>1801.9016635700841</v>
      </c>
      <c r="AV50">
        <v>1841.590516825167</v>
      </c>
      <c r="AW50">
        <v>1880.3707628659361</v>
      </c>
    </row>
    <row r="51" spans="1:49" ht="29" x14ac:dyDescent="0.35">
      <c r="A51" t="s">
        <v>47</v>
      </c>
      <c r="B51" s="10" t="s">
        <v>160</v>
      </c>
      <c r="C51" s="3">
        <v>5</v>
      </c>
      <c r="D51" s="3">
        <v>5</v>
      </c>
      <c r="E51" s="3">
        <v>7</v>
      </c>
      <c r="F51" s="3">
        <v>7</v>
      </c>
      <c r="G51" s="5">
        <v>22.221142347167774</v>
      </c>
      <c r="H51" s="5">
        <v>41.416663981113793</v>
      </c>
      <c r="I51" s="5">
        <v>58.159370292727701</v>
      </c>
      <c r="J51" s="5">
        <v>72.87291417381897</v>
      </c>
      <c r="K51" s="5">
        <v>85.97239927365257</v>
      </c>
      <c r="L51" s="5">
        <v>97.678579794114484</v>
      </c>
      <c r="M51" s="5">
        <v>108.18112049722794</v>
      </c>
      <c r="N51" s="5">
        <v>117.76872528673576</v>
      </c>
      <c r="O51" s="5">
        <v>126.43722203796736</v>
      </c>
      <c r="P51" s="5">
        <v>134.29351004259871</v>
      </c>
      <c r="Q51" s="5">
        <v>141.65631891586472</v>
      </c>
      <c r="R51" s="5">
        <v>148.85747291373099</v>
      </c>
      <c r="S51" s="5">
        <v>156.0429850905571</v>
      </c>
      <c r="T51" s="5">
        <v>163.11904936750906</v>
      </c>
      <c r="U51" s="5">
        <v>170.04315122978895</v>
      </c>
      <c r="V51" s="5">
        <v>179.20880650362926</v>
      </c>
      <c r="W51" s="5">
        <v>190.63035203522054</v>
      </c>
      <c r="X51" s="5">
        <v>204.08425902783159</v>
      </c>
      <c r="Y51" s="5">
        <v>219.29648754429616</v>
      </c>
      <c r="Z51" s="5">
        <v>237.72055766063863</v>
      </c>
      <c r="AA51" s="5">
        <v>258.96533171186962</v>
      </c>
      <c r="AB51" s="5">
        <v>279.11205451427088</v>
      </c>
      <c r="AC51" s="5">
        <v>296.98163297585097</v>
      </c>
      <c r="AD51" s="5">
        <v>318.03108293842945</v>
      </c>
      <c r="AE51" s="5">
        <v>341.81660508026232</v>
      </c>
      <c r="AF51" s="5">
        <v>365.93735501138735</v>
      </c>
      <c r="AG51" s="5">
        <v>390.77244680401435</v>
      </c>
      <c r="AH51" s="5">
        <v>417.17837555685213</v>
      </c>
      <c r="AI51" s="5">
        <v>443.57705782028023</v>
      </c>
      <c r="AJ51" s="5">
        <v>468.75009734401146</v>
      </c>
      <c r="AK51" s="5">
        <v>492.10558413784651</v>
      </c>
      <c r="AL51" s="5">
        <v>519.46970142255896</v>
      </c>
      <c r="AM51" s="5">
        <v>550.0405008443181</v>
      </c>
      <c r="AN51" s="5">
        <v>583.31544911600349</v>
      </c>
      <c r="AO51" s="5">
        <v>619.08061618148542</v>
      </c>
      <c r="AP51" s="5">
        <v>657.34539356938694</v>
      </c>
      <c r="AQ51" s="5">
        <v>698.50172399746612</v>
      </c>
      <c r="AR51" s="5">
        <v>744.4876562429971</v>
      </c>
      <c r="AS51" s="5">
        <v>771.80871420473159</v>
      </c>
      <c r="AT51" s="5">
        <v>796.40873561411399</v>
      </c>
      <c r="AU51" s="5">
        <v>818.3320350749334</v>
      </c>
      <c r="AV51">
        <v>837.44636953184965</v>
      </c>
      <c r="AW51">
        <v>856.60184443656942</v>
      </c>
    </row>
    <row r="52" spans="1:49" x14ac:dyDescent="0.35">
      <c r="A52" t="s">
        <v>48</v>
      </c>
      <c r="B52" s="10" t="s">
        <v>113</v>
      </c>
      <c r="C52" s="3">
        <v>6</v>
      </c>
      <c r="D52" s="3">
        <v>6</v>
      </c>
      <c r="E52" s="3">
        <v>7</v>
      </c>
      <c r="F52" s="3">
        <v>7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2.4655711364617385</v>
      </c>
      <c r="M52" s="5">
        <v>6.9310964057865991</v>
      </c>
      <c r="N52" s="5">
        <v>13.031666894428305</v>
      </c>
      <c r="O52" s="5">
        <v>20.408700084493322</v>
      </c>
      <c r="P52" s="5">
        <v>28.776391011466863</v>
      </c>
      <c r="Q52" s="5">
        <v>37.992012538319813</v>
      </c>
      <c r="R52" s="5">
        <v>48.00610669406241</v>
      </c>
      <c r="S52" s="5">
        <v>58.750664503857898</v>
      </c>
      <c r="T52" s="5">
        <v>70.061038864311399</v>
      </c>
      <c r="U52" s="5">
        <v>81.808373969237039</v>
      </c>
      <c r="V52" s="5">
        <v>96.672339954664366</v>
      </c>
      <c r="W52" s="5">
        <v>106.78697962019872</v>
      </c>
      <c r="X52" s="5">
        <v>110.5687484828768</v>
      </c>
      <c r="Y52" s="5">
        <v>109.14226086984499</v>
      </c>
      <c r="Z52" s="5">
        <v>110.96653795937061</v>
      </c>
      <c r="AA52" s="5">
        <v>115.53231804236798</v>
      </c>
      <c r="AB52" s="5">
        <v>128.71410366230555</v>
      </c>
      <c r="AC52" s="5">
        <v>150.07253392329727</v>
      </c>
      <c r="AD52" s="5">
        <v>173.95637961967546</v>
      </c>
      <c r="AE52" s="5">
        <v>224.42214892477227</v>
      </c>
      <c r="AF52" s="5">
        <v>274.03531303576551</v>
      </c>
      <c r="AG52" s="5">
        <v>323.56619304069972</v>
      </c>
      <c r="AH52" s="5">
        <v>403.23936236174706</v>
      </c>
      <c r="AI52" s="5">
        <v>457.78037400142671</v>
      </c>
      <c r="AJ52" s="5">
        <v>489.78274388934369</v>
      </c>
      <c r="AK52" s="5">
        <v>511.70260260856668</v>
      </c>
      <c r="AL52" s="5">
        <v>487.37074850971601</v>
      </c>
      <c r="AM52" s="5">
        <v>459.46428738681152</v>
      </c>
      <c r="AN52" s="5">
        <v>427.72754776524857</v>
      </c>
      <c r="AO52" s="5">
        <v>392.87528473076827</v>
      </c>
      <c r="AP52" s="5">
        <v>370.7864939398616</v>
      </c>
      <c r="AQ52" s="5">
        <v>372.01088780921657</v>
      </c>
      <c r="AR52" s="5">
        <v>392.71006629027897</v>
      </c>
      <c r="AS52" s="5">
        <v>440.93245277930112</v>
      </c>
      <c r="AT52" s="5">
        <v>481.92236405490132</v>
      </c>
      <c r="AU52" s="5">
        <v>516.69950676460951</v>
      </c>
      <c r="AV52">
        <v>535.57459230096754</v>
      </c>
      <c r="AW52">
        <v>556.14391709042138</v>
      </c>
    </row>
    <row r="53" spans="1:49" ht="29" x14ac:dyDescent="0.35">
      <c r="A53" t="s">
        <v>49</v>
      </c>
      <c r="B53" s="10" t="s">
        <v>151</v>
      </c>
      <c r="C53" s="3">
        <v>4</v>
      </c>
      <c r="D53" s="3" t="s">
        <v>120</v>
      </c>
      <c r="E53" s="3">
        <v>7</v>
      </c>
      <c r="F53" s="3">
        <v>7</v>
      </c>
      <c r="G53" s="5">
        <v>0.15008533443149094</v>
      </c>
      <c r="H53" s="5">
        <v>0.62087047404150808</v>
      </c>
      <c r="I53" s="5">
        <v>1.4462157202392065</v>
      </c>
      <c r="J53" s="5">
        <v>2.6449872307273585</v>
      </c>
      <c r="K53" s="5">
        <v>4.2213518839252302</v>
      </c>
      <c r="L53" s="5">
        <v>6.1653218371372054</v>
      </c>
      <c r="M53" s="5">
        <v>8.4535130062636696</v>
      </c>
      <c r="N53" s="5">
        <v>11.053046724698584</v>
      </c>
      <c r="O53" s="5">
        <v>13.923195836647739</v>
      </c>
      <c r="P53" s="5">
        <v>17.016847153684488</v>
      </c>
      <c r="Q53" s="5">
        <v>20.287280027663396</v>
      </c>
      <c r="R53" s="5">
        <v>23.694560349557356</v>
      </c>
      <c r="S53" s="5">
        <v>27.207110704620664</v>
      </c>
      <c r="T53" s="5">
        <v>30.798647238521404</v>
      </c>
      <c r="U53" s="5">
        <v>34.446197845642786</v>
      </c>
      <c r="V53" s="5">
        <v>38.127133605049501</v>
      </c>
      <c r="W53" s="5">
        <v>41.799147980064305</v>
      </c>
      <c r="X53" s="5">
        <v>45.406830421017041</v>
      </c>
      <c r="Y53" s="5">
        <v>48.904010250104839</v>
      </c>
      <c r="Z53" s="5">
        <v>52.252735766451082</v>
      </c>
      <c r="AA53" s="5">
        <v>55.42430546960955</v>
      </c>
      <c r="AB53" s="5">
        <v>58.400836544563823</v>
      </c>
      <c r="AC53" s="5">
        <v>61.175677696685277</v>
      </c>
      <c r="AD53" s="5">
        <v>63.750794564265433</v>
      </c>
      <c r="AE53" s="5">
        <v>66.133920616187623</v>
      </c>
      <c r="AF53" s="5">
        <v>68.340479673184703</v>
      </c>
      <c r="AG53" s="5">
        <v>70.348002449526916</v>
      </c>
      <c r="AH53" s="5">
        <v>72.096299727079682</v>
      </c>
      <c r="AI53" s="5">
        <v>73.529231752374884</v>
      </c>
      <c r="AJ53" s="5">
        <v>74.486474495730292</v>
      </c>
      <c r="AK53" s="5">
        <v>74.857428740155456</v>
      </c>
      <c r="AL53" s="5">
        <v>74.692736397312146</v>
      </c>
      <c r="AM53" s="5">
        <v>74.058190079009762</v>
      </c>
      <c r="AN53" s="5">
        <v>73.031338042246475</v>
      </c>
      <c r="AO53" s="5">
        <v>71.697685300749896</v>
      </c>
      <c r="AP53" s="5">
        <v>70.179406568367</v>
      </c>
      <c r="AQ53" s="5">
        <v>68.675203591672457</v>
      </c>
      <c r="AR53" s="5">
        <v>67.362098763741216</v>
      </c>
      <c r="AS53" s="5">
        <v>66.386724190005978</v>
      </c>
      <c r="AT53" s="5">
        <v>65.920734374323359</v>
      </c>
      <c r="AU53" s="5">
        <v>66.11003816894933</v>
      </c>
      <c r="AV53">
        <v>67.064806404966276</v>
      </c>
      <c r="AW53">
        <v>68.871235116515805</v>
      </c>
    </row>
    <row r="54" spans="1:49" ht="29" x14ac:dyDescent="0.35">
      <c r="A54" t="s">
        <v>50</v>
      </c>
      <c r="B54" s="10" t="s">
        <v>152</v>
      </c>
      <c r="C54" s="3">
        <v>5</v>
      </c>
      <c r="D54" s="3">
        <v>5</v>
      </c>
      <c r="E54" s="3">
        <v>8</v>
      </c>
      <c r="F54" s="3">
        <v>8</v>
      </c>
      <c r="G54" s="5">
        <v>3.3573374985635486E-2</v>
      </c>
      <c r="H54" s="5">
        <v>6.825051247972623E-2</v>
      </c>
      <c r="I54" s="5">
        <v>0.10395238144661337</v>
      </c>
      <c r="J54" s="5">
        <v>0.14053402456893019</v>
      </c>
      <c r="K54" s="5">
        <v>0.17793244870991323</v>
      </c>
      <c r="L54" s="5">
        <v>0.21594600109240861</v>
      </c>
      <c r="M54" s="5">
        <v>0.25445905259902873</v>
      </c>
      <c r="N54" s="5">
        <v>0.29350742337158442</v>
      </c>
      <c r="O54" s="5">
        <v>0.33262327362746874</v>
      </c>
      <c r="P54" s="5">
        <v>0.37173018671411812</v>
      </c>
      <c r="Q54" s="5">
        <v>0.41111514263129456</v>
      </c>
      <c r="R54" s="5">
        <v>0.45118774322694333</v>
      </c>
      <c r="S54" s="5">
        <v>0.49218509220549694</v>
      </c>
      <c r="T54" s="5">
        <v>0.53382622114480482</v>
      </c>
      <c r="U54" s="5">
        <v>0.57599344942180841</v>
      </c>
      <c r="V54" s="5">
        <v>0.60841244949755047</v>
      </c>
      <c r="W54" s="5">
        <v>0.64860368899935594</v>
      </c>
      <c r="X54" s="5">
        <v>0.69644017416348825</v>
      </c>
      <c r="Y54" s="5">
        <v>0.75488216008391817</v>
      </c>
      <c r="Z54" s="5">
        <v>0.82345661723320906</v>
      </c>
      <c r="AA54" s="5">
        <v>1.0113926383192737</v>
      </c>
      <c r="AB54" s="5">
        <v>1.3208099261802484</v>
      </c>
      <c r="AC54" s="5">
        <v>1.7483791182058863</v>
      </c>
      <c r="AD54" s="5">
        <v>2.0238539396365942</v>
      </c>
      <c r="AE54" s="5">
        <v>2.4266399882640304</v>
      </c>
      <c r="AF54" s="5">
        <v>2.8743185292499751</v>
      </c>
      <c r="AG54" s="5">
        <v>3.1715409962909744</v>
      </c>
      <c r="AH54" s="5">
        <v>3.3260736969462141</v>
      </c>
      <c r="AI54" s="5">
        <v>3.3915855384319538</v>
      </c>
      <c r="AJ54" s="5">
        <v>3.4093840369287958</v>
      </c>
      <c r="AK54" s="5">
        <v>4.1277276852271498</v>
      </c>
      <c r="AL54" s="5">
        <v>4.7018626733446904</v>
      </c>
      <c r="AM54" s="5">
        <v>5.1406828552006223</v>
      </c>
      <c r="AN54" s="5">
        <v>5.3150736157003102</v>
      </c>
      <c r="AO54" s="5">
        <v>5.4789821192214516</v>
      </c>
      <c r="AP54" s="5">
        <v>5.6247834634479581</v>
      </c>
      <c r="AQ54" s="5">
        <v>5.676032814767912</v>
      </c>
      <c r="AR54" s="5">
        <v>6.286414073775676</v>
      </c>
      <c r="AS54" s="5">
        <v>6.8836579317794495</v>
      </c>
      <c r="AT54" s="5">
        <v>7.4752192831491664</v>
      </c>
      <c r="AU54" s="5">
        <v>7.5021396474328421</v>
      </c>
      <c r="AV54">
        <v>7.5318570850387303</v>
      </c>
      <c r="AW54">
        <v>7.5714014085112833</v>
      </c>
    </row>
    <row r="55" spans="1:49" ht="29" x14ac:dyDescent="0.35">
      <c r="A55" t="s">
        <v>51</v>
      </c>
      <c r="B55" s="10" t="s">
        <v>153</v>
      </c>
      <c r="C55" s="3">
        <v>4</v>
      </c>
      <c r="D55" s="3" t="s">
        <v>120</v>
      </c>
      <c r="E55" s="3">
        <v>8</v>
      </c>
      <c r="F55" s="3">
        <v>8</v>
      </c>
      <c r="G55" s="5">
        <v>1.3759736356296945</v>
      </c>
      <c r="H55" s="5">
        <v>5.602899489272283</v>
      </c>
      <c r="I55" s="5">
        <v>12.831418950028405</v>
      </c>
      <c r="J55" s="5">
        <v>23.11487674768561</v>
      </c>
      <c r="K55" s="5">
        <v>36.414321965243623</v>
      </c>
      <c r="L55" s="5">
        <v>52.602661952380124</v>
      </c>
      <c r="M55" s="5">
        <v>71.46824419690536</v>
      </c>
      <c r="N55" s="5">
        <v>92.739824727933964</v>
      </c>
      <c r="O55" s="5">
        <v>116.09490085018534</v>
      </c>
      <c r="P55" s="5">
        <v>141.16688544016606</v>
      </c>
      <c r="Q55" s="5">
        <v>167.58885770974058</v>
      </c>
      <c r="R55" s="5">
        <v>195.03441986886753</v>
      </c>
      <c r="S55" s="5">
        <v>223.22767164440199</v>
      </c>
      <c r="T55" s="5">
        <v>251.92534561885063</v>
      </c>
      <c r="U55" s="5">
        <v>280.9074679328387</v>
      </c>
      <c r="V55" s="5">
        <v>310.23757943921305</v>
      </c>
      <c r="W55" s="5">
        <v>340.29977520749867</v>
      </c>
      <c r="X55" s="5">
        <v>371.39630409539251</v>
      </c>
      <c r="Y55" s="5">
        <v>404.09539449511186</v>
      </c>
      <c r="Z55" s="5">
        <v>436.43951640246632</v>
      </c>
      <c r="AA55" s="5">
        <v>466.17960129540609</v>
      </c>
      <c r="AB55" s="5">
        <v>493.76386900150624</v>
      </c>
      <c r="AC55" s="5">
        <v>520.1941628560088</v>
      </c>
      <c r="AD55" s="5">
        <v>549.23526705141933</v>
      </c>
      <c r="AE55" s="5">
        <v>583.40002239889941</v>
      </c>
      <c r="AF55" s="5">
        <v>619.99132167140419</v>
      </c>
      <c r="AG55" s="5">
        <v>655.68382731305076</v>
      </c>
      <c r="AH55" s="5">
        <v>689.68125851796947</v>
      </c>
      <c r="AI55" s="5">
        <v>717.34831171867461</v>
      </c>
      <c r="AJ55" s="5">
        <v>733.64812263814815</v>
      </c>
      <c r="AK55" s="5">
        <v>740.95536757490424</v>
      </c>
      <c r="AL55" s="5">
        <v>744.2670498861645</v>
      </c>
      <c r="AM55" s="5">
        <v>748.7251310764774</v>
      </c>
      <c r="AN55" s="5">
        <v>756.47478186849764</v>
      </c>
      <c r="AO55" s="5">
        <v>766.56730458592972</v>
      </c>
      <c r="AP55" s="5">
        <v>774.09966616255792</v>
      </c>
      <c r="AQ55" s="5">
        <v>774.94609972056787</v>
      </c>
      <c r="AR55" s="5">
        <v>769.63171814894565</v>
      </c>
      <c r="AS55" s="5">
        <v>758.73537170241741</v>
      </c>
      <c r="AT55" s="5">
        <v>742.72399684666777</v>
      </c>
      <c r="AU55" s="5">
        <v>722.12977544880255</v>
      </c>
      <c r="AV55">
        <v>697.74918257823629</v>
      </c>
      <c r="AW55">
        <v>670.44108369870401</v>
      </c>
    </row>
    <row r="56" spans="1:49" ht="29" x14ac:dyDescent="0.35">
      <c r="A56" t="s">
        <v>52</v>
      </c>
      <c r="B56" s="10" t="s">
        <v>154</v>
      </c>
      <c r="C56" s="3">
        <v>5</v>
      </c>
      <c r="D56" s="3">
        <v>5</v>
      </c>
      <c r="E56" s="3">
        <v>9</v>
      </c>
      <c r="F56" s="3">
        <v>9</v>
      </c>
      <c r="G56" s="5">
        <v>30.412350404590391</v>
      </c>
      <c r="H56" s="5">
        <v>57.923676768946699</v>
      </c>
      <c r="I56" s="5">
        <v>82.955466728013349</v>
      </c>
      <c r="J56" s="5">
        <v>105.81379728338086</v>
      </c>
      <c r="K56" s="5">
        <v>126.85895070019725</v>
      </c>
      <c r="L56" s="5">
        <v>146.24164132000351</v>
      </c>
      <c r="M56" s="5">
        <v>164.10511363922984</v>
      </c>
      <c r="N56" s="5">
        <v>180.75755452278088</v>
      </c>
      <c r="O56" s="5">
        <v>196.13571944175425</v>
      </c>
      <c r="P56" s="5">
        <v>210.33736619674909</v>
      </c>
      <c r="Q56" s="5">
        <v>223.76330537659064</v>
      </c>
      <c r="R56" s="5">
        <v>236.85578778343594</v>
      </c>
      <c r="S56" s="5">
        <v>249.82331179974744</v>
      </c>
      <c r="T56" s="5">
        <v>262.55266625061194</v>
      </c>
      <c r="U56" s="5">
        <v>274.99354662339465</v>
      </c>
      <c r="V56" s="5">
        <v>280.81372920130468</v>
      </c>
      <c r="W56" s="5">
        <v>292.50147065486715</v>
      </c>
      <c r="X56" s="5">
        <v>308.0282398721103</v>
      </c>
      <c r="Y56" s="5">
        <v>366.40694420223559</v>
      </c>
      <c r="Z56" s="5">
        <v>488.52311183796542</v>
      </c>
      <c r="AA56" s="5">
        <v>666.37606355229161</v>
      </c>
      <c r="AB56" s="5">
        <v>813.251984542017</v>
      </c>
      <c r="AC56" s="5">
        <v>934.53345935948505</v>
      </c>
      <c r="AD56" s="5">
        <v>971.71028767467533</v>
      </c>
      <c r="AE56" s="5">
        <v>935.66635629405948</v>
      </c>
      <c r="AF56" s="5">
        <v>920.22046257384818</v>
      </c>
      <c r="AG56" s="5">
        <v>1000.6356391554417</v>
      </c>
      <c r="AH56" s="5">
        <v>1139.0339289444646</v>
      </c>
      <c r="AI56" s="5">
        <v>1265.0197719501775</v>
      </c>
      <c r="AJ56" s="5">
        <v>1376.8937110822346</v>
      </c>
      <c r="AK56" s="5">
        <v>1363.1486596577524</v>
      </c>
      <c r="AL56" s="5">
        <v>1360.9368986914847</v>
      </c>
      <c r="AM56" s="5">
        <v>1368.3906094166803</v>
      </c>
      <c r="AN56" s="5">
        <v>1384.1724081805105</v>
      </c>
      <c r="AO56" s="5">
        <v>1407.448821682505</v>
      </c>
      <c r="AP56" s="5">
        <v>1424.756682628409</v>
      </c>
      <c r="AQ56" s="5">
        <v>1419.4008855728835</v>
      </c>
      <c r="AR56" s="5">
        <v>1385.9748491952241</v>
      </c>
      <c r="AS56" s="5">
        <v>1380.2346737474354</v>
      </c>
      <c r="AT56" s="5">
        <v>1380.5732677436927</v>
      </c>
      <c r="AU56" s="5">
        <v>1301.9379127747914</v>
      </c>
      <c r="AV56">
        <v>1311.9935103822788</v>
      </c>
      <c r="AW56">
        <v>1328.6000119006621</v>
      </c>
    </row>
    <row r="57" spans="1:49" ht="29" x14ac:dyDescent="0.35">
      <c r="A57" t="s">
        <v>53</v>
      </c>
      <c r="B57" s="10" t="s">
        <v>155</v>
      </c>
      <c r="C57" s="3">
        <v>4</v>
      </c>
      <c r="D57" s="3" t="s">
        <v>120</v>
      </c>
      <c r="E57" s="3">
        <v>9</v>
      </c>
      <c r="F57" s="3">
        <v>9</v>
      </c>
      <c r="G57" s="5">
        <v>6.1624704054057275</v>
      </c>
      <c r="H57" s="5">
        <v>12.458866076945945</v>
      </c>
      <c r="I57" s="5">
        <v>18.877260299640401</v>
      </c>
      <c r="J57" s="5">
        <v>25.394122522423871</v>
      </c>
      <c r="K57" s="5">
        <v>32.009494274262046</v>
      </c>
      <c r="L57" s="5">
        <v>38.686714025919336</v>
      </c>
      <c r="M57" s="5">
        <v>45.393732384371184</v>
      </c>
      <c r="N57" s="5">
        <v>52.145725602217141</v>
      </c>
      <c r="O57" s="5">
        <v>58.87567430705969</v>
      </c>
      <c r="P57" s="5">
        <v>65.557652778469915</v>
      </c>
      <c r="Q57" s="5">
        <v>72.250147214996034</v>
      </c>
      <c r="R57" s="5">
        <v>79.037366316744311</v>
      </c>
      <c r="S57" s="5">
        <v>85.955615846210037</v>
      </c>
      <c r="T57" s="5">
        <v>92.960651533592042</v>
      </c>
      <c r="U57" s="5">
        <v>100.02291376619415</v>
      </c>
      <c r="V57" s="5">
        <v>100.78763241074012</v>
      </c>
      <c r="W57" s="5">
        <v>103.30614893428242</v>
      </c>
      <c r="X57" s="5">
        <v>121.17634694238083</v>
      </c>
      <c r="Y57" s="5">
        <v>133.88790678313603</v>
      </c>
      <c r="Z57" s="5">
        <v>140.19331046116977</v>
      </c>
      <c r="AA57" s="5">
        <v>143.85076058683251</v>
      </c>
      <c r="AB57" s="5">
        <v>145.05632915012055</v>
      </c>
      <c r="AC57" s="5">
        <v>144.55698557986992</v>
      </c>
      <c r="AD57" s="5">
        <v>151.77321859597799</v>
      </c>
      <c r="AE57" s="5">
        <v>166.31036379151044</v>
      </c>
      <c r="AF57" s="5">
        <v>187.96237352627438</v>
      </c>
      <c r="AG57" s="5">
        <v>213.44069015446817</v>
      </c>
      <c r="AH57" s="5">
        <v>230.70522981941593</v>
      </c>
      <c r="AI57" s="5">
        <v>239.89635722549889</v>
      </c>
      <c r="AJ57" s="5">
        <v>260.58730593414867</v>
      </c>
      <c r="AK57" s="5">
        <v>291.74738773338152</v>
      </c>
      <c r="AL57" s="5">
        <v>309.48545056377458</v>
      </c>
      <c r="AM57" s="5">
        <v>325.69533522008817</v>
      </c>
      <c r="AN57" s="5">
        <v>340.5208292018952</v>
      </c>
      <c r="AO57" s="5">
        <v>365.1647450407068</v>
      </c>
      <c r="AP57" s="5">
        <v>434.14936973301911</v>
      </c>
      <c r="AQ57" s="5">
        <v>487.91093243680996</v>
      </c>
      <c r="AR57" s="5">
        <v>527.65205465229826</v>
      </c>
      <c r="AS57" s="5">
        <v>572.82335202082606</v>
      </c>
      <c r="AT57" s="5">
        <v>623.68454943421477</v>
      </c>
      <c r="AU57" s="5">
        <v>685.63938177440662</v>
      </c>
      <c r="AV57">
        <v>743.41881243555054</v>
      </c>
      <c r="AW57">
        <v>798.82905105371572</v>
      </c>
    </row>
    <row r="58" spans="1:49" ht="29" x14ac:dyDescent="0.35">
      <c r="A58" t="s">
        <v>54</v>
      </c>
      <c r="B58" s="10" t="s">
        <v>156</v>
      </c>
      <c r="C58" s="3">
        <v>4</v>
      </c>
      <c r="D58" s="3" t="s">
        <v>120</v>
      </c>
      <c r="E58" s="3">
        <v>10</v>
      </c>
      <c r="F58" s="3">
        <v>10</v>
      </c>
      <c r="G58" s="5">
        <v>1.4984637008240913</v>
      </c>
      <c r="H58" s="5">
        <v>5.9969444350005343</v>
      </c>
      <c r="I58" s="5">
        <v>13.415292925932626</v>
      </c>
      <c r="J58" s="5">
        <v>23.509489366042104</v>
      </c>
      <c r="K58" s="5">
        <v>35.903144625619866</v>
      </c>
      <c r="L58" s="5">
        <v>50.124093163487345</v>
      </c>
      <c r="M58" s="5">
        <v>65.642000907007159</v>
      </c>
      <c r="N58" s="5">
        <v>81.923013962380381</v>
      </c>
      <c r="O58" s="5">
        <v>98.462479442163414</v>
      </c>
      <c r="P58" s="5">
        <v>114.8074622616457</v>
      </c>
      <c r="Q58" s="5">
        <v>130.60092941163086</v>
      </c>
      <c r="R58" s="5">
        <v>145.61182224072749</v>
      </c>
      <c r="S58" s="5">
        <v>159.72932230402529</v>
      </c>
      <c r="T58" s="5">
        <v>172.92823515826979</v>
      </c>
      <c r="U58" s="5">
        <v>183.41509557249543</v>
      </c>
      <c r="V58" s="5">
        <v>189.45984711936057</v>
      </c>
      <c r="W58" s="5">
        <v>191.31628510332067</v>
      </c>
      <c r="X58" s="5">
        <v>189.45084441569605</v>
      </c>
      <c r="Y58" s="5">
        <v>184.48399914295535</v>
      </c>
      <c r="Z58" s="5">
        <v>177.12861702489633</v>
      </c>
      <c r="AA58" s="5">
        <v>168.38289048467522</v>
      </c>
      <c r="AB58" s="5">
        <v>158.99896840843135</v>
      </c>
      <c r="AC58" s="5">
        <v>149.17699581405117</v>
      </c>
      <c r="AD58" s="5">
        <v>139.18929653194135</v>
      </c>
      <c r="AE58" s="5">
        <v>129.38039285508179</v>
      </c>
      <c r="AF58" s="5">
        <v>119.99780980688259</v>
      </c>
      <c r="AG58" s="5">
        <v>111.20082779634097</v>
      </c>
      <c r="AH58" s="5">
        <v>103.07400771063296</v>
      </c>
      <c r="AI58" s="5">
        <v>95.623032532466382</v>
      </c>
      <c r="AJ58" s="5">
        <v>88.781480607391103</v>
      </c>
      <c r="AK58" s="5">
        <v>82.702900750809292</v>
      </c>
      <c r="AL58" s="5">
        <v>77.567010449006688</v>
      </c>
      <c r="AM58" s="5">
        <v>73.320750551731251</v>
      </c>
      <c r="AN58" s="5">
        <v>69.888219701361251</v>
      </c>
      <c r="AO58" s="5">
        <v>67.331592001044029</v>
      </c>
      <c r="AP58" s="5">
        <v>65.711523104914903</v>
      </c>
      <c r="AQ58" s="5">
        <v>64.931194518606929</v>
      </c>
      <c r="AR58" s="5">
        <v>64.961530261045297</v>
      </c>
      <c r="AS58" s="5">
        <v>65.841254510856302</v>
      </c>
      <c r="AT58" s="5">
        <v>67.425774898914085</v>
      </c>
      <c r="AU58" s="5">
        <v>69.512705780090414</v>
      </c>
      <c r="AV58">
        <v>72.016957960819639</v>
      </c>
      <c r="AW58">
        <v>74.858962158796999</v>
      </c>
    </row>
    <row r="59" spans="1:49" x14ac:dyDescent="0.35">
      <c r="A59" t="s">
        <v>55</v>
      </c>
      <c r="B59" s="10" t="s">
        <v>157</v>
      </c>
      <c r="C59" s="3">
        <v>1</v>
      </c>
      <c r="D59" s="3">
        <v>1</v>
      </c>
      <c r="E59" s="3">
        <v>10</v>
      </c>
      <c r="F59" s="3">
        <v>10</v>
      </c>
      <c r="G59" s="5">
        <v>0.31182666670231213</v>
      </c>
      <c r="H59" s="5">
        <v>1.2716452090058503</v>
      </c>
      <c r="I59" s="5">
        <v>2.9193090758132039</v>
      </c>
      <c r="J59" s="5">
        <v>5.2762754377305514</v>
      </c>
      <c r="K59" s="5">
        <v>8.3462167034177686</v>
      </c>
      <c r="L59" s="5">
        <v>12.115130686370938</v>
      </c>
      <c r="M59" s="5">
        <v>16.551113219019822</v>
      </c>
      <c r="N59" s="5">
        <v>21.608832200008813</v>
      </c>
      <c r="O59" s="5">
        <v>27.230224907898346</v>
      </c>
      <c r="P59" s="5">
        <v>33.345037307764557</v>
      </c>
      <c r="Q59" s="5">
        <v>39.879807937075398</v>
      </c>
      <c r="R59" s="5">
        <v>46.766471297966106</v>
      </c>
      <c r="S59" s="5">
        <v>53.944317553979332</v>
      </c>
      <c r="T59" s="5">
        <v>61.355988563889774</v>
      </c>
      <c r="U59" s="5">
        <v>68.945702793938366</v>
      </c>
      <c r="V59" s="5">
        <v>76.562545142219619</v>
      </c>
      <c r="W59" s="5">
        <v>83.972099690857291</v>
      </c>
      <c r="X59" s="5">
        <v>90.984955001448455</v>
      </c>
      <c r="Y59" s="5">
        <v>97.453300655086423</v>
      </c>
      <c r="Z59" s="5">
        <v>103.20364578923311</v>
      </c>
      <c r="AA59" s="5">
        <v>108.09485115432727</v>
      </c>
      <c r="AB59" s="5">
        <v>112.09108568136357</v>
      </c>
      <c r="AC59" s="5">
        <v>115.20667152921715</v>
      </c>
      <c r="AD59" s="5">
        <v>117.53200635510902</v>
      </c>
      <c r="AE59" s="5">
        <v>119.11970386044857</v>
      </c>
      <c r="AF59" s="5">
        <v>119.83403021819873</v>
      </c>
      <c r="AG59" s="5">
        <v>119.6368567408539</v>
      </c>
      <c r="AH59" s="5">
        <v>118.68372239802041</v>
      </c>
      <c r="AI59" s="5">
        <v>117.14188781288863</v>
      </c>
      <c r="AJ59" s="5">
        <v>115.05220992365054</v>
      </c>
      <c r="AK59" s="5">
        <v>112.39894119270868</v>
      </c>
      <c r="AL59" s="5">
        <v>109.43010566446515</v>
      </c>
      <c r="AM59" s="5">
        <v>106.58016101322137</v>
      </c>
      <c r="AN59" s="5">
        <v>104.26890476578713</v>
      </c>
      <c r="AO59" s="5">
        <v>102.89294040997432</v>
      </c>
      <c r="AP59" s="5">
        <v>102.73340678783387</v>
      </c>
      <c r="AQ59" s="5">
        <v>103.95115176437638</v>
      </c>
      <c r="AR59" s="5">
        <v>106.67085999851585</v>
      </c>
      <c r="AS59" s="5">
        <v>110.9766288678456</v>
      </c>
      <c r="AT59" s="5">
        <v>116.7279495000072</v>
      </c>
      <c r="AU59" s="5">
        <v>123.67075851333031</v>
      </c>
      <c r="AV59">
        <v>131.62560295828777</v>
      </c>
      <c r="AW59">
        <v>140.40941746111966</v>
      </c>
    </row>
  </sheetData>
  <conditionalFormatting sqref="A6">
    <cfRule type="expression" dxfId="23" priority="1">
      <formula>#REF!&gt;1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18"/>
  <dimension ref="A1:CF175"/>
  <sheetViews>
    <sheetView zoomScale="70" zoomScaleNormal="70" workbookViewId="0">
      <selection activeCell="P1" sqref="P1:BW175"/>
    </sheetView>
  </sheetViews>
  <sheetFormatPr defaultColWidth="10.81640625" defaultRowHeight="14.5" x14ac:dyDescent="0.35"/>
  <cols>
    <col min="1" max="1" width="34.453125" style="25" bestFit="1" customWidth="1"/>
    <col min="2" max="2" width="13" style="24" customWidth="1"/>
    <col min="3" max="4" width="10.81640625" style="25"/>
    <col min="5" max="5" width="21" style="25" bestFit="1" customWidth="1"/>
    <col min="6" max="6" width="7.81640625" style="25" customWidth="1"/>
    <col min="7" max="7" width="10.453125" style="25" customWidth="1"/>
    <col min="8" max="12" width="7.81640625" style="25" customWidth="1"/>
    <col min="13" max="13" width="10.81640625" style="25"/>
    <col min="14" max="15" width="15.1796875" style="56" customWidth="1"/>
    <col min="16" max="16" width="10.81640625" style="57"/>
    <col min="17" max="72" width="10.81640625" style="56"/>
    <col min="73" max="84" width="10.81640625" style="22"/>
    <col min="85" max="16384" width="10.81640625" style="25"/>
  </cols>
  <sheetData>
    <row r="1" spans="1:82" ht="26" x14ac:dyDescent="0.6">
      <c r="A1" s="85" t="s">
        <v>164</v>
      </c>
      <c r="F1" s="24"/>
    </row>
    <row r="2" spans="1:82" x14ac:dyDescent="0.35">
      <c r="O2" s="58"/>
    </row>
    <row r="3" spans="1:82" x14ac:dyDescent="0.35">
      <c r="A3" s="26" t="s">
        <v>165</v>
      </c>
      <c r="B3" s="27" t="s">
        <v>8</v>
      </c>
      <c r="E3" s="26" t="s">
        <v>166</v>
      </c>
      <c r="G3" s="100">
        <f>EXP(GAMMALN(1+1/A52))*B52</f>
        <v>16.022982812185862</v>
      </c>
      <c r="H3" s="25" t="s">
        <v>167</v>
      </c>
      <c r="K3" s="28"/>
      <c r="L3" s="29"/>
    </row>
    <row r="4" spans="1:82" x14ac:dyDescent="0.35">
      <c r="A4" s="30" t="str">
        <f>VLOOKUP(B3,$N$8:$O$61,2,FALSE)</f>
        <v>Dryers (wash dryers, centrifuges)</v>
      </c>
      <c r="K4" s="28"/>
      <c r="L4" s="29"/>
    </row>
    <row r="5" spans="1:82" ht="15.5" x14ac:dyDescent="0.35">
      <c r="A5" s="26"/>
      <c r="K5" s="28"/>
      <c r="L5" s="29"/>
      <c r="O5" s="59"/>
      <c r="Q5" s="56" t="s">
        <v>175</v>
      </c>
    </row>
    <row r="6" spans="1:82" x14ac:dyDescent="0.35">
      <c r="A6" s="26" t="s">
        <v>168</v>
      </c>
      <c r="B6" s="27">
        <v>1992</v>
      </c>
      <c r="D6" s="30"/>
      <c r="K6" s="28"/>
      <c r="L6" s="29"/>
      <c r="O6" s="60"/>
    </row>
    <row r="7" spans="1:82" x14ac:dyDescent="0.35">
      <c r="A7" s="26"/>
      <c r="B7" s="25"/>
      <c r="K7" s="28"/>
      <c r="L7" s="29"/>
      <c r="O7" s="60"/>
      <c r="P7" s="57" t="str">
        <f>Shape!A5</f>
        <v>UNU</v>
      </c>
      <c r="Q7" s="57">
        <f>Shape!B5</f>
        <v>0</v>
      </c>
      <c r="R7" s="57">
        <f>Shape!C5</f>
        <v>0</v>
      </c>
      <c r="S7" s="57">
        <f>Shape!D5</f>
        <v>0</v>
      </c>
      <c r="T7" s="57">
        <f>Shape!E5</f>
        <v>0</v>
      </c>
      <c r="U7" s="57">
        <f>Shape!F5</f>
        <v>0</v>
      </c>
      <c r="V7" s="57">
        <f>Shape!G5</f>
        <v>1980</v>
      </c>
      <c r="W7" s="57">
        <f>Shape!H5</f>
        <v>1981</v>
      </c>
      <c r="X7" s="57">
        <f>Shape!I5</f>
        <v>1982</v>
      </c>
      <c r="Y7" s="57">
        <f>Shape!J5</f>
        <v>1983</v>
      </c>
      <c r="Z7" s="57">
        <f>Shape!K5</f>
        <v>1984</v>
      </c>
      <c r="AA7" s="57">
        <f>Shape!L5</f>
        <v>1985</v>
      </c>
      <c r="AB7" s="57">
        <f>Shape!M5</f>
        <v>1986</v>
      </c>
      <c r="AC7" s="57">
        <f>Shape!N5</f>
        <v>1987</v>
      </c>
      <c r="AD7" s="57">
        <f>Shape!O5</f>
        <v>1988</v>
      </c>
      <c r="AE7" s="57">
        <f>Shape!P5</f>
        <v>1989</v>
      </c>
      <c r="AF7" s="57">
        <f>Shape!Q5</f>
        <v>1990</v>
      </c>
      <c r="AG7" s="57">
        <f>Shape!R5</f>
        <v>1991</v>
      </c>
      <c r="AH7" s="57">
        <f>Shape!S5</f>
        <v>1992</v>
      </c>
      <c r="AI7" s="57">
        <f>Shape!T5</f>
        <v>1993</v>
      </c>
      <c r="AJ7" s="57">
        <f>Shape!U5</f>
        <v>1994</v>
      </c>
      <c r="AK7" s="57">
        <f>Shape!V5</f>
        <v>1995</v>
      </c>
      <c r="AL7" s="57">
        <f>Shape!W5</f>
        <v>1996</v>
      </c>
      <c r="AM7" s="57">
        <f>Shape!X5</f>
        <v>1997</v>
      </c>
      <c r="AN7" s="57">
        <f>Shape!Y5</f>
        <v>1998</v>
      </c>
      <c r="AO7" s="57">
        <f>Shape!Z5</f>
        <v>1999</v>
      </c>
      <c r="AP7" s="57">
        <f>Shape!AA5</f>
        <v>2000</v>
      </c>
      <c r="AQ7" s="57">
        <f>Shape!AB5</f>
        <v>2001</v>
      </c>
      <c r="AR7" s="57">
        <f>Shape!AC5</f>
        <v>2002</v>
      </c>
      <c r="AS7" s="57">
        <f>Shape!AD5</f>
        <v>2003</v>
      </c>
      <c r="AT7" s="57">
        <f>Shape!AE5</f>
        <v>2004</v>
      </c>
      <c r="AU7" s="57">
        <f>Shape!AF5</f>
        <v>2005</v>
      </c>
      <c r="AV7" s="57">
        <f>Shape!AG5</f>
        <v>2006</v>
      </c>
      <c r="AW7" s="57">
        <f>Shape!AH5</f>
        <v>2007</v>
      </c>
      <c r="AX7" s="57">
        <f>Shape!AI5</f>
        <v>2008</v>
      </c>
      <c r="AY7" s="57">
        <f>Shape!AJ5</f>
        <v>2009</v>
      </c>
      <c r="AZ7" s="57">
        <f>Shape!AK5</f>
        <v>2010</v>
      </c>
      <c r="BA7" s="57">
        <f>Shape!AL5</f>
        <v>2011</v>
      </c>
      <c r="BB7" s="57">
        <f>Shape!AM5</f>
        <v>2012</v>
      </c>
      <c r="BC7" s="57">
        <f>Shape!AN5</f>
        <v>2013</v>
      </c>
      <c r="BD7" s="57">
        <f>Shape!AO5</f>
        <v>2014</v>
      </c>
      <c r="BE7" s="57">
        <f>Shape!AP5</f>
        <v>2015</v>
      </c>
      <c r="BF7" s="57">
        <f>Shape!AQ5</f>
        <v>2016</v>
      </c>
      <c r="BG7" s="57">
        <f>Shape!AR5</f>
        <v>2017</v>
      </c>
      <c r="BH7" s="57">
        <f>Shape!AS5</f>
        <v>2018</v>
      </c>
      <c r="BI7" s="57">
        <f>Shape!AT5</f>
        <v>2019</v>
      </c>
      <c r="BJ7" s="57">
        <f>Shape!AU5</f>
        <v>2020</v>
      </c>
      <c r="BK7" s="57">
        <f>Shape!AV5</f>
        <v>2021</v>
      </c>
      <c r="BL7" s="57">
        <f>Shape!AW5</f>
        <v>2022</v>
      </c>
      <c r="BM7" s="57">
        <f>Shape!AX5</f>
        <v>2023</v>
      </c>
      <c r="BN7" s="57">
        <f>Shape!AY5</f>
        <v>2024</v>
      </c>
      <c r="BO7" s="57">
        <f>Shape!AZ5</f>
        <v>2025</v>
      </c>
      <c r="BP7" s="57">
        <f>Shape!BA5</f>
        <v>2026</v>
      </c>
      <c r="BQ7" s="57">
        <f>Shape!BB5</f>
        <v>2027</v>
      </c>
      <c r="BR7" s="57">
        <f>Shape!BC5</f>
        <v>2028</v>
      </c>
      <c r="BS7" s="57">
        <f>Shape!BD5</f>
        <v>2029</v>
      </c>
      <c r="BT7" s="57">
        <f>Shape!BE5</f>
        <v>2030</v>
      </c>
      <c r="BU7" s="54"/>
      <c r="BV7" s="54"/>
      <c r="BW7" s="54"/>
      <c r="BX7" s="54"/>
      <c r="BY7" s="54"/>
      <c r="BZ7" s="54"/>
      <c r="CA7" s="54"/>
      <c r="CB7" s="54"/>
      <c r="CC7" s="54"/>
    </row>
    <row r="8" spans="1:82" x14ac:dyDescent="0.35">
      <c r="B8" s="25"/>
      <c r="K8" s="28"/>
      <c r="L8" s="29"/>
      <c r="N8" s="56" t="s">
        <v>2</v>
      </c>
      <c r="O8" s="60" t="s">
        <v>93</v>
      </c>
      <c r="P8" s="57" t="str">
        <f>Shape!A6</f>
        <v>0001</v>
      </c>
      <c r="Q8" s="57">
        <f>Shape!B6</f>
        <v>0</v>
      </c>
      <c r="R8" s="57">
        <f>Shape!C6</f>
        <v>0</v>
      </c>
      <c r="S8" s="57">
        <f>Shape!D6</f>
        <v>0</v>
      </c>
      <c r="T8" s="57">
        <f>Shape!E6</f>
        <v>0</v>
      </c>
      <c r="U8" s="57">
        <f>Shape!F6</f>
        <v>0</v>
      </c>
      <c r="V8" s="57">
        <f>Shape!G6</f>
        <v>2</v>
      </c>
      <c r="W8" s="57">
        <f>Shape!H6</f>
        <v>2</v>
      </c>
      <c r="X8" s="57">
        <f>Shape!I6</f>
        <v>2</v>
      </c>
      <c r="Y8" s="57">
        <f>Shape!J6</f>
        <v>2</v>
      </c>
      <c r="Z8" s="57">
        <f>Shape!K6</f>
        <v>2</v>
      </c>
      <c r="AA8" s="57">
        <f>Shape!L6</f>
        <v>2</v>
      </c>
      <c r="AB8" s="57">
        <f>Shape!M6</f>
        <v>2</v>
      </c>
      <c r="AC8" s="57">
        <f>Shape!N6</f>
        <v>2</v>
      </c>
      <c r="AD8" s="57">
        <f>Shape!O6</f>
        <v>2</v>
      </c>
      <c r="AE8" s="57">
        <f>Shape!P6</f>
        <v>2</v>
      </c>
      <c r="AF8" s="57">
        <f>Shape!Q6</f>
        <v>2</v>
      </c>
      <c r="AG8" s="57">
        <f>Shape!R6</f>
        <v>2</v>
      </c>
      <c r="AH8" s="57">
        <f>Shape!S6</f>
        <v>2</v>
      </c>
      <c r="AI8" s="57">
        <f>Shape!T6</f>
        <v>2</v>
      </c>
      <c r="AJ8" s="57">
        <f>Shape!U6</f>
        <v>2</v>
      </c>
      <c r="AK8" s="57">
        <f>Shape!V6</f>
        <v>2</v>
      </c>
      <c r="AL8" s="57">
        <f>Shape!W6</f>
        <v>2</v>
      </c>
      <c r="AM8" s="57">
        <f>Shape!X6</f>
        <v>2</v>
      </c>
      <c r="AN8" s="57">
        <f>Shape!Y6</f>
        <v>2</v>
      </c>
      <c r="AO8" s="57">
        <f>Shape!Z6</f>
        <v>2</v>
      </c>
      <c r="AP8" s="57">
        <f>Shape!AA6</f>
        <v>2</v>
      </c>
      <c r="AQ8" s="57">
        <f>Shape!AB6</f>
        <v>2</v>
      </c>
      <c r="AR8" s="57">
        <f>Shape!AC6</f>
        <v>2</v>
      </c>
      <c r="AS8" s="57">
        <f>Shape!AD6</f>
        <v>2</v>
      </c>
      <c r="AT8" s="57">
        <f>Shape!AE6</f>
        <v>2</v>
      </c>
      <c r="AU8" s="57">
        <f>Shape!AF6</f>
        <v>2</v>
      </c>
      <c r="AV8" s="57">
        <f>Shape!AG6</f>
        <v>2</v>
      </c>
      <c r="AW8" s="57">
        <f>Shape!AH6</f>
        <v>2</v>
      </c>
      <c r="AX8" s="57">
        <f>Shape!AI6</f>
        <v>2</v>
      </c>
      <c r="AY8" s="57">
        <f>Shape!AJ6</f>
        <v>2</v>
      </c>
      <c r="AZ8" s="57">
        <f>Shape!AK6</f>
        <v>2</v>
      </c>
      <c r="BA8" s="57">
        <f>Shape!AL6</f>
        <v>2</v>
      </c>
      <c r="BB8" s="57">
        <f>Shape!AM6</f>
        <v>2</v>
      </c>
      <c r="BC8" s="57">
        <f>Shape!AN6</f>
        <v>2</v>
      </c>
      <c r="BD8" s="57">
        <f>Shape!AO6</f>
        <v>2</v>
      </c>
      <c r="BE8" s="57">
        <f>Shape!AP6</f>
        <v>2</v>
      </c>
      <c r="BF8" s="57">
        <f>Shape!AQ6</f>
        <v>2</v>
      </c>
      <c r="BG8" s="57">
        <f>Shape!AR6</f>
        <v>2</v>
      </c>
      <c r="BH8" s="57">
        <f>Shape!AS6</f>
        <v>2</v>
      </c>
      <c r="BI8" s="57">
        <f>Shape!AT6</f>
        <v>2</v>
      </c>
      <c r="BJ8" s="57">
        <f>Shape!AU6</f>
        <v>2</v>
      </c>
      <c r="BK8" s="57">
        <f>Shape!AV6</f>
        <v>2</v>
      </c>
      <c r="BL8" s="57">
        <f>Shape!AW6</f>
        <v>2</v>
      </c>
      <c r="BM8" s="57">
        <f>Shape!AX6</f>
        <v>2</v>
      </c>
      <c r="BN8" s="57">
        <f>Shape!AY6</f>
        <v>2</v>
      </c>
      <c r="BO8" s="57">
        <f>Shape!AZ6</f>
        <v>2</v>
      </c>
      <c r="BP8" s="57">
        <f>Shape!BA6</f>
        <v>2</v>
      </c>
      <c r="BQ8" s="57">
        <f>Shape!BB6</f>
        <v>2</v>
      </c>
      <c r="BR8" s="57">
        <f>Shape!BC6</f>
        <v>2</v>
      </c>
      <c r="BS8" s="57">
        <f>Shape!BD6</f>
        <v>2</v>
      </c>
      <c r="BT8" s="57">
        <f>Shape!BE6</f>
        <v>2</v>
      </c>
      <c r="BU8" s="54"/>
      <c r="BV8" s="54"/>
      <c r="BW8" s="54"/>
      <c r="BX8" s="54"/>
      <c r="BY8" s="54"/>
      <c r="BZ8" s="54"/>
      <c r="CA8" s="54"/>
      <c r="CB8" s="54"/>
      <c r="CC8" s="54"/>
      <c r="CD8" s="54"/>
    </row>
    <row r="9" spans="1:82" x14ac:dyDescent="0.35">
      <c r="B9" s="25"/>
      <c r="K9" s="28"/>
      <c r="L9" s="29"/>
      <c r="N9" s="56" t="s">
        <v>3</v>
      </c>
      <c r="O9" s="60" t="s">
        <v>131</v>
      </c>
      <c r="P9" s="57" t="str">
        <f>Shape!A7</f>
        <v>0002</v>
      </c>
      <c r="Q9" s="57">
        <f>Shape!B7</f>
        <v>0</v>
      </c>
      <c r="R9" s="57">
        <f>Shape!C7</f>
        <v>0</v>
      </c>
      <c r="S9" s="57">
        <f>Shape!D7</f>
        <v>0</v>
      </c>
      <c r="T9" s="57">
        <f>Shape!E7</f>
        <v>0</v>
      </c>
      <c r="U9" s="57">
        <f>Shape!F7</f>
        <v>0</v>
      </c>
      <c r="V9" s="57">
        <f>Shape!G7</f>
        <v>2</v>
      </c>
      <c r="W9" s="57">
        <f>Shape!H7</f>
        <v>2</v>
      </c>
      <c r="X9" s="57">
        <f>Shape!I7</f>
        <v>2</v>
      </c>
      <c r="Y9" s="57">
        <f>Shape!J7</f>
        <v>2</v>
      </c>
      <c r="Z9" s="57">
        <f>Shape!K7</f>
        <v>2</v>
      </c>
      <c r="AA9" s="57">
        <f>Shape!L7</f>
        <v>2</v>
      </c>
      <c r="AB9" s="57">
        <f>Shape!M7</f>
        <v>2</v>
      </c>
      <c r="AC9" s="57">
        <f>Shape!N7</f>
        <v>2</v>
      </c>
      <c r="AD9" s="57">
        <f>Shape!O7</f>
        <v>2</v>
      </c>
      <c r="AE9" s="57">
        <f>Shape!P7</f>
        <v>2</v>
      </c>
      <c r="AF9" s="57">
        <f>Shape!Q7</f>
        <v>2</v>
      </c>
      <c r="AG9" s="57">
        <f>Shape!R7</f>
        <v>2</v>
      </c>
      <c r="AH9" s="57">
        <f>Shape!S7</f>
        <v>2</v>
      </c>
      <c r="AI9" s="57">
        <f>Shape!T7</f>
        <v>2</v>
      </c>
      <c r="AJ9" s="57">
        <f>Shape!U7</f>
        <v>2</v>
      </c>
      <c r="AK9" s="57">
        <f>Shape!V7</f>
        <v>2</v>
      </c>
      <c r="AL9" s="57">
        <f>Shape!W7</f>
        <v>2</v>
      </c>
      <c r="AM9" s="57">
        <f>Shape!X7</f>
        <v>2</v>
      </c>
      <c r="AN9" s="57">
        <f>Shape!Y7</f>
        <v>2</v>
      </c>
      <c r="AO9" s="57">
        <f>Shape!Z7</f>
        <v>2</v>
      </c>
      <c r="AP9" s="57">
        <f>Shape!AA7</f>
        <v>2</v>
      </c>
      <c r="AQ9" s="57">
        <f>Shape!AB7</f>
        <v>2</v>
      </c>
      <c r="AR9" s="57">
        <f>Shape!AC7</f>
        <v>2</v>
      </c>
      <c r="AS9" s="57">
        <f>Shape!AD7</f>
        <v>2</v>
      </c>
      <c r="AT9" s="57">
        <f>Shape!AE7</f>
        <v>2</v>
      </c>
      <c r="AU9" s="57">
        <f>Shape!AF7</f>
        <v>2</v>
      </c>
      <c r="AV9" s="57">
        <f>Shape!AG7</f>
        <v>2</v>
      </c>
      <c r="AW9" s="57">
        <f>Shape!AH7</f>
        <v>2</v>
      </c>
      <c r="AX9" s="57">
        <f>Shape!AI7</f>
        <v>2</v>
      </c>
      <c r="AY9" s="57">
        <f>Shape!AJ7</f>
        <v>2</v>
      </c>
      <c r="AZ9" s="57">
        <f>Shape!AK7</f>
        <v>2</v>
      </c>
      <c r="BA9" s="57">
        <f>Shape!AL7</f>
        <v>2</v>
      </c>
      <c r="BB9" s="57">
        <f>Shape!AM7</f>
        <v>2</v>
      </c>
      <c r="BC9" s="57">
        <f>Shape!AN7</f>
        <v>2</v>
      </c>
      <c r="BD9" s="57">
        <f>Shape!AO7</f>
        <v>2</v>
      </c>
      <c r="BE9" s="57">
        <f>Shape!AP7</f>
        <v>2</v>
      </c>
      <c r="BF9" s="57">
        <f>Shape!AQ7</f>
        <v>2</v>
      </c>
      <c r="BG9" s="57">
        <f>Shape!AR7</f>
        <v>2</v>
      </c>
      <c r="BH9" s="57">
        <f>Shape!AS7</f>
        <v>2</v>
      </c>
      <c r="BI9" s="57">
        <f>Shape!AT7</f>
        <v>2</v>
      </c>
      <c r="BJ9" s="57">
        <f>Shape!AU7</f>
        <v>2</v>
      </c>
      <c r="BK9" s="57">
        <f>Shape!AV7</f>
        <v>2</v>
      </c>
      <c r="BL9" s="57">
        <f>Shape!AW7</f>
        <v>2</v>
      </c>
      <c r="BM9" s="57">
        <f>Shape!AX7</f>
        <v>2</v>
      </c>
      <c r="BN9" s="57">
        <f>Shape!AY7</f>
        <v>2</v>
      </c>
      <c r="BO9" s="57">
        <f>Shape!AZ7</f>
        <v>2</v>
      </c>
      <c r="BP9" s="57">
        <f>Shape!BA7</f>
        <v>2</v>
      </c>
      <c r="BQ9" s="57">
        <f>Shape!BB7</f>
        <v>2</v>
      </c>
      <c r="BR9" s="57">
        <f>Shape!BC7</f>
        <v>2</v>
      </c>
      <c r="BS9" s="57">
        <f>Shape!BD7</f>
        <v>2</v>
      </c>
      <c r="BT9" s="57">
        <f>Shape!BE7</f>
        <v>2</v>
      </c>
      <c r="BU9" s="54"/>
      <c r="BV9" s="54"/>
      <c r="BW9" s="54"/>
      <c r="BX9" s="54"/>
      <c r="BY9" s="54"/>
      <c r="BZ9" s="54"/>
      <c r="CA9" s="54"/>
      <c r="CB9" s="54"/>
      <c r="CC9" s="54"/>
      <c r="CD9" s="54"/>
    </row>
    <row r="10" spans="1:82" x14ac:dyDescent="0.35">
      <c r="B10" s="31"/>
      <c r="K10" s="28"/>
      <c r="L10" s="29"/>
      <c r="N10" s="56" t="s">
        <v>4</v>
      </c>
      <c r="O10" s="60" t="s">
        <v>94</v>
      </c>
      <c r="P10" s="57" t="str">
        <f>Shape!A8</f>
        <v>0101</v>
      </c>
      <c r="Q10" s="57">
        <f>Shape!B8</f>
        <v>0</v>
      </c>
      <c r="R10" s="57">
        <f>Shape!C8</f>
        <v>0</v>
      </c>
      <c r="S10" s="57">
        <f>Shape!D8</f>
        <v>0</v>
      </c>
      <c r="T10" s="57">
        <f>Shape!E8</f>
        <v>0</v>
      </c>
      <c r="U10" s="57">
        <f>Shape!F8</f>
        <v>0</v>
      </c>
      <c r="V10" s="57">
        <f>Shape!G8</f>
        <v>1</v>
      </c>
      <c r="W10" s="57">
        <f>Shape!H8</f>
        <v>1</v>
      </c>
      <c r="X10" s="57">
        <f>Shape!I8</f>
        <v>1</v>
      </c>
      <c r="Y10" s="57">
        <f>Shape!J8</f>
        <v>1</v>
      </c>
      <c r="Z10" s="57">
        <f>Shape!K8</f>
        <v>1</v>
      </c>
      <c r="AA10" s="57">
        <f>Shape!L8</f>
        <v>1</v>
      </c>
      <c r="AB10" s="57">
        <f>Shape!M8</f>
        <v>1</v>
      </c>
      <c r="AC10" s="57">
        <f>Shape!N8</f>
        <v>1</v>
      </c>
      <c r="AD10" s="57">
        <f>Shape!O8</f>
        <v>1</v>
      </c>
      <c r="AE10" s="57">
        <f>Shape!P8</f>
        <v>1</v>
      </c>
      <c r="AF10" s="57">
        <f>Shape!Q8</f>
        <v>1</v>
      </c>
      <c r="AG10" s="57">
        <f>Shape!R8</f>
        <v>1</v>
      </c>
      <c r="AH10" s="57">
        <f>Shape!S8</f>
        <v>1</v>
      </c>
      <c r="AI10" s="57">
        <f>Shape!T8</f>
        <v>1</v>
      </c>
      <c r="AJ10" s="57">
        <f>Shape!U8</f>
        <v>1</v>
      </c>
      <c r="AK10" s="57">
        <f>Shape!V8</f>
        <v>1</v>
      </c>
      <c r="AL10" s="57">
        <f>Shape!W8</f>
        <v>1</v>
      </c>
      <c r="AM10" s="57">
        <f>Shape!X8</f>
        <v>1</v>
      </c>
      <c r="AN10" s="57">
        <f>Shape!Y8</f>
        <v>1</v>
      </c>
      <c r="AO10" s="57">
        <f>Shape!Z8</f>
        <v>1</v>
      </c>
      <c r="AP10" s="57">
        <f>Shape!AA8</f>
        <v>1</v>
      </c>
      <c r="AQ10" s="57">
        <f>Shape!AB8</f>
        <v>1</v>
      </c>
      <c r="AR10" s="57">
        <f>Shape!AC8</f>
        <v>1</v>
      </c>
      <c r="AS10" s="57">
        <f>Shape!AD8</f>
        <v>1</v>
      </c>
      <c r="AT10" s="57">
        <f>Shape!AE8</f>
        <v>1</v>
      </c>
      <c r="AU10" s="57">
        <f>Shape!AF8</f>
        <v>1</v>
      </c>
      <c r="AV10" s="57">
        <f>Shape!AG8</f>
        <v>1</v>
      </c>
      <c r="AW10" s="57">
        <f>Shape!AH8</f>
        <v>1</v>
      </c>
      <c r="AX10" s="57">
        <f>Shape!AI8</f>
        <v>1</v>
      </c>
      <c r="AY10" s="57">
        <f>Shape!AJ8</f>
        <v>1</v>
      </c>
      <c r="AZ10" s="57">
        <f>Shape!AK8</f>
        <v>1</v>
      </c>
      <c r="BA10" s="57">
        <f>Shape!AL8</f>
        <v>1</v>
      </c>
      <c r="BB10" s="57">
        <f>Shape!AM8</f>
        <v>1</v>
      </c>
      <c r="BC10" s="57">
        <f>Shape!AN8</f>
        <v>1</v>
      </c>
      <c r="BD10" s="57">
        <f>Shape!AO8</f>
        <v>1</v>
      </c>
      <c r="BE10" s="57">
        <f>Shape!AP8</f>
        <v>1</v>
      </c>
      <c r="BF10" s="57">
        <f>Shape!AQ8</f>
        <v>1</v>
      </c>
      <c r="BG10" s="57">
        <f>Shape!AR8</f>
        <v>1</v>
      </c>
      <c r="BH10" s="57">
        <f>Shape!AS8</f>
        <v>1</v>
      </c>
      <c r="BI10" s="57">
        <f>Shape!AT8</f>
        <v>1</v>
      </c>
      <c r="BJ10" s="57">
        <f>Shape!AU8</f>
        <v>1</v>
      </c>
      <c r="BK10" s="57">
        <f>Shape!AV8</f>
        <v>1</v>
      </c>
      <c r="BL10" s="57">
        <f>Shape!AW8</f>
        <v>1</v>
      </c>
      <c r="BM10" s="57">
        <f>Shape!AX8</f>
        <v>1</v>
      </c>
      <c r="BN10" s="57">
        <f>Shape!AY8</f>
        <v>1</v>
      </c>
      <c r="BO10" s="57">
        <f>Shape!AZ8</f>
        <v>1</v>
      </c>
      <c r="BP10" s="57">
        <f>Shape!BA8</f>
        <v>1</v>
      </c>
      <c r="BQ10" s="57">
        <f>Shape!BB8</f>
        <v>1</v>
      </c>
      <c r="BR10" s="57">
        <f>Shape!BC8</f>
        <v>1</v>
      </c>
      <c r="BS10" s="57">
        <f>Shape!BD8</f>
        <v>1</v>
      </c>
      <c r="BT10" s="57">
        <f>Shape!BE8</f>
        <v>1</v>
      </c>
      <c r="BU10" s="54"/>
      <c r="BV10" s="54"/>
      <c r="BW10" s="54"/>
      <c r="BX10" s="54"/>
      <c r="BY10" s="54"/>
      <c r="BZ10" s="54"/>
      <c r="CA10" s="54"/>
      <c r="CB10" s="54"/>
      <c r="CC10" s="54"/>
      <c r="CD10" s="54"/>
    </row>
    <row r="11" spans="1:82" x14ac:dyDescent="0.35">
      <c r="B11" s="25"/>
      <c r="K11" s="28"/>
      <c r="L11" s="29"/>
      <c r="N11" s="56" t="s">
        <v>5</v>
      </c>
      <c r="O11" s="60" t="s">
        <v>95</v>
      </c>
      <c r="P11" s="57" t="str">
        <f>Shape!A9</f>
        <v>0102</v>
      </c>
      <c r="Q11" s="57">
        <f>Shape!B9</f>
        <v>0</v>
      </c>
      <c r="R11" s="57">
        <f>Shape!C9</f>
        <v>0</v>
      </c>
      <c r="S11" s="57">
        <f>Shape!D9</f>
        <v>0</v>
      </c>
      <c r="T11" s="57">
        <f>Shape!E9</f>
        <v>0</v>
      </c>
      <c r="U11" s="57">
        <f>Shape!F9</f>
        <v>0</v>
      </c>
      <c r="V11" s="57">
        <f>Shape!G9</f>
        <v>1</v>
      </c>
      <c r="W11" s="57">
        <f>Shape!H9</f>
        <v>1</v>
      </c>
      <c r="X11" s="57">
        <f>Shape!I9</f>
        <v>1</v>
      </c>
      <c r="Y11" s="57">
        <f>Shape!J9</f>
        <v>1</v>
      </c>
      <c r="Z11" s="57">
        <f>Shape!K9</f>
        <v>1</v>
      </c>
      <c r="AA11" s="57">
        <f>Shape!L9</f>
        <v>1</v>
      </c>
      <c r="AB11" s="57">
        <f>Shape!M9</f>
        <v>1</v>
      </c>
      <c r="AC11" s="57">
        <f>Shape!N9</f>
        <v>1</v>
      </c>
      <c r="AD11" s="57">
        <f>Shape!O9</f>
        <v>1</v>
      </c>
      <c r="AE11" s="57">
        <f>Shape!P9</f>
        <v>1</v>
      </c>
      <c r="AF11" s="57">
        <f>Shape!Q9</f>
        <v>1</v>
      </c>
      <c r="AG11" s="57">
        <f>Shape!R9</f>
        <v>1</v>
      </c>
      <c r="AH11" s="57">
        <f>Shape!S9</f>
        <v>1</v>
      </c>
      <c r="AI11" s="57">
        <f>Shape!T9</f>
        <v>1</v>
      </c>
      <c r="AJ11" s="57">
        <f>Shape!U9</f>
        <v>1</v>
      </c>
      <c r="AK11" s="57">
        <f>Shape!V9</f>
        <v>1</v>
      </c>
      <c r="AL11" s="57">
        <f>Shape!W9</f>
        <v>1</v>
      </c>
      <c r="AM11" s="57">
        <f>Shape!X9</f>
        <v>1</v>
      </c>
      <c r="AN11" s="57">
        <f>Shape!Y9</f>
        <v>1</v>
      </c>
      <c r="AO11" s="57">
        <f>Shape!Z9</f>
        <v>1</v>
      </c>
      <c r="AP11" s="57">
        <f>Shape!AA9</f>
        <v>1</v>
      </c>
      <c r="AQ11" s="57">
        <f>Shape!AB9</f>
        <v>1</v>
      </c>
      <c r="AR11" s="57">
        <f>Shape!AC9</f>
        <v>1</v>
      </c>
      <c r="AS11" s="57">
        <f>Shape!AD9</f>
        <v>1</v>
      </c>
      <c r="AT11" s="57">
        <f>Shape!AE9</f>
        <v>1</v>
      </c>
      <c r="AU11" s="57">
        <f>Shape!AF9</f>
        <v>1</v>
      </c>
      <c r="AV11" s="57">
        <f>Shape!AG9</f>
        <v>1</v>
      </c>
      <c r="AW11" s="57">
        <f>Shape!AH9</f>
        <v>1</v>
      </c>
      <c r="AX11" s="57">
        <f>Shape!AI9</f>
        <v>1</v>
      </c>
      <c r="AY11" s="57">
        <f>Shape!AJ9</f>
        <v>1</v>
      </c>
      <c r="AZ11" s="57">
        <f>Shape!AK9</f>
        <v>1</v>
      </c>
      <c r="BA11" s="57">
        <f>Shape!AL9</f>
        <v>1</v>
      </c>
      <c r="BB11" s="57">
        <f>Shape!AM9</f>
        <v>1</v>
      </c>
      <c r="BC11" s="57">
        <f>Shape!AN9</f>
        <v>1</v>
      </c>
      <c r="BD11" s="57">
        <f>Shape!AO9</f>
        <v>1</v>
      </c>
      <c r="BE11" s="57">
        <f>Shape!AP9</f>
        <v>1</v>
      </c>
      <c r="BF11" s="57">
        <f>Shape!AQ9</f>
        <v>1</v>
      </c>
      <c r="BG11" s="57">
        <f>Shape!AR9</f>
        <v>1</v>
      </c>
      <c r="BH11" s="57">
        <f>Shape!AS9</f>
        <v>1</v>
      </c>
      <c r="BI11" s="57">
        <f>Shape!AT9</f>
        <v>1</v>
      </c>
      <c r="BJ11" s="57">
        <f>Shape!AU9</f>
        <v>1</v>
      </c>
      <c r="BK11" s="57">
        <f>Shape!AV9</f>
        <v>1</v>
      </c>
      <c r="BL11" s="57">
        <f>Shape!AW9</f>
        <v>1</v>
      </c>
      <c r="BM11" s="57">
        <f>Shape!AX9</f>
        <v>1</v>
      </c>
      <c r="BN11" s="57">
        <f>Shape!AY9</f>
        <v>1</v>
      </c>
      <c r="BO11" s="57">
        <f>Shape!AZ9</f>
        <v>1</v>
      </c>
      <c r="BP11" s="57">
        <f>Shape!BA9</f>
        <v>1</v>
      </c>
      <c r="BQ11" s="57">
        <f>Shape!BB9</f>
        <v>1</v>
      </c>
      <c r="BR11" s="57">
        <f>Shape!BC9</f>
        <v>1</v>
      </c>
      <c r="BS11" s="57">
        <f>Shape!BD9</f>
        <v>1</v>
      </c>
      <c r="BT11" s="57">
        <f>Shape!BE9</f>
        <v>1</v>
      </c>
      <c r="BU11" s="54"/>
      <c r="BV11" s="54"/>
      <c r="BW11" s="54"/>
      <c r="BX11" s="54"/>
      <c r="BY11" s="54"/>
      <c r="BZ11" s="54"/>
      <c r="CA11" s="54"/>
      <c r="CB11" s="54"/>
      <c r="CC11" s="54"/>
      <c r="CD11" s="54"/>
    </row>
    <row r="12" spans="1:82" x14ac:dyDescent="0.35">
      <c r="B12" s="25"/>
      <c r="K12" s="28"/>
      <c r="L12" s="29"/>
      <c r="N12" s="56" t="s">
        <v>6</v>
      </c>
      <c r="O12" s="60" t="s">
        <v>133</v>
      </c>
      <c r="P12" s="57" t="str">
        <f>Shape!A10</f>
        <v>0103</v>
      </c>
      <c r="Q12" s="57">
        <f>Shape!B10</f>
        <v>0</v>
      </c>
      <c r="R12" s="57">
        <f>Shape!C10</f>
        <v>0</v>
      </c>
      <c r="S12" s="57">
        <f>Shape!D10</f>
        <v>0</v>
      </c>
      <c r="T12" s="57">
        <f>Shape!E10</f>
        <v>0</v>
      </c>
      <c r="U12" s="57">
        <f>Shape!F10</f>
        <v>0</v>
      </c>
      <c r="V12" s="57">
        <f>Shape!G10</f>
        <v>2</v>
      </c>
      <c r="W12" s="57">
        <f>Shape!H10</f>
        <v>2</v>
      </c>
      <c r="X12" s="57">
        <f>Shape!I10</f>
        <v>2</v>
      </c>
      <c r="Y12" s="57">
        <f>Shape!J10</f>
        <v>2</v>
      </c>
      <c r="Z12" s="57">
        <f>Shape!K10</f>
        <v>2</v>
      </c>
      <c r="AA12" s="57">
        <f>Shape!L10</f>
        <v>2</v>
      </c>
      <c r="AB12" s="57">
        <f>Shape!M10</f>
        <v>2</v>
      </c>
      <c r="AC12" s="57">
        <f>Shape!N10</f>
        <v>2</v>
      </c>
      <c r="AD12" s="57">
        <f>Shape!O10</f>
        <v>2</v>
      </c>
      <c r="AE12" s="57">
        <f>Shape!P10</f>
        <v>2</v>
      </c>
      <c r="AF12" s="57">
        <f>Shape!Q10</f>
        <v>2</v>
      </c>
      <c r="AG12" s="57">
        <f>Shape!R10</f>
        <v>2</v>
      </c>
      <c r="AH12" s="57">
        <f>Shape!S10</f>
        <v>2</v>
      </c>
      <c r="AI12" s="57">
        <f>Shape!T10</f>
        <v>2</v>
      </c>
      <c r="AJ12" s="57">
        <f>Shape!U10</f>
        <v>2</v>
      </c>
      <c r="AK12" s="57">
        <f>Shape!V10</f>
        <v>2</v>
      </c>
      <c r="AL12" s="57">
        <f>Shape!W10</f>
        <v>2</v>
      </c>
      <c r="AM12" s="57">
        <f>Shape!X10</f>
        <v>2</v>
      </c>
      <c r="AN12" s="57">
        <f>Shape!Y10</f>
        <v>2</v>
      </c>
      <c r="AO12" s="57">
        <f>Shape!Z10</f>
        <v>2</v>
      </c>
      <c r="AP12" s="57">
        <f>Shape!AA10</f>
        <v>2</v>
      </c>
      <c r="AQ12" s="57">
        <f>Shape!AB10</f>
        <v>2</v>
      </c>
      <c r="AR12" s="57">
        <f>Shape!AC10</f>
        <v>2</v>
      </c>
      <c r="AS12" s="57">
        <f>Shape!AD10</f>
        <v>2</v>
      </c>
      <c r="AT12" s="57">
        <f>Shape!AE10</f>
        <v>2</v>
      </c>
      <c r="AU12" s="57">
        <f>Shape!AF10</f>
        <v>2</v>
      </c>
      <c r="AV12" s="57">
        <f>Shape!AG10</f>
        <v>2</v>
      </c>
      <c r="AW12" s="57">
        <f>Shape!AH10</f>
        <v>2</v>
      </c>
      <c r="AX12" s="57">
        <f>Shape!AI10</f>
        <v>2</v>
      </c>
      <c r="AY12" s="57">
        <f>Shape!AJ10</f>
        <v>2</v>
      </c>
      <c r="AZ12" s="57">
        <f>Shape!AK10</f>
        <v>2</v>
      </c>
      <c r="BA12" s="57">
        <f>Shape!AL10</f>
        <v>2</v>
      </c>
      <c r="BB12" s="57">
        <f>Shape!AM10</f>
        <v>2</v>
      </c>
      <c r="BC12" s="57">
        <f>Shape!AN10</f>
        <v>2</v>
      </c>
      <c r="BD12" s="57">
        <f>Shape!AO10</f>
        <v>2</v>
      </c>
      <c r="BE12" s="57">
        <f>Shape!AP10</f>
        <v>2</v>
      </c>
      <c r="BF12" s="57">
        <f>Shape!AQ10</f>
        <v>2</v>
      </c>
      <c r="BG12" s="57">
        <f>Shape!AR10</f>
        <v>2</v>
      </c>
      <c r="BH12" s="57">
        <f>Shape!AS10</f>
        <v>2</v>
      </c>
      <c r="BI12" s="57">
        <f>Shape!AT10</f>
        <v>2</v>
      </c>
      <c r="BJ12" s="57">
        <f>Shape!AU10</f>
        <v>2</v>
      </c>
      <c r="BK12" s="57">
        <f>Shape!AV10</f>
        <v>2</v>
      </c>
      <c r="BL12" s="57">
        <f>Shape!AW10</f>
        <v>2</v>
      </c>
      <c r="BM12" s="57">
        <f>Shape!AX10</f>
        <v>2</v>
      </c>
      <c r="BN12" s="57">
        <f>Shape!AY10</f>
        <v>2</v>
      </c>
      <c r="BO12" s="57">
        <f>Shape!AZ10</f>
        <v>2</v>
      </c>
      <c r="BP12" s="57">
        <f>Shape!BA10</f>
        <v>2</v>
      </c>
      <c r="BQ12" s="57">
        <f>Shape!BB10</f>
        <v>2</v>
      </c>
      <c r="BR12" s="57">
        <f>Shape!BC10</f>
        <v>2</v>
      </c>
      <c r="BS12" s="57">
        <f>Shape!BD10</f>
        <v>2</v>
      </c>
      <c r="BT12" s="57">
        <f>Shape!BE10</f>
        <v>2</v>
      </c>
      <c r="BU12" s="54"/>
      <c r="BV12" s="54"/>
      <c r="BW12" s="54"/>
      <c r="BX12" s="54"/>
      <c r="BY12" s="54"/>
      <c r="BZ12" s="54"/>
      <c r="CA12" s="54"/>
      <c r="CB12" s="54"/>
      <c r="CC12" s="54"/>
      <c r="CD12" s="54"/>
    </row>
    <row r="13" spans="1:82" x14ac:dyDescent="0.35">
      <c r="B13" s="25"/>
      <c r="K13" s="28"/>
      <c r="L13" s="29"/>
      <c r="N13" s="56" t="s">
        <v>7</v>
      </c>
      <c r="O13" s="60" t="s">
        <v>96</v>
      </c>
      <c r="P13" s="57" t="str">
        <f>Shape!A11</f>
        <v>0104</v>
      </c>
      <c r="Q13" s="57">
        <f>Shape!B11</f>
        <v>0</v>
      </c>
      <c r="R13" s="57">
        <f>Shape!C11</f>
        <v>0</v>
      </c>
      <c r="S13" s="57">
        <f>Shape!D11</f>
        <v>0</v>
      </c>
      <c r="T13" s="57">
        <f>Shape!E11</f>
        <v>0</v>
      </c>
      <c r="U13" s="57">
        <f>Shape!F11</f>
        <v>0</v>
      </c>
      <c r="V13" s="57">
        <f>Shape!G11</f>
        <v>1</v>
      </c>
      <c r="W13" s="57">
        <f>Shape!H11</f>
        <v>1</v>
      </c>
      <c r="X13" s="57">
        <f>Shape!I11</f>
        <v>1</v>
      </c>
      <c r="Y13" s="57">
        <f>Shape!J11</f>
        <v>1</v>
      </c>
      <c r="Z13" s="57">
        <f>Shape!K11</f>
        <v>1</v>
      </c>
      <c r="AA13" s="57">
        <f>Shape!L11</f>
        <v>1</v>
      </c>
      <c r="AB13" s="57">
        <f>Shape!M11</f>
        <v>1</v>
      </c>
      <c r="AC13" s="57">
        <f>Shape!N11</f>
        <v>1</v>
      </c>
      <c r="AD13" s="57">
        <f>Shape!O11</f>
        <v>1</v>
      </c>
      <c r="AE13" s="57">
        <f>Shape!P11</f>
        <v>1</v>
      </c>
      <c r="AF13" s="57">
        <f>Shape!Q11</f>
        <v>1</v>
      </c>
      <c r="AG13" s="57">
        <f>Shape!R11</f>
        <v>1</v>
      </c>
      <c r="AH13" s="57">
        <f>Shape!S11</f>
        <v>1</v>
      </c>
      <c r="AI13" s="57">
        <f>Shape!T11</f>
        <v>1</v>
      </c>
      <c r="AJ13" s="57">
        <f>Shape!U11</f>
        <v>1</v>
      </c>
      <c r="AK13" s="57">
        <f>Shape!V11</f>
        <v>1</v>
      </c>
      <c r="AL13" s="57">
        <f>Shape!W11</f>
        <v>1</v>
      </c>
      <c r="AM13" s="57">
        <f>Shape!X11</f>
        <v>1</v>
      </c>
      <c r="AN13" s="57">
        <f>Shape!Y11</f>
        <v>1</v>
      </c>
      <c r="AO13" s="57">
        <f>Shape!Z11</f>
        <v>1</v>
      </c>
      <c r="AP13" s="57">
        <f>Shape!AA11</f>
        <v>1</v>
      </c>
      <c r="AQ13" s="57">
        <f>Shape!AB11</f>
        <v>1</v>
      </c>
      <c r="AR13" s="57">
        <f>Shape!AC11</f>
        <v>1</v>
      </c>
      <c r="AS13" s="57">
        <f>Shape!AD11</f>
        <v>1</v>
      </c>
      <c r="AT13" s="57">
        <f>Shape!AE11</f>
        <v>1</v>
      </c>
      <c r="AU13" s="57">
        <f>Shape!AF11</f>
        <v>1</v>
      </c>
      <c r="AV13" s="57">
        <f>Shape!AG11</f>
        <v>1</v>
      </c>
      <c r="AW13" s="57">
        <f>Shape!AH11</f>
        <v>1</v>
      </c>
      <c r="AX13" s="57">
        <f>Shape!AI11</f>
        <v>1</v>
      </c>
      <c r="AY13" s="57">
        <f>Shape!AJ11</f>
        <v>1</v>
      </c>
      <c r="AZ13" s="57">
        <f>Shape!AK11</f>
        <v>1</v>
      </c>
      <c r="BA13" s="57">
        <f>Shape!AL11</f>
        <v>1</v>
      </c>
      <c r="BB13" s="57">
        <f>Shape!AM11</f>
        <v>1</v>
      </c>
      <c r="BC13" s="57">
        <f>Shape!AN11</f>
        <v>1</v>
      </c>
      <c r="BD13" s="57">
        <f>Shape!AO11</f>
        <v>1</v>
      </c>
      <c r="BE13" s="57">
        <f>Shape!AP11</f>
        <v>1</v>
      </c>
      <c r="BF13" s="57">
        <f>Shape!AQ11</f>
        <v>1</v>
      </c>
      <c r="BG13" s="57">
        <f>Shape!AR11</f>
        <v>1</v>
      </c>
      <c r="BH13" s="57">
        <f>Shape!AS11</f>
        <v>1</v>
      </c>
      <c r="BI13" s="57">
        <f>Shape!AT11</f>
        <v>1</v>
      </c>
      <c r="BJ13" s="57">
        <f>Shape!AU11</f>
        <v>1</v>
      </c>
      <c r="BK13" s="57">
        <f>Shape!AV11</f>
        <v>1</v>
      </c>
      <c r="BL13" s="57">
        <f>Shape!AW11</f>
        <v>1</v>
      </c>
      <c r="BM13" s="57">
        <f>Shape!AX11</f>
        <v>1</v>
      </c>
      <c r="BN13" s="57">
        <f>Shape!AY11</f>
        <v>1</v>
      </c>
      <c r="BO13" s="57">
        <f>Shape!AZ11</f>
        <v>1</v>
      </c>
      <c r="BP13" s="57">
        <f>Shape!BA11</f>
        <v>1</v>
      </c>
      <c r="BQ13" s="57">
        <f>Shape!BB11</f>
        <v>1</v>
      </c>
      <c r="BR13" s="57">
        <f>Shape!BC11</f>
        <v>1</v>
      </c>
      <c r="BS13" s="57">
        <f>Shape!BD11</f>
        <v>1</v>
      </c>
      <c r="BT13" s="57">
        <f>Shape!BE11</f>
        <v>1</v>
      </c>
      <c r="BU13" s="54"/>
      <c r="BV13" s="54"/>
      <c r="BW13" s="54"/>
      <c r="BX13" s="54"/>
      <c r="BY13" s="54"/>
      <c r="BZ13" s="54"/>
      <c r="CA13" s="54"/>
      <c r="CB13" s="54"/>
      <c r="CC13" s="54"/>
      <c r="CD13" s="54"/>
    </row>
    <row r="14" spans="1:82" x14ac:dyDescent="0.35">
      <c r="B14" s="25"/>
      <c r="K14" s="28"/>
      <c r="L14" s="29"/>
      <c r="N14" s="56" t="s">
        <v>8</v>
      </c>
      <c r="O14" s="60" t="s">
        <v>97</v>
      </c>
      <c r="P14" s="57" t="str">
        <f>Shape!A12</f>
        <v>0105</v>
      </c>
      <c r="Q14" s="57">
        <f>Shape!B12</f>
        <v>0</v>
      </c>
      <c r="R14" s="57">
        <f>Shape!C12</f>
        <v>0</v>
      </c>
      <c r="S14" s="57">
        <f>Shape!D12</f>
        <v>0</v>
      </c>
      <c r="T14" s="57">
        <f>Shape!E12</f>
        <v>0</v>
      </c>
      <c r="U14" s="57">
        <f>Shape!F12</f>
        <v>0</v>
      </c>
      <c r="V14" s="57">
        <f>Shape!G12</f>
        <v>2</v>
      </c>
      <c r="W14" s="57">
        <f>Shape!H12</f>
        <v>2</v>
      </c>
      <c r="X14" s="57">
        <f>Shape!I12</f>
        <v>2</v>
      </c>
      <c r="Y14" s="57">
        <f>Shape!J12</f>
        <v>2</v>
      </c>
      <c r="Z14" s="57">
        <f>Shape!K12</f>
        <v>2</v>
      </c>
      <c r="AA14" s="57">
        <f>Shape!L12</f>
        <v>2</v>
      </c>
      <c r="AB14" s="57">
        <f>Shape!M12</f>
        <v>2</v>
      </c>
      <c r="AC14" s="57">
        <f>Shape!N12</f>
        <v>2</v>
      </c>
      <c r="AD14" s="57">
        <f>Shape!O12</f>
        <v>2</v>
      </c>
      <c r="AE14" s="57">
        <f>Shape!P12</f>
        <v>2</v>
      </c>
      <c r="AF14" s="57">
        <f>Shape!Q12</f>
        <v>2</v>
      </c>
      <c r="AG14" s="57">
        <f>Shape!R12</f>
        <v>2</v>
      </c>
      <c r="AH14" s="57">
        <f>Shape!S12</f>
        <v>2</v>
      </c>
      <c r="AI14" s="57">
        <f>Shape!T12</f>
        <v>2</v>
      </c>
      <c r="AJ14" s="57">
        <f>Shape!U12</f>
        <v>2</v>
      </c>
      <c r="AK14" s="57">
        <f>Shape!V12</f>
        <v>2</v>
      </c>
      <c r="AL14" s="57">
        <f>Shape!W12</f>
        <v>2</v>
      </c>
      <c r="AM14" s="57">
        <f>Shape!X12</f>
        <v>2</v>
      </c>
      <c r="AN14" s="57">
        <f>Shape!Y12</f>
        <v>2</v>
      </c>
      <c r="AO14" s="57">
        <f>Shape!Z12</f>
        <v>2</v>
      </c>
      <c r="AP14" s="57">
        <f>Shape!AA12</f>
        <v>2</v>
      </c>
      <c r="AQ14" s="57">
        <f>Shape!AB12</f>
        <v>2</v>
      </c>
      <c r="AR14" s="57">
        <f>Shape!AC12</f>
        <v>2</v>
      </c>
      <c r="AS14" s="57">
        <f>Shape!AD12</f>
        <v>2</v>
      </c>
      <c r="AT14" s="57">
        <f>Shape!AE12</f>
        <v>2</v>
      </c>
      <c r="AU14" s="57">
        <f>Shape!AF12</f>
        <v>2</v>
      </c>
      <c r="AV14" s="57">
        <f>Shape!AG12</f>
        <v>2</v>
      </c>
      <c r="AW14" s="57">
        <f>Shape!AH12</f>
        <v>2</v>
      </c>
      <c r="AX14" s="57">
        <f>Shape!AI12</f>
        <v>2</v>
      </c>
      <c r="AY14" s="57">
        <f>Shape!AJ12</f>
        <v>2</v>
      </c>
      <c r="AZ14" s="57">
        <f>Shape!AK12</f>
        <v>2</v>
      </c>
      <c r="BA14" s="57">
        <f>Shape!AL12</f>
        <v>2</v>
      </c>
      <c r="BB14" s="57">
        <f>Shape!AM12</f>
        <v>2</v>
      </c>
      <c r="BC14" s="57">
        <f>Shape!AN12</f>
        <v>2</v>
      </c>
      <c r="BD14" s="57">
        <f>Shape!AO12</f>
        <v>2</v>
      </c>
      <c r="BE14" s="57">
        <f>Shape!AP12</f>
        <v>2</v>
      </c>
      <c r="BF14" s="57">
        <f>Shape!AQ12</f>
        <v>2</v>
      </c>
      <c r="BG14" s="57">
        <f>Shape!AR12</f>
        <v>2</v>
      </c>
      <c r="BH14" s="57">
        <f>Shape!AS12</f>
        <v>2</v>
      </c>
      <c r="BI14" s="57">
        <f>Shape!AT12</f>
        <v>2</v>
      </c>
      <c r="BJ14" s="57">
        <f>Shape!AU12</f>
        <v>2</v>
      </c>
      <c r="BK14" s="57">
        <f>Shape!AV12</f>
        <v>2</v>
      </c>
      <c r="BL14" s="57">
        <f>Shape!AW12</f>
        <v>2</v>
      </c>
      <c r="BM14" s="57">
        <f>Shape!AX12</f>
        <v>2</v>
      </c>
      <c r="BN14" s="57">
        <f>Shape!AY12</f>
        <v>2</v>
      </c>
      <c r="BO14" s="57">
        <f>Shape!AZ12</f>
        <v>2</v>
      </c>
      <c r="BP14" s="57">
        <f>Shape!BA12</f>
        <v>2</v>
      </c>
      <c r="BQ14" s="57">
        <f>Shape!BB12</f>
        <v>2</v>
      </c>
      <c r="BR14" s="57">
        <f>Shape!BC12</f>
        <v>2</v>
      </c>
      <c r="BS14" s="57">
        <f>Shape!BD12</f>
        <v>2</v>
      </c>
      <c r="BT14" s="57">
        <f>Shape!BE12</f>
        <v>2</v>
      </c>
      <c r="BU14" s="54"/>
      <c r="BV14" s="54"/>
      <c r="BW14" s="54"/>
      <c r="BX14" s="54"/>
      <c r="BY14" s="54"/>
      <c r="BZ14" s="54"/>
      <c r="CA14" s="54"/>
      <c r="CB14" s="54"/>
      <c r="CC14" s="54"/>
      <c r="CD14" s="54"/>
    </row>
    <row r="15" spans="1:82" x14ac:dyDescent="0.35">
      <c r="B15" s="25"/>
      <c r="K15" s="28"/>
      <c r="L15" s="29"/>
      <c r="N15" s="56" t="s">
        <v>9</v>
      </c>
      <c r="O15" s="60" t="s">
        <v>134</v>
      </c>
      <c r="P15" s="57" t="str">
        <f>Shape!A13</f>
        <v>0106</v>
      </c>
      <c r="Q15" s="57">
        <f>Shape!B13</f>
        <v>0</v>
      </c>
      <c r="R15" s="57">
        <f>Shape!C13</f>
        <v>0</v>
      </c>
      <c r="S15" s="57">
        <f>Shape!D13</f>
        <v>0</v>
      </c>
      <c r="T15" s="57">
        <f>Shape!E13</f>
        <v>0</v>
      </c>
      <c r="U15" s="57">
        <f>Shape!F13</f>
        <v>0</v>
      </c>
      <c r="V15" s="57">
        <f>Shape!G13</f>
        <v>2</v>
      </c>
      <c r="W15" s="57">
        <f>Shape!H13</f>
        <v>2</v>
      </c>
      <c r="X15" s="57">
        <f>Shape!I13</f>
        <v>2</v>
      </c>
      <c r="Y15" s="57">
        <f>Shape!J13</f>
        <v>2</v>
      </c>
      <c r="Z15" s="57">
        <f>Shape!K13</f>
        <v>2</v>
      </c>
      <c r="AA15" s="57">
        <f>Shape!L13</f>
        <v>2</v>
      </c>
      <c r="AB15" s="57">
        <f>Shape!M13</f>
        <v>2</v>
      </c>
      <c r="AC15" s="57">
        <f>Shape!N13</f>
        <v>2</v>
      </c>
      <c r="AD15" s="57">
        <f>Shape!O13</f>
        <v>2</v>
      </c>
      <c r="AE15" s="57">
        <f>Shape!P13</f>
        <v>2</v>
      </c>
      <c r="AF15" s="57">
        <f>Shape!Q13</f>
        <v>2</v>
      </c>
      <c r="AG15" s="57">
        <f>Shape!R13</f>
        <v>2</v>
      </c>
      <c r="AH15" s="57">
        <f>Shape!S13</f>
        <v>2</v>
      </c>
      <c r="AI15" s="57">
        <f>Shape!T13</f>
        <v>2</v>
      </c>
      <c r="AJ15" s="57">
        <f>Shape!U13</f>
        <v>2</v>
      </c>
      <c r="AK15" s="57">
        <f>Shape!V13</f>
        <v>2</v>
      </c>
      <c r="AL15" s="57">
        <f>Shape!W13</f>
        <v>2</v>
      </c>
      <c r="AM15" s="57">
        <f>Shape!X13</f>
        <v>2</v>
      </c>
      <c r="AN15" s="57">
        <f>Shape!Y13</f>
        <v>2</v>
      </c>
      <c r="AO15" s="57">
        <f>Shape!Z13</f>
        <v>2</v>
      </c>
      <c r="AP15" s="57">
        <f>Shape!AA13</f>
        <v>2</v>
      </c>
      <c r="AQ15" s="57">
        <f>Shape!AB13</f>
        <v>2</v>
      </c>
      <c r="AR15" s="57">
        <f>Shape!AC13</f>
        <v>2</v>
      </c>
      <c r="AS15" s="57">
        <f>Shape!AD13</f>
        <v>2</v>
      </c>
      <c r="AT15" s="57">
        <f>Shape!AE13</f>
        <v>2</v>
      </c>
      <c r="AU15" s="57">
        <f>Shape!AF13</f>
        <v>2</v>
      </c>
      <c r="AV15" s="57">
        <f>Shape!AG13</f>
        <v>2</v>
      </c>
      <c r="AW15" s="57">
        <f>Shape!AH13</f>
        <v>2</v>
      </c>
      <c r="AX15" s="57">
        <f>Shape!AI13</f>
        <v>2</v>
      </c>
      <c r="AY15" s="57">
        <f>Shape!AJ13</f>
        <v>2</v>
      </c>
      <c r="AZ15" s="57">
        <f>Shape!AK13</f>
        <v>2</v>
      </c>
      <c r="BA15" s="57">
        <f>Shape!AL13</f>
        <v>2</v>
      </c>
      <c r="BB15" s="57">
        <f>Shape!AM13</f>
        <v>2</v>
      </c>
      <c r="BC15" s="57">
        <f>Shape!AN13</f>
        <v>2</v>
      </c>
      <c r="BD15" s="57">
        <f>Shape!AO13</f>
        <v>2</v>
      </c>
      <c r="BE15" s="57">
        <f>Shape!AP13</f>
        <v>2</v>
      </c>
      <c r="BF15" s="57">
        <f>Shape!AQ13</f>
        <v>2</v>
      </c>
      <c r="BG15" s="57">
        <f>Shape!AR13</f>
        <v>2</v>
      </c>
      <c r="BH15" s="57">
        <f>Shape!AS13</f>
        <v>2</v>
      </c>
      <c r="BI15" s="57">
        <f>Shape!AT13</f>
        <v>2</v>
      </c>
      <c r="BJ15" s="57">
        <f>Shape!AU13</f>
        <v>2</v>
      </c>
      <c r="BK15" s="57">
        <f>Shape!AV13</f>
        <v>2</v>
      </c>
      <c r="BL15" s="57">
        <f>Shape!AW13</f>
        <v>2</v>
      </c>
      <c r="BM15" s="57">
        <f>Shape!AX13</f>
        <v>2</v>
      </c>
      <c r="BN15" s="57">
        <f>Shape!AY13</f>
        <v>2</v>
      </c>
      <c r="BO15" s="57">
        <f>Shape!AZ13</f>
        <v>2</v>
      </c>
      <c r="BP15" s="57">
        <f>Shape!BA13</f>
        <v>2</v>
      </c>
      <c r="BQ15" s="57">
        <f>Shape!BB13</f>
        <v>2</v>
      </c>
      <c r="BR15" s="57">
        <f>Shape!BC13</f>
        <v>2</v>
      </c>
      <c r="BS15" s="57">
        <f>Shape!BD13</f>
        <v>2</v>
      </c>
      <c r="BT15" s="57">
        <f>Shape!BE13</f>
        <v>2</v>
      </c>
      <c r="BU15" s="54"/>
      <c r="BV15" s="54"/>
      <c r="BW15" s="54"/>
      <c r="BX15" s="54"/>
      <c r="BY15" s="54"/>
      <c r="BZ15" s="54"/>
      <c r="CA15" s="54"/>
      <c r="CB15" s="54"/>
      <c r="CC15" s="54"/>
      <c r="CD15" s="54"/>
    </row>
    <row r="16" spans="1:82" x14ac:dyDescent="0.35">
      <c r="B16" s="25"/>
      <c r="K16" s="28"/>
      <c r="L16" s="29"/>
      <c r="N16" s="56" t="s">
        <v>10</v>
      </c>
      <c r="O16" s="60" t="s">
        <v>98</v>
      </c>
      <c r="P16" s="57" t="str">
        <f>Shape!A14</f>
        <v>0108</v>
      </c>
      <c r="Q16" s="57">
        <f>Shape!B14</f>
        <v>0</v>
      </c>
      <c r="R16" s="57">
        <f>Shape!C14</f>
        <v>0</v>
      </c>
      <c r="S16" s="57">
        <f>Shape!D14</f>
        <v>0</v>
      </c>
      <c r="T16" s="57">
        <f>Shape!E14</f>
        <v>0</v>
      </c>
      <c r="U16" s="57">
        <f>Shape!F14</f>
        <v>0</v>
      </c>
      <c r="V16" s="57">
        <f>Shape!G14</f>
        <v>2</v>
      </c>
      <c r="W16" s="57">
        <f>Shape!H14</f>
        <v>2</v>
      </c>
      <c r="X16" s="57">
        <f>Shape!I14</f>
        <v>2</v>
      </c>
      <c r="Y16" s="57">
        <f>Shape!J14</f>
        <v>2</v>
      </c>
      <c r="Z16" s="57">
        <f>Shape!K14</f>
        <v>2</v>
      </c>
      <c r="AA16" s="57">
        <f>Shape!L14</f>
        <v>2</v>
      </c>
      <c r="AB16" s="57">
        <f>Shape!M14</f>
        <v>2</v>
      </c>
      <c r="AC16" s="57">
        <f>Shape!N14</f>
        <v>2</v>
      </c>
      <c r="AD16" s="57">
        <f>Shape!O14</f>
        <v>2</v>
      </c>
      <c r="AE16" s="57">
        <f>Shape!P14</f>
        <v>2</v>
      </c>
      <c r="AF16" s="57">
        <f>Shape!Q14</f>
        <v>2</v>
      </c>
      <c r="AG16" s="57">
        <f>Shape!R14</f>
        <v>2</v>
      </c>
      <c r="AH16" s="57">
        <f>Shape!S14</f>
        <v>2</v>
      </c>
      <c r="AI16" s="57">
        <f>Shape!T14</f>
        <v>2</v>
      </c>
      <c r="AJ16" s="57">
        <f>Shape!U14</f>
        <v>2</v>
      </c>
      <c r="AK16" s="57">
        <f>Shape!V14</f>
        <v>2</v>
      </c>
      <c r="AL16" s="57">
        <f>Shape!W14</f>
        <v>2</v>
      </c>
      <c r="AM16" s="57">
        <f>Shape!X14</f>
        <v>2</v>
      </c>
      <c r="AN16" s="57">
        <f>Shape!Y14</f>
        <v>2</v>
      </c>
      <c r="AO16" s="57">
        <f>Shape!Z14</f>
        <v>2</v>
      </c>
      <c r="AP16" s="57">
        <f>Shape!AA14</f>
        <v>2</v>
      </c>
      <c r="AQ16" s="57">
        <f>Shape!AB14</f>
        <v>2</v>
      </c>
      <c r="AR16" s="57">
        <f>Shape!AC14</f>
        <v>2</v>
      </c>
      <c r="AS16" s="57">
        <f>Shape!AD14</f>
        <v>2</v>
      </c>
      <c r="AT16" s="57">
        <f>Shape!AE14</f>
        <v>2</v>
      </c>
      <c r="AU16" s="57">
        <f>Shape!AF14</f>
        <v>2</v>
      </c>
      <c r="AV16" s="57">
        <f>Shape!AG14</f>
        <v>2</v>
      </c>
      <c r="AW16" s="57">
        <f>Shape!AH14</f>
        <v>2</v>
      </c>
      <c r="AX16" s="57">
        <f>Shape!AI14</f>
        <v>2</v>
      </c>
      <c r="AY16" s="57">
        <f>Shape!AJ14</f>
        <v>2</v>
      </c>
      <c r="AZ16" s="57">
        <f>Shape!AK14</f>
        <v>2</v>
      </c>
      <c r="BA16" s="57">
        <f>Shape!AL14</f>
        <v>2</v>
      </c>
      <c r="BB16" s="57">
        <f>Shape!AM14</f>
        <v>2</v>
      </c>
      <c r="BC16" s="57">
        <f>Shape!AN14</f>
        <v>2</v>
      </c>
      <c r="BD16" s="57">
        <f>Shape!AO14</f>
        <v>2</v>
      </c>
      <c r="BE16" s="57">
        <f>Shape!AP14</f>
        <v>2</v>
      </c>
      <c r="BF16" s="57">
        <f>Shape!AQ14</f>
        <v>2</v>
      </c>
      <c r="BG16" s="57">
        <f>Shape!AR14</f>
        <v>2</v>
      </c>
      <c r="BH16" s="57">
        <f>Shape!AS14</f>
        <v>2</v>
      </c>
      <c r="BI16" s="57">
        <f>Shape!AT14</f>
        <v>2</v>
      </c>
      <c r="BJ16" s="57">
        <f>Shape!AU14</f>
        <v>2</v>
      </c>
      <c r="BK16" s="57">
        <f>Shape!AV14</f>
        <v>2</v>
      </c>
      <c r="BL16" s="57">
        <f>Shape!AW14</f>
        <v>2</v>
      </c>
      <c r="BM16" s="57">
        <f>Shape!AX14</f>
        <v>2</v>
      </c>
      <c r="BN16" s="57">
        <f>Shape!AY14</f>
        <v>2</v>
      </c>
      <c r="BO16" s="57">
        <f>Shape!AZ14</f>
        <v>2</v>
      </c>
      <c r="BP16" s="57">
        <f>Shape!BA14</f>
        <v>2</v>
      </c>
      <c r="BQ16" s="57">
        <f>Shape!BB14</f>
        <v>2</v>
      </c>
      <c r="BR16" s="57">
        <f>Shape!BC14</f>
        <v>2</v>
      </c>
      <c r="BS16" s="57">
        <f>Shape!BD14</f>
        <v>2</v>
      </c>
      <c r="BT16" s="57">
        <f>Shape!BE14</f>
        <v>2</v>
      </c>
      <c r="BU16" s="54"/>
      <c r="BV16" s="54"/>
      <c r="BW16" s="54"/>
      <c r="BX16" s="54"/>
      <c r="BY16" s="54"/>
      <c r="BZ16" s="54"/>
      <c r="CA16" s="54"/>
      <c r="CB16" s="54"/>
      <c r="CC16" s="54"/>
      <c r="CD16" s="54"/>
    </row>
    <row r="17" spans="2:82" x14ac:dyDescent="0.35">
      <c r="B17" s="25"/>
      <c r="K17" s="28"/>
      <c r="L17" s="29"/>
      <c r="N17" s="56" t="s">
        <v>11</v>
      </c>
      <c r="O17" s="60" t="s">
        <v>99</v>
      </c>
      <c r="P17" s="57" t="str">
        <f>Shape!A15</f>
        <v>0109</v>
      </c>
      <c r="Q17" s="57">
        <f>Shape!B15</f>
        <v>0</v>
      </c>
      <c r="R17" s="57">
        <f>Shape!C15</f>
        <v>0</v>
      </c>
      <c r="S17" s="57">
        <f>Shape!D15</f>
        <v>0</v>
      </c>
      <c r="T17" s="57">
        <f>Shape!E15</f>
        <v>0</v>
      </c>
      <c r="U17" s="57">
        <f>Shape!F15</f>
        <v>0</v>
      </c>
      <c r="V17" s="57">
        <f>Shape!G15</f>
        <v>1</v>
      </c>
      <c r="W17" s="57">
        <f>Shape!H15</f>
        <v>1</v>
      </c>
      <c r="X17" s="57">
        <f>Shape!I15</f>
        <v>1</v>
      </c>
      <c r="Y17" s="57">
        <f>Shape!J15</f>
        <v>1</v>
      </c>
      <c r="Z17" s="57">
        <f>Shape!K15</f>
        <v>1</v>
      </c>
      <c r="AA17" s="57">
        <f>Shape!L15</f>
        <v>1</v>
      </c>
      <c r="AB17" s="57">
        <f>Shape!M15</f>
        <v>1</v>
      </c>
      <c r="AC17" s="57">
        <f>Shape!N15</f>
        <v>1</v>
      </c>
      <c r="AD17" s="57">
        <f>Shape!O15</f>
        <v>1</v>
      </c>
      <c r="AE17" s="57">
        <f>Shape!P15</f>
        <v>1</v>
      </c>
      <c r="AF17" s="57">
        <f>Shape!Q15</f>
        <v>1</v>
      </c>
      <c r="AG17" s="57">
        <f>Shape!R15</f>
        <v>1</v>
      </c>
      <c r="AH17" s="57">
        <f>Shape!S15</f>
        <v>1</v>
      </c>
      <c r="AI17" s="57">
        <f>Shape!T15</f>
        <v>1</v>
      </c>
      <c r="AJ17" s="57">
        <f>Shape!U15</f>
        <v>1</v>
      </c>
      <c r="AK17" s="57">
        <f>Shape!V15</f>
        <v>1</v>
      </c>
      <c r="AL17" s="57">
        <f>Shape!W15</f>
        <v>1</v>
      </c>
      <c r="AM17" s="57">
        <f>Shape!X15</f>
        <v>1</v>
      </c>
      <c r="AN17" s="57">
        <f>Shape!Y15</f>
        <v>1</v>
      </c>
      <c r="AO17" s="57">
        <f>Shape!Z15</f>
        <v>1</v>
      </c>
      <c r="AP17" s="57">
        <f>Shape!AA15</f>
        <v>1</v>
      </c>
      <c r="AQ17" s="57">
        <f>Shape!AB15</f>
        <v>1</v>
      </c>
      <c r="AR17" s="57">
        <f>Shape!AC15</f>
        <v>1</v>
      </c>
      <c r="AS17" s="57">
        <f>Shape!AD15</f>
        <v>1</v>
      </c>
      <c r="AT17" s="57">
        <f>Shape!AE15</f>
        <v>1</v>
      </c>
      <c r="AU17" s="57">
        <f>Shape!AF15</f>
        <v>1</v>
      </c>
      <c r="AV17" s="57">
        <f>Shape!AG15</f>
        <v>1</v>
      </c>
      <c r="AW17" s="57">
        <f>Shape!AH15</f>
        <v>1</v>
      </c>
      <c r="AX17" s="57">
        <f>Shape!AI15</f>
        <v>1</v>
      </c>
      <c r="AY17" s="57">
        <f>Shape!AJ15</f>
        <v>1</v>
      </c>
      <c r="AZ17" s="57">
        <f>Shape!AK15</f>
        <v>1</v>
      </c>
      <c r="BA17" s="57">
        <f>Shape!AL15</f>
        <v>1</v>
      </c>
      <c r="BB17" s="57">
        <f>Shape!AM15</f>
        <v>1</v>
      </c>
      <c r="BC17" s="57">
        <f>Shape!AN15</f>
        <v>1</v>
      </c>
      <c r="BD17" s="57">
        <f>Shape!AO15</f>
        <v>1</v>
      </c>
      <c r="BE17" s="57">
        <f>Shape!AP15</f>
        <v>1</v>
      </c>
      <c r="BF17" s="57">
        <f>Shape!AQ15</f>
        <v>1</v>
      </c>
      <c r="BG17" s="57">
        <f>Shape!AR15</f>
        <v>1</v>
      </c>
      <c r="BH17" s="57">
        <f>Shape!AS15</f>
        <v>1</v>
      </c>
      <c r="BI17" s="57">
        <f>Shape!AT15</f>
        <v>1</v>
      </c>
      <c r="BJ17" s="57">
        <f>Shape!AU15</f>
        <v>1</v>
      </c>
      <c r="BK17" s="57">
        <f>Shape!AV15</f>
        <v>1</v>
      </c>
      <c r="BL17" s="57">
        <f>Shape!AW15</f>
        <v>1</v>
      </c>
      <c r="BM17" s="57">
        <f>Shape!AX15</f>
        <v>1</v>
      </c>
      <c r="BN17" s="57">
        <f>Shape!AY15</f>
        <v>1</v>
      </c>
      <c r="BO17" s="57">
        <f>Shape!AZ15</f>
        <v>1</v>
      </c>
      <c r="BP17" s="57">
        <f>Shape!BA15</f>
        <v>1</v>
      </c>
      <c r="BQ17" s="57">
        <f>Shape!BB15</f>
        <v>1</v>
      </c>
      <c r="BR17" s="57">
        <f>Shape!BC15</f>
        <v>1</v>
      </c>
      <c r="BS17" s="57">
        <f>Shape!BD15</f>
        <v>1</v>
      </c>
      <c r="BT17" s="57">
        <f>Shape!BE15</f>
        <v>1</v>
      </c>
      <c r="BU17" s="54"/>
      <c r="BV17" s="54"/>
      <c r="BW17" s="54"/>
      <c r="BX17" s="54"/>
      <c r="BY17" s="54"/>
      <c r="BZ17" s="54"/>
      <c r="CA17" s="54"/>
      <c r="CB17" s="54"/>
      <c r="CC17" s="54"/>
      <c r="CD17" s="54"/>
    </row>
    <row r="18" spans="2:82" x14ac:dyDescent="0.35">
      <c r="B18" s="25"/>
      <c r="K18" s="28"/>
      <c r="L18" s="29"/>
      <c r="N18" s="56" t="s">
        <v>12</v>
      </c>
      <c r="O18" s="60" t="s">
        <v>100</v>
      </c>
      <c r="P18" s="57" t="str">
        <f>Shape!A16</f>
        <v>0111</v>
      </c>
      <c r="Q18" s="57">
        <f>Shape!B16</f>
        <v>0</v>
      </c>
      <c r="R18" s="57">
        <f>Shape!C16</f>
        <v>0</v>
      </c>
      <c r="S18" s="57">
        <f>Shape!D16</f>
        <v>0</v>
      </c>
      <c r="T18" s="57">
        <f>Shape!E16</f>
        <v>0</v>
      </c>
      <c r="U18" s="57">
        <f>Shape!F16</f>
        <v>0</v>
      </c>
      <c r="V18" s="57">
        <f>Shape!G16</f>
        <v>2</v>
      </c>
      <c r="W18" s="57">
        <f>Shape!H16</f>
        <v>2</v>
      </c>
      <c r="X18" s="57">
        <f>Shape!I16</f>
        <v>2</v>
      </c>
      <c r="Y18" s="57">
        <f>Shape!J16</f>
        <v>2</v>
      </c>
      <c r="Z18" s="57">
        <f>Shape!K16</f>
        <v>2</v>
      </c>
      <c r="AA18" s="57">
        <f>Shape!L16</f>
        <v>2</v>
      </c>
      <c r="AB18" s="57">
        <f>Shape!M16</f>
        <v>2</v>
      </c>
      <c r="AC18" s="57">
        <f>Shape!N16</f>
        <v>2</v>
      </c>
      <c r="AD18" s="57">
        <f>Shape!O16</f>
        <v>2</v>
      </c>
      <c r="AE18" s="57">
        <f>Shape!P16</f>
        <v>2</v>
      </c>
      <c r="AF18" s="57">
        <f>Shape!Q16</f>
        <v>2</v>
      </c>
      <c r="AG18" s="57">
        <f>Shape!R16</f>
        <v>2</v>
      </c>
      <c r="AH18" s="57">
        <f>Shape!S16</f>
        <v>2</v>
      </c>
      <c r="AI18" s="57">
        <f>Shape!T16</f>
        <v>2</v>
      </c>
      <c r="AJ18" s="57">
        <f>Shape!U16</f>
        <v>2</v>
      </c>
      <c r="AK18" s="57">
        <f>Shape!V16</f>
        <v>2</v>
      </c>
      <c r="AL18" s="57">
        <f>Shape!W16</f>
        <v>2</v>
      </c>
      <c r="AM18" s="57">
        <f>Shape!X16</f>
        <v>2</v>
      </c>
      <c r="AN18" s="57">
        <f>Shape!Y16</f>
        <v>2</v>
      </c>
      <c r="AO18" s="57">
        <f>Shape!Z16</f>
        <v>2</v>
      </c>
      <c r="AP18" s="57">
        <f>Shape!AA16</f>
        <v>2</v>
      </c>
      <c r="AQ18" s="57">
        <f>Shape!AB16</f>
        <v>2</v>
      </c>
      <c r="AR18" s="57">
        <f>Shape!AC16</f>
        <v>2</v>
      </c>
      <c r="AS18" s="57">
        <f>Shape!AD16</f>
        <v>2</v>
      </c>
      <c r="AT18" s="57">
        <f>Shape!AE16</f>
        <v>2</v>
      </c>
      <c r="AU18" s="57">
        <f>Shape!AF16</f>
        <v>2</v>
      </c>
      <c r="AV18" s="57">
        <f>Shape!AG16</f>
        <v>2</v>
      </c>
      <c r="AW18" s="57">
        <f>Shape!AH16</f>
        <v>2</v>
      </c>
      <c r="AX18" s="57">
        <f>Shape!AI16</f>
        <v>2</v>
      </c>
      <c r="AY18" s="57">
        <f>Shape!AJ16</f>
        <v>2</v>
      </c>
      <c r="AZ18" s="57">
        <f>Shape!AK16</f>
        <v>2</v>
      </c>
      <c r="BA18" s="57">
        <f>Shape!AL16</f>
        <v>2</v>
      </c>
      <c r="BB18" s="57">
        <f>Shape!AM16</f>
        <v>2</v>
      </c>
      <c r="BC18" s="57">
        <f>Shape!AN16</f>
        <v>2</v>
      </c>
      <c r="BD18" s="57">
        <f>Shape!AO16</f>
        <v>2</v>
      </c>
      <c r="BE18" s="57">
        <f>Shape!AP16</f>
        <v>2</v>
      </c>
      <c r="BF18" s="57">
        <f>Shape!AQ16</f>
        <v>2</v>
      </c>
      <c r="BG18" s="57">
        <f>Shape!AR16</f>
        <v>2</v>
      </c>
      <c r="BH18" s="57">
        <f>Shape!AS16</f>
        <v>2</v>
      </c>
      <c r="BI18" s="57">
        <f>Shape!AT16</f>
        <v>2</v>
      </c>
      <c r="BJ18" s="57">
        <f>Shape!AU16</f>
        <v>2</v>
      </c>
      <c r="BK18" s="57">
        <f>Shape!AV16</f>
        <v>2</v>
      </c>
      <c r="BL18" s="57">
        <f>Shape!AW16</f>
        <v>2</v>
      </c>
      <c r="BM18" s="57">
        <f>Shape!AX16</f>
        <v>2</v>
      </c>
      <c r="BN18" s="57">
        <f>Shape!AY16</f>
        <v>2</v>
      </c>
      <c r="BO18" s="57">
        <f>Shape!AZ16</f>
        <v>2</v>
      </c>
      <c r="BP18" s="57">
        <f>Shape!BA16</f>
        <v>2</v>
      </c>
      <c r="BQ18" s="57">
        <f>Shape!BB16</f>
        <v>2</v>
      </c>
      <c r="BR18" s="57">
        <f>Shape!BC16</f>
        <v>2</v>
      </c>
      <c r="BS18" s="57">
        <f>Shape!BD16</f>
        <v>2</v>
      </c>
      <c r="BT18" s="57">
        <f>Shape!BE16</f>
        <v>2</v>
      </c>
      <c r="BU18" s="54"/>
      <c r="BV18" s="54"/>
      <c r="BW18" s="54"/>
      <c r="BX18" s="54"/>
      <c r="BY18" s="54"/>
      <c r="BZ18" s="54"/>
      <c r="CA18" s="54"/>
      <c r="CB18" s="54"/>
      <c r="CC18" s="54"/>
      <c r="CD18" s="54"/>
    </row>
    <row r="19" spans="2:82" x14ac:dyDescent="0.35">
      <c r="K19" s="28"/>
      <c r="L19" s="29"/>
      <c r="N19" s="56" t="s">
        <v>13</v>
      </c>
      <c r="O19" s="60" t="s">
        <v>135</v>
      </c>
      <c r="P19" s="57" t="str">
        <f>Shape!A17</f>
        <v>0112</v>
      </c>
      <c r="Q19" s="57">
        <f>Shape!B17</f>
        <v>0</v>
      </c>
      <c r="R19" s="57">
        <f>Shape!C17</f>
        <v>0</v>
      </c>
      <c r="S19" s="57">
        <f>Shape!D17</f>
        <v>0</v>
      </c>
      <c r="T19" s="57">
        <f>Shape!E17</f>
        <v>0</v>
      </c>
      <c r="U19" s="57">
        <f>Shape!F17</f>
        <v>0</v>
      </c>
      <c r="V19" s="57">
        <f>Shape!G17</f>
        <v>2</v>
      </c>
      <c r="W19" s="57">
        <f>Shape!H17</f>
        <v>2</v>
      </c>
      <c r="X19" s="57">
        <f>Shape!I17</f>
        <v>2</v>
      </c>
      <c r="Y19" s="57">
        <f>Shape!J17</f>
        <v>2</v>
      </c>
      <c r="Z19" s="57">
        <f>Shape!K17</f>
        <v>2</v>
      </c>
      <c r="AA19" s="57">
        <f>Shape!L17</f>
        <v>2</v>
      </c>
      <c r="AB19" s="57">
        <f>Shape!M17</f>
        <v>2</v>
      </c>
      <c r="AC19" s="57">
        <f>Shape!N17</f>
        <v>2</v>
      </c>
      <c r="AD19" s="57">
        <f>Shape!O17</f>
        <v>2</v>
      </c>
      <c r="AE19" s="57">
        <f>Shape!P17</f>
        <v>2</v>
      </c>
      <c r="AF19" s="57">
        <f>Shape!Q17</f>
        <v>2</v>
      </c>
      <c r="AG19" s="57">
        <f>Shape!R17</f>
        <v>2</v>
      </c>
      <c r="AH19" s="57">
        <f>Shape!S17</f>
        <v>2</v>
      </c>
      <c r="AI19" s="57">
        <f>Shape!T17</f>
        <v>2</v>
      </c>
      <c r="AJ19" s="57">
        <f>Shape!U17</f>
        <v>2</v>
      </c>
      <c r="AK19" s="57">
        <f>Shape!V17</f>
        <v>2</v>
      </c>
      <c r="AL19" s="57">
        <f>Shape!W17</f>
        <v>2</v>
      </c>
      <c r="AM19" s="57">
        <f>Shape!X17</f>
        <v>2</v>
      </c>
      <c r="AN19" s="57">
        <f>Shape!Y17</f>
        <v>2</v>
      </c>
      <c r="AO19" s="57">
        <f>Shape!Z17</f>
        <v>2</v>
      </c>
      <c r="AP19" s="57">
        <f>Shape!AA17</f>
        <v>2</v>
      </c>
      <c r="AQ19" s="57">
        <f>Shape!AB17</f>
        <v>2</v>
      </c>
      <c r="AR19" s="57">
        <f>Shape!AC17</f>
        <v>2</v>
      </c>
      <c r="AS19" s="57">
        <f>Shape!AD17</f>
        <v>2</v>
      </c>
      <c r="AT19" s="57">
        <f>Shape!AE17</f>
        <v>2</v>
      </c>
      <c r="AU19" s="57">
        <f>Shape!AF17</f>
        <v>2</v>
      </c>
      <c r="AV19" s="57">
        <f>Shape!AG17</f>
        <v>2</v>
      </c>
      <c r="AW19" s="57">
        <f>Shape!AH17</f>
        <v>2</v>
      </c>
      <c r="AX19" s="57">
        <f>Shape!AI17</f>
        <v>2</v>
      </c>
      <c r="AY19" s="57">
        <f>Shape!AJ17</f>
        <v>2</v>
      </c>
      <c r="AZ19" s="57">
        <f>Shape!AK17</f>
        <v>2</v>
      </c>
      <c r="BA19" s="57">
        <f>Shape!AL17</f>
        <v>2</v>
      </c>
      <c r="BB19" s="57">
        <f>Shape!AM17</f>
        <v>2</v>
      </c>
      <c r="BC19" s="57">
        <f>Shape!AN17</f>
        <v>2</v>
      </c>
      <c r="BD19" s="57">
        <f>Shape!AO17</f>
        <v>2</v>
      </c>
      <c r="BE19" s="57">
        <f>Shape!AP17</f>
        <v>2</v>
      </c>
      <c r="BF19" s="57">
        <f>Shape!AQ17</f>
        <v>2</v>
      </c>
      <c r="BG19" s="57">
        <f>Shape!AR17</f>
        <v>2</v>
      </c>
      <c r="BH19" s="57">
        <f>Shape!AS17</f>
        <v>2</v>
      </c>
      <c r="BI19" s="57">
        <f>Shape!AT17</f>
        <v>2</v>
      </c>
      <c r="BJ19" s="57">
        <f>Shape!AU17</f>
        <v>2</v>
      </c>
      <c r="BK19" s="57">
        <f>Shape!AV17</f>
        <v>2</v>
      </c>
      <c r="BL19" s="57">
        <f>Shape!AW17</f>
        <v>2</v>
      </c>
      <c r="BM19" s="57">
        <f>Shape!AX17</f>
        <v>2</v>
      </c>
      <c r="BN19" s="57">
        <f>Shape!AY17</f>
        <v>2</v>
      </c>
      <c r="BO19" s="57">
        <f>Shape!AZ17</f>
        <v>2</v>
      </c>
      <c r="BP19" s="57">
        <f>Shape!BA17</f>
        <v>2</v>
      </c>
      <c r="BQ19" s="57">
        <f>Shape!BB17</f>
        <v>2</v>
      </c>
      <c r="BR19" s="57">
        <f>Shape!BC17</f>
        <v>2</v>
      </c>
      <c r="BS19" s="57">
        <f>Shape!BD17</f>
        <v>2</v>
      </c>
      <c r="BT19" s="57">
        <f>Shape!BE17</f>
        <v>2</v>
      </c>
      <c r="BU19" s="54"/>
      <c r="BV19" s="54"/>
      <c r="BW19" s="54"/>
      <c r="BX19" s="54"/>
      <c r="BY19" s="54"/>
      <c r="BZ19" s="54"/>
      <c r="CA19" s="54"/>
      <c r="CB19" s="54"/>
      <c r="CC19" s="54"/>
      <c r="CD19" s="54"/>
    </row>
    <row r="20" spans="2:82" x14ac:dyDescent="0.35">
      <c r="K20" s="28"/>
      <c r="L20" s="29"/>
      <c r="N20" s="56" t="s">
        <v>14</v>
      </c>
      <c r="O20" s="60" t="s">
        <v>136</v>
      </c>
      <c r="P20" s="57" t="str">
        <f>Shape!A18</f>
        <v>0113</v>
      </c>
      <c r="Q20" s="57">
        <f>Shape!B18</f>
        <v>0</v>
      </c>
      <c r="R20" s="57">
        <f>Shape!C18</f>
        <v>0</v>
      </c>
      <c r="S20" s="57">
        <f>Shape!D18</f>
        <v>0</v>
      </c>
      <c r="T20" s="57">
        <f>Shape!E18</f>
        <v>0</v>
      </c>
      <c r="U20" s="57">
        <f>Shape!F18</f>
        <v>0</v>
      </c>
      <c r="V20" s="57">
        <f>Shape!G18</f>
        <v>1</v>
      </c>
      <c r="W20" s="57">
        <f>Shape!H18</f>
        <v>1</v>
      </c>
      <c r="X20" s="57">
        <f>Shape!I18</f>
        <v>1</v>
      </c>
      <c r="Y20" s="57">
        <f>Shape!J18</f>
        <v>1</v>
      </c>
      <c r="Z20" s="57">
        <f>Shape!K18</f>
        <v>1</v>
      </c>
      <c r="AA20" s="57">
        <f>Shape!L18</f>
        <v>1</v>
      </c>
      <c r="AB20" s="57">
        <f>Shape!M18</f>
        <v>1</v>
      </c>
      <c r="AC20" s="57">
        <f>Shape!N18</f>
        <v>1</v>
      </c>
      <c r="AD20" s="57">
        <f>Shape!O18</f>
        <v>1</v>
      </c>
      <c r="AE20" s="57">
        <f>Shape!P18</f>
        <v>1</v>
      </c>
      <c r="AF20" s="57">
        <f>Shape!Q18</f>
        <v>1</v>
      </c>
      <c r="AG20" s="57">
        <f>Shape!R18</f>
        <v>1</v>
      </c>
      <c r="AH20" s="57">
        <f>Shape!S18</f>
        <v>1</v>
      </c>
      <c r="AI20" s="57">
        <f>Shape!T18</f>
        <v>1</v>
      </c>
      <c r="AJ20" s="57">
        <f>Shape!U18</f>
        <v>1</v>
      </c>
      <c r="AK20" s="57">
        <f>Shape!V18</f>
        <v>1</v>
      </c>
      <c r="AL20" s="57">
        <f>Shape!W18</f>
        <v>1</v>
      </c>
      <c r="AM20" s="57">
        <f>Shape!X18</f>
        <v>1</v>
      </c>
      <c r="AN20" s="57">
        <f>Shape!Y18</f>
        <v>1</v>
      </c>
      <c r="AO20" s="57">
        <f>Shape!Z18</f>
        <v>1</v>
      </c>
      <c r="AP20" s="57">
        <f>Shape!AA18</f>
        <v>1</v>
      </c>
      <c r="AQ20" s="57">
        <f>Shape!AB18</f>
        <v>1</v>
      </c>
      <c r="AR20" s="57">
        <f>Shape!AC18</f>
        <v>1</v>
      </c>
      <c r="AS20" s="57">
        <f>Shape!AD18</f>
        <v>1</v>
      </c>
      <c r="AT20" s="57">
        <f>Shape!AE18</f>
        <v>1</v>
      </c>
      <c r="AU20" s="57">
        <f>Shape!AF18</f>
        <v>1</v>
      </c>
      <c r="AV20" s="57">
        <f>Shape!AG18</f>
        <v>1</v>
      </c>
      <c r="AW20" s="57">
        <f>Shape!AH18</f>
        <v>1</v>
      </c>
      <c r="AX20" s="57">
        <f>Shape!AI18</f>
        <v>1</v>
      </c>
      <c r="AY20" s="57">
        <f>Shape!AJ18</f>
        <v>1</v>
      </c>
      <c r="AZ20" s="57">
        <f>Shape!AK18</f>
        <v>1</v>
      </c>
      <c r="BA20" s="57">
        <f>Shape!AL18</f>
        <v>1</v>
      </c>
      <c r="BB20" s="57">
        <f>Shape!AM18</f>
        <v>1</v>
      </c>
      <c r="BC20" s="57">
        <f>Shape!AN18</f>
        <v>1</v>
      </c>
      <c r="BD20" s="57">
        <f>Shape!AO18</f>
        <v>1</v>
      </c>
      <c r="BE20" s="57">
        <f>Shape!AP18</f>
        <v>1</v>
      </c>
      <c r="BF20" s="57">
        <f>Shape!AQ18</f>
        <v>1</v>
      </c>
      <c r="BG20" s="57">
        <f>Shape!AR18</f>
        <v>1</v>
      </c>
      <c r="BH20" s="57">
        <f>Shape!AS18</f>
        <v>1</v>
      </c>
      <c r="BI20" s="57">
        <f>Shape!AT18</f>
        <v>1</v>
      </c>
      <c r="BJ20" s="57">
        <f>Shape!AU18</f>
        <v>1</v>
      </c>
      <c r="BK20" s="57">
        <f>Shape!AV18</f>
        <v>1</v>
      </c>
      <c r="BL20" s="57">
        <f>Shape!AW18</f>
        <v>1</v>
      </c>
      <c r="BM20" s="57">
        <f>Shape!AX18</f>
        <v>1</v>
      </c>
      <c r="BN20" s="57">
        <f>Shape!AY18</f>
        <v>1</v>
      </c>
      <c r="BO20" s="57">
        <f>Shape!AZ18</f>
        <v>1</v>
      </c>
      <c r="BP20" s="57">
        <f>Shape!BA18</f>
        <v>1</v>
      </c>
      <c r="BQ20" s="57">
        <f>Shape!BB18</f>
        <v>1</v>
      </c>
      <c r="BR20" s="57">
        <f>Shape!BC18</f>
        <v>1</v>
      </c>
      <c r="BS20" s="57">
        <f>Shape!BD18</f>
        <v>1</v>
      </c>
      <c r="BT20" s="57">
        <f>Shape!BE18</f>
        <v>1</v>
      </c>
      <c r="BU20" s="54"/>
      <c r="BV20" s="54"/>
      <c r="BW20" s="54"/>
      <c r="BX20" s="54"/>
      <c r="BY20" s="54"/>
      <c r="BZ20" s="54"/>
      <c r="CA20" s="54"/>
      <c r="CB20" s="54"/>
      <c r="CC20" s="54"/>
      <c r="CD20" s="54"/>
    </row>
    <row r="21" spans="2:82" x14ac:dyDescent="0.35">
      <c r="K21" s="28"/>
      <c r="L21" s="29"/>
      <c r="N21" s="56" t="s">
        <v>15</v>
      </c>
      <c r="O21" s="60" t="s">
        <v>101</v>
      </c>
      <c r="P21" s="57" t="str">
        <f>Shape!A19</f>
        <v>0114</v>
      </c>
      <c r="Q21" s="57">
        <f>Shape!B19</f>
        <v>0</v>
      </c>
      <c r="R21" s="57">
        <f>Shape!C19</f>
        <v>0</v>
      </c>
      <c r="S21" s="57">
        <f>Shape!D19</f>
        <v>0</v>
      </c>
      <c r="T21" s="57">
        <f>Shape!E19</f>
        <v>0</v>
      </c>
      <c r="U21" s="57">
        <f>Shape!F19</f>
        <v>0</v>
      </c>
      <c r="V21" s="57">
        <f>Shape!G19</f>
        <v>2</v>
      </c>
      <c r="W21" s="57">
        <f>Shape!H19</f>
        <v>2</v>
      </c>
      <c r="X21" s="57">
        <f>Shape!I19</f>
        <v>2</v>
      </c>
      <c r="Y21" s="57">
        <f>Shape!J19</f>
        <v>2</v>
      </c>
      <c r="Z21" s="57">
        <f>Shape!K19</f>
        <v>2</v>
      </c>
      <c r="AA21" s="57">
        <f>Shape!L19</f>
        <v>2</v>
      </c>
      <c r="AB21" s="57">
        <f>Shape!M19</f>
        <v>2</v>
      </c>
      <c r="AC21" s="57">
        <f>Shape!N19</f>
        <v>2</v>
      </c>
      <c r="AD21" s="57">
        <f>Shape!O19</f>
        <v>2</v>
      </c>
      <c r="AE21" s="57">
        <f>Shape!P19</f>
        <v>2</v>
      </c>
      <c r="AF21" s="57">
        <f>Shape!Q19</f>
        <v>2</v>
      </c>
      <c r="AG21" s="57">
        <f>Shape!R19</f>
        <v>2</v>
      </c>
      <c r="AH21" s="57">
        <f>Shape!S19</f>
        <v>2</v>
      </c>
      <c r="AI21" s="57">
        <f>Shape!T19</f>
        <v>2</v>
      </c>
      <c r="AJ21" s="57">
        <f>Shape!U19</f>
        <v>2</v>
      </c>
      <c r="AK21" s="57">
        <f>Shape!V19</f>
        <v>2</v>
      </c>
      <c r="AL21" s="57">
        <f>Shape!W19</f>
        <v>2</v>
      </c>
      <c r="AM21" s="57">
        <f>Shape!X19</f>
        <v>2</v>
      </c>
      <c r="AN21" s="57">
        <f>Shape!Y19</f>
        <v>2</v>
      </c>
      <c r="AO21" s="57">
        <f>Shape!Z19</f>
        <v>2</v>
      </c>
      <c r="AP21" s="57">
        <f>Shape!AA19</f>
        <v>2</v>
      </c>
      <c r="AQ21" s="57">
        <f>Shape!AB19</f>
        <v>2</v>
      </c>
      <c r="AR21" s="57">
        <f>Shape!AC19</f>
        <v>2</v>
      </c>
      <c r="AS21" s="57">
        <f>Shape!AD19</f>
        <v>2</v>
      </c>
      <c r="AT21" s="57">
        <f>Shape!AE19</f>
        <v>2</v>
      </c>
      <c r="AU21" s="57">
        <f>Shape!AF19</f>
        <v>2</v>
      </c>
      <c r="AV21" s="57">
        <f>Shape!AG19</f>
        <v>2</v>
      </c>
      <c r="AW21" s="57">
        <f>Shape!AH19</f>
        <v>2</v>
      </c>
      <c r="AX21" s="57">
        <f>Shape!AI19</f>
        <v>2</v>
      </c>
      <c r="AY21" s="57">
        <f>Shape!AJ19</f>
        <v>2</v>
      </c>
      <c r="AZ21" s="57">
        <f>Shape!AK19</f>
        <v>2</v>
      </c>
      <c r="BA21" s="57">
        <f>Shape!AL19</f>
        <v>2</v>
      </c>
      <c r="BB21" s="57">
        <f>Shape!AM19</f>
        <v>2</v>
      </c>
      <c r="BC21" s="57">
        <f>Shape!AN19</f>
        <v>2</v>
      </c>
      <c r="BD21" s="57">
        <f>Shape!AO19</f>
        <v>2</v>
      </c>
      <c r="BE21" s="57">
        <f>Shape!AP19</f>
        <v>2</v>
      </c>
      <c r="BF21" s="57">
        <f>Shape!AQ19</f>
        <v>2</v>
      </c>
      <c r="BG21" s="57">
        <f>Shape!AR19</f>
        <v>2</v>
      </c>
      <c r="BH21" s="57">
        <f>Shape!AS19</f>
        <v>2</v>
      </c>
      <c r="BI21" s="57">
        <f>Shape!AT19</f>
        <v>2</v>
      </c>
      <c r="BJ21" s="57">
        <f>Shape!AU19</f>
        <v>2</v>
      </c>
      <c r="BK21" s="57">
        <f>Shape!AV19</f>
        <v>2</v>
      </c>
      <c r="BL21" s="57">
        <f>Shape!AW19</f>
        <v>2</v>
      </c>
      <c r="BM21" s="57">
        <f>Shape!AX19</f>
        <v>2</v>
      </c>
      <c r="BN21" s="57">
        <f>Shape!AY19</f>
        <v>2</v>
      </c>
      <c r="BO21" s="57">
        <f>Shape!AZ19</f>
        <v>2</v>
      </c>
      <c r="BP21" s="57">
        <f>Shape!BA19</f>
        <v>2</v>
      </c>
      <c r="BQ21" s="57">
        <f>Shape!BB19</f>
        <v>2</v>
      </c>
      <c r="BR21" s="57">
        <f>Shape!BC19</f>
        <v>2</v>
      </c>
      <c r="BS21" s="57">
        <f>Shape!BD19</f>
        <v>2</v>
      </c>
      <c r="BT21" s="57">
        <f>Shape!BE19</f>
        <v>2</v>
      </c>
      <c r="BU21" s="54"/>
      <c r="BV21" s="54"/>
      <c r="BW21" s="54"/>
      <c r="BX21" s="54"/>
      <c r="BY21" s="54"/>
      <c r="BZ21" s="54"/>
      <c r="CA21" s="54"/>
      <c r="CB21" s="54"/>
      <c r="CC21" s="54"/>
      <c r="CD21" s="54"/>
    </row>
    <row r="22" spans="2:82" x14ac:dyDescent="0.35">
      <c r="K22" s="28"/>
      <c r="L22" s="29"/>
      <c r="N22" s="56" t="s">
        <v>16</v>
      </c>
      <c r="O22" s="60" t="s">
        <v>137</v>
      </c>
      <c r="P22" s="57" t="str">
        <f>Shape!A20</f>
        <v>0201</v>
      </c>
      <c r="Q22" s="57">
        <f>Shape!B20</f>
        <v>0</v>
      </c>
      <c r="R22" s="57">
        <f>Shape!C20</f>
        <v>0</v>
      </c>
      <c r="S22" s="57">
        <f>Shape!D20</f>
        <v>0</v>
      </c>
      <c r="T22" s="57">
        <f>Shape!E20</f>
        <v>0</v>
      </c>
      <c r="U22" s="57">
        <f>Shape!F20</f>
        <v>0</v>
      </c>
      <c r="V22" s="57">
        <f>Shape!G20</f>
        <v>1</v>
      </c>
      <c r="W22" s="57">
        <f>Shape!H20</f>
        <v>1</v>
      </c>
      <c r="X22" s="57">
        <f>Shape!I20</f>
        <v>1</v>
      </c>
      <c r="Y22" s="57">
        <f>Shape!J20</f>
        <v>1</v>
      </c>
      <c r="Z22" s="57">
        <f>Shape!K20</f>
        <v>1</v>
      </c>
      <c r="AA22" s="57">
        <f>Shape!L20</f>
        <v>1</v>
      </c>
      <c r="AB22" s="57">
        <f>Shape!M20</f>
        <v>1</v>
      </c>
      <c r="AC22" s="57">
        <f>Shape!N20</f>
        <v>1</v>
      </c>
      <c r="AD22" s="57">
        <f>Shape!O20</f>
        <v>1</v>
      </c>
      <c r="AE22" s="57">
        <f>Shape!P20</f>
        <v>1</v>
      </c>
      <c r="AF22" s="57">
        <f>Shape!Q20</f>
        <v>1</v>
      </c>
      <c r="AG22" s="57">
        <f>Shape!R20</f>
        <v>1</v>
      </c>
      <c r="AH22" s="57">
        <f>Shape!S20</f>
        <v>1</v>
      </c>
      <c r="AI22" s="57">
        <f>Shape!T20</f>
        <v>1</v>
      </c>
      <c r="AJ22" s="57">
        <f>Shape!U20</f>
        <v>1</v>
      </c>
      <c r="AK22" s="57">
        <f>Shape!V20</f>
        <v>1</v>
      </c>
      <c r="AL22" s="57">
        <f>Shape!W20</f>
        <v>1</v>
      </c>
      <c r="AM22" s="57">
        <f>Shape!X20</f>
        <v>1</v>
      </c>
      <c r="AN22" s="57">
        <f>Shape!Y20</f>
        <v>1</v>
      </c>
      <c r="AO22" s="57">
        <f>Shape!Z20</f>
        <v>1</v>
      </c>
      <c r="AP22" s="57">
        <f>Shape!AA20</f>
        <v>1</v>
      </c>
      <c r="AQ22" s="57">
        <f>Shape!AB20</f>
        <v>1</v>
      </c>
      <c r="AR22" s="57">
        <f>Shape!AC20</f>
        <v>1</v>
      </c>
      <c r="AS22" s="57">
        <f>Shape!AD20</f>
        <v>1</v>
      </c>
      <c r="AT22" s="57">
        <f>Shape!AE20</f>
        <v>1</v>
      </c>
      <c r="AU22" s="57">
        <f>Shape!AF20</f>
        <v>1</v>
      </c>
      <c r="AV22" s="57">
        <f>Shape!AG20</f>
        <v>1</v>
      </c>
      <c r="AW22" s="57">
        <f>Shape!AH20</f>
        <v>1</v>
      </c>
      <c r="AX22" s="57">
        <f>Shape!AI20</f>
        <v>1</v>
      </c>
      <c r="AY22" s="57">
        <f>Shape!AJ20</f>
        <v>1</v>
      </c>
      <c r="AZ22" s="57">
        <f>Shape!AK20</f>
        <v>1</v>
      </c>
      <c r="BA22" s="57">
        <f>Shape!AL20</f>
        <v>1</v>
      </c>
      <c r="BB22" s="57">
        <f>Shape!AM20</f>
        <v>1</v>
      </c>
      <c r="BC22" s="57">
        <f>Shape!AN20</f>
        <v>1</v>
      </c>
      <c r="BD22" s="57">
        <f>Shape!AO20</f>
        <v>1</v>
      </c>
      <c r="BE22" s="57">
        <f>Shape!AP20</f>
        <v>1</v>
      </c>
      <c r="BF22" s="57">
        <f>Shape!AQ20</f>
        <v>1</v>
      </c>
      <c r="BG22" s="57">
        <f>Shape!AR20</f>
        <v>1</v>
      </c>
      <c r="BH22" s="57">
        <f>Shape!AS20</f>
        <v>1</v>
      </c>
      <c r="BI22" s="57">
        <f>Shape!AT20</f>
        <v>1</v>
      </c>
      <c r="BJ22" s="57">
        <f>Shape!AU20</f>
        <v>1</v>
      </c>
      <c r="BK22" s="57">
        <f>Shape!AV20</f>
        <v>1</v>
      </c>
      <c r="BL22" s="57">
        <f>Shape!AW20</f>
        <v>1</v>
      </c>
      <c r="BM22" s="57">
        <f>Shape!AX20</f>
        <v>1</v>
      </c>
      <c r="BN22" s="57">
        <f>Shape!AY20</f>
        <v>1</v>
      </c>
      <c r="BO22" s="57">
        <f>Shape!AZ20</f>
        <v>1</v>
      </c>
      <c r="BP22" s="57">
        <f>Shape!BA20</f>
        <v>1</v>
      </c>
      <c r="BQ22" s="57">
        <f>Shape!BB20</f>
        <v>1</v>
      </c>
      <c r="BR22" s="57">
        <f>Shape!BC20</f>
        <v>1</v>
      </c>
      <c r="BS22" s="57">
        <f>Shape!BD20</f>
        <v>1</v>
      </c>
      <c r="BT22" s="57">
        <f>Shape!BE20</f>
        <v>1</v>
      </c>
      <c r="BU22" s="54"/>
      <c r="BV22" s="54"/>
      <c r="BW22" s="54"/>
      <c r="BX22" s="54"/>
      <c r="BY22" s="54"/>
      <c r="BZ22" s="54"/>
      <c r="CA22" s="54"/>
      <c r="CB22" s="54"/>
      <c r="CC22" s="54"/>
      <c r="CD22" s="54"/>
    </row>
    <row r="23" spans="2:82" x14ac:dyDescent="0.35">
      <c r="K23" s="28"/>
      <c r="L23" s="29"/>
      <c r="N23" s="56" t="s">
        <v>17</v>
      </c>
      <c r="O23" s="60" t="s">
        <v>158</v>
      </c>
      <c r="P23" s="57" t="str">
        <f>Shape!A21</f>
        <v>0202</v>
      </c>
      <c r="Q23" s="57">
        <f>Shape!B21</f>
        <v>0</v>
      </c>
      <c r="R23" s="57">
        <f>Shape!C21</f>
        <v>0</v>
      </c>
      <c r="S23" s="57">
        <f>Shape!D21</f>
        <v>0</v>
      </c>
      <c r="T23" s="57">
        <f>Shape!E21</f>
        <v>0</v>
      </c>
      <c r="U23" s="57">
        <f>Shape!F21</f>
        <v>0</v>
      </c>
      <c r="V23" s="57">
        <f>Shape!G21</f>
        <v>2</v>
      </c>
      <c r="W23" s="57">
        <f>Shape!H21</f>
        <v>2</v>
      </c>
      <c r="X23" s="57">
        <f>Shape!I21</f>
        <v>2</v>
      </c>
      <c r="Y23" s="57">
        <f>Shape!J21</f>
        <v>2</v>
      </c>
      <c r="Z23" s="57">
        <f>Shape!K21</f>
        <v>2</v>
      </c>
      <c r="AA23" s="57">
        <f>Shape!L21</f>
        <v>2</v>
      </c>
      <c r="AB23" s="57">
        <f>Shape!M21</f>
        <v>2</v>
      </c>
      <c r="AC23" s="57">
        <f>Shape!N21</f>
        <v>2</v>
      </c>
      <c r="AD23" s="57">
        <f>Shape!O21</f>
        <v>2</v>
      </c>
      <c r="AE23" s="57">
        <f>Shape!P21</f>
        <v>2</v>
      </c>
      <c r="AF23" s="57">
        <f>Shape!Q21</f>
        <v>2</v>
      </c>
      <c r="AG23" s="57">
        <f>Shape!R21</f>
        <v>2</v>
      </c>
      <c r="AH23" s="57">
        <f>Shape!S21</f>
        <v>2</v>
      </c>
      <c r="AI23" s="57">
        <f>Shape!T21</f>
        <v>2</v>
      </c>
      <c r="AJ23" s="57">
        <f>Shape!U21</f>
        <v>2</v>
      </c>
      <c r="AK23" s="57">
        <f>Shape!V21</f>
        <v>2</v>
      </c>
      <c r="AL23" s="57">
        <f>Shape!W21</f>
        <v>2</v>
      </c>
      <c r="AM23" s="57">
        <f>Shape!X21</f>
        <v>2</v>
      </c>
      <c r="AN23" s="57">
        <f>Shape!Y21</f>
        <v>2</v>
      </c>
      <c r="AO23" s="57">
        <f>Shape!Z21</f>
        <v>2</v>
      </c>
      <c r="AP23" s="57">
        <f>Shape!AA21</f>
        <v>2</v>
      </c>
      <c r="AQ23" s="57">
        <f>Shape!AB21</f>
        <v>2</v>
      </c>
      <c r="AR23" s="57">
        <f>Shape!AC21</f>
        <v>2</v>
      </c>
      <c r="AS23" s="57">
        <f>Shape!AD21</f>
        <v>2</v>
      </c>
      <c r="AT23" s="57">
        <f>Shape!AE21</f>
        <v>2</v>
      </c>
      <c r="AU23" s="57">
        <f>Shape!AF21</f>
        <v>2</v>
      </c>
      <c r="AV23" s="57">
        <f>Shape!AG21</f>
        <v>2</v>
      </c>
      <c r="AW23" s="57">
        <f>Shape!AH21</f>
        <v>2</v>
      </c>
      <c r="AX23" s="57">
        <f>Shape!AI21</f>
        <v>2</v>
      </c>
      <c r="AY23" s="57">
        <f>Shape!AJ21</f>
        <v>2</v>
      </c>
      <c r="AZ23" s="57">
        <f>Shape!AK21</f>
        <v>2</v>
      </c>
      <c r="BA23" s="57">
        <f>Shape!AL21</f>
        <v>2</v>
      </c>
      <c r="BB23" s="57">
        <f>Shape!AM21</f>
        <v>2</v>
      </c>
      <c r="BC23" s="57">
        <f>Shape!AN21</f>
        <v>2</v>
      </c>
      <c r="BD23" s="57">
        <f>Shape!AO21</f>
        <v>2</v>
      </c>
      <c r="BE23" s="57">
        <f>Shape!AP21</f>
        <v>2</v>
      </c>
      <c r="BF23" s="57">
        <f>Shape!AQ21</f>
        <v>2</v>
      </c>
      <c r="BG23" s="57">
        <f>Shape!AR21</f>
        <v>2</v>
      </c>
      <c r="BH23" s="57">
        <f>Shape!AS21</f>
        <v>2</v>
      </c>
      <c r="BI23" s="57">
        <f>Shape!AT21</f>
        <v>2</v>
      </c>
      <c r="BJ23" s="57">
        <f>Shape!AU21</f>
        <v>2</v>
      </c>
      <c r="BK23" s="57">
        <f>Shape!AV21</f>
        <v>2</v>
      </c>
      <c r="BL23" s="57">
        <f>Shape!AW21</f>
        <v>2</v>
      </c>
      <c r="BM23" s="57">
        <f>Shape!AX21</f>
        <v>2</v>
      </c>
      <c r="BN23" s="57">
        <f>Shape!AY21</f>
        <v>2</v>
      </c>
      <c r="BO23" s="57">
        <f>Shape!AZ21</f>
        <v>2</v>
      </c>
      <c r="BP23" s="57">
        <f>Shape!BA21</f>
        <v>2</v>
      </c>
      <c r="BQ23" s="57">
        <f>Shape!BB21</f>
        <v>2</v>
      </c>
      <c r="BR23" s="57">
        <f>Shape!BC21</f>
        <v>2</v>
      </c>
      <c r="BS23" s="57">
        <f>Shape!BD21</f>
        <v>2</v>
      </c>
      <c r="BT23" s="57">
        <f>Shape!BE21</f>
        <v>2</v>
      </c>
      <c r="BU23" s="54"/>
      <c r="BV23" s="54"/>
      <c r="BW23" s="54"/>
      <c r="BX23" s="54"/>
      <c r="BY23" s="54"/>
      <c r="BZ23" s="54"/>
      <c r="CA23" s="54"/>
      <c r="CB23" s="54"/>
      <c r="CC23" s="54"/>
      <c r="CD23" s="54"/>
    </row>
    <row r="24" spans="2:82" x14ac:dyDescent="0.35">
      <c r="K24" s="28"/>
      <c r="L24" s="29"/>
      <c r="N24" s="56" t="s">
        <v>18</v>
      </c>
      <c r="O24" s="60" t="s">
        <v>159</v>
      </c>
      <c r="P24" s="57" t="str">
        <f>Shape!A22</f>
        <v>0203</v>
      </c>
      <c r="Q24" s="57">
        <f>Shape!B22</f>
        <v>0</v>
      </c>
      <c r="R24" s="57">
        <f>Shape!C22</f>
        <v>0</v>
      </c>
      <c r="S24" s="57">
        <f>Shape!D22</f>
        <v>0</v>
      </c>
      <c r="T24" s="57">
        <f>Shape!E22</f>
        <v>0</v>
      </c>
      <c r="U24" s="57">
        <f>Shape!F22</f>
        <v>0</v>
      </c>
      <c r="V24" s="57">
        <f>Shape!G22</f>
        <v>1</v>
      </c>
      <c r="W24" s="57">
        <f>Shape!H22</f>
        <v>1</v>
      </c>
      <c r="X24" s="57">
        <f>Shape!I22</f>
        <v>1</v>
      </c>
      <c r="Y24" s="57">
        <f>Shape!J22</f>
        <v>1</v>
      </c>
      <c r="Z24" s="57">
        <f>Shape!K22</f>
        <v>1</v>
      </c>
      <c r="AA24" s="57">
        <f>Shape!L22</f>
        <v>1</v>
      </c>
      <c r="AB24" s="57">
        <f>Shape!M22</f>
        <v>1</v>
      </c>
      <c r="AC24" s="57">
        <f>Shape!N22</f>
        <v>1</v>
      </c>
      <c r="AD24" s="57">
        <f>Shape!O22</f>
        <v>1</v>
      </c>
      <c r="AE24" s="57">
        <f>Shape!P22</f>
        <v>1</v>
      </c>
      <c r="AF24" s="57">
        <f>Shape!Q22</f>
        <v>1</v>
      </c>
      <c r="AG24" s="57">
        <f>Shape!R22</f>
        <v>1</v>
      </c>
      <c r="AH24" s="57">
        <f>Shape!S22</f>
        <v>1</v>
      </c>
      <c r="AI24" s="57">
        <f>Shape!T22</f>
        <v>1</v>
      </c>
      <c r="AJ24" s="57">
        <f>Shape!U22</f>
        <v>1</v>
      </c>
      <c r="AK24" s="57">
        <f>Shape!V22</f>
        <v>1</v>
      </c>
      <c r="AL24" s="57">
        <f>Shape!W22</f>
        <v>1</v>
      </c>
      <c r="AM24" s="57">
        <f>Shape!X22</f>
        <v>1</v>
      </c>
      <c r="AN24" s="57">
        <f>Shape!Y22</f>
        <v>1</v>
      </c>
      <c r="AO24" s="57">
        <f>Shape!Z22</f>
        <v>1</v>
      </c>
      <c r="AP24" s="57">
        <f>Shape!AA22</f>
        <v>1</v>
      </c>
      <c r="AQ24" s="57">
        <f>Shape!AB22</f>
        <v>1</v>
      </c>
      <c r="AR24" s="57">
        <f>Shape!AC22</f>
        <v>1</v>
      </c>
      <c r="AS24" s="57">
        <f>Shape!AD22</f>
        <v>1</v>
      </c>
      <c r="AT24" s="57">
        <f>Shape!AE22</f>
        <v>1</v>
      </c>
      <c r="AU24" s="57">
        <f>Shape!AF22</f>
        <v>1</v>
      </c>
      <c r="AV24" s="57">
        <f>Shape!AG22</f>
        <v>1</v>
      </c>
      <c r="AW24" s="57">
        <f>Shape!AH22</f>
        <v>1</v>
      </c>
      <c r="AX24" s="57">
        <f>Shape!AI22</f>
        <v>1</v>
      </c>
      <c r="AY24" s="57">
        <f>Shape!AJ22</f>
        <v>1</v>
      </c>
      <c r="AZ24" s="57">
        <f>Shape!AK22</f>
        <v>1</v>
      </c>
      <c r="BA24" s="57">
        <f>Shape!AL22</f>
        <v>1</v>
      </c>
      <c r="BB24" s="57">
        <f>Shape!AM22</f>
        <v>1</v>
      </c>
      <c r="BC24" s="57">
        <f>Shape!AN22</f>
        <v>1</v>
      </c>
      <c r="BD24" s="57">
        <f>Shape!AO22</f>
        <v>1</v>
      </c>
      <c r="BE24" s="57">
        <f>Shape!AP22</f>
        <v>1</v>
      </c>
      <c r="BF24" s="57">
        <f>Shape!AQ22</f>
        <v>1</v>
      </c>
      <c r="BG24" s="57">
        <f>Shape!AR22</f>
        <v>1</v>
      </c>
      <c r="BH24" s="57">
        <f>Shape!AS22</f>
        <v>1</v>
      </c>
      <c r="BI24" s="57">
        <f>Shape!AT22</f>
        <v>1</v>
      </c>
      <c r="BJ24" s="57">
        <f>Shape!AU22</f>
        <v>1</v>
      </c>
      <c r="BK24" s="57">
        <f>Shape!AV22</f>
        <v>1</v>
      </c>
      <c r="BL24" s="57">
        <f>Shape!AW22</f>
        <v>1</v>
      </c>
      <c r="BM24" s="57">
        <f>Shape!AX22</f>
        <v>1</v>
      </c>
      <c r="BN24" s="57">
        <f>Shape!AY22</f>
        <v>1</v>
      </c>
      <c r="BO24" s="57">
        <f>Shape!AZ22</f>
        <v>1</v>
      </c>
      <c r="BP24" s="57">
        <f>Shape!BA22</f>
        <v>1</v>
      </c>
      <c r="BQ24" s="57">
        <f>Shape!BB22</f>
        <v>1</v>
      </c>
      <c r="BR24" s="57">
        <f>Shape!BC22</f>
        <v>1</v>
      </c>
      <c r="BS24" s="57">
        <f>Shape!BD22</f>
        <v>1</v>
      </c>
      <c r="BT24" s="57">
        <f>Shape!BE22</f>
        <v>1</v>
      </c>
      <c r="BU24" s="54"/>
      <c r="BV24" s="54"/>
      <c r="BW24" s="54"/>
      <c r="BX24" s="54"/>
      <c r="BY24" s="54"/>
      <c r="BZ24" s="54"/>
      <c r="CA24" s="54"/>
      <c r="CB24" s="54"/>
      <c r="CC24" s="54"/>
      <c r="CD24" s="54"/>
    </row>
    <row r="25" spans="2:82" x14ac:dyDescent="0.35">
      <c r="K25" s="28"/>
      <c r="L25" s="29"/>
      <c r="N25" s="56" t="s">
        <v>19</v>
      </c>
      <c r="O25" s="60" t="s">
        <v>102</v>
      </c>
      <c r="P25" s="57" t="str">
        <f>Shape!A23</f>
        <v>0204</v>
      </c>
      <c r="Q25" s="57">
        <f>Shape!B23</f>
        <v>0</v>
      </c>
      <c r="R25" s="57">
        <f>Shape!C23</f>
        <v>0</v>
      </c>
      <c r="S25" s="57">
        <f>Shape!D23</f>
        <v>0</v>
      </c>
      <c r="T25" s="57">
        <f>Shape!E23</f>
        <v>0</v>
      </c>
      <c r="U25" s="57">
        <f>Shape!F23</f>
        <v>0</v>
      </c>
      <c r="V25" s="57">
        <f>Shape!G23</f>
        <v>1</v>
      </c>
      <c r="W25" s="57">
        <f>Shape!H23</f>
        <v>1</v>
      </c>
      <c r="X25" s="57">
        <f>Shape!I23</f>
        <v>1</v>
      </c>
      <c r="Y25" s="57">
        <f>Shape!J23</f>
        <v>1</v>
      </c>
      <c r="Z25" s="57">
        <f>Shape!K23</f>
        <v>1</v>
      </c>
      <c r="AA25" s="57">
        <f>Shape!L23</f>
        <v>1</v>
      </c>
      <c r="AB25" s="57">
        <f>Shape!M23</f>
        <v>1</v>
      </c>
      <c r="AC25" s="57">
        <f>Shape!N23</f>
        <v>1</v>
      </c>
      <c r="AD25" s="57">
        <f>Shape!O23</f>
        <v>1</v>
      </c>
      <c r="AE25" s="57">
        <f>Shape!P23</f>
        <v>1</v>
      </c>
      <c r="AF25" s="57">
        <f>Shape!Q23</f>
        <v>1</v>
      </c>
      <c r="AG25" s="57">
        <f>Shape!R23</f>
        <v>1</v>
      </c>
      <c r="AH25" s="57">
        <f>Shape!S23</f>
        <v>1</v>
      </c>
      <c r="AI25" s="57">
        <f>Shape!T23</f>
        <v>1</v>
      </c>
      <c r="AJ25" s="57">
        <f>Shape!U23</f>
        <v>1</v>
      </c>
      <c r="AK25" s="57">
        <f>Shape!V23</f>
        <v>1</v>
      </c>
      <c r="AL25" s="57">
        <f>Shape!W23</f>
        <v>1</v>
      </c>
      <c r="AM25" s="57">
        <f>Shape!X23</f>
        <v>1</v>
      </c>
      <c r="AN25" s="57">
        <f>Shape!Y23</f>
        <v>1</v>
      </c>
      <c r="AO25" s="57">
        <f>Shape!Z23</f>
        <v>1</v>
      </c>
      <c r="AP25" s="57">
        <f>Shape!AA23</f>
        <v>1</v>
      </c>
      <c r="AQ25" s="57">
        <f>Shape!AB23</f>
        <v>1</v>
      </c>
      <c r="AR25" s="57">
        <f>Shape!AC23</f>
        <v>1</v>
      </c>
      <c r="AS25" s="57">
        <f>Shape!AD23</f>
        <v>1</v>
      </c>
      <c r="AT25" s="57">
        <f>Shape!AE23</f>
        <v>1</v>
      </c>
      <c r="AU25" s="57">
        <f>Shape!AF23</f>
        <v>1</v>
      </c>
      <c r="AV25" s="57">
        <f>Shape!AG23</f>
        <v>1</v>
      </c>
      <c r="AW25" s="57">
        <f>Shape!AH23</f>
        <v>1</v>
      </c>
      <c r="AX25" s="57">
        <f>Shape!AI23</f>
        <v>1</v>
      </c>
      <c r="AY25" s="57">
        <f>Shape!AJ23</f>
        <v>1</v>
      </c>
      <c r="AZ25" s="57">
        <f>Shape!AK23</f>
        <v>1</v>
      </c>
      <c r="BA25" s="57">
        <f>Shape!AL23</f>
        <v>1</v>
      </c>
      <c r="BB25" s="57">
        <f>Shape!AM23</f>
        <v>1</v>
      </c>
      <c r="BC25" s="57">
        <f>Shape!AN23</f>
        <v>1</v>
      </c>
      <c r="BD25" s="57">
        <f>Shape!AO23</f>
        <v>1</v>
      </c>
      <c r="BE25" s="57">
        <f>Shape!AP23</f>
        <v>1</v>
      </c>
      <c r="BF25" s="57">
        <f>Shape!AQ23</f>
        <v>1</v>
      </c>
      <c r="BG25" s="57">
        <f>Shape!AR23</f>
        <v>1</v>
      </c>
      <c r="BH25" s="57">
        <f>Shape!AS23</f>
        <v>1</v>
      </c>
      <c r="BI25" s="57">
        <f>Shape!AT23</f>
        <v>1</v>
      </c>
      <c r="BJ25" s="57">
        <f>Shape!AU23</f>
        <v>1</v>
      </c>
      <c r="BK25" s="57">
        <f>Shape!AV23</f>
        <v>1</v>
      </c>
      <c r="BL25" s="57">
        <f>Shape!AW23</f>
        <v>1</v>
      </c>
      <c r="BM25" s="57">
        <f>Shape!AX23</f>
        <v>1</v>
      </c>
      <c r="BN25" s="57">
        <f>Shape!AY23</f>
        <v>1</v>
      </c>
      <c r="BO25" s="57">
        <f>Shape!AZ23</f>
        <v>1</v>
      </c>
      <c r="BP25" s="57">
        <f>Shape!BA23</f>
        <v>1</v>
      </c>
      <c r="BQ25" s="57">
        <f>Shape!BB23</f>
        <v>1</v>
      </c>
      <c r="BR25" s="57">
        <f>Shape!BC23</f>
        <v>1</v>
      </c>
      <c r="BS25" s="57">
        <f>Shape!BD23</f>
        <v>1</v>
      </c>
      <c r="BT25" s="57">
        <f>Shape!BE23</f>
        <v>1</v>
      </c>
      <c r="BU25" s="54"/>
      <c r="BV25" s="54"/>
      <c r="BW25" s="54"/>
      <c r="BX25" s="54"/>
      <c r="BY25" s="54"/>
      <c r="BZ25" s="54"/>
      <c r="CA25" s="54"/>
      <c r="CB25" s="54"/>
      <c r="CC25" s="54"/>
      <c r="CD25" s="54"/>
    </row>
    <row r="26" spans="2:82" x14ac:dyDescent="0.35">
      <c r="K26" s="28"/>
      <c r="L26" s="29"/>
      <c r="N26" s="56" t="s">
        <v>20</v>
      </c>
      <c r="O26" s="60" t="s">
        <v>138</v>
      </c>
      <c r="P26" s="57" t="str">
        <f>Shape!A24</f>
        <v>0205</v>
      </c>
      <c r="Q26" s="57">
        <f>Shape!B24</f>
        <v>0</v>
      </c>
      <c r="R26" s="57">
        <f>Shape!C24</f>
        <v>0</v>
      </c>
      <c r="S26" s="57">
        <f>Shape!D24</f>
        <v>0</v>
      </c>
      <c r="T26" s="57">
        <f>Shape!E24</f>
        <v>0</v>
      </c>
      <c r="U26" s="57">
        <f>Shape!F24</f>
        <v>0</v>
      </c>
      <c r="V26" s="57">
        <f>Shape!G24</f>
        <v>1</v>
      </c>
      <c r="W26" s="57">
        <f>Shape!H24</f>
        <v>1</v>
      </c>
      <c r="X26" s="57">
        <f>Shape!I24</f>
        <v>1</v>
      </c>
      <c r="Y26" s="57">
        <f>Shape!J24</f>
        <v>1</v>
      </c>
      <c r="Z26" s="57">
        <f>Shape!K24</f>
        <v>1</v>
      </c>
      <c r="AA26" s="57">
        <f>Shape!L24</f>
        <v>1</v>
      </c>
      <c r="AB26" s="57">
        <f>Shape!M24</f>
        <v>1</v>
      </c>
      <c r="AC26" s="57">
        <f>Shape!N24</f>
        <v>1</v>
      </c>
      <c r="AD26" s="57">
        <f>Shape!O24</f>
        <v>1</v>
      </c>
      <c r="AE26" s="57">
        <f>Shape!P24</f>
        <v>1</v>
      </c>
      <c r="AF26" s="57">
        <f>Shape!Q24</f>
        <v>1</v>
      </c>
      <c r="AG26" s="57">
        <f>Shape!R24</f>
        <v>1</v>
      </c>
      <c r="AH26" s="57">
        <f>Shape!S24</f>
        <v>1</v>
      </c>
      <c r="AI26" s="57">
        <f>Shape!T24</f>
        <v>1</v>
      </c>
      <c r="AJ26" s="57">
        <f>Shape!U24</f>
        <v>1</v>
      </c>
      <c r="AK26" s="57">
        <f>Shape!V24</f>
        <v>1</v>
      </c>
      <c r="AL26" s="57">
        <f>Shape!W24</f>
        <v>1</v>
      </c>
      <c r="AM26" s="57">
        <f>Shape!X24</f>
        <v>1</v>
      </c>
      <c r="AN26" s="57">
        <f>Shape!Y24</f>
        <v>1</v>
      </c>
      <c r="AO26" s="57">
        <f>Shape!Z24</f>
        <v>1</v>
      </c>
      <c r="AP26" s="57">
        <f>Shape!AA24</f>
        <v>1</v>
      </c>
      <c r="AQ26" s="57">
        <f>Shape!AB24</f>
        <v>1</v>
      </c>
      <c r="AR26" s="57">
        <f>Shape!AC24</f>
        <v>1</v>
      </c>
      <c r="AS26" s="57">
        <f>Shape!AD24</f>
        <v>1</v>
      </c>
      <c r="AT26" s="57">
        <f>Shape!AE24</f>
        <v>1</v>
      </c>
      <c r="AU26" s="57">
        <f>Shape!AF24</f>
        <v>1</v>
      </c>
      <c r="AV26" s="57">
        <f>Shape!AG24</f>
        <v>1</v>
      </c>
      <c r="AW26" s="57">
        <f>Shape!AH24</f>
        <v>1</v>
      </c>
      <c r="AX26" s="57">
        <f>Shape!AI24</f>
        <v>1</v>
      </c>
      <c r="AY26" s="57">
        <f>Shape!AJ24</f>
        <v>1</v>
      </c>
      <c r="AZ26" s="57">
        <f>Shape!AK24</f>
        <v>1</v>
      </c>
      <c r="BA26" s="57">
        <f>Shape!AL24</f>
        <v>1</v>
      </c>
      <c r="BB26" s="57">
        <f>Shape!AM24</f>
        <v>1</v>
      </c>
      <c r="BC26" s="57">
        <f>Shape!AN24</f>
        <v>1</v>
      </c>
      <c r="BD26" s="57">
        <f>Shape!AO24</f>
        <v>1</v>
      </c>
      <c r="BE26" s="57">
        <f>Shape!AP24</f>
        <v>1</v>
      </c>
      <c r="BF26" s="57">
        <f>Shape!AQ24</f>
        <v>1</v>
      </c>
      <c r="BG26" s="57">
        <f>Shape!AR24</f>
        <v>1</v>
      </c>
      <c r="BH26" s="57">
        <f>Shape!AS24</f>
        <v>1</v>
      </c>
      <c r="BI26" s="57">
        <f>Shape!AT24</f>
        <v>1</v>
      </c>
      <c r="BJ26" s="57">
        <f>Shape!AU24</f>
        <v>1</v>
      </c>
      <c r="BK26" s="57">
        <f>Shape!AV24</f>
        <v>1</v>
      </c>
      <c r="BL26" s="57">
        <f>Shape!AW24</f>
        <v>1</v>
      </c>
      <c r="BM26" s="57">
        <f>Shape!AX24</f>
        <v>1</v>
      </c>
      <c r="BN26" s="57">
        <f>Shape!AY24</f>
        <v>1</v>
      </c>
      <c r="BO26" s="57">
        <f>Shape!AZ24</f>
        <v>1</v>
      </c>
      <c r="BP26" s="57">
        <f>Shape!BA24</f>
        <v>1</v>
      </c>
      <c r="BQ26" s="57">
        <f>Shape!BB24</f>
        <v>1</v>
      </c>
      <c r="BR26" s="57">
        <f>Shape!BC24</f>
        <v>1</v>
      </c>
      <c r="BS26" s="57">
        <f>Shape!BD24</f>
        <v>1</v>
      </c>
      <c r="BT26" s="57">
        <f>Shape!BE24</f>
        <v>1</v>
      </c>
      <c r="BU26" s="54"/>
      <c r="BV26" s="54"/>
      <c r="BW26" s="54"/>
      <c r="BX26" s="54"/>
      <c r="BY26" s="54"/>
      <c r="BZ26" s="54"/>
      <c r="CA26" s="54"/>
      <c r="CB26" s="54"/>
      <c r="CC26" s="54"/>
      <c r="CD26" s="54"/>
    </row>
    <row r="27" spans="2:82" x14ac:dyDescent="0.35">
      <c r="K27" s="28"/>
      <c r="L27" s="29"/>
      <c r="N27" s="56" t="s">
        <v>21</v>
      </c>
      <c r="O27" s="60" t="s">
        <v>139</v>
      </c>
      <c r="P27" s="57" t="str">
        <f>Shape!A25</f>
        <v>0301</v>
      </c>
      <c r="Q27" s="57">
        <f>Shape!B25</f>
        <v>0</v>
      </c>
      <c r="R27" s="57">
        <f>Shape!C25</f>
        <v>0</v>
      </c>
      <c r="S27" s="57">
        <f>Shape!D25</f>
        <v>0</v>
      </c>
      <c r="T27" s="57">
        <f>Shape!E25</f>
        <v>0</v>
      </c>
      <c r="U27" s="57">
        <f>Shape!F25</f>
        <v>0</v>
      </c>
      <c r="V27" s="57">
        <f>Shape!G25</f>
        <v>1</v>
      </c>
      <c r="W27" s="57">
        <f>Shape!H25</f>
        <v>1</v>
      </c>
      <c r="X27" s="57">
        <f>Shape!I25</f>
        <v>1</v>
      </c>
      <c r="Y27" s="57">
        <f>Shape!J25</f>
        <v>1</v>
      </c>
      <c r="Z27" s="57">
        <f>Shape!K25</f>
        <v>1</v>
      </c>
      <c r="AA27" s="57">
        <f>Shape!L25</f>
        <v>1</v>
      </c>
      <c r="AB27" s="57">
        <f>Shape!M25</f>
        <v>1</v>
      </c>
      <c r="AC27" s="57">
        <f>Shape!N25</f>
        <v>1</v>
      </c>
      <c r="AD27" s="57">
        <f>Shape!O25</f>
        <v>1</v>
      </c>
      <c r="AE27" s="57">
        <f>Shape!P25</f>
        <v>1</v>
      </c>
      <c r="AF27" s="57">
        <f>Shape!Q25</f>
        <v>1</v>
      </c>
      <c r="AG27" s="57">
        <f>Shape!R25</f>
        <v>1</v>
      </c>
      <c r="AH27" s="57">
        <f>Shape!S25</f>
        <v>1</v>
      </c>
      <c r="AI27" s="57">
        <f>Shape!T25</f>
        <v>1</v>
      </c>
      <c r="AJ27" s="57">
        <f>Shape!U25</f>
        <v>1</v>
      </c>
      <c r="AK27" s="57">
        <f>Shape!V25</f>
        <v>1</v>
      </c>
      <c r="AL27" s="57">
        <f>Shape!W25</f>
        <v>1</v>
      </c>
      <c r="AM27" s="57">
        <f>Shape!X25</f>
        <v>1</v>
      </c>
      <c r="AN27" s="57">
        <f>Shape!Y25</f>
        <v>1</v>
      </c>
      <c r="AO27" s="57">
        <f>Shape!Z25</f>
        <v>1</v>
      </c>
      <c r="AP27" s="57">
        <f>Shape!AA25</f>
        <v>1</v>
      </c>
      <c r="AQ27" s="57">
        <f>Shape!AB25</f>
        <v>1</v>
      </c>
      <c r="AR27" s="57">
        <f>Shape!AC25</f>
        <v>1</v>
      </c>
      <c r="AS27" s="57">
        <f>Shape!AD25</f>
        <v>1</v>
      </c>
      <c r="AT27" s="57">
        <f>Shape!AE25</f>
        <v>1</v>
      </c>
      <c r="AU27" s="57">
        <f>Shape!AF25</f>
        <v>1</v>
      </c>
      <c r="AV27" s="57">
        <f>Shape!AG25</f>
        <v>1</v>
      </c>
      <c r="AW27" s="57">
        <f>Shape!AH25</f>
        <v>1</v>
      </c>
      <c r="AX27" s="57">
        <f>Shape!AI25</f>
        <v>1</v>
      </c>
      <c r="AY27" s="57">
        <f>Shape!AJ25</f>
        <v>1</v>
      </c>
      <c r="AZ27" s="57">
        <f>Shape!AK25</f>
        <v>1</v>
      </c>
      <c r="BA27" s="57">
        <f>Shape!AL25</f>
        <v>1</v>
      </c>
      <c r="BB27" s="57">
        <f>Shape!AM25</f>
        <v>1</v>
      </c>
      <c r="BC27" s="57">
        <f>Shape!AN25</f>
        <v>1</v>
      </c>
      <c r="BD27" s="57">
        <f>Shape!AO25</f>
        <v>1</v>
      </c>
      <c r="BE27" s="57">
        <f>Shape!AP25</f>
        <v>1</v>
      </c>
      <c r="BF27" s="57">
        <f>Shape!AQ25</f>
        <v>1</v>
      </c>
      <c r="BG27" s="57">
        <f>Shape!AR25</f>
        <v>1</v>
      </c>
      <c r="BH27" s="57">
        <f>Shape!AS25</f>
        <v>1</v>
      </c>
      <c r="BI27" s="57">
        <f>Shape!AT25</f>
        <v>1</v>
      </c>
      <c r="BJ27" s="57">
        <f>Shape!AU25</f>
        <v>1</v>
      </c>
      <c r="BK27" s="57">
        <f>Shape!AV25</f>
        <v>1</v>
      </c>
      <c r="BL27" s="57">
        <f>Shape!AW25</f>
        <v>1</v>
      </c>
      <c r="BM27" s="57">
        <f>Shape!AX25</f>
        <v>1</v>
      </c>
      <c r="BN27" s="57">
        <f>Shape!AY25</f>
        <v>1</v>
      </c>
      <c r="BO27" s="57">
        <f>Shape!AZ25</f>
        <v>1</v>
      </c>
      <c r="BP27" s="57">
        <f>Shape!BA25</f>
        <v>1</v>
      </c>
      <c r="BQ27" s="57">
        <f>Shape!BB25</f>
        <v>1</v>
      </c>
      <c r="BR27" s="57">
        <f>Shape!BC25</f>
        <v>1</v>
      </c>
      <c r="BS27" s="57">
        <f>Shape!BD25</f>
        <v>1</v>
      </c>
      <c r="BT27" s="57">
        <f>Shape!BE25</f>
        <v>1</v>
      </c>
      <c r="BU27" s="54"/>
      <c r="BV27" s="54"/>
      <c r="BW27" s="54"/>
      <c r="BX27" s="54"/>
      <c r="BY27" s="54"/>
      <c r="BZ27" s="54"/>
      <c r="CA27" s="54"/>
      <c r="CB27" s="54"/>
      <c r="CC27" s="54"/>
      <c r="CD27" s="54"/>
    </row>
    <row r="28" spans="2:82" x14ac:dyDescent="0.35">
      <c r="K28" s="28"/>
      <c r="L28" s="29"/>
      <c r="N28" s="56" t="s">
        <v>22</v>
      </c>
      <c r="O28" s="60" t="s">
        <v>103</v>
      </c>
      <c r="P28" s="57" t="str">
        <f>Shape!A26</f>
        <v>0302</v>
      </c>
      <c r="Q28" s="57">
        <f>Shape!B26</f>
        <v>0</v>
      </c>
      <c r="R28" s="57">
        <f>Shape!C26</f>
        <v>0</v>
      </c>
      <c r="S28" s="57">
        <f>Shape!D26</f>
        <v>0</v>
      </c>
      <c r="T28" s="57">
        <f>Shape!E26</f>
        <v>0</v>
      </c>
      <c r="U28" s="57">
        <f>Shape!F26</f>
        <v>0</v>
      </c>
      <c r="V28" s="57">
        <f>Shape!G26</f>
        <v>1</v>
      </c>
      <c r="W28" s="57">
        <f>Shape!H26</f>
        <v>1</v>
      </c>
      <c r="X28" s="57">
        <f>Shape!I26</f>
        <v>1</v>
      </c>
      <c r="Y28" s="57">
        <f>Shape!J26</f>
        <v>1</v>
      </c>
      <c r="Z28" s="57">
        <f>Shape!K26</f>
        <v>1</v>
      </c>
      <c r="AA28" s="57">
        <f>Shape!L26</f>
        <v>1</v>
      </c>
      <c r="AB28" s="57">
        <f>Shape!M26</f>
        <v>1</v>
      </c>
      <c r="AC28" s="57">
        <f>Shape!N26</f>
        <v>1</v>
      </c>
      <c r="AD28" s="57">
        <f>Shape!O26</f>
        <v>1</v>
      </c>
      <c r="AE28" s="57">
        <f>Shape!P26</f>
        <v>1</v>
      </c>
      <c r="AF28" s="57">
        <f>Shape!Q26</f>
        <v>1</v>
      </c>
      <c r="AG28" s="57">
        <f>Shape!R26</f>
        <v>1</v>
      </c>
      <c r="AH28" s="57">
        <f>Shape!S26</f>
        <v>1</v>
      </c>
      <c r="AI28" s="57">
        <f>Shape!T26</f>
        <v>1</v>
      </c>
      <c r="AJ28" s="57">
        <f>Shape!U26</f>
        <v>1</v>
      </c>
      <c r="AK28" s="57">
        <f>Shape!V26</f>
        <v>1</v>
      </c>
      <c r="AL28" s="57">
        <f>Shape!W26</f>
        <v>1</v>
      </c>
      <c r="AM28" s="57">
        <f>Shape!X26</f>
        <v>1</v>
      </c>
      <c r="AN28" s="57">
        <f>Shape!Y26</f>
        <v>1</v>
      </c>
      <c r="AO28" s="57">
        <f>Shape!Z26</f>
        <v>1</v>
      </c>
      <c r="AP28" s="57">
        <f>Shape!AA26</f>
        <v>1</v>
      </c>
      <c r="AQ28" s="57">
        <f>Shape!AB26</f>
        <v>1</v>
      </c>
      <c r="AR28" s="57">
        <f>Shape!AC26</f>
        <v>1</v>
      </c>
      <c r="AS28" s="57">
        <f>Shape!AD26</f>
        <v>1</v>
      </c>
      <c r="AT28" s="57">
        <f>Shape!AE26</f>
        <v>1</v>
      </c>
      <c r="AU28" s="57">
        <f>Shape!AF26</f>
        <v>1</v>
      </c>
      <c r="AV28" s="57">
        <f>Shape!AG26</f>
        <v>1</v>
      </c>
      <c r="AW28" s="57">
        <f>Shape!AH26</f>
        <v>1</v>
      </c>
      <c r="AX28" s="57">
        <f>Shape!AI26</f>
        <v>1</v>
      </c>
      <c r="AY28" s="57">
        <f>Shape!AJ26</f>
        <v>1</v>
      </c>
      <c r="AZ28" s="57">
        <f>Shape!AK26</f>
        <v>1</v>
      </c>
      <c r="BA28" s="57">
        <f>Shape!AL26</f>
        <v>1</v>
      </c>
      <c r="BB28" s="57">
        <f>Shape!AM26</f>
        <v>1</v>
      </c>
      <c r="BC28" s="57">
        <f>Shape!AN26</f>
        <v>1</v>
      </c>
      <c r="BD28" s="57">
        <f>Shape!AO26</f>
        <v>1</v>
      </c>
      <c r="BE28" s="57">
        <f>Shape!AP26</f>
        <v>1</v>
      </c>
      <c r="BF28" s="57">
        <f>Shape!AQ26</f>
        <v>1</v>
      </c>
      <c r="BG28" s="57">
        <f>Shape!AR26</f>
        <v>1</v>
      </c>
      <c r="BH28" s="57">
        <f>Shape!AS26</f>
        <v>1</v>
      </c>
      <c r="BI28" s="57">
        <f>Shape!AT26</f>
        <v>1</v>
      </c>
      <c r="BJ28" s="57">
        <f>Shape!AU26</f>
        <v>1</v>
      </c>
      <c r="BK28" s="57">
        <f>Shape!AV26</f>
        <v>1</v>
      </c>
      <c r="BL28" s="57">
        <f>Shape!AW26</f>
        <v>1</v>
      </c>
      <c r="BM28" s="57">
        <f>Shape!AX26</f>
        <v>1</v>
      </c>
      <c r="BN28" s="57">
        <f>Shape!AY26</f>
        <v>1</v>
      </c>
      <c r="BO28" s="57">
        <f>Shape!AZ26</f>
        <v>1</v>
      </c>
      <c r="BP28" s="57">
        <f>Shape!BA26</f>
        <v>1</v>
      </c>
      <c r="BQ28" s="57">
        <f>Shape!BB26</f>
        <v>1</v>
      </c>
      <c r="BR28" s="57">
        <f>Shape!BC26</f>
        <v>1</v>
      </c>
      <c r="BS28" s="57">
        <f>Shape!BD26</f>
        <v>1</v>
      </c>
      <c r="BT28" s="57">
        <f>Shape!BE26</f>
        <v>1</v>
      </c>
      <c r="BU28" s="54"/>
      <c r="BV28" s="54"/>
      <c r="BW28" s="54"/>
      <c r="BX28" s="54"/>
      <c r="BY28" s="54"/>
      <c r="BZ28" s="54"/>
      <c r="CA28" s="54"/>
      <c r="CB28" s="54"/>
      <c r="CC28" s="54"/>
      <c r="CD28" s="54"/>
    </row>
    <row r="29" spans="2:82" x14ac:dyDescent="0.35">
      <c r="K29" s="28"/>
      <c r="L29" s="29"/>
      <c r="N29" s="56" t="s">
        <v>23</v>
      </c>
      <c r="O29" s="60" t="s">
        <v>104</v>
      </c>
      <c r="P29" s="57" t="str">
        <f>Shape!A27</f>
        <v>0303</v>
      </c>
      <c r="Q29" s="57">
        <f>Shape!B27</f>
        <v>0</v>
      </c>
      <c r="R29" s="57">
        <f>Shape!C27</f>
        <v>0</v>
      </c>
      <c r="S29" s="57">
        <f>Shape!D27</f>
        <v>0</v>
      </c>
      <c r="T29" s="57">
        <f>Shape!E27</f>
        <v>0</v>
      </c>
      <c r="U29" s="57">
        <f>Shape!F27</f>
        <v>0</v>
      </c>
      <c r="V29" s="57">
        <f>Shape!G27</f>
        <v>1</v>
      </c>
      <c r="W29" s="57">
        <f>Shape!H27</f>
        <v>1</v>
      </c>
      <c r="X29" s="57">
        <f>Shape!I27</f>
        <v>1</v>
      </c>
      <c r="Y29" s="57">
        <f>Shape!J27</f>
        <v>1</v>
      </c>
      <c r="Z29" s="57">
        <f>Shape!K27</f>
        <v>1</v>
      </c>
      <c r="AA29" s="57">
        <f>Shape!L27</f>
        <v>1</v>
      </c>
      <c r="AB29" s="57">
        <f>Shape!M27</f>
        <v>1</v>
      </c>
      <c r="AC29" s="57">
        <f>Shape!N27</f>
        <v>1</v>
      </c>
      <c r="AD29" s="57">
        <f>Shape!O27</f>
        <v>1</v>
      </c>
      <c r="AE29" s="57">
        <f>Shape!P27</f>
        <v>1</v>
      </c>
      <c r="AF29" s="57">
        <f>Shape!Q27</f>
        <v>1</v>
      </c>
      <c r="AG29" s="57">
        <f>Shape!R27</f>
        <v>1</v>
      </c>
      <c r="AH29" s="57">
        <f>Shape!S27</f>
        <v>1</v>
      </c>
      <c r="AI29" s="57">
        <f>Shape!T27</f>
        <v>1</v>
      </c>
      <c r="AJ29" s="57">
        <f>Shape!U27</f>
        <v>1</v>
      </c>
      <c r="AK29" s="57">
        <f>Shape!V27</f>
        <v>1</v>
      </c>
      <c r="AL29" s="57">
        <f>Shape!W27</f>
        <v>1</v>
      </c>
      <c r="AM29" s="57">
        <f>Shape!X27</f>
        <v>1</v>
      </c>
      <c r="AN29" s="57">
        <f>Shape!Y27</f>
        <v>1</v>
      </c>
      <c r="AO29" s="57">
        <f>Shape!Z27</f>
        <v>1</v>
      </c>
      <c r="AP29" s="57">
        <f>Shape!AA27</f>
        <v>1</v>
      </c>
      <c r="AQ29" s="57">
        <f>Shape!AB27</f>
        <v>1</v>
      </c>
      <c r="AR29" s="57">
        <f>Shape!AC27</f>
        <v>1</v>
      </c>
      <c r="AS29" s="57">
        <f>Shape!AD27</f>
        <v>1</v>
      </c>
      <c r="AT29" s="57">
        <f>Shape!AE27</f>
        <v>1</v>
      </c>
      <c r="AU29" s="57">
        <f>Shape!AF27</f>
        <v>1</v>
      </c>
      <c r="AV29" s="57">
        <f>Shape!AG27</f>
        <v>1</v>
      </c>
      <c r="AW29" s="57">
        <f>Shape!AH27</f>
        <v>1</v>
      </c>
      <c r="AX29" s="57">
        <f>Shape!AI27</f>
        <v>1</v>
      </c>
      <c r="AY29" s="57">
        <f>Shape!AJ27</f>
        <v>1</v>
      </c>
      <c r="AZ29" s="57">
        <f>Shape!AK27</f>
        <v>1</v>
      </c>
      <c r="BA29" s="57">
        <f>Shape!AL27</f>
        <v>1</v>
      </c>
      <c r="BB29" s="57">
        <f>Shape!AM27</f>
        <v>1</v>
      </c>
      <c r="BC29" s="57">
        <f>Shape!AN27</f>
        <v>1</v>
      </c>
      <c r="BD29" s="57">
        <f>Shape!AO27</f>
        <v>1</v>
      </c>
      <c r="BE29" s="57">
        <f>Shape!AP27</f>
        <v>1</v>
      </c>
      <c r="BF29" s="57">
        <f>Shape!AQ27</f>
        <v>1</v>
      </c>
      <c r="BG29" s="57">
        <f>Shape!AR27</f>
        <v>1</v>
      </c>
      <c r="BH29" s="57">
        <f>Shape!AS27</f>
        <v>1</v>
      </c>
      <c r="BI29" s="57">
        <f>Shape!AT27</f>
        <v>1</v>
      </c>
      <c r="BJ29" s="57">
        <f>Shape!AU27</f>
        <v>1</v>
      </c>
      <c r="BK29" s="57">
        <f>Shape!AV27</f>
        <v>1</v>
      </c>
      <c r="BL29" s="57">
        <f>Shape!AW27</f>
        <v>1</v>
      </c>
      <c r="BM29" s="57">
        <f>Shape!AX27</f>
        <v>1</v>
      </c>
      <c r="BN29" s="57">
        <f>Shape!AY27</f>
        <v>1</v>
      </c>
      <c r="BO29" s="57">
        <f>Shape!AZ27</f>
        <v>1</v>
      </c>
      <c r="BP29" s="57">
        <f>Shape!BA27</f>
        <v>1</v>
      </c>
      <c r="BQ29" s="57">
        <f>Shape!BB27</f>
        <v>1</v>
      </c>
      <c r="BR29" s="57">
        <f>Shape!BC27</f>
        <v>1</v>
      </c>
      <c r="BS29" s="57">
        <f>Shape!BD27</f>
        <v>1</v>
      </c>
      <c r="BT29" s="57">
        <f>Shape!BE27</f>
        <v>1</v>
      </c>
      <c r="BU29" s="54"/>
      <c r="BV29" s="54"/>
      <c r="BW29" s="54"/>
      <c r="BX29" s="54"/>
      <c r="BY29" s="54"/>
      <c r="BZ29" s="54"/>
      <c r="CA29" s="54"/>
      <c r="CB29" s="54"/>
      <c r="CC29" s="54"/>
      <c r="CD29" s="54"/>
    </row>
    <row r="30" spans="2:82" x14ac:dyDescent="0.35">
      <c r="K30" s="28"/>
      <c r="L30" s="29"/>
      <c r="N30" s="56" t="s">
        <v>24</v>
      </c>
      <c r="O30" s="60" t="s">
        <v>140</v>
      </c>
      <c r="P30" s="57" t="str">
        <f>Shape!A28</f>
        <v>0304</v>
      </c>
      <c r="Q30" s="57">
        <f>Shape!B28</f>
        <v>0</v>
      </c>
      <c r="R30" s="57">
        <f>Shape!C28</f>
        <v>0</v>
      </c>
      <c r="S30" s="57">
        <f>Shape!D28</f>
        <v>0</v>
      </c>
      <c r="T30" s="57">
        <f>Shape!E28</f>
        <v>0</v>
      </c>
      <c r="U30" s="57">
        <f>Shape!F28</f>
        <v>0</v>
      </c>
      <c r="V30" s="57">
        <f>Shape!G28</f>
        <v>1</v>
      </c>
      <c r="W30" s="57">
        <f>Shape!H28</f>
        <v>1</v>
      </c>
      <c r="X30" s="57">
        <f>Shape!I28</f>
        <v>1</v>
      </c>
      <c r="Y30" s="57">
        <f>Shape!J28</f>
        <v>1</v>
      </c>
      <c r="Z30" s="57">
        <f>Shape!K28</f>
        <v>1</v>
      </c>
      <c r="AA30" s="57">
        <f>Shape!L28</f>
        <v>1</v>
      </c>
      <c r="AB30" s="57">
        <f>Shape!M28</f>
        <v>1</v>
      </c>
      <c r="AC30" s="57">
        <f>Shape!N28</f>
        <v>1</v>
      </c>
      <c r="AD30" s="57">
        <f>Shape!O28</f>
        <v>1</v>
      </c>
      <c r="AE30" s="57">
        <f>Shape!P28</f>
        <v>1</v>
      </c>
      <c r="AF30" s="57">
        <f>Shape!Q28</f>
        <v>1</v>
      </c>
      <c r="AG30" s="57">
        <f>Shape!R28</f>
        <v>1</v>
      </c>
      <c r="AH30" s="57">
        <f>Shape!S28</f>
        <v>1</v>
      </c>
      <c r="AI30" s="57">
        <f>Shape!T28</f>
        <v>1</v>
      </c>
      <c r="AJ30" s="57">
        <f>Shape!U28</f>
        <v>1</v>
      </c>
      <c r="AK30" s="57">
        <f>Shape!V28</f>
        <v>1</v>
      </c>
      <c r="AL30" s="57">
        <f>Shape!W28</f>
        <v>1</v>
      </c>
      <c r="AM30" s="57">
        <f>Shape!X28</f>
        <v>1</v>
      </c>
      <c r="AN30" s="57">
        <f>Shape!Y28</f>
        <v>1</v>
      </c>
      <c r="AO30" s="57">
        <f>Shape!Z28</f>
        <v>1</v>
      </c>
      <c r="AP30" s="57">
        <f>Shape!AA28</f>
        <v>1</v>
      </c>
      <c r="AQ30" s="57">
        <f>Shape!AB28</f>
        <v>1</v>
      </c>
      <c r="AR30" s="57">
        <f>Shape!AC28</f>
        <v>1</v>
      </c>
      <c r="AS30" s="57">
        <f>Shape!AD28</f>
        <v>1</v>
      </c>
      <c r="AT30" s="57">
        <f>Shape!AE28</f>
        <v>1</v>
      </c>
      <c r="AU30" s="57">
        <f>Shape!AF28</f>
        <v>1</v>
      </c>
      <c r="AV30" s="57">
        <f>Shape!AG28</f>
        <v>1</v>
      </c>
      <c r="AW30" s="57">
        <f>Shape!AH28</f>
        <v>1</v>
      </c>
      <c r="AX30" s="57">
        <f>Shape!AI28</f>
        <v>1</v>
      </c>
      <c r="AY30" s="57">
        <f>Shape!AJ28</f>
        <v>1</v>
      </c>
      <c r="AZ30" s="57">
        <f>Shape!AK28</f>
        <v>1</v>
      </c>
      <c r="BA30" s="57">
        <f>Shape!AL28</f>
        <v>1</v>
      </c>
      <c r="BB30" s="57">
        <f>Shape!AM28</f>
        <v>1</v>
      </c>
      <c r="BC30" s="57">
        <f>Shape!AN28</f>
        <v>1</v>
      </c>
      <c r="BD30" s="57">
        <f>Shape!AO28</f>
        <v>1</v>
      </c>
      <c r="BE30" s="57">
        <f>Shape!AP28</f>
        <v>1</v>
      </c>
      <c r="BF30" s="57">
        <f>Shape!AQ28</f>
        <v>1</v>
      </c>
      <c r="BG30" s="57">
        <f>Shape!AR28</f>
        <v>1</v>
      </c>
      <c r="BH30" s="57">
        <f>Shape!AS28</f>
        <v>1</v>
      </c>
      <c r="BI30" s="57">
        <f>Shape!AT28</f>
        <v>1</v>
      </c>
      <c r="BJ30" s="57">
        <f>Shape!AU28</f>
        <v>1</v>
      </c>
      <c r="BK30" s="57">
        <f>Shape!AV28</f>
        <v>1</v>
      </c>
      <c r="BL30" s="57">
        <f>Shape!AW28</f>
        <v>1</v>
      </c>
      <c r="BM30" s="57">
        <f>Shape!AX28</f>
        <v>1</v>
      </c>
      <c r="BN30" s="57">
        <f>Shape!AY28</f>
        <v>1</v>
      </c>
      <c r="BO30" s="57">
        <f>Shape!AZ28</f>
        <v>1</v>
      </c>
      <c r="BP30" s="57">
        <f>Shape!BA28</f>
        <v>1</v>
      </c>
      <c r="BQ30" s="57">
        <f>Shape!BB28</f>
        <v>1</v>
      </c>
      <c r="BR30" s="57">
        <f>Shape!BC28</f>
        <v>1</v>
      </c>
      <c r="BS30" s="57">
        <f>Shape!BD28</f>
        <v>1</v>
      </c>
      <c r="BT30" s="57">
        <f>Shape!BE28</f>
        <v>1</v>
      </c>
      <c r="BU30" s="54"/>
      <c r="BV30" s="54"/>
      <c r="BW30" s="54"/>
      <c r="BX30" s="54"/>
      <c r="BY30" s="54"/>
      <c r="BZ30" s="54"/>
      <c r="CA30" s="54"/>
      <c r="CB30" s="54"/>
      <c r="CC30" s="54"/>
      <c r="CD30" s="54"/>
    </row>
    <row r="31" spans="2:82" x14ac:dyDescent="0.35">
      <c r="K31" s="28"/>
      <c r="L31" s="29"/>
      <c r="N31" s="56" t="s">
        <v>25</v>
      </c>
      <c r="O31" s="60" t="s">
        <v>141</v>
      </c>
      <c r="P31" s="57" t="str">
        <f>Shape!A29</f>
        <v>0305</v>
      </c>
      <c r="Q31" s="57">
        <f>Shape!B29</f>
        <v>0</v>
      </c>
      <c r="R31" s="57">
        <f>Shape!C29</f>
        <v>0</v>
      </c>
      <c r="S31" s="57">
        <f>Shape!D29</f>
        <v>0</v>
      </c>
      <c r="T31" s="57">
        <f>Shape!E29</f>
        <v>0</v>
      </c>
      <c r="U31" s="57">
        <f>Shape!F29</f>
        <v>0</v>
      </c>
      <c r="V31" s="57">
        <f>Shape!G29</f>
        <v>1</v>
      </c>
      <c r="W31" s="57">
        <f>Shape!H29</f>
        <v>1</v>
      </c>
      <c r="X31" s="57">
        <f>Shape!I29</f>
        <v>1</v>
      </c>
      <c r="Y31" s="57">
        <f>Shape!J29</f>
        <v>1</v>
      </c>
      <c r="Z31" s="57">
        <f>Shape!K29</f>
        <v>1</v>
      </c>
      <c r="AA31" s="57">
        <f>Shape!L29</f>
        <v>1</v>
      </c>
      <c r="AB31" s="57">
        <f>Shape!M29</f>
        <v>1</v>
      </c>
      <c r="AC31" s="57">
        <f>Shape!N29</f>
        <v>1</v>
      </c>
      <c r="AD31" s="57">
        <f>Shape!O29</f>
        <v>1</v>
      </c>
      <c r="AE31" s="57">
        <f>Shape!P29</f>
        <v>1</v>
      </c>
      <c r="AF31" s="57">
        <f>Shape!Q29</f>
        <v>1</v>
      </c>
      <c r="AG31" s="57">
        <f>Shape!R29</f>
        <v>1</v>
      </c>
      <c r="AH31" s="57">
        <f>Shape!S29</f>
        <v>1</v>
      </c>
      <c r="AI31" s="57">
        <f>Shape!T29</f>
        <v>1</v>
      </c>
      <c r="AJ31" s="57">
        <f>Shape!U29</f>
        <v>1</v>
      </c>
      <c r="AK31" s="57">
        <f>Shape!V29</f>
        <v>1</v>
      </c>
      <c r="AL31" s="57">
        <f>Shape!W29</f>
        <v>1</v>
      </c>
      <c r="AM31" s="57">
        <f>Shape!X29</f>
        <v>1</v>
      </c>
      <c r="AN31" s="57">
        <f>Shape!Y29</f>
        <v>1</v>
      </c>
      <c r="AO31" s="57">
        <f>Shape!Z29</f>
        <v>1</v>
      </c>
      <c r="AP31" s="57">
        <f>Shape!AA29</f>
        <v>1</v>
      </c>
      <c r="AQ31" s="57">
        <f>Shape!AB29</f>
        <v>1</v>
      </c>
      <c r="AR31" s="57">
        <f>Shape!AC29</f>
        <v>1</v>
      </c>
      <c r="AS31" s="57">
        <f>Shape!AD29</f>
        <v>1</v>
      </c>
      <c r="AT31" s="57">
        <f>Shape!AE29</f>
        <v>1</v>
      </c>
      <c r="AU31" s="57">
        <f>Shape!AF29</f>
        <v>1</v>
      </c>
      <c r="AV31" s="57">
        <f>Shape!AG29</f>
        <v>1</v>
      </c>
      <c r="AW31" s="57">
        <f>Shape!AH29</f>
        <v>1</v>
      </c>
      <c r="AX31" s="57">
        <f>Shape!AI29</f>
        <v>1</v>
      </c>
      <c r="AY31" s="57">
        <f>Shape!AJ29</f>
        <v>1</v>
      </c>
      <c r="AZ31" s="57">
        <f>Shape!AK29</f>
        <v>1</v>
      </c>
      <c r="BA31" s="57">
        <f>Shape!AL29</f>
        <v>1</v>
      </c>
      <c r="BB31" s="57">
        <f>Shape!AM29</f>
        <v>1</v>
      </c>
      <c r="BC31" s="57">
        <f>Shape!AN29</f>
        <v>1</v>
      </c>
      <c r="BD31" s="57">
        <f>Shape!AO29</f>
        <v>1</v>
      </c>
      <c r="BE31" s="57">
        <f>Shape!AP29</f>
        <v>1</v>
      </c>
      <c r="BF31" s="57">
        <f>Shape!AQ29</f>
        <v>1</v>
      </c>
      <c r="BG31" s="57">
        <f>Shape!AR29</f>
        <v>1</v>
      </c>
      <c r="BH31" s="57">
        <f>Shape!AS29</f>
        <v>1</v>
      </c>
      <c r="BI31" s="57">
        <f>Shape!AT29</f>
        <v>1</v>
      </c>
      <c r="BJ31" s="57">
        <f>Shape!AU29</f>
        <v>1</v>
      </c>
      <c r="BK31" s="57">
        <f>Shape!AV29</f>
        <v>1</v>
      </c>
      <c r="BL31" s="57">
        <f>Shape!AW29</f>
        <v>1</v>
      </c>
      <c r="BM31" s="57">
        <f>Shape!AX29</f>
        <v>1</v>
      </c>
      <c r="BN31" s="57">
        <f>Shape!AY29</f>
        <v>1</v>
      </c>
      <c r="BO31" s="57">
        <f>Shape!AZ29</f>
        <v>1</v>
      </c>
      <c r="BP31" s="57">
        <f>Shape!BA29</f>
        <v>1</v>
      </c>
      <c r="BQ31" s="57">
        <f>Shape!BB29</f>
        <v>1</v>
      </c>
      <c r="BR31" s="57">
        <f>Shape!BC29</f>
        <v>1</v>
      </c>
      <c r="BS31" s="57">
        <f>Shape!BD29</f>
        <v>1</v>
      </c>
      <c r="BT31" s="57">
        <f>Shape!BE29</f>
        <v>1</v>
      </c>
      <c r="BU31" s="54"/>
      <c r="BV31" s="54"/>
      <c r="BW31" s="54"/>
      <c r="BX31" s="54"/>
      <c r="BY31" s="54"/>
      <c r="BZ31" s="54"/>
      <c r="CA31" s="54"/>
      <c r="CB31" s="54"/>
      <c r="CC31" s="54"/>
      <c r="CD31" s="54"/>
    </row>
    <row r="32" spans="2:82" x14ac:dyDescent="0.35">
      <c r="K32" s="28"/>
      <c r="L32" s="29"/>
      <c r="N32" s="56" t="s">
        <v>26</v>
      </c>
      <c r="O32" s="60" t="s">
        <v>105</v>
      </c>
      <c r="P32" s="57" t="str">
        <f>Shape!A30</f>
        <v>0306</v>
      </c>
      <c r="Q32" s="57">
        <f>Shape!B30</f>
        <v>0</v>
      </c>
      <c r="R32" s="57">
        <f>Shape!C30</f>
        <v>0</v>
      </c>
      <c r="S32" s="57">
        <f>Shape!D30</f>
        <v>0</v>
      </c>
      <c r="T32" s="57">
        <f>Shape!E30</f>
        <v>0</v>
      </c>
      <c r="U32" s="57">
        <f>Shape!F30</f>
        <v>0</v>
      </c>
      <c r="V32" s="57">
        <f>Shape!G30</f>
        <v>1</v>
      </c>
      <c r="W32" s="57">
        <f>Shape!H30</f>
        <v>1</v>
      </c>
      <c r="X32" s="57">
        <f>Shape!I30</f>
        <v>1</v>
      </c>
      <c r="Y32" s="57">
        <f>Shape!J30</f>
        <v>1</v>
      </c>
      <c r="Z32" s="57">
        <f>Shape!K30</f>
        <v>1</v>
      </c>
      <c r="AA32" s="57">
        <f>Shape!L30</f>
        <v>1</v>
      </c>
      <c r="AB32" s="57">
        <f>Shape!M30</f>
        <v>1</v>
      </c>
      <c r="AC32" s="57">
        <f>Shape!N30</f>
        <v>1</v>
      </c>
      <c r="AD32" s="57">
        <f>Shape!O30</f>
        <v>1</v>
      </c>
      <c r="AE32" s="57">
        <f>Shape!P30</f>
        <v>1</v>
      </c>
      <c r="AF32" s="57">
        <f>Shape!Q30</f>
        <v>1</v>
      </c>
      <c r="AG32" s="57">
        <f>Shape!R30</f>
        <v>1</v>
      </c>
      <c r="AH32" s="57">
        <f>Shape!S30</f>
        <v>1</v>
      </c>
      <c r="AI32" s="57">
        <f>Shape!T30</f>
        <v>1</v>
      </c>
      <c r="AJ32" s="57">
        <f>Shape!U30</f>
        <v>1</v>
      </c>
      <c r="AK32" s="57">
        <f>Shape!V30</f>
        <v>1</v>
      </c>
      <c r="AL32" s="57">
        <f>Shape!W30</f>
        <v>1</v>
      </c>
      <c r="AM32" s="57">
        <f>Shape!X30</f>
        <v>1</v>
      </c>
      <c r="AN32" s="57">
        <f>Shape!Y30</f>
        <v>1</v>
      </c>
      <c r="AO32" s="57">
        <f>Shape!Z30</f>
        <v>1</v>
      </c>
      <c r="AP32" s="57">
        <f>Shape!AA30</f>
        <v>1</v>
      </c>
      <c r="AQ32" s="57">
        <f>Shape!AB30</f>
        <v>1</v>
      </c>
      <c r="AR32" s="57">
        <f>Shape!AC30</f>
        <v>1</v>
      </c>
      <c r="AS32" s="57">
        <f>Shape!AD30</f>
        <v>1</v>
      </c>
      <c r="AT32" s="57">
        <f>Shape!AE30</f>
        <v>1</v>
      </c>
      <c r="AU32" s="57">
        <f>Shape!AF30</f>
        <v>1</v>
      </c>
      <c r="AV32" s="57">
        <f>Shape!AG30</f>
        <v>1</v>
      </c>
      <c r="AW32" s="57">
        <f>Shape!AH30</f>
        <v>1</v>
      </c>
      <c r="AX32" s="57">
        <f>Shape!AI30</f>
        <v>1</v>
      </c>
      <c r="AY32" s="57">
        <f>Shape!AJ30</f>
        <v>1</v>
      </c>
      <c r="AZ32" s="57">
        <f>Shape!AK30</f>
        <v>1</v>
      </c>
      <c r="BA32" s="57">
        <f>Shape!AL30</f>
        <v>1</v>
      </c>
      <c r="BB32" s="57">
        <f>Shape!AM30</f>
        <v>1</v>
      </c>
      <c r="BC32" s="57">
        <f>Shape!AN30</f>
        <v>1</v>
      </c>
      <c r="BD32" s="57">
        <f>Shape!AO30</f>
        <v>1</v>
      </c>
      <c r="BE32" s="57">
        <f>Shape!AP30</f>
        <v>1</v>
      </c>
      <c r="BF32" s="57">
        <f>Shape!AQ30</f>
        <v>1</v>
      </c>
      <c r="BG32" s="57">
        <f>Shape!AR30</f>
        <v>1</v>
      </c>
      <c r="BH32" s="57">
        <f>Shape!AS30</f>
        <v>1</v>
      </c>
      <c r="BI32" s="57">
        <f>Shape!AT30</f>
        <v>1</v>
      </c>
      <c r="BJ32" s="57">
        <f>Shape!AU30</f>
        <v>1</v>
      </c>
      <c r="BK32" s="57">
        <f>Shape!AV30</f>
        <v>1</v>
      </c>
      <c r="BL32" s="57">
        <f>Shape!AW30</f>
        <v>1</v>
      </c>
      <c r="BM32" s="57">
        <f>Shape!AX30</f>
        <v>1</v>
      </c>
      <c r="BN32" s="57">
        <f>Shape!AY30</f>
        <v>1</v>
      </c>
      <c r="BO32" s="57">
        <f>Shape!AZ30</f>
        <v>1</v>
      </c>
      <c r="BP32" s="57">
        <f>Shape!BA30</f>
        <v>1</v>
      </c>
      <c r="BQ32" s="57">
        <f>Shape!BB30</f>
        <v>1</v>
      </c>
      <c r="BR32" s="57">
        <f>Shape!BC30</f>
        <v>1</v>
      </c>
      <c r="BS32" s="57">
        <f>Shape!BD30</f>
        <v>1</v>
      </c>
      <c r="BT32" s="57">
        <f>Shape!BE30</f>
        <v>1</v>
      </c>
      <c r="BU32" s="54"/>
      <c r="BV32" s="54"/>
      <c r="BW32" s="54"/>
      <c r="BX32" s="54"/>
      <c r="BY32" s="54"/>
      <c r="BZ32" s="54"/>
      <c r="CA32" s="54"/>
      <c r="CB32" s="54"/>
      <c r="CC32" s="54"/>
      <c r="CD32" s="54"/>
    </row>
    <row r="33" spans="1:82" x14ac:dyDescent="0.35">
      <c r="K33" s="28"/>
      <c r="L33" s="29"/>
      <c r="N33" s="56" t="s">
        <v>27</v>
      </c>
      <c r="O33" s="60" t="s">
        <v>142</v>
      </c>
      <c r="P33" s="57" t="str">
        <f>Shape!A31</f>
        <v>0307</v>
      </c>
      <c r="Q33" s="57">
        <f>Shape!B31</f>
        <v>0</v>
      </c>
      <c r="R33" s="57">
        <f>Shape!C31</f>
        <v>0</v>
      </c>
      <c r="S33" s="57">
        <f>Shape!D31</f>
        <v>0</v>
      </c>
      <c r="T33" s="57">
        <f>Shape!E31</f>
        <v>0</v>
      </c>
      <c r="U33" s="57">
        <f>Shape!F31</f>
        <v>0</v>
      </c>
      <c r="V33" s="57">
        <f>Shape!G31</f>
        <v>1</v>
      </c>
      <c r="W33" s="57">
        <f>Shape!H31</f>
        <v>1</v>
      </c>
      <c r="X33" s="57">
        <f>Shape!I31</f>
        <v>1</v>
      </c>
      <c r="Y33" s="57">
        <f>Shape!J31</f>
        <v>1</v>
      </c>
      <c r="Z33" s="57">
        <f>Shape!K31</f>
        <v>1</v>
      </c>
      <c r="AA33" s="57">
        <f>Shape!L31</f>
        <v>1</v>
      </c>
      <c r="AB33" s="57">
        <f>Shape!M31</f>
        <v>1</v>
      </c>
      <c r="AC33" s="57">
        <f>Shape!N31</f>
        <v>1</v>
      </c>
      <c r="AD33" s="57">
        <f>Shape!O31</f>
        <v>1</v>
      </c>
      <c r="AE33" s="57">
        <f>Shape!P31</f>
        <v>1</v>
      </c>
      <c r="AF33" s="57">
        <f>Shape!Q31</f>
        <v>1</v>
      </c>
      <c r="AG33" s="57">
        <f>Shape!R31</f>
        <v>1</v>
      </c>
      <c r="AH33" s="57">
        <f>Shape!S31</f>
        <v>1</v>
      </c>
      <c r="AI33" s="57">
        <f>Shape!T31</f>
        <v>1</v>
      </c>
      <c r="AJ33" s="57">
        <f>Shape!U31</f>
        <v>1</v>
      </c>
      <c r="AK33" s="57">
        <f>Shape!V31</f>
        <v>1</v>
      </c>
      <c r="AL33" s="57">
        <f>Shape!W31</f>
        <v>1</v>
      </c>
      <c r="AM33" s="57">
        <f>Shape!X31</f>
        <v>1</v>
      </c>
      <c r="AN33" s="57">
        <f>Shape!Y31</f>
        <v>1</v>
      </c>
      <c r="AO33" s="57">
        <f>Shape!Z31</f>
        <v>1</v>
      </c>
      <c r="AP33" s="57">
        <f>Shape!AA31</f>
        <v>1</v>
      </c>
      <c r="AQ33" s="57">
        <f>Shape!AB31</f>
        <v>1</v>
      </c>
      <c r="AR33" s="57">
        <f>Shape!AC31</f>
        <v>1</v>
      </c>
      <c r="AS33" s="57">
        <f>Shape!AD31</f>
        <v>1</v>
      </c>
      <c r="AT33" s="57">
        <f>Shape!AE31</f>
        <v>1</v>
      </c>
      <c r="AU33" s="57">
        <f>Shape!AF31</f>
        <v>1</v>
      </c>
      <c r="AV33" s="57">
        <f>Shape!AG31</f>
        <v>1</v>
      </c>
      <c r="AW33" s="57">
        <f>Shape!AH31</f>
        <v>1</v>
      </c>
      <c r="AX33" s="57">
        <f>Shape!AI31</f>
        <v>1</v>
      </c>
      <c r="AY33" s="57">
        <f>Shape!AJ31</f>
        <v>1</v>
      </c>
      <c r="AZ33" s="57">
        <f>Shape!AK31</f>
        <v>1</v>
      </c>
      <c r="BA33" s="57">
        <f>Shape!AL31</f>
        <v>1</v>
      </c>
      <c r="BB33" s="57">
        <f>Shape!AM31</f>
        <v>1</v>
      </c>
      <c r="BC33" s="57">
        <f>Shape!AN31</f>
        <v>1</v>
      </c>
      <c r="BD33" s="57">
        <f>Shape!AO31</f>
        <v>1</v>
      </c>
      <c r="BE33" s="57">
        <f>Shape!AP31</f>
        <v>1</v>
      </c>
      <c r="BF33" s="57">
        <f>Shape!AQ31</f>
        <v>1</v>
      </c>
      <c r="BG33" s="57">
        <f>Shape!AR31</f>
        <v>1</v>
      </c>
      <c r="BH33" s="57">
        <f>Shape!AS31</f>
        <v>1</v>
      </c>
      <c r="BI33" s="57">
        <f>Shape!AT31</f>
        <v>1</v>
      </c>
      <c r="BJ33" s="57">
        <f>Shape!AU31</f>
        <v>1</v>
      </c>
      <c r="BK33" s="57">
        <f>Shape!AV31</f>
        <v>1</v>
      </c>
      <c r="BL33" s="57">
        <f>Shape!AW31</f>
        <v>1</v>
      </c>
      <c r="BM33" s="57">
        <f>Shape!AX31</f>
        <v>1</v>
      </c>
      <c r="BN33" s="57">
        <f>Shape!AY31</f>
        <v>1</v>
      </c>
      <c r="BO33" s="57">
        <f>Shape!AZ31</f>
        <v>1</v>
      </c>
      <c r="BP33" s="57">
        <f>Shape!BA31</f>
        <v>1</v>
      </c>
      <c r="BQ33" s="57">
        <f>Shape!BB31</f>
        <v>1</v>
      </c>
      <c r="BR33" s="57">
        <f>Shape!BC31</f>
        <v>1</v>
      </c>
      <c r="BS33" s="57">
        <f>Shape!BD31</f>
        <v>1</v>
      </c>
      <c r="BT33" s="57">
        <f>Shape!BE31</f>
        <v>1</v>
      </c>
      <c r="BU33" s="54"/>
      <c r="BV33" s="54"/>
      <c r="BW33" s="54"/>
      <c r="BX33" s="54"/>
      <c r="BY33" s="54"/>
      <c r="BZ33" s="54"/>
      <c r="CA33" s="54"/>
      <c r="CB33" s="54"/>
      <c r="CC33" s="54"/>
      <c r="CD33" s="54"/>
    </row>
    <row r="34" spans="1:82" x14ac:dyDescent="0.35">
      <c r="K34" s="28"/>
      <c r="L34" s="29"/>
      <c r="N34" s="56" t="s">
        <v>28</v>
      </c>
      <c r="O34" s="60" t="s">
        <v>106</v>
      </c>
      <c r="P34" s="57" t="str">
        <f>Shape!A32</f>
        <v>0308</v>
      </c>
      <c r="Q34" s="57">
        <f>Shape!B32</f>
        <v>0</v>
      </c>
      <c r="R34" s="57">
        <f>Shape!C32</f>
        <v>0</v>
      </c>
      <c r="S34" s="57">
        <f>Shape!D32</f>
        <v>0</v>
      </c>
      <c r="T34" s="57">
        <f>Shape!E32</f>
        <v>0</v>
      </c>
      <c r="U34" s="57">
        <f>Shape!F32</f>
        <v>0</v>
      </c>
      <c r="V34" s="57">
        <f>Shape!G32</f>
        <v>1</v>
      </c>
      <c r="W34" s="57">
        <f>Shape!H32</f>
        <v>1</v>
      </c>
      <c r="X34" s="57">
        <f>Shape!I32</f>
        <v>1</v>
      </c>
      <c r="Y34" s="57">
        <f>Shape!J32</f>
        <v>1</v>
      </c>
      <c r="Z34" s="57">
        <f>Shape!K32</f>
        <v>1</v>
      </c>
      <c r="AA34" s="57">
        <f>Shape!L32</f>
        <v>1</v>
      </c>
      <c r="AB34" s="57">
        <f>Shape!M32</f>
        <v>1</v>
      </c>
      <c r="AC34" s="57">
        <f>Shape!N32</f>
        <v>1</v>
      </c>
      <c r="AD34" s="57">
        <f>Shape!O32</f>
        <v>1</v>
      </c>
      <c r="AE34" s="57">
        <f>Shape!P32</f>
        <v>1</v>
      </c>
      <c r="AF34" s="57">
        <f>Shape!Q32</f>
        <v>1</v>
      </c>
      <c r="AG34" s="57">
        <f>Shape!R32</f>
        <v>1</v>
      </c>
      <c r="AH34" s="57">
        <f>Shape!S32</f>
        <v>1</v>
      </c>
      <c r="AI34" s="57">
        <f>Shape!T32</f>
        <v>1</v>
      </c>
      <c r="AJ34" s="57">
        <f>Shape!U32</f>
        <v>1</v>
      </c>
      <c r="AK34" s="57">
        <f>Shape!V32</f>
        <v>1</v>
      </c>
      <c r="AL34" s="57">
        <f>Shape!W32</f>
        <v>1</v>
      </c>
      <c r="AM34" s="57">
        <f>Shape!X32</f>
        <v>1</v>
      </c>
      <c r="AN34" s="57">
        <f>Shape!Y32</f>
        <v>1</v>
      </c>
      <c r="AO34" s="57">
        <f>Shape!Z32</f>
        <v>1</v>
      </c>
      <c r="AP34" s="57">
        <f>Shape!AA32</f>
        <v>1</v>
      </c>
      <c r="AQ34" s="57">
        <f>Shape!AB32</f>
        <v>1</v>
      </c>
      <c r="AR34" s="57">
        <f>Shape!AC32</f>
        <v>1</v>
      </c>
      <c r="AS34" s="57">
        <f>Shape!AD32</f>
        <v>1</v>
      </c>
      <c r="AT34" s="57">
        <f>Shape!AE32</f>
        <v>1</v>
      </c>
      <c r="AU34" s="57">
        <f>Shape!AF32</f>
        <v>1</v>
      </c>
      <c r="AV34" s="57">
        <f>Shape!AG32</f>
        <v>1</v>
      </c>
      <c r="AW34" s="57">
        <f>Shape!AH32</f>
        <v>1</v>
      </c>
      <c r="AX34" s="57">
        <f>Shape!AI32</f>
        <v>1</v>
      </c>
      <c r="AY34" s="57">
        <f>Shape!AJ32</f>
        <v>1</v>
      </c>
      <c r="AZ34" s="57">
        <f>Shape!AK32</f>
        <v>1</v>
      </c>
      <c r="BA34" s="57">
        <f>Shape!AL32</f>
        <v>1</v>
      </c>
      <c r="BB34" s="57">
        <f>Shape!AM32</f>
        <v>1</v>
      </c>
      <c r="BC34" s="57">
        <f>Shape!AN32</f>
        <v>1</v>
      </c>
      <c r="BD34" s="57">
        <f>Shape!AO32</f>
        <v>1</v>
      </c>
      <c r="BE34" s="57">
        <f>Shape!AP32</f>
        <v>1</v>
      </c>
      <c r="BF34" s="57">
        <f>Shape!AQ32</f>
        <v>1</v>
      </c>
      <c r="BG34" s="57">
        <f>Shape!AR32</f>
        <v>1</v>
      </c>
      <c r="BH34" s="57">
        <f>Shape!AS32</f>
        <v>1</v>
      </c>
      <c r="BI34" s="57">
        <f>Shape!AT32</f>
        <v>1</v>
      </c>
      <c r="BJ34" s="57">
        <f>Shape!AU32</f>
        <v>1</v>
      </c>
      <c r="BK34" s="57">
        <f>Shape!AV32</f>
        <v>1</v>
      </c>
      <c r="BL34" s="57">
        <f>Shape!AW32</f>
        <v>1</v>
      </c>
      <c r="BM34" s="57">
        <f>Shape!AX32</f>
        <v>1</v>
      </c>
      <c r="BN34" s="57">
        <f>Shape!AY32</f>
        <v>1</v>
      </c>
      <c r="BO34" s="57">
        <f>Shape!AZ32</f>
        <v>1</v>
      </c>
      <c r="BP34" s="57">
        <f>Shape!BA32</f>
        <v>1</v>
      </c>
      <c r="BQ34" s="57">
        <f>Shape!BB32</f>
        <v>1</v>
      </c>
      <c r="BR34" s="57">
        <f>Shape!BC32</f>
        <v>1</v>
      </c>
      <c r="BS34" s="57">
        <f>Shape!BD32</f>
        <v>1</v>
      </c>
      <c r="BT34" s="57">
        <f>Shape!BE32</f>
        <v>1</v>
      </c>
      <c r="BU34" s="54"/>
      <c r="BV34" s="54"/>
      <c r="BW34" s="54"/>
      <c r="BX34" s="54"/>
      <c r="BY34" s="54"/>
      <c r="BZ34" s="54"/>
      <c r="CA34" s="54"/>
      <c r="CB34" s="54"/>
      <c r="CC34" s="54"/>
      <c r="CD34" s="54"/>
    </row>
    <row r="35" spans="1:82" x14ac:dyDescent="0.35">
      <c r="K35" s="28"/>
      <c r="L35" s="29"/>
      <c r="N35" s="56" t="s">
        <v>29</v>
      </c>
      <c r="O35" s="60" t="s">
        <v>107</v>
      </c>
      <c r="P35" s="57" t="str">
        <f>Shape!A33</f>
        <v>0309</v>
      </c>
      <c r="Q35" s="57">
        <f>Shape!B33</f>
        <v>0</v>
      </c>
      <c r="R35" s="57">
        <f>Shape!C33</f>
        <v>0</v>
      </c>
      <c r="S35" s="57">
        <f>Shape!D33</f>
        <v>0</v>
      </c>
      <c r="T35" s="57">
        <f>Shape!E33</f>
        <v>0</v>
      </c>
      <c r="U35" s="57">
        <f>Shape!F33</f>
        <v>0</v>
      </c>
      <c r="V35" s="57">
        <f>Shape!G33</f>
        <v>2</v>
      </c>
      <c r="W35" s="57">
        <f>Shape!H33</f>
        <v>2</v>
      </c>
      <c r="X35" s="57">
        <f>Shape!I33</f>
        <v>2</v>
      </c>
      <c r="Y35" s="57">
        <f>Shape!J33</f>
        <v>2</v>
      </c>
      <c r="Z35" s="57">
        <f>Shape!K33</f>
        <v>2</v>
      </c>
      <c r="AA35" s="57">
        <f>Shape!L33</f>
        <v>2</v>
      </c>
      <c r="AB35" s="57">
        <f>Shape!M33</f>
        <v>2</v>
      </c>
      <c r="AC35" s="57">
        <f>Shape!N33</f>
        <v>2</v>
      </c>
      <c r="AD35" s="57">
        <f>Shape!O33</f>
        <v>2</v>
      </c>
      <c r="AE35" s="57">
        <f>Shape!P33</f>
        <v>2</v>
      </c>
      <c r="AF35" s="57">
        <f>Shape!Q33</f>
        <v>2</v>
      </c>
      <c r="AG35" s="57">
        <f>Shape!R33</f>
        <v>2</v>
      </c>
      <c r="AH35" s="57">
        <f>Shape!S33</f>
        <v>2</v>
      </c>
      <c r="AI35" s="57">
        <f>Shape!T33</f>
        <v>2</v>
      </c>
      <c r="AJ35" s="57">
        <f>Shape!U33</f>
        <v>2</v>
      </c>
      <c r="AK35" s="57">
        <f>Shape!V33</f>
        <v>2</v>
      </c>
      <c r="AL35" s="57">
        <f>Shape!W33</f>
        <v>2</v>
      </c>
      <c r="AM35" s="57">
        <f>Shape!X33</f>
        <v>2</v>
      </c>
      <c r="AN35" s="57">
        <f>Shape!Y33</f>
        <v>2</v>
      </c>
      <c r="AO35" s="57">
        <f>Shape!Z33</f>
        <v>2</v>
      </c>
      <c r="AP35" s="57">
        <f>Shape!AA33</f>
        <v>2</v>
      </c>
      <c r="AQ35" s="57">
        <f>Shape!AB33</f>
        <v>2</v>
      </c>
      <c r="AR35" s="57">
        <f>Shape!AC33</f>
        <v>2</v>
      </c>
      <c r="AS35" s="57">
        <f>Shape!AD33</f>
        <v>2</v>
      </c>
      <c r="AT35" s="57">
        <f>Shape!AE33</f>
        <v>2</v>
      </c>
      <c r="AU35" s="57">
        <f>Shape!AF33</f>
        <v>2</v>
      </c>
      <c r="AV35" s="57">
        <f>Shape!AG33</f>
        <v>2</v>
      </c>
      <c r="AW35" s="57">
        <f>Shape!AH33</f>
        <v>2</v>
      </c>
      <c r="AX35" s="57">
        <f>Shape!AI33</f>
        <v>2</v>
      </c>
      <c r="AY35" s="57">
        <f>Shape!AJ33</f>
        <v>2</v>
      </c>
      <c r="AZ35" s="57">
        <f>Shape!AK33</f>
        <v>2</v>
      </c>
      <c r="BA35" s="57">
        <f>Shape!AL33</f>
        <v>2</v>
      </c>
      <c r="BB35" s="57">
        <f>Shape!AM33</f>
        <v>2</v>
      </c>
      <c r="BC35" s="57">
        <f>Shape!AN33</f>
        <v>2</v>
      </c>
      <c r="BD35" s="57">
        <f>Shape!AO33</f>
        <v>2</v>
      </c>
      <c r="BE35" s="57">
        <f>Shape!AP33</f>
        <v>2</v>
      </c>
      <c r="BF35" s="57">
        <f>Shape!AQ33</f>
        <v>2</v>
      </c>
      <c r="BG35" s="57">
        <f>Shape!AR33</f>
        <v>2</v>
      </c>
      <c r="BH35" s="57">
        <f>Shape!AS33</f>
        <v>2</v>
      </c>
      <c r="BI35" s="57">
        <f>Shape!AT33</f>
        <v>2</v>
      </c>
      <c r="BJ35" s="57">
        <f>Shape!AU33</f>
        <v>2</v>
      </c>
      <c r="BK35" s="57">
        <f>Shape!AV33</f>
        <v>2</v>
      </c>
      <c r="BL35" s="57">
        <f>Shape!AW33</f>
        <v>2</v>
      </c>
      <c r="BM35" s="57">
        <f>Shape!AX33</f>
        <v>2</v>
      </c>
      <c r="BN35" s="57">
        <f>Shape!AY33</f>
        <v>2</v>
      </c>
      <c r="BO35" s="57">
        <f>Shape!AZ33</f>
        <v>2</v>
      </c>
      <c r="BP35" s="57">
        <f>Shape!BA33</f>
        <v>2</v>
      </c>
      <c r="BQ35" s="57">
        <f>Shape!BB33</f>
        <v>2</v>
      </c>
      <c r="BR35" s="57">
        <f>Shape!BC33</f>
        <v>2</v>
      </c>
      <c r="BS35" s="57">
        <f>Shape!BD33</f>
        <v>2</v>
      </c>
      <c r="BT35" s="57">
        <f>Shape!BE33</f>
        <v>2</v>
      </c>
      <c r="BU35" s="54"/>
      <c r="BV35" s="54"/>
      <c r="BW35" s="54"/>
      <c r="BX35" s="54"/>
      <c r="BY35" s="54"/>
      <c r="BZ35" s="54"/>
      <c r="CA35" s="54"/>
      <c r="CB35" s="54"/>
      <c r="CC35" s="54"/>
      <c r="CD35" s="54"/>
    </row>
    <row r="36" spans="1:82" x14ac:dyDescent="0.35">
      <c r="K36" s="28"/>
      <c r="L36" s="29"/>
      <c r="N36" s="56" t="s">
        <v>30</v>
      </c>
      <c r="O36" s="60" t="s">
        <v>143</v>
      </c>
      <c r="P36" s="57" t="str">
        <f>Shape!A34</f>
        <v>0401</v>
      </c>
      <c r="Q36" s="57">
        <f>Shape!B34</f>
        <v>0</v>
      </c>
      <c r="R36" s="57">
        <f>Shape!C34</f>
        <v>0</v>
      </c>
      <c r="S36" s="57">
        <f>Shape!D34</f>
        <v>0</v>
      </c>
      <c r="T36" s="57">
        <f>Shape!E34</f>
        <v>0</v>
      </c>
      <c r="U36" s="57">
        <f>Shape!F34</f>
        <v>0</v>
      </c>
      <c r="V36" s="57">
        <f>Shape!G34</f>
        <v>1</v>
      </c>
      <c r="W36" s="57">
        <f>Shape!H34</f>
        <v>1</v>
      </c>
      <c r="X36" s="57">
        <f>Shape!I34</f>
        <v>1</v>
      </c>
      <c r="Y36" s="57">
        <f>Shape!J34</f>
        <v>1</v>
      </c>
      <c r="Z36" s="57">
        <f>Shape!K34</f>
        <v>1</v>
      </c>
      <c r="AA36" s="57">
        <f>Shape!L34</f>
        <v>1</v>
      </c>
      <c r="AB36" s="57">
        <f>Shape!M34</f>
        <v>1</v>
      </c>
      <c r="AC36" s="57">
        <f>Shape!N34</f>
        <v>1</v>
      </c>
      <c r="AD36" s="57">
        <f>Shape!O34</f>
        <v>1</v>
      </c>
      <c r="AE36" s="57">
        <f>Shape!P34</f>
        <v>1</v>
      </c>
      <c r="AF36" s="57">
        <f>Shape!Q34</f>
        <v>1</v>
      </c>
      <c r="AG36" s="57">
        <f>Shape!R34</f>
        <v>1</v>
      </c>
      <c r="AH36" s="57">
        <f>Shape!S34</f>
        <v>1</v>
      </c>
      <c r="AI36" s="57">
        <f>Shape!T34</f>
        <v>1</v>
      </c>
      <c r="AJ36" s="57">
        <f>Shape!U34</f>
        <v>1</v>
      </c>
      <c r="AK36" s="57">
        <f>Shape!V34</f>
        <v>1</v>
      </c>
      <c r="AL36" s="57">
        <f>Shape!W34</f>
        <v>1</v>
      </c>
      <c r="AM36" s="57">
        <f>Shape!X34</f>
        <v>1</v>
      </c>
      <c r="AN36" s="57">
        <f>Shape!Y34</f>
        <v>1</v>
      </c>
      <c r="AO36" s="57">
        <f>Shape!Z34</f>
        <v>1</v>
      </c>
      <c r="AP36" s="57">
        <f>Shape!AA34</f>
        <v>1</v>
      </c>
      <c r="AQ36" s="57">
        <f>Shape!AB34</f>
        <v>1</v>
      </c>
      <c r="AR36" s="57">
        <f>Shape!AC34</f>
        <v>1</v>
      </c>
      <c r="AS36" s="57">
        <f>Shape!AD34</f>
        <v>1</v>
      </c>
      <c r="AT36" s="57">
        <f>Shape!AE34</f>
        <v>1</v>
      </c>
      <c r="AU36" s="57">
        <f>Shape!AF34</f>
        <v>1</v>
      </c>
      <c r="AV36" s="57">
        <f>Shape!AG34</f>
        <v>1</v>
      </c>
      <c r="AW36" s="57">
        <f>Shape!AH34</f>
        <v>1</v>
      </c>
      <c r="AX36" s="57">
        <f>Shape!AI34</f>
        <v>1</v>
      </c>
      <c r="AY36" s="57">
        <f>Shape!AJ34</f>
        <v>1</v>
      </c>
      <c r="AZ36" s="57">
        <f>Shape!AK34</f>
        <v>1</v>
      </c>
      <c r="BA36" s="57">
        <f>Shape!AL34</f>
        <v>1</v>
      </c>
      <c r="BB36" s="57">
        <f>Shape!AM34</f>
        <v>1</v>
      </c>
      <c r="BC36" s="57">
        <f>Shape!AN34</f>
        <v>1</v>
      </c>
      <c r="BD36" s="57">
        <f>Shape!AO34</f>
        <v>1</v>
      </c>
      <c r="BE36" s="57">
        <f>Shape!AP34</f>
        <v>1</v>
      </c>
      <c r="BF36" s="57">
        <f>Shape!AQ34</f>
        <v>1</v>
      </c>
      <c r="BG36" s="57">
        <f>Shape!AR34</f>
        <v>1</v>
      </c>
      <c r="BH36" s="57">
        <f>Shape!AS34</f>
        <v>1</v>
      </c>
      <c r="BI36" s="57">
        <f>Shape!AT34</f>
        <v>1</v>
      </c>
      <c r="BJ36" s="57">
        <f>Shape!AU34</f>
        <v>1</v>
      </c>
      <c r="BK36" s="57">
        <f>Shape!AV34</f>
        <v>1</v>
      </c>
      <c r="BL36" s="57">
        <f>Shape!AW34</f>
        <v>1</v>
      </c>
      <c r="BM36" s="57">
        <f>Shape!AX34</f>
        <v>1</v>
      </c>
      <c r="BN36" s="57">
        <f>Shape!AY34</f>
        <v>1</v>
      </c>
      <c r="BO36" s="57">
        <f>Shape!AZ34</f>
        <v>1</v>
      </c>
      <c r="BP36" s="57">
        <f>Shape!BA34</f>
        <v>1</v>
      </c>
      <c r="BQ36" s="57">
        <f>Shape!BB34</f>
        <v>1</v>
      </c>
      <c r="BR36" s="57">
        <f>Shape!BC34</f>
        <v>1</v>
      </c>
      <c r="BS36" s="57">
        <f>Shape!BD34</f>
        <v>1</v>
      </c>
      <c r="BT36" s="57">
        <f>Shape!BE34</f>
        <v>1</v>
      </c>
      <c r="BU36" s="54"/>
      <c r="BV36" s="54"/>
      <c r="BW36" s="54"/>
      <c r="BX36" s="54"/>
      <c r="BY36" s="54"/>
      <c r="BZ36" s="54"/>
      <c r="CA36" s="54"/>
      <c r="CB36" s="54"/>
      <c r="CC36" s="54"/>
      <c r="CD36" s="54"/>
    </row>
    <row r="37" spans="1:82" x14ac:dyDescent="0.35">
      <c r="K37" s="28"/>
      <c r="L37" s="29"/>
      <c r="N37" s="56" t="s">
        <v>31</v>
      </c>
      <c r="O37" s="60" t="s">
        <v>144</v>
      </c>
      <c r="P37" s="57" t="str">
        <f>Shape!A35</f>
        <v>0402</v>
      </c>
      <c r="Q37" s="57">
        <f>Shape!B35</f>
        <v>0</v>
      </c>
      <c r="R37" s="57">
        <f>Shape!C35</f>
        <v>0</v>
      </c>
      <c r="S37" s="57">
        <f>Shape!D35</f>
        <v>0</v>
      </c>
      <c r="T37" s="57">
        <f>Shape!E35</f>
        <v>0</v>
      </c>
      <c r="U37" s="57">
        <f>Shape!F35</f>
        <v>0</v>
      </c>
      <c r="V37" s="57">
        <f>Shape!G35</f>
        <v>1</v>
      </c>
      <c r="W37" s="57">
        <f>Shape!H35</f>
        <v>1</v>
      </c>
      <c r="X37" s="57">
        <f>Shape!I35</f>
        <v>1</v>
      </c>
      <c r="Y37" s="57">
        <f>Shape!J35</f>
        <v>1</v>
      </c>
      <c r="Z37" s="57">
        <f>Shape!K35</f>
        <v>1</v>
      </c>
      <c r="AA37" s="57">
        <f>Shape!L35</f>
        <v>1</v>
      </c>
      <c r="AB37" s="57">
        <f>Shape!M35</f>
        <v>1</v>
      </c>
      <c r="AC37" s="57">
        <f>Shape!N35</f>
        <v>1</v>
      </c>
      <c r="AD37" s="57">
        <f>Shape!O35</f>
        <v>1</v>
      </c>
      <c r="AE37" s="57">
        <f>Shape!P35</f>
        <v>1</v>
      </c>
      <c r="AF37" s="57">
        <f>Shape!Q35</f>
        <v>1</v>
      </c>
      <c r="AG37" s="57">
        <f>Shape!R35</f>
        <v>1</v>
      </c>
      <c r="AH37" s="57">
        <f>Shape!S35</f>
        <v>1</v>
      </c>
      <c r="AI37" s="57">
        <f>Shape!T35</f>
        <v>1</v>
      </c>
      <c r="AJ37" s="57">
        <f>Shape!U35</f>
        <v>1</v>
      </c>
      <c r="AK37" s="57">
        <f>Shape!V35</f>
        <v>1</v>
      </c>
      <c r="AL37" s="57">
        <f>Shape!W35</f>
        <v>1</v>
      </c>
      <c r="AM37" s="57">
        <f>Shape!X35</f>
        <v>1</v>
      </c>
      <c r="AN37" s="57">
        <f>Shape!Y35</f>
        <v>1</v>
      </c>
      <c r="AO37" s="57">
        <f>Shape!Z35</f>
        <v>1</v>
      </c>
      <c r="AP37" s="57">
        <f>Shape!AA35</f>
        <v>1</v>
      </c>
      <c r="AQ37" s="57">
        <f>Shape!AB35</f>
        <v>1</v>
      </c>
      <c r="AR37" s="57">
        <f>Shape!AC35</f>
        <v>1</v>
      </c>
      <c r="AS37" s="57">
        <f>Shape!AD35</f>
        <v>1</v>
      </c>
      <c r="AT37" s="57">
        <f>Shape!AE35</f>
        <v>1</v>
      </c>
      <c r="AU37" s="57">
        <f>Shape!AF35</f>
        <v>1</v>
      </c>
      <c r="AV37" s="57">
        <f>Shape!AG35</f>
        <v>1</v>
      </c>
      <c r="AW37" s="57">
        <f>Shape!AH35</f>
        <v>1</v>
      </c>
      <c r="AX37" s="57">
        <f>Shape!AI35</f>
        <v>1</v>
      </c>
      <c r="AY37" s="57">
        <f>Shape!AJ35</f>
        <v>1</v>
      </c>
      <c r="AZ37" s="57">
        <f>Shape!AK35</f>
        <v>1</v>
      </c>
      <c r="BA37" s="57">
        <f>Shape!AL35</f>
        <v>1</v>
      </c>
      <c r="BB37" s="57">
        <f>Shape!AM35</f>
        <v>1</v>
      </c>
      <c r="BC37" s="57">
        <f>Shape!AN35</f>
        <v>1</v>
      </c>
      <c r="BD37" s="57">
        <f>Shape!AO35</f>
        <v>1</v>
      </c>
      <c r="BE37" s="57">
        <f>Shape!AP35</f>
        <v>1</v>
      </c>
      <c r="BF37" s="57">
        <f>Shape!AQ35</f>
        <v>1</v>
      </c>
      <c r="BG37" s="57">
        <f>Shape!AR35</f>
        <v>1</v>
      </c>
      <c r="BH37" s="57">
        <f>Shape!AS35</f>
        <v>1</v>
      </c>
      <c r="BI37" s="57">
        <f>Shape!AT35</f>
        <v>1</v>
      </c>
      <c r="BJ37" s="57">
        <f>Shape!AU35</f>
        <v>1</v>
      </c>
      <c r="BK37" s="57">
        <f>Shape!AV35</f>
        <v>1</v>
      </c>
      <c r="BL37" s="57">
        <f>Shape!AW35</f>
        <v>1</v>
      </c>
      <c r="BM37" s="57">
        <f>Shape!AX35</f>
        <v>1</v>
      </c>
      <c r="BN37" s="57">
        <f>Shape!AY35</f>
        <v>1</v>
      </c>
      <c r="BO37" s="57">
        <f>Shape!AZ35</f>
        <v>1</v>
      </c>
      <c r="BP37" s="57">
        <f>Shape!BA35</f>
        <v>1</v>
      </c>
      <c r="BQ37" s="57">
        <f>Shape!BB35</f>
        <v>1</v>
      </c>
      <c r="BR37" s="57">
        <f>Shape!BC35</f>
        <v>1</v>
      </c>
      <c r="BS37" s="57">
        <f>Shape!BD35</f>
        <v>1</v>
      </c>
      <c r="BT37" s="57">
        <f>Shape!BE35</f>
        <v>1</v>
      </c>
      <c r="BU37" s="54"/>
      <c r="BV37" s="54"/>
      <c r="BW37" s="54"/>
      <c r="BX37" s="54"/>
      <c r="BY37" s="54"/>
      <c r="BZ37" s="54"/>
      <c r="CA37" s="54"/>
      <c r="CB37" s="54"/>
      <c r="CC37" s="54"/>
      <c r="CD37" s="54"/>
    </row>
    <row r="38" spans="1:82" x14ac:dyDescent="0.35">
      <c r="K38" s="28"/>
      <c r="L38" s="29"/>
      <c r="N38" s="56" t="s">
        <v>32</v>
      </c>
      <c r="O38" s="60" t="s">
        <v>145</v>
      </c>
      <c r="P38" s="57" t="str">
        <f>Shape!A36</f>
        <v>0403</v>
      </c>
      <c r="Q38" s="57">
        <f>Shape!B36</f>
        <v>0</v>
      </c>
      <c r="R38" s="57">
        <f>Shape!C36</f>
        <v>0</v>
      </c>
      <c r="S38" s="57">
        <f>Shape!D36</f>
        <v>0</v>
      </c>
      <c r="T38" s="57">
        <f>Shape!E36</f>
        <v>0</v>
      </c>
      <c r="U38" s="57">
        <f>Shape!F36</f>
        <v>0</v>
      </c>
      <c r="V38" s="57">
        <f>Shape!G36</f>
        <v>2</v>
      </c>
      <c r="W38" s="57">
        <f>Shape!H36</f>
        <v>2</v>
      </c>
      <c r="X38" s="57">
        <f>Shape!I36</f>
        <v>2</v>
      </c>
      <c r="Y38" s="57">
        <f>Shape!J36</f>
        <v>2</v>
      </c>
      <c r="Z38" s="57">
        <f>Shape!K36</f>
        <v>2</v>
      </c>
      <c r="AA38" s="57">
        <f>Shape!L36</f>
        <v>2</v>
      </c>
      <c r="AB38" s="57">
        <f>Shape!M36</f>
        <v>2</v>
      </c>
      <c r="AC38" s="57">
        <f>Shape!N36</f>
        <v>2</v>
      </c>
      <c r="AD38" s="57">
        <f>Shape!O36</f>
        <v>2</v>
      </c>
      <c r="AE38" s="57">
        <f>Shape!P36</f>
        <v>2</v>
      </c>
      <c r="AF38" s="57">
        <f>Shape!Q36</f>
        <v>2</v>
      </c>
      <c r="AG38" s="57">
        <f>Shape!R36</f>
        <v>2</v>
      </c>
      <c r="AH38" s="57">
        <f>Shape!S36</f>
        <v>2</v>
      </c>
      <c r="AI38" s="57">
        <f>Shape!T36</f>
        <v>2</v>
      </c>
      <c r="AJ38" s="57">
        <f>Shape!U36</f>
        <v>2</v>
      </c>
      <c r="AK38" s="57">
        <f>Shape!V36</f>
        <v>2</v>
      </c>
      <c r="AL38" s="57">
        <f>Shape!W36</f>
        <v>2</v>
      </c>
      <c r="AM38" s="57">
        <f>Shape!X36</f>
        <v>2</v>
      </c>
      <c r="AN38" s="57">
        <f>Shape!Y36</f>
        <v>2</v>
      </c>
      <c r="AO38" s="57">
        <f>Shape!Z36</f>
        <v>2</v>
      </c>
      <c r="AP38" s="57">
        <f>Shape!AA36</f>
        <v>2</v>
      </c>
      <c r="AQ38" s="57">
        <f>Shape!AB36</f>
        <v>2</v>
      </c>
      <c r="AR38" s="57">
        <f>Shape!AC36</f>
        <v>2</v>
      </c>
      <c r="AS38" s="57">
        <f>Shape!AD36</f>
        <v>2</v>
      </c>
      <c r="AT38" s="57">
        <f>Shape!AE36</f>
        <v>2</v>
      </c>
      <c r="AU38" s="57">
        <f>Shape!AF36</f>
        <v>2</v>
      </c>
      <c r="AV38" s="57">
        <f>Shape!AG36</f>
        <v>2</v>
      </c>
      <c r="AW38" s="57">
        <f>Shape!AH36</f>
        <v>2</v>
      </c>
      <c r="AX38" s="57">
        <f>Shape!AI36</f>
        <v>2</v>
      </c>
      <c r="AY38" s="57">
        <f>Shape!AJ36</f>
        <v>2</v>
      </c>
      <c r="AZ38" s="57">
        <f>Shape!AK36</f>
        <v>2</v>
      </c>
      <c r="BA38" s="57">
        <f>Shape!AL36</f>
        <v>2</v>
      </c>
      <c r="BB38" s="57">
        <f>Shape!AM36</f>
        <v>2</v>
      </c>
      <c r="BC38" s="57">
        <f>Shape!AN36</f>
        <v>2</v>
      </c>
      <c r="BD38" s="57">
        <f>Shape!AO36</f>
        <v>2</v>
      </c>
      <c r="BE38" s="57">
        <f>Shape!AP36</f>
        <v>2</v>
      </c>
      <c r="BF38" s="57">
        <f>Shape!AQ36</f>
        <v>2</v>
      </c>
      <c r="BG38" s="57">
        <f>Shape!AR36</f>
        <v>2</v>
      </c>
      <c r="BH38" s="57">
        <f>Shape!AS36</f>
        <v>2</v>
      </c>
      <c r="BI38" s="57">
        <f>Shape!AT36</f>
        <v>2</v>
      </c>
      <c r="BJ38" s="57">
        <f>Shape!AU36</f>
        <v>2</v>
      </c>
      <c r="BK38" s="57">
        <f>Shape!AV36</f>
        <v>2</v>
      </c>
      <c r="BL38" s="57">
        <f>Shape!AW36</f>
        <v>2</v>
      </c>
      <c r="BM38" s="57">
        <f>Shape!AX36</f>
        <v>2</v>
      </c>
      <c r="BN38" s="57">
        <f>Shape!AY36</f>
        <v>2</v>
      </c>
      <c r="BO38" s="57">
        <f>Shape!AZ36</f>
        <v>2</v>
      </c>
      <c r="BP38" s="57">
        <f>Shape!BA36</f>
        <v>2</v>
      </c>
      <c r="BQ38" s="57">
        <f>Shape!BB36</f>
        <v>2</v>
      </c>
      <c r="BR38" s="57">
        <f>Shape!BC36</f>
        <v>2</v>
      </c>
      <c r="BS38" s="57">
        <f>Shape!BD36</f>
        <v>2</v>
      </c>
      <c r="BT38" s="57">
        <f>Shape!BE36</f>
        <v>2</v>
      </c>
      <c r="BU38" s="54"/>
      <c r="BV38" s="54"/>
      <c r="BW38" s="54"/>
      <c r="BX38" s="54"/>
      <c r="BY38" s="54"/>
      <c r="BZ38" s="54"/>
      <c r="CA38" s="54"/>
      <c r="CB38" s="54"/>
      <c r="CC38" s="54"/>
      <c r="CD38" s="54"/>
    </row>
    <row r="39" spans="1:82" x14ac:dyDescent="0.35">
      <c r="K39" s="28"/>
      <c r="L39" s="29"/>
      <c r="N39" s="56" t="s">
        <v>33</v>
      </c>
      <c r="O39" s="60" t="s">
        <v>161</v>
      </c>
      <c r="P39" s="57" t="str">
        <f>Shape!A37</f>
        <v>0404</v>
      </c>
      <c r="Q39" s="57">
        <f>Shape!B37</f>
        <v>0</v>
      </c>
      <c r="R39" s="57">
        <f>Shape!C37</f>
        <v>0</v>
      </c>
      <c r="S39" s="57">
        <f>Shape!D37</f>
        <v>0</v>
      </c>
      <c r="T39" s="57">
        <f>Shape!E37</f>
        <v>0</v>
      </c>
      <c r="U39" s="57">
        <f>Shape!F37</f>
        <v>0</v>
      </c>
      <c r="V39" s="57">
        <f>Shape!G37</f>
        <v>1</v>
      </c>
      <c r="W39" s="57">
        <f>Shape!H37</f>
        <v>1</v>
      </c>
      <c r="X39" s="57">
        <f>Shape!I37</f>
        <v>1</v>
      </c>
      <c r="Y39" s="57">
        <f>Shape!J37</f>
        <v>1</v>
      </c>
      <c r="Z39" s="57">
        <f>Shape!K37</f>
        <v>1</v>
      </c>
      <c r="AA39" s="57">
        <f>Shape!L37</f>
        <v>1</v>
      </c>
      <c r="AB39" s="57">
        <f>Shape!M37</f>
        <v>1</v>
      </c>
      <c r="AC39" s="57">
        <f>Shape!N37</f>
        <v>1</v>
      </c>
      <c r="AD39" s="57">
        <f>Shape!O37</f>
        <v>1</v>
      </c>
      <c r="AE39" s="57">
        <f>Shape!P37</f>
        <v>1</v>
      </c>
      <c r="AF39" s="57">
        <f>Shape!Q37</f>
        <v>1</v>
      </c>
      <c r="AG39" s="57">
        <f>Shape!R37</f>
        <v>1</v>
      </c>
      <c r="AH39" s="57">
        <f>Shape!S37</f>
        <v>1</v>
      </c>
      <c r="AI39" s="57">
        <f>Shape!T37</f>
        <v>1</v>
      </c>
      <c r="AJ39" s="57">
        <f>Shape!U37</f>
        <v>1</v>
      </c>
      <c r="AK39" s="57">
        <f>Shape!V37</f>
        <v>1</v>
      </c>
      <c r="AL39" s="57">
        <f>Shape!W37</f>
        <v>1</v>
      </c>
      <c r="AM39" s="57">
        <f>Shape!X37</f>
        <v>1</v>
      </c>
      <c r="AN39" s="57">
        <f>Shape!Y37</f>
        <v>1</v>
      </c>
      <c r="AO39" s="57">
        <f>Shape!Z37</f>
        <v>1</v>
      </c>
      <c r="AP39" s="57">
        <f>Shape!AA37</f>
        <v>1</v>
      </c>
      <c r="AQ39" s="57">
        <f>Shape!AB37</f>
        <v>1</v>
      </c>
      <c r="AR39" s="57">
        <f>Shape!AC37</f>
        <v>1</v>
      </c>
      <c r="AS39" s="57">
        <f>Shape!AD37</f>
        <v>1</v>
      </c>
      <c r="AT39" s="57">
        <f>Shape!AE37</f>
        <v>1</v>
      </c>
      <c r="AU39" s="57">
        <f>Shape!AF37</f>
        <v>1</v>
      </c>
      <c r="AV39" s="57">
        <f>Shape!AG37</f>
        <v>1</v>
      </c>
      <c r="AW39" s="57">
        <f>Shape!AH37</f>
        <v>1</v>
      </c>
      <c r="AX39" s="57">
        <f>Shape!AI37</f>
        <v>1</v>
      </c>
      <c r="AY39" s="57">
        <f>Shape!AJ37</f>
        <v>1</v>
      </c>
      <c r="AZ39" s="57">
        <f>Shape!AK37</f>
        <v>1</v>
      </c>
      <c r="BA39" s="57">
        <f>Shape!AL37</f>
        <v>1</v>
      </c>
      <c r="BB39" s="57">
        <f>Shape!AM37</f>
        <v>1</v>
      </c>
      <c r="BC39" s="57">
        <f>Shape!AN37</f>
        <v>1</v>
      </c>
      <c r="BD39" s="57">
        <f>Shape!AO37</f>
        <v>1</v>
      </c>
      <c r="BE39" s="57">
        <f>Shape!AP37</f>
        <v>1</v>
      </c>
      <c r="BF39" s="57">
        <f>Shape!AQ37</f>
        <v>1</v>
      </c>
      <c r="BG39" s="57">
        <f>Shape!AR37</f>
        <v>1</v>
      </c>
      <c r="BH39" s="57">
        <f>Shape!AS37</f>
        <v>1</v>
      </c>
      <c r="BI39" s="57">
        <f>Shape!AT37</f>
        <v>1</v>
      </c>
      <c r="BJ39" s="57">
        <f>Shape!AU37</f>
        <v>1</v>
      </c>
      <c r="BK39" s="57">
        <f>Shape!AV37</f>
        <v>1</v>
      </c>
      <c r="BL39" s="57">
        <f>Shape!AW37</f>
        <v>1</v>
      </c>
      <c r="BM39" s="57">
        <f>Shape!AX37</f>
        <v>1</v>
      </c>
      <c r="BN39" s="57">
        <f>Shape!AY37</f>
        <v>1</v>
      </c>
      <c r="BO39" s="57">
        <f>Shape!AZ37</f>
        <v>1</v>
      </c>
      <c r="BP39" s="57">
        <f>Shape!BA37</f>
        <v>1</v>
      </c>
      <c r="BQ39" s="57">
        <f>Shape!BB37</f>
        <v>1</v>
      </c>
      <c r="BR39" s="57">
        <f>Shape!BC37</f>
        <v>1</v>
      </c>
      <c r="BS39" s="57">
        <f>Shape!BD37</f>
        <v>1</v>
      </c>
      <c r="BT39" s="57">
        <f>Shape!BE37</f>
        <v>1</v>
      </c>
      <c r="BU39" s="54"/>
      <c r="BV39" s="54"/>
      <c r="BW39" s="54"/>
      <c r="BX39" s="54"/>
      <c r="BY39" s="54"/>
      <c r="BZ39" s="54"/>
      <c r="CA39" s="54"/>
      <c r="CB39" s="54"/>
      <c r="CC39" s="54"/>
      <c r="CD39" s="54"/>
    </row>
    <row r="40" spans="1:82" x14ac:dyDescent="0.35">
      <c r="K40" s="28"/>
      <c r="L40" s="29"/>
      <c r="N40" s="56" t="s">
        <v>34</v>
      </c>
      <c r="O40" s="60" t="s">
        <v>88</v>
      </c>
      <c r="P40" s="57" t="str">
        <f>Shape!A38</f>
        <v>0405</v>
      </c>
      <c r="Q40" s="57">
        <f>Shape!B38</f>
        <v>0</v>
      </c>
      <c r="R40" s="57">
        <f>Shape!C38</f>
        <v>0</v>
      </c>
      <c r="S40" s="57">
        <f>Shape!D38</f>
        <v>0</v>
      </c>
      <c r="T40" s="57">
        <f>Shape!E38</f>
        <v>0</v>
      </c>
      <c r="U40" s="57">
        <f>Shape!F38</f>
        <v>0</v>
      </c>
      <c r="V40" s="57">
        <f>Shape!G38</f>
        <v>1</v>
      </c>
      <c r="W40" s="57">
        <f>Shape!H38</f>
        <v>1</v>
      </c>
      <c r="X40" s="57">
        <f>Shape!I38</f>
        <v>1</v>
      </c>
      <c r="Y40" s="57">
        <f>Shape!J38</f>
        <v>1</v>
      </c>
      <c r="Z40" s="57">
        <f>Shape!K38</f>
        <v>1</v>
      </c>
      <c r="AA40" s="57">
        <f>Shape!L38</f>
        <v>1</v>
      </c>
      <c r="AB40" s="57">
        <f>Shape!M38</f>
        <v>1</v>
      </c>
      <c r="AC40" s="57">
        <f>Shape!N38</f>
        <v>1</v>
      </c>
      <c r="AD40" s="57">
        <f>Shape!O38</f>
        <v>1</v>
      </c>
      <c r="AE40" s="57">
        <f>Shape!P38</f>
        <v>1</v>
      </c>
      <c r="AF40" s="57">
        <f>Shape!Q38</f>
        <v>1</v>
      </c>
      <c r="AG40" s="57">
        <f>Shape!R38</f>
        <v>1</v>
      </c>
      <c r="AH40" s="57">
        <f>Shape!S38</f>
        <v>1</v>
      </c>
      <c r="AI40" s="57">
        <f>Shape!T38</f>
        <v>1</v>
      </c>
      <c r="AJ40" s="57">
        <f>Shape!U38</f>
        <v>1</v>
      </c>
      <c r="AK40" s="57">
        <f>Shape!V38</f>
        <v>1</v>
      </c>
      <c r="AL40" s="57">
        <f>Shape!W38</f>
        <v>1</v>
      </c>
      <c r="AM40" s="57">
        <f>Shape!X38</f>
        <v>1</v>
      </c>
      <c r="AN40" s="57">
        <f>Shape!Y38</f>
        <v>1</v>
      </c>
      <c r="AO40" s="57">
        <f>Shape!Z38</f>
        <v>1</v>
      </c>
      <c r="AP40" s="57">
        <f>Shape!AA38</f>
        <v>1</v>
      </c>
      <c r="AQ40" s="57">
        <f>Shape!AB38</f>
        <v>1</v>
      </c>
      <c r="AR40" s="57">
        <f>Shape!AC38</f>
        <v>1</v>
      </c>
      <c r="AS40" s="57">
        <f>Shape!AD38</f>
        <v>1</v>
      </c>
      <c r="AT40" s="57">
        <f>Shape!AE38</f>
        <v>1</v>
      </c>
      <c r="AU40" s="57">
        <f>Shape!AF38</f>
        <v>1</v>
      </c>
      <c r="AV40" s="57">
        <f>Shape!AG38</f>
        <v>1</v>
      </c>
      <c r="AW40" s="57">
        <f>Shape!AH38</f>
        <v>1</v>
      </c>
      <c r="AX40" s="57">
        <f>Shape!AI38</f>
        <v>1</v>
      </c>
      <c r="AY40" s="57">
        <f>Shape!AJ38</f>
        <v>1</v>
      </c>
      <c r="AZ40" s="57">
        <f>Shape!AK38</f>
        <v>1</v>
      </c>
      <c r="BA40" s="57">
        <f>Shape!AL38</f>
        <v>1</v>
      </c>
      <c r="BB40" s="57">
        <f>Shape!AM38</f>
        <v>1</v>
      </c>
      <c r="BC40" s="57">
        <f>Shape!AN38</f>
        <v>1</v>
      </c>
      <c r="BD40" s="57">
        <f>Shape!AO38</f>
        <v>1</v>
      </c>
      <c r="BE40" s="57">
        <f>Shape!AP38</f>
        <v>1</v>
      </c>
      <c r="BF40" s="57">
        <f>Shape!AQ38</f>
        <v>1</v>
      </c>
      <c r="BG40" s="57">
        <f>Shape!AR38</f>
        <v>1</v>
      </c>
      <c r="BH40" s="57">
        <f>Shape!AS38</f>
        <v>1</v>
      </c>
      <c r="BI40" s="57">
        <f>Shape!AT38</f>
        <v>1</v>
      </c>
      <c r="BJ40" s="57">
        <f>Shape!AU38</f>
        <v>1</v>
      </c>
      <c r="BK40" s="57">
        <f>Shape!AV38</f>
        <v>1</v>
      </c>
      <c r="BL40" s="57">
        <f>Shape!AW38</f>
        <v>1</v>
      </c>
      <c r="BM40" s="57">
        <f>Shape!AX38</f>
        <v>1</v>
      </c>
      <c r="BN40" s="57">
        <f>Shape!AY38</f>
        <v>1</v>
      </c>
      <c r="BO40" s="57">
        <f>Shape!AZ38</f>
        <v>1</v>
      </c>
      <c r="BP40" s="57">
        <f>Shape!BA38</f>
        <v>1</v>
      </c>
      <c r="BQ40" s="57">
        <f>Shape!BB38</f>
        <v>1</v>
      </c>
      <c r="BR40" s="57">
        <f>Shape!BC38</f>
        <v>1</v>
      </c>
      <c r="BS40" s="57">
        <f>Shape!BD38</f>
        <v>1</v>
      </c>
      <c r="BT40" s="57">
        <f>Shape!BE38</f>
        <v>1</v>
      </c>
      <c r="BU40" s="54"/>
      <c r="BV40" s="54"/>
      <c r="BW40" s="54"/>
      <c r="BX40" s="54"/>
      <c r="BY40" s="54"/>
      <c r="BZ40" s="54"/>
      <c r="CA40" s="54"/>
      <c r="CB40" s="54"/>
      <c r="CC40" s="54"/>
      <c r="CD40" s="54"/>
    </row>
    <row r="41" spans="1:82" x14ac:dyDescent="0.35">
      <c r="K41" s="28"/>
      <c r="L41" s="29"/>
      <c r="N41" s="56" t="s">
        <v>35</v>
      </c>
      <c r="O41" s="60" t="s">
        <v>147</v>
      </c>
      <c r="P41" s="57" t="str">
        <f>Shape!A39</f>
        <v>0406</v>
      </c>
      <c r="Q41" s="57">
        <f>Shape!B39</f>
        <v>0</v>
      </c>
      <c r="R41" s="57">
        <f>Shape!C39</f>
        <v>0</v>
      </c>
      <c r="S41" s="57">
        <f>Shape!D39</f>
        <v>0</v>
      </c>
      <c r="T41" s="57">
        <f>Shape!E39</f>
        <v>0</v>
      </c>
      <c r="U41" s="57">
        <f>Shape!F39</f>
        <v>0</v>
      </c>
      <c r="V41" s="57">
        <f>Shape!G39</f>
        <v>1</v>
      </c>
      <c r="W41" s="57">
        <f>Shape!H39</f>
        <v>1</v>
      </c>
      <c r="X41" s="57">
        <f>Shape!I39</f>
        <v>1</v>
      </c>
      <c r="Y41" s="57">
        <f>Shape!J39</f>
        <v>1</v>
      </c>
      <c r="Z41" s="57">
        <f>Shape!K39</f>
        <v>1</v>
      </c>
      <c r="AA41" s="57">
        <f>Shape!L39</f>
        <v>1</v>
      </c>
      <c r="AB41" s="57">
        <f>Shape!M39</f>
        <v>1</v>
      </c>
      <c r="AC41" s="57">
        <f>Shape!N39</f>
        <v>1</v>
      </c>
      <c r="AD41" s="57">
        <f>Shape!O39</f>
        <v>1</v>
      </c>
      <c r="AE41" s="57">
        <f>Shape!P39</f>
        <v>1</v>
      </c>
      <c r="AF41" s="57">
        <f>Shape!Q39</f>
        <v>1</v>
      </c>
      <c r="AG41" s="57">
        <f>Shape!R39</f>
        <v>1</v>
      </c>
      <c r="AH41" s="57">
        <f>Shape!S39</f>
        <v>1</v>
      </c>
      <c r="AI41" s="57">
        <f>Shape!T39</f>
        <v>1</v>
      </c>
      <c r="AJ41" s="57">
        <f>Shape!U39</f>
        <v>1</v>
      </c>
      <c r="AK41" s="57">
        <f>Shape!V39</f>
        <v>1</v>
      </c>
      <c r="AL41" s="57">
        <f>Shape!W39</f>
        <v>1</v>
      </c>
      <c r="AM41" s="57">
        <f>Shape!X39</f>
        <v>1</v>
      </c>
      <c r="AN41" s="57">
        <f>Shape!Y39</f>
        <v>1</v>
      </c>
      <c r="AO41" s="57">
        <f>Shape!Z39</f>
        <v>1</v>
      </c>
      <c r="AP41" s="57">
        <f>Shape!AA39</f>
        <v>1</v>
      </c>
      <c r="AQ41" s="57">
        <f>Shape!AB39</f>
        <v>1</v>
      </c>
      <c r="AR41" s="57">
        <f>Shape!AC39</f>
        <v>1</v>
      </c>
      <c r="AS41" s="57">
        <f>Shape!AD39</f>
        <v>1</v>
      </c>
      <c r="AT41" s="57">
        <f>Shape!AE39</f>
        <v>1</v>
      </c>
      <c r="AU41" s="57">
        <f>Shape!AF39</f>
        <v>1</v>
      </c>
      <c r="AV41" s="57">
        <f>Shape!AG39</f>
        <v>1</v>
      </c>
      <c r="AW41" s="57">
        <f>Shape!AH39</f>
        <v>1</v>
      </c>
      <c r="AX41" s="57">
        <f>Shape!AI39</f>
        <v>1</v>
      </c>
      <c r="AY41" s="57">
        <f>Shape!AJ39</f>
        <v>1</v>
      </c>
      <c r="AZ41" s="57">
        <f>Shape!AK39</f>
        <v>1</v>
      </c>
      <c r="BA41" s="57">
        <f>Shape!AL39</f>
        <v>1</v>
      </c>
      <c r="BB41" s="57">
        <f>Shape!AM39</f>
        <v>1</v>
      </c>
      <c r="BC41" s="57">
        <f>Shape!AN39</f>
        <v>1</v>
      </c>
      <c r="BD41" s="57">
        <f>Shape!AO39</f>
        <v>1</v>
      </c>
      <c r="BE41" s="57">
        <f>Shape!AP39</f>
        <v>1</v>
      </c>
      <c r="BF41" s="57">
        <f>Shape!AQ39</f>
        <v>1</v>
      </c>
      <c r="BG41" s="57">
        <f>Shape!AR39</f>
        <v>1</v>
      </c>
      <c r="BH41" s="57">
        <f>Shape!AS39</f>
        <v>1</v>
      </c>
      <c r="BI41" s="57">
        <f>Shape!AT39</f>
        <v>1</v>
      </c>
      <c r="BJ41" s="57">
        <f>Shape!AU39</f>
        <v>1</v>
      </c>
      <c r="BK41" s="57">
        <f>Shape!AV39</f>
        <v>1</v>
      </c>
      <c r="BL41" s="57">
        <f>Shape!AW39</f>
        <v>1</v>
      </c>
      <c r="BM41" s="57">
        <f>Shape!AX39</f>
        <v>1</v>
      </c>
      <c r="BN41" s="57">
        <f>Shape!AY39</f>
        <v>1</v>
      </c>
      <c r="BO41" s="57">
        <f>Shape!AZ39</f>
        <v>1</v>
      </c>
      <c r="BP41" s="57">
        <f>Shape!BA39</f>
        <v>1</v>
      </c>
      <c r="BQ41" s="57">
        <f>Shape!BB39</f>
        <v>1</v>
      </c>
      <c r="BR41" s="57">
        <f>Shape!BC39</f>
        <v>1</v>
      </c>
      <c r="BS41" s="57">
        <f>Shape!BD39</f>
        <v>1</v>
      </c>
      <c r="BT41" s="57">
        <f>Shape!BE39</f>
        <v>1</v>
      </c>
      <c r="BU41" s="54"/>
      <c r="BV41" s="54"/>
      <c r="BW41" s="54"/>
      <c r="BX41" s="54"/>
      <c r="BY41" s="54"/>
      <c r="BZ41" s="54"/>
      <c r="CA41" s="54"/>
      <c r="CB41" s="54"/>
      <c r="CC41" s="54"/>
      <c r="CD41" s="54"/>
    </row>
    <row r="42" spans="1:82" x14ac:dyDescent="0.35">
      <c r="K42" s="28"/>
      <c r="L42" s="29"/>
      <c r="N42" s="56" t="s">
        <v>36</v>
      </c>
      <c r="O42" s="61" t="s">
        <v>108</v>
      </c>
      <c r="P42" s="57" t="str">
        <f>Shape!A40</f>
        <v>0407</v>
      </c>
      <c r="Q42" s="57">
        <f>Shape!B40</f>
        <v>0</v>
      </c>
      <c r="R42" s="57">
        <f>Shape!C40</f>
        <v>0</v>
      </c>
      <c r="S42" s="57">
        <f>Shape!D40</f>
        <v>0</v>
      </c>
      <c r="T42" s="57">
        <f>Shape!E40</f>
        <v>0</v>
      </c>
      <c r="U42" s="57">
        <f>Shape!F40</f>
        <v>0</v>
      </c>
      <c r="V42" s="57">
        <f>Shape!G40</f>
        <v>2</v>
      </c>
      <c r="W42" s="57">
        <f>Shape!H40</f>
        <v>2</v>
      </c>
      <c r="X42" s="57">
        <f>Shape!I40</f>
        <v>2</v>
      </c>
      <c r="Y42" s="57">
        <f>Shape!J40</f>
        <v>2</v>
      </c>
      <c r="Z42" s="57">
        <f>Shape!K40</f>
        <v>2</v>
      </c>
      <c r="AA42" s="57">
        <f>Shape!L40</f>
        <v>2</v>
      </c>
      <c r="AB42" s="57">
        <f>Shape!M40</f>
        <v>2</v>
      </c>
      <c r="AC42" s="57">
        <f>Shape!N40</f>
        <v>2</v>
      </c>
      <c r="AD42" s="57">
        <f>Shape!O40</f>
        <v>2</v>
      </c>
      <c r="AE42" s="57">
        <f>Shape!P40</f>
        <v>2</v>
      </c>
      <c r="AF42" s="57">
        <f>Shape!Q40</f>
        <v>2</v>
      </c>
      <c r="AG42" s="57">
        <f>Shape!R40</f>
        <v>2</v>
      </c>
      <c r="AH42" s="57">
        <f>Shape!S40</f>
        <v>2</v>
      </c>
      <c r="AI42" s="57">
        <f>Shape!T40</f>
        <v>2</v>
      </c>
      <c r="AJ42" s="57">
        <f>Shape!U40</f>
        <v>2</v>
      </c>
      <c r="AK42" s="57">
        <f>Shape!V40</f>
        <v>2</v>
      </c>
      <c r="AL42" s="57">
        <f>Shape!W40</f>
        <v>2</v>
      </c>
      <c r="AM42" s="57">
        <f>Shape!X40</f>
        <v>2</v>
      </c>
      <c r="AN42" s="57">
        <f>Shape!Y40</f>
        <v>2</v>
      </c>
      <c r="AO42" s="57">
        <f>Shape!Z40</f>
        <v>2</v>
      </c>
      <c r="AP42" s="57">
        <f>Shape!AA40</f>
        <v>2</v>
      </c>
      <c r="AQ42" s="57">
        <f>Shape!AB40</f>
        <v>2</v>
      </c>
      <c r="AR42" s="57">
        <f>Shape!AC40</f>
        <v>2</v>
      </c>
      <c r="AS42" s="57">
        <f>Shape!AD40</f>
        <v>2</v>
      </c>
      <c r="AT42" s="57">
        <f>Shape!AE40</f>
        <v>2</v>
      </c>
      <c r="AU42" s="57">
        <f>Shape!AF40</f>
        <v>2</v>
      </c>
      <c r="AV42" s="57">
        <f>Shape!AG40</f>
        <v>2</v>
      </c>
      <c r="AW42" s="57">
        <f>Shape!AH40</f>
        <v>2</v>
      </c>
      <c r="AX42" s="57">
        <f>Shape!AI40</f>
        <v>2</v>
      </c>
      <c r="AY42" s="57">
        <f>Shape!AJ40</f>
        <v>2</v>
      </c>
      <c r="AZ42" s="57">
        <f>Shape!AK40</f>
        <v>2</v>
      </c>
      <c r="BA42" s="57">
        <f>Shape!AL40</f>
        <v>2</v>
      </c>
      <c r="BB42" s="57">
        <f>Shape!AM40</f>
        <v>2</v>
      </c>
      <c r="BC42" s="57">
        <f>Shape!AN40</f>
        <v>2</v>
      </c>
      <c r="BD42" s="57">
        <f>Shape!AO40</f>
        <v>2</v>
      </c>
      <c r="BE42" s="57">
        <f>Shape!AP40</f>
        <v>2</v>
      </c>
      <c r="BF42" s="57">
        <f>Shape!AQ40</f>
        <v>2</v>
      </c>
      <c r="BG42" s="57">
        <f>Shape!AR40</f>
        <v>2</v>
      </c>
      <c r="BH42" s="57">
        <f>Shape!AS40</f>
        <v>2</v>
      </c>
      <c r="BI42" s="57">
        <f>Shape!AT40</f>
        <v>2</v>
      </c>
      <c r="BJ42" s="57">
        <f>Shape!AU40</f>
        <v>2</v>
      </c>
      <c r="BK42" s="57">
        <f>Shape!AV40</f>
        <v>2</v>
      </c>
      <c r="BL42" s="57">
        <f>Shape!AW40</f>
        <v>2</v>
      </c>
      <c r="BM42" s="57">
        <f>Shape!AX40</f>
        <v>2</v>
      </c>
      <c r="BN42" s="57">
        <f>Shape!AY40</f>
        <v>2</v>
      </c>
      <c r="BO42" s="57">
        <f>Shape!AZ40</f>
        <v>2</v>
      </c>
      <c r="BP42" s="57">
        <f>Shape!BA40</f>
        <v>2</v>
      </c>
      <c r="BQ42" s="57">
        <f>Shape!BB40</f>
        <v>2</v>
      </c>
      <c r="BR42" s="57">
        <f>Shape!BC40</f>
        <v>2</v>
      </c>
      <c r="BS42" s="57">
        <f>Shape!BD40</f>
        <v>2</v>
      </c>
      <c r="BT42" s="57">
        <f>Shape!BE40</f>
        <v>2</v>
      </c>
      <c r="BU42" s="54"/>
      <c r="BV42" s="54"/>
      <c r="BW42" s="54"/>
      <c r="BX42" s="54"/>
      <c r="BY42" s="54"/>
      <c r="BZ42" s="54"/>
      <c r="CA42" s="54"/>
      <c r="CB42" s="54"/>
      <c r="CC42" s="54"/>
      <c r="CD42" s="54"/>
    </row>
    <row r="43" spans="1:82" x14ac:dyDescent="0.35">
      <c r="K43" s="28"/>
      <c r="L43" s="29"/>
      <c r="N43" s="56" t="s">
        <v>37</v>
      </c>
      <c r="O43" s="60" t="s">
        <v>109</v>
      </c>
      <c r="P43" s="57" t="str">
        <f>Shape!A41</f>
        <v>0408</v>
      </c>
      <c r="Q43" s="57">
        <f>Shape!B41</f>
        <v>0</v>
      </c>
      <c r="R43" s="57">
        <f>Shape!C41</f>
        <v>0</v>
      </c>
      <c r="S43" s="57">
        <f>Shape!D41</f>
        <v>0</v>
      </c>
      <c r="T43" s="57">
        <f>Shape!E41</f>
        <v>0</v>
      </c>
      <c r="U43" s="57">
        <f>Shape!F41</f>
        <v>0</v>
      </c>
      <c r="V43" s="57">
        <f>Shape!G41</f>
        <v>1</v>
      </c>
      <c r="W43" s="57">
        <f>Shape!H41</f>
        <v>1</v>
      </c>
      <c r="X43" s="57">
        <f>Shape!I41</f>
        <v>1</v>
      </c>
      <c r="Y43" s="57">
        <f>Shape!J41</f>
        <v>1</v>
      </c>
      <c r="Z43" s="57">
        <f>Shape!K41</f>
        <v>1</v>
      </c>
      <c r="AA43" s="57">
        <f>Shape!L41</f>
        <v>1</v>
      </c>
      <c r="AB43" s="57">
        <f>Shape!M41</f>
        <v>1</v>
      </c>
      <c r="AC43" s="57">
        <f>Shape!N41</f>
        <v>1</v>
      </c>
      <c r="AD43" s="57">
        <f>Shape!O41</f>
        <v>1</v>
      </c>
      <c r="AE43" s="57">
        <f>Shape!P41</f>
        <v>1</v>
      </c>
      <c r="AF43" s="57">
        <f>Shape!Q41</f>
        <v>1</v>
      </c>
      <c r="AG43" s="57">
        <f>Shape!R41</f>
        <v>1</v>
      </c>
      <c r="AH43" s="57">
        <f>Shape!S41</f>
        <v>1</v>
      </c>
      <c r="AI43" s="57">
        <f>Shape!T41</f>
        <v>1</v>
      </c>
      <c r="AJ43" s="57">
        <f>Shape!U41</f>
        <v>1</v>
      </c>
      <c r="AK43" s="57">
        <f>Shape!V41</f>
        <v>1</v>
      </c>
      <c r="AL43" s="57">
        <f>Shape!W41</f>
        <v>1</v>
      </c>
      <c r="AM43" s="57">
        <f>Shape!X41</f>
        <v>1</v>
      </c>
      <c r="AN43" s="57">
        <f>Shape!Y41</f>
        <v>1</v>
      </c>
      <c r="AO43" s="57">
        <f>Shape!Z41</f>
        <v>1</v>
      </c>
      <c r="AP43" s="57">
        <f>Shape!AA41</f>
        <v>1</v>
      </c>
      <c r="AQ43" s="57">
        <f>Shape!AB41</f>
        <v>1</v>
      </c>
      <c r="AR43" s="57">
        <f>Shape!AC41</f>
        <v>1</v>
      </c>
      <c r="AS43" s="57">
        <f>Shape!AD41</f>
        <v>1</v>
      </c>
      <c r="AT43" s="57">
        <f>Shape!AE41</f>
        <v>1</v>
      </c>
      <c r="AU43" s="57">
        <f>Shape!AF41</f>
        <v>1</v>
      </c>
      <c r="AV43" s="57">
        <f>Shape!AG41</f>
        <v>1</v>
      </c>
      <c r="AW43" s="57">
        <f>Shape!AH41</f>
        <v>1</v>
      </c>
      <c r="AX43" s="57">
        <f>Shape!AI41</f>
        <v>1</v>
      </c>
      <c r="AY43" s="57">
        <f>Shape!AJ41</f>
        <v>1</v>
      </c>
      <c r="AZ43" s="57">
        <f>Shape!AK41</f>
        <v>1</v>
      </c>
      <c r="BA43" s="57">
        <f>Shape!AL41</f>
        <v>1</v>
      </c>
      <c r="BB43" s="57">
        <f>Shape!AM41</f>
        <v>1</v>
      </c>
      <c r="BC43" s="57">
        <f>Shape!AN41</f>
        <v>1</v>
      </c>
      <c r="BD43" s="57">
        <f>Shape!AO41</f>
        <v>1</v>
      </c>
      <c r="BE43" s="57">
        <f>Shape!AP41</f>
        <v>1</v>
      </c>
      <c r="BF43" s="57">
        <f>Shape!AQ41</f>
        <v>1</v>
      </c>
      <c r="BG43" s="57">
        <f>Shape!AR41</f>
        <v>1</v>
      </c>
      <c r="BH43" s="57">
        <f>Shape!AS41</f>
        <v>1</v>
      </c>
      <c r="BI43" s="57">
        <f>Shape!AT41</f>
        <v>1</v>
      </c>
      <c r="BJ43" s="57">
        <f>Shape!AU41</f>
        <v>1</v>
      </c>
      <c r="BK43" s="57">
        <f>Shape!AV41</f>
        <v>1</v>
      </c>
      <c r="BL43" s="57">
        <f>Shape!AW41</f>
        <v>1</v>
      </c>
      <c r="BM43" s="57">
        <f>Shape!AX41</f>
        <v>1</v>
      </c>
      <c r="BN43" s="57">
        <f>Shape!AY41</f>
        <v>1</v>
      </c>
      <c r="BO43" s="57">
        <f>Shape!AZ41</f>
        <v>1</v>
      </c>
      <c r="BP43" s="57">
        <f>Shape!BA41</f>
        <v>1</v>
      </c>
      <c r="BQ43" s="57">
        <f>Shape!BB41</f>
        <v>1</v>
      </c>
      <c r="BR43" s="57">
        <f>Shape!BC41</f>
        <v>1</v>
      </c>
      <c r="BS43" s="57">
        <f>Shape!BD41</f>
        <v>1</v>
      </c>
      <c r="BT43" s="57">
        <f>Shape!BE41</f>
        <v>1</v>
      </c>
      <c r="BU43" s="54"/>
      <c r="BV43" s="54"/>
      <c r="BW43" s="54"/>
      <c r="BX43" s="54"/>
      <c r="BY43" s="54"/>
      <c r="BZ43" s="54"/>
      <c r="CA43" s="54"/>
      <c r="CB43" s="54"/>
      <c r="CC43" s="54"/>
      <c r="CD43" s="54"/>
    </row>
    <row r="44" spans="1:82" x14ac:dyDescent="0.35">
      <c r="K44" s="28"/>
      <c r="L44" s="29"/>
      <c r="N44" s="56" t="s">
        <v>38</v>
      </c>
      <c r="O44" s="60" t="s">
        <v>132</v>
      </c>
      <c r="P44" s="57" t="str">
        <f>Shape!A42</f>
        <v>0501</v>
      </c>
      <c r="Q44" s="57">
        <f>Shape!B42</f>
        <v>0</v>
      </c>
      <c r="R44" s="57">
        <f>Shape!C42</f>
        <v>0</v>
      </c>
      <c r="S44" s="57">
        <f>Shape!D42</f>
        <v>0</v>
      </c>
      <c r="T44" s="57">
        <f>Shape!E42</f>
        <v>0</v>
      </c>
      <c r="U44" s="57">
        <f>Shape!F42</f>
        <v>0</v>
      </c>
      <c r="V44" s="57">
        <f>Shape!G42</f>
        <v>1</v>
      </c>
      <c r="W44" s="57">
        <f>Shape!H42</f>
        <v>1</v>
      </c>
      <c r="X44" s="57">
        <f>Shape!I42</f>
        <v>1</v>
      </c>
      <c r="Y44" s="57">
        <f>Shape!J42</f>
        <v>1</v>
      </c>
      <c r="Z44" s="57">
        <f>Shape!K42</f>
        <v>1</v>
      </c>
      <c r="AA44" s="57">
        <f>Shape!L42</f>
        <v>1</v>
      </c>
      <c r="AB44" s="57">
        <f>Shape!M42</f>
        <v>1</v>
      </c>
      <c r="AC44" s="57">
        <f>Shape!N42</f>
        <v>1</v>
      </c>
      <c r="AD44" s="57">
        <f>Shape!O42</f>
        <v>1</v>
      </c>
      <c r="AE44" s="57">
        <f>Shape!P42</f>
        <v>1</v>
      </c>
      <c r="AF44" s="57">
        <f>Shape!Q42</f>
        <v>1</v>
      </c>
      <c r="AG44" s="57">
        <f>Shape!R42</f>
        <v>1</v>
      </c>
      <c r="AH44" s="57">
        <f>Shape!S42</f>
        <v>1</v>
      </c>
      <c r="AI44" s="57">
        <f>Shape!T42</f>
        <v>1</v>
      </c>
      <c r="AJ44" s="57">
        <f>Shape!U42</f>
        <v>1</v>
      </c>
      <c r="AK44" s="57">
        <f>Shape!V42</f>
        <v>1</v>
      </c>
      <c r="AL44" s="57">
        <f>Shape!W42</f>
        <v>1</v>
      </c>
      <c r="AM44" s="57">
        <f>Shape!X42</f>
        <v>1</v>
      </c>
      <c r="AN44" s="57">
        <f>Shape!Y42</f>
        <v>1</v>
      </c>
      <c r="AO44" s="57">
        <f>Shape!Z42</f>
        <v>1</v>
      </c>
      <c r="AP44" s="57">
        <f>Shape!AA42</f>
        <v>1</v>
      </c>
      <c r="AQ44" s="57">
        <f>Shape!AB42</f>
        <v>1</v>
      </c>
      <c r="AR44" s="57">
        <f>Shape!AC42</f>
        <v>1</v>
      </c>
      <c r="AS44" s="57">
        <f>Shape!AD42</f>
        <v>1</v>
      </c>
      <c r="AT44" s="57">
        <f>Shape!AE42</f>
        <v>1</v>
      </c>
      <c r="AU44" s="57">
        <f>Shape!AF42</f>
        <v>1</v>
      </c>
      <c r="AV44" s="57">
        <f>Shape!AG42</f>
        <v>1</v>
      </c>
      <c r="AW44" s="57">
        <f>Shape!AH42</f>
        <v>1</v>
      </c>
      <c r="AX44" s="57">
        <f>Shape!AI42</f>
        <v>1</v>
      </c>
      <c r="AY44" s="57">
        <f>Shape!AJ42</f>
        <v>1</v>
      </c>
      <c r="AZ44" s="57">
        <f>Shape!AK42</f>
        <v>1</v>
      </c>
      <c r="BA44" s="57">
        <f>Shape!AL42</f>
        <v>1</v>
      </c>
      <c r="BB44" s="57">
        <f>Shape!AM42</f>
        <v>1</v>
      </c>
      <c r="BC44" s="57">
        <f>Shape!AN42</f>
        <v>1</v>
      </c>
      <c r="BD44" s="57">
        <f>Shape!AO42</f>
        <v>1</v>
      </c>
      <c r="BE44" s="57">
        <f>Shape!AP42</f>
        <v>1</v>
      </c>
      <c r="BF44" s="57">
        <f>Shape!AQ42</f>
        <v>1</v>
      </c>
      <c r="BG44" s="57">
        <f>Shape!AR42</f>
        <v>1</v>
      </c>
      <c r="BH44" s="57">
        <f>Shape!AS42</f>
        <v>1</v>
      </c>
      <c r="BI44" s="57">
        <f>Shape!AT42</f>
        <v>1</v>
      </c>
      <c r="BJ44" s="57">
        <f>Shape!AU42</f>
        <v>1</v>
      </c>
      <c r="BK44" s="57">
        <f>Shape!AV42</f>
        <v>1</v>
      </c>
      <c r="BL44" s="57">
        <f>Shape!AW42</f>
        <v>1</v>
      </c>
      <c r="BM44" s="57">
        <f>Shape!AX42</f>
        <v>1</v>
      </c>
      <c r="BN44" s="57">
        <f>Shape!AY42</f>
        <v>1</v>
      </c>
      <c r="BO44" s="57">
        <f>Shape!AZ42</f>
        <v>1</v>
      </c>
      <c r="BP44" s="57">
        <f>Shape!BA42</f>
        <v>1</v>
      </c>
      <c r="BQ44" s="57">
        <f>Shape!BB42</f>
        <v>1</v>
      </c>
      <c r="BR44" s="57">
        <f>Shape!BC42</f>
        <v>1</v>
      </c>
      <c r="BS44" s="57">
        <f>Shape!BD42</f>
        <v>1</v>
      </c>
      <c r="BT44" s="57">
        <f>Shape!BE42</f>
        <v>1</v>
      </c>
      <c r="BU44" s="54"/>
      <c r="BV44" s="54"/>
      <c r="BW44" s="54"/>
      <c r="BX44" s="54"/>
      <c r="BY44" s="54"/>
      <c r="BZ44" s="54"/>
      <c r="CA44" s="54"/>
      <c r="CB44" s="54"/>
      <c r="CC44" s="54"/>
      <c r="CD44" s="54"/>
    </row>
    <row r="45" spans="1:82" x14ac:dyDescent="0.35">
      <c r="K45" s="28"/>
      <c r="L45" s="29"/>
      <c r="N45" s="56" t="s">
        <v>39</v>
      </c>
      <c r="O45" s="60" t="s">
        <v>110</v>
      </c>
      <c r="P45" s="57" t="str">
        <f>Shape!A43</f>
        <v>0502</v>
      </c>
      <c r="Q45" s="57">
        <f>Shape!B43</f>
        <v>0</v>
      </c>
      <c r="R45" s="57">
        <f>Shape!C43</f>
        <v>0</v>
      </c>
      <c r="S45" s="57">
        <f>Shape!D43</f>
        <v>0</v>
      </c>
      <c r="T45" s="57">
        <f>Shape!E43</f>
        <v>0</v>
      </c>
      <c r="U45" s="57">
        <f>Shape!F43</f>
        <v>0</v>
      </c>
      <c r="V45" s="57">
        <f>Shape!G43</f>
        <v>1</v>
      </c>
      <c r="W45" s="57">
        <f>Shape!H43</f>
        <v>1</v>
      </c>
      <c r="X45" s="57">
        <f>Shape!I43</f>
        <v>1</v>
      </c>
      <c r="Y45" s="57">
        <f>Shape!J43</f>
        <v>1</v>
      </c>
      <c r="Z45" s="57">
        <f>Shape!K43</f>
        <v>1</v>
      </c>
      <c r="AA45" s="57">
        <f>Shape!L43</f>
        <v>1</v>
      </c>
      <c r="AB45" s="57">
        <f>Shape!M43</f>
        <v>1</v>
      </c>
      <c r="AC45" s="57">
        <f>Shape!N43</f>
        <v>1</v>
      </c>
      <c r="AD45" s="57">
        <f>Shape!O43</f>
        <v>1</v>
      </c>
      <c r="AE45" s="57">
        <f>Shape!P43</f>
        <v>1</v>
      </c>
      <c r="AF45" s="57">
        <f>Shape!Q43</f>
        <v>1</v>
      </c>
      <c r="AG45" s="57">
        <f>Shape!R43</f>
        <v>1</v>
      </c>
      <c r="AH45" s="57">
        <f>Shape!S43</f>
        <v>1</v>
      </c>
      <c r="AI45" s="57">
        <f>Shape!T43</f>
        <v>1</v>
      </c>
      <c r="AJ45" s="57">
        <f>Shape!U43</f>
        <v>1</v>
      </c>
      <c r="AK45" s="57">
        <f>Shape!V43</f>
        <v>1</v>
      </c>
      <c r="AL45" s="57">
        <f>Shape!W43</f>
        <v>1</v>
      </c>
      <c r="AM45" s="57">
        <f>Shape!X43</f>
        <v>1</v>
      </c>
      <c r="AN45" s="57">
        <f>Shape!Y43</f>
        <v>1</v>
      </c>
      <c r="AO45" s="57">
        <f>Shape!Z43</f>
        <v>1</v>
      </c>
      <c r="AP45" s="57">
        <f>Shape!AA43</f>
        <v>1</v>
      </c>
      <c r="AQ45" s="57">
        <f>Shape!AB43</f>
        <v>1</v>
      </c>
      <c r="AR45" s="57">
        <f>Shape!AC43</f>
        <v>1</v>
      </c>
      <c r="AS45" s="57">
        <f>Shape!AD43</f>
        <v>1</v>
      </c>
      <c r="AT45" s="57">
        <f>Shape!AE43</f>
        <v>1</v>
      </c>
      <c r="AU45" s="57">
        <f>Shape!AF43</f>
        <v>1</v>
      </c>
      <c r="AV45" s="57">
        <f>Shape!AG43</f>
        <v>1</v>
      </c>
      <c r="AW45" s="57">
        <f>Shape!AH43</f>
        <v>1</v>
      </c>
      <c r="AX45" s="57">
        <f>Shape!AI43</f>
        <v>1</v>
      </c>
      <c r="AY45" s="57">
        <f>Shape!AJ43</f>
        <v>1</v>
      </c>
      <c r="AZ45" s="57">
        <f>Shape!AK43</f>
        <v>1</v>
      </c>
      <c r="BA45" s="57">
        <f>Shape!AL43</f>
        <v>1</v>
      </c>
      <c r="BB45" s="57">
        <f>Shape!AM43</f>
        <v>1</v>
      </c>
      <c r="BC45" s="57">
        <f>Shape!AN43</f>
        <v>1</v>
      </c>
      <c r="BD45" s="57">
        <f>Shape!AO43</f>
        <v>1</v>
      </c>
      <c r="BE45" s="57">
        <f>Shape!AP43</f>
        <v>1</v>
      </c>
      <c r="BF45" s="57">
        <f>Shape!AQ43</f>
        <v>1</v>
      </c>
      <c r="BG45" s="57">
        <f>Shape!AR43</f>
        <v>1</v>
      </c>
      <c r="BH45" s="57">
        <f>Shape!AS43</f>
        <v>1</v>
      </c>
      <c r="BI45" s="57">
        <f>Shape!AT43</f>
        <v>1</v>
      </c>
      <c r="BJ45" s="57">
        <f>Shape!AU43</f>
        <v>1</v>
      </c>
      <c r="BK45" s="57">
        <f>Shape!AV43</f>
        <v>1</v>
      </c>
      <c r="BL45" s="57">
        <f>Shape!AW43</f>
        <v>1</v>
      </c>
      <c r="BM45" s="57">
        <f>Shape!AX43</f>
        <v>1</v>
      </c>
      <c r="BN45" s="57">
        <f>Shape!AY43</f>
        <v>1</v>
      </c>
      <c r="BO45" s="57">
        <f>Shape!AZ43</f>
        <v>1</v>
      </c>
      <c r="BP45" s="57">
        <f>Shape!BA43</f>
        <v>1</v>
      </c>
      <c r="BQ45" s="57">
        <f>Shape!BB43</f>
        <v>1</v>
      </c>
      <c r="BR45" s="57">
        <f>Shape!BC43</f>
        <v>1</v>
      </c>
      <c r="BS45" s="57">
        <f>Shape!BD43</f>
        <v>1</v>
      </c>
      <c r="BT45" s="57">
        <f>Shape!BE43</f>
        <v>1</v>
      </c>
      <c r="BU45" s="54"/>
      <c r="BV45" s="54"/>
      <c r="BW45" s="54"/>
      <c r="BX45" s="54"/>
      <c r="BY45" s="54"/>
      <c r="BZ45" s="54"/>
      <c r="CA45" s="54"/>
      <c r="CB45" s="54"/>
      <c r="CC45" s="54"/>
      <c r="CD45" s="54"/>
    </row>
    <row r="46" spans="1:82" x14ac:dyDescent="0.35">
      <c r="K46" s="28"/>
      <c r="L46" s="29"/>
      <c r="N46" s="56" t="s">
        <v>40</v>
      </c>
      <c r="O46" s="60" t="s">
        <v>111</v>
      </c>
      <c r="P46" s="57" t="str">
        <f>Shape!A44</f>
        <v>0503</v>
      </c>
      <c r="Q46" s="57">
        <f>Shape!B44</f>
        <v>0</v>
      </c>
      <c r="R46" s="57">
        <f>Shape!C44</f>
        <v>0</v>
      </c>
      <c r="S46" s="57">
        <f>Shape!D44</f>
        <v>0</v>
      </c>
      <c r="T46" s="57">
        <f>Shape!E44</f>
        <v>0</v>
      </c>
      <c r="U46" s="57">
        <f>Shape!F44</f>
        <v>0</v>
      </c>
      <c r="V46" s="57">
        <f>Shape!G44</f>
        <v>1</v>
      </c>
      <c r="W46" s="57">
        <f>Shape!H44</f>
        <v>1</v>
      </c>
      <c r="X46" s="57">
        <f>Shape!I44</f>
        <v>1</v>
      </c>
      <c r="Y46" s="57">
        <f>Shape!J44</f>
        <v>1</v>
      </c>
      <c r="Z46" s="57">
        <f>Shape!K44</f>
        <v>1</v>
      </c>
      <c r="AA46" s="57">
        <f>Shape!L44</f>
        <v>1</v>
      </c>
      <c r="AB46" s="57">
        <f>Shape!M44</f>
        <v>1</v>
      </c>
      <c r="AC46" s="57">
        <f>Shape!N44</f>
        <v>1</v>
      </c>
      <c r="AD46" s="57">
        <f>Shape!O44</f>
        <v>1</v>
      </c>
      <c r="AE46" s="57">
        <f>Shape!P44</f>
        <v>1</v>
      </c>
      <c r="AF46" s="57">
        <f>Shape!Q44</f>
        <v>1</v>
      </c>
      <c r="AG46" s="57">
        <f>Shape!R44</f>
        <v>1</v>
      </c>
      <c r="AH46" s="57">
        <f>Shape!S44</f>
        <v>1</v>
      </c>
      <c r="AI46" s="57">
        <f>Shape!T44</f>
        <v>1</v>
      </c>
      <c r="AJ46" s="57">
        <f>Shape!U44</f>
        <v>1</v>
      </c>
      <c r="AK46" s="57">
        <f>Shape!V44</f>
        <v>1</v>
      </c>
      <c r="AL46" s="57">
        <f>Shape!W44</f>
        <v>1</v>
      </c>
      <c r="AM46" s="57">
        <f>Shape!X44</f>
        <v>1</v>
      </c>
      <c r="AN46" s="57">
        <f>Shape!Y44</f>
        <v>1</v>
      </c>
      <c r="AO46" s="57">
        <f>Shape!Z44</f>
        <v>1</v>
      </c>
      <c r="AP46" s="57">
        <f>Shape!AA44</f>
        <v>1</v>
      </c>
      <c r="AQ46" s="57">
        <f>Shape!AB44</f>
        <v>1</v>
      </c>
      <c r="AR46" s="57">
        <f>Shape!AC44</f>
        <v>1</v>
      </c>
      <c r="AS46" s="57">
        <f>Shape!AD44</f>
        <v>1</v>
      </c>
      <c r="AT46" s="57">
        <f>Shape!AE44</f>
        <v>1</v>
      </c>
      <c r="AU46" s="57">
        <f>Shape!AF44</f>
        <v>1</v>
      </c>
      <c r="AV46" s="57">
        <f>Shape!AG44</f>
        <v>1</v>
      </c>
      <c r="AW46" s="57">
        <f>Shape!AH44</f>
        <v>1</v>
      </c>
      <c r="AX46" s="57">
        <f>Shape!AI44</f>
        <v>1</v>
      </c>
      <c r="AY46" s="57">
        <f>Shape!AJ44</f>
        <v>1</v>
      </c>
      <c r="AZ46" s="57">
        <f>Shape!AK44</f>
        <v>1</v>
      </c>
      <c r="BA46" s="57">
        <f>Shape!AL44</f>
        <v>1</v>
      </c>
      <c r="BB46" s="57">
        <f>Shape!AM44</f>
        <v>1</v>
      </c>
      <c r="BC46" s="57">
        <f>Shape!AN44</f>
        <v>1</v>
      </c>
      <c r="BD46" s="57">
        <f>Shape!AO44</f>
        <v>1</v>
      </c>
      <c r="BE46" s="57">
        <f>Shape!AP44</f>
        <v>1</v>
      </c>
      <c r="BF46" s="57">
        <f>Shape!AQ44</f>
        <v>1</v>
      </c>
      <c r="BG46" s="57">
        <f>Shape!AR44</f>
        <v>1</v>
      </c>
      <c r="BH46" s="57">
        <f>Shape!AS44</f>
        <v>1</v>
      </c>
      <c r="BI46" s="57">
        <f>Shape!AT44</f>
        <v>1</v>
      </c>
      <c r="BJ46" s="57">
        <f>Shape!AU44</f>
        <v>1</v>
      </c>
      <c r="BK46" s="57">
        <f>Shape!AV44</f>
        <v>1</v>
      </c>
      <c r="BL46" s="57">
        <f>Shape!AW44</f>
        <v>1</v>
      </c>
      <c r="BM46" s="57">
        <f>Shape!AX44</f>
        <v>1</v>
      </c>
      <c r="BN46" s="57">
        <f>Shape!AY44</f>
        <v>1</v>
      </c>
      <c r="BO46" s="57">
        <f>Shape!AZ44</f>
        <v>1</v>
      </c>
      <c r="BP46" s="57">
        <f>Shape!BA44</f>
        <v>1</v>
      </c>
      <c r="BQ46" s="57">
        <f>Shape!BB44</f>
        <v>1</v>
      </c>
      <c r="BR46" s="57">
        <f>Shape!BC44</f>
        <v>1</v>
      </c>
      <c r="BS46" s="57">
        <f>Shape!BD44</f>
        <v>1</v>
      </c>
      <c r="BT46" s="57">
        <f>Shape!BE44</f>
        <v>1</v>
      </c>
      <c r="BU46" s="54"/>
      <c r="BV46" s="54"/>
      <c r="BW46" s="54"/>
      <c r="BX46" s="54"/>
      <c r="BY46" s="54"/>
      <c r="BZ46" s="54"/>
      <c r="CA46" s="54"/>
      <c r="CB46" s="54"/>
      <c r="CC46" s="54"/>
      <c r="CD46" s="54"/>
    </row>
    <row r="47" spans="1:82" x14ac:dyDescent="0.35">
      <c r="K47" s="28"/>
      <c r="L47" s="29"/>
      <c r="N47" s="56" t="s">
        <v>41</v>
      </c>
      <c r="O47" s="60" t="s">
        <v>148</v>
      </c>
      <c r="P47" s="57" t="str">
        <f>Shape!A45</f>
        <v>0504</v>
      </c>
      <c r="Q47" s="57">
        <f>Shape!B45</f>
        <v>0</v>
      </c>
      <c r="R47" s="57">
        <f>Shape!C45</f>
        <v>0</v>
      </c>
      <c r="S47" s="57">
        <f>Shape!D45</f>
        <v>0</v>
      </c>
      <c r="T47" s="57">
        <f>Shape!E45</f>
        <v>0</v>
      </c>
      <c r="U47" s="57">
        <f>Shape!F45</f>
        <v>0</v>
      </c>
      <c r="V47" s="57">
        <f>Shape!G45</f>
        <v>1</v>
      </c>
      <c r="W47" s="57">
        <f>Shape!H45</f>
        <v>1</v>
      </c>
      <c r="X47" s="57">
        <f>Shape!I45</f>
        <v>1</v>
      </c>
      <c r="Y47" s="57">
        <f>Shape!J45</f>
        <v>1</v>
      </c>
      <c r="Z47" s="57">
        <f>Shape!K45</f>
        <v>1</v>
      </c>
      <c r="AA47" s="57">
        <f>Shape!L45</f>
        <v>1</v>
      </c>
      <c r="AB47" s="57">
        <f>Shape!M45</f>
        <v>1</v>
      </c>
      <c r="AC47" s="57">
        <f>Shape!N45</f>
        <v>1</v>
      </c>
      <c r="AD47" s="57">
        <f>Shape!O45</f>
        <v>1</v>
      </c>
      <c r="AE47" s="57">
        <f>Shape!P45</f>
        <v>1</v>
      </c>
      <c r="AF47" s="57">
        <f>Shape!Q45</f>
        <v>1</v>
      </c>
      <c r="AG47" s="57">
        <f>Shape!R45</f>
        <v>1</v>
      </c>
      <c r="AH47" s="57">
        <f>Shape!S45</f>
        <v>1</v>
      </c>
      <c r="AI47" s="57">
        <f>Shape!T45</f>
        <v>1</v>
      </c>
      <c r="AJ47" s="57">
        <f>Shape!U45</f>
        <v>1</v>
      </c>
      <c r="AK47" s="57">
        <f>Shape!V45</f>
        <v>1</v>
      </c>
      <c r="AL47" s="57">
        <f>Shape!W45</f>
        <v>1</v>
      </c>
      <c r="AM47" s="57">
        <f>Shape!X45</f>
        <v>1</v>
      </c>
      <c r="AN47" s="57">
        <f>Shape!Y45</f>
        <v>1</v>
      </c>
      <c r="AO47" s="57">
        <f>Shape!Z45</f>
        <v>1</v>
      </c>
      <c r="AP47" s="57">
        <f>Shape!AA45</f>
        <v>1</v>
      </c>
      <c r="AQ47" s="57">
        <f>Shape!AB45</f>
        <v>1</v>
      </c>
      <c r="AR47" s="57">
        <f>Shape!AC45</f>
        <v>1</v>
      </c>
      <c r="AS47" s="57">
        <f>Shape!AD45</f>
        <v>1</v>
      </c>
      <c r="AT47" s="57">
        <f>Shape!AE45</f>
        <v>1</v>
      </c>
      <c r="AU47" s="57">
        <f>Shape!AF45</f>
        <v>1</v>
      </c>
      <c r="AV47" s="57">
        <f>Shape!AG45</f>
        <v>1</v>
      </c>
      <c r="AW47" s="57">
        <f>Shape!AH45</f>
        <v>1</v>
      </c>
      <c r="AX47" s="57">
        <f>Shape!AI45</f>
        <v>1</v>
      </c>
      <c r="AY47" s="57">
        <f>Shape!AJ45</f>
        <v>1</v>
      </c>
      <c r="AZ47" s="57">
        <f>Shape!AK45</f>
        <v>1</v>
      </c>
      <c r="BA47" s="57">
        <f>Shape!AL45</f>
        <v>1</v>
      </c>
      <c r="BB47" s="57">
        <f>Shape!AM45</f>
        <v>1</v>
      </c>
      <c r="BC47" s="57">
        <f>Shape!AN45</f>
        <v>1</v>
      </c>
      <c r="BD47" s="57">
        <f>Shape!AO45</f>
        <v>1</v>
      </c>
      <c r="BE47" s="57">
        <f>Shape!AP45</f>
        <v>1</v>
      </c>
      <c r="BF47" s="57">
        <f>Shape!AQ45</f>
        <v>1</v>
      </c>
      <c r="BG47" s="57">
        <f>Shape!AR45</f>
        <v>1</v>
      </c>
      <c r="BH47" s="57">
        <f>Shape!AS45</f>
        <v>1</v>
      </c>
      <c r="BI47" s="57">
        <f>Shape!AT45</f>
        <v>1</v>
      </c>
      <c r="BJ47" s="57">
        <f>Shape!AU45</f>
        <v>1</v>
      </c>
      <c r="BK47" s="57">
        <f>Shape!AV45</f>
        <v>1</v>
      </c>
      <c r="BL47" s="57">
        <f>Shape!AW45</f>
        <v>1</v>
      </c>
      <c r="BM47" s="57">
        <f>Shape!AX45</f>
        <v>1</v>
      </c>
      <c r="BN47" s="57">
        <f>Shape!AY45</f>
        <v>1</v>
      </c>
      <c r="BO47" s="57">
        <f>Shape!AZ45</f>
        <v>1</v>
      </c>
      <c r="BP47" s="57">
        <f>Shape!BA45</f>
        <v>1</v>
      </c>
      <c r="BQ47" s="57">
        <f>Shape!BB45</f>
        <v>1</v>
      </c>
      <c r="BR47" s="57">
        <f>Shape!BC45</f>
        <v>1</v>
      </c>
      <c r="BS47" s="57">
        <f>Shape!BD45</f>
        <v>1</v>
      </c>
      <c r="BT47" s="57">
        <f>Shape!BE45</f>
        <v>1</v>
      </c>
      <c r="BU47" s="54"/>
      <c r="BV47" s="54"/>
      <c r="BW47" s="54"/>
      <c r="BX47" s="54"/>
      <c r="BY47" s="54"/>
      <c r="BZ47" s="54"/>
      <c r="CA47" s="54"/>
      <c r="CB47" s="54"/>
      <c r="CC47" s="54"/>
      <c r="CD47" s="54"/>
    </row>
    <row r="48" spans="1:82" x14ac:dyDescent="0.35">
      <c r="A48" s="32"/>
      <c r="B48" s="32"/>
      <c r="K48" s="28"/>
      <c r="L48" s="29"/>
      <c r="N48" s="56" t="s">
        <v>42</v>
      </c>
      <c r="O48" s="60" t="s">
        <v>129</v>
      </c>
      <c r="P48" s="57" t="str">
        <f>Shape!A46</f>
        <v>0505</v>
      </c>
      <c r="Q48" s="57">
        <f>Shape!B46</f>
        <v>0</v>
      </c>
      <c r="R48" s="57">
        <f>Shape!C46</f>
        <v>0</v>
      </c>
      <c r="S48" s="57">
        <f>Shape!D46</f>
        <v>0</v>
      </c>
      <c r="T48" s="57">
        <f>Shape!E46</f>
        <v>0</v>
      </c>
      <c r="U48" s="57">
        <f>Shape!F46</f>
        <v>0</v>
      </c>
      <c r="V48" s="57">
        <f>Shape!G46</f>
        <v>1</v>
      </c>
      <c r="W48" s="57">
        <f>Shape!H46</f>
        <v>1</v>
      </c>
      <c r="X48" s="57">
        <f>Shape!I46</f>
        <v>1</v>
      </c>
      <c r="Y48" s="57">
        <f>Shape!J46</f>
        <v>1</v>
      </c>
      <c r="Z48" s="57">
        <f>Shape!K46</f>
        <v>1</v>
      </c>
      <c r="AA48" s="57">
        <f>Shape!L46</f>
        <v>1</v>
      </c>
      <c r="AB48" s="57">
        <f>Shape!M46</f>
        <v>1</v>
      </c>
      <c r="AC48" s="57">
        <f>Shape!N46</f>
        <v>1</v>
      </c>
      <c r="AD48" s="57">
        <f>Shape!O46</f>
        <v>1</v>
      </c>
      <c r="AE48" s="57">
        <f>Shape!P46</f>
        <v>1</v>
      </c>
      <c r="AF48" s="57">
        <f>Shape!Q46</f>
        <v>1</v>
      </c>
      <c r="AG48" s="57">
        <f>Shape!R46</f>
        <v>1</v>
      </c>
      <c r="AH48" s="57">
        <f>Shape!S46</f>
        <v>1</v>
      </c>
      <c r="AI48" s="57">
        <f>Shape!T46</f>
        <v>1</v>
      </c>
      <c r="AJ48" s="57">
        <f>Shape!U46</f>
        <v>1</v>
      </c>
      <c r="AK48" s="57">
        <f>Shape!V46</f>
        <v>1</v>
      </c>
      <c r="AL48" s="57">
        <f>Shape!W46</f>
        <v>1</v>
      </c>
      <c r="AM48" s="57">
        <f>Shape!X46</f>
        <v>1</v>
      </c>
      <c r="AN48" s="57">
        <f>Shape!Y46</f>
        <v>1</v>
      </c>
      <c r="AO48" s="57">
        <f>Shape!Z46</f>
        <v>1</v>
      </c>
      <c r="AP48" s="57">
        <f>Shape!AA46</f>
        <v>1</v>
      </c>
      <c r="AQ48" s="57">
        <f>Shape!AB46</f>
        <v>1</v>
      </c>
      <c r="AR48" s="57">
        <f>Shape!AC46</f>
        <v>1</v>
      </c>
      <c r="AS48" s="57">
        <f>Shape!AD46</f>
        <v>1</v>
      </c>
      <c r="AT48" s="57">
        <f>Shape!AE46</f>
        <v>1</v>
      </c>
      <c r="AU48" s="57">
        <f>Shape!AF46</f>
        <v>1</v>
      </c>
      <c r="AV48" s="57">
        <f>Shape!AG46</f>
        <v>1</v>
      </c>
      <c r="AW48" s="57">
        <f>Shape!AH46</f>
        <v>1</v>
      </c>
      <c r="AX48" s="57">
        <f>Shape!AI46</f>
        <v>1</v>
      </c>
      <c r="AY48" s="57">
        <f>Shape!AJ46</f>
        <v>1</v>
      </c>
      <c r="AZ48" s="57">
        <f>Shape!AK46</f>
        <v>1</v>
      </c>
      <c r="BA48" s="57">
        <f>Shape!AL46</f>
        <v>1</v>
      </c>
      <c r="BB48" s="57">
        <f>Shape!AM46</f>
        <v>1</v>
      </c>
      <c r="BC48" s="57">
        <f>Shape!AN46</f>
        <v>1</v>
      </c>
      <c r="BD48" s="57">
        <f>Shape!AO46</f>
        <v>1</v>
      </c>
      <c r="BE48" s="57">
        <f>Shape!AP46</f>
        <v>1</v>
      </c>
      <c r="BF48" s="57">
        <f>Shape!AQ46</f>
        <v>1</v>
      </c>
      <c r="BG48" s="57">
        <f>Shape!AR46</f>
        <v>1</v>
      </c>
      <c r="BH48" s="57">
        <f>Shape!AS46</f>
        <v>1</v>
      </c>
      <c r="BI48" s="57">
        <f>Shape!AT46</f>
        <v>1</v>
      </c>
      <c r="BJ48" s="57">
        <f>Shape!AU46</f>
        <v>1</v>
      </c>
      <c r="BK48" s="57">
        <f>Shape!AV46</f>
        <v>1</v>
      </c>
      <c r="BL48" s="57">
        <f>Shape!AW46</f>
        <v>1</v>
      </c>
      <c r="BM48" s="57">
        <f>Shape!AX46</f>
        <v>1</v>
      </c>
      <c r="BN48" s="57">
        <f>Shape!AY46</f>
        <v>1</v>
      </c>
      <c r="BO48" s="57">
        <f>Shape!AZ46</f>
        <v>1</v>
      </c>
      <c r="BP48" s="57">
        <f>Shape!BA46</f>
        <v>1</v>
      </c>
      <c r="BQ48" s="57">
        <f>Shape!BB46</f>
        <v>1</v>
      </c>
      <c r="BR48" s="57">
        <f>Shape!BC46</f>
        <v>1</v>
      </c>
      <c r="BS48" s="57">
        <f>Shape!BD46</f>
        <v>1</v>
      </c>
      <c r="BT48" s="57">
        <f>Shape!BE46</f>
        <v>1</v>
      </c>
      <c r="BU48" s="54"/>
      <c r="BV48" s="54"/>
      <c r="BW48" s="54"/>
      <c r="BX48" s="54"/>
      <c r="BY48" s="54"/>
      <c r="BZ48" s="54"/>
      <c r="CA48" s="54"/>
      <c r="CB48" s="54"/>
      <c r="CC48" s="54"/>
      <c r="CD48" s="54"/>
    </row>
    <row r="49" spans="1:82" x14ac:dyDescent="0.35">
      <c r="A49" s="33"/>
      <c r="K49" s="28"/>
      <c r="L49" s="29"/>
      <c r="N49" s="56" t="s">
        <v>43</v>
      </c>
      <c r="O49" s="60" t="s">
        <v>130</v>
      </c>
      <c r="P49" s="57" t="str">
        <f>Shape!A47</f>
        <v>0506</v>
      </c>
      <c r="Q49" s="57">
        <f>Shape!B47</f>
        <v>0</v>
      </c>
      <c r="R49" s="57">
        <f>Shape!C47</f>
        <v>0</v>
      </c>
      <c r="S49" s="57">
        <f>Shape!D47</f>
        <v>0</v>
      </c>
      <c r="T49" s="57">
        <f>Shape!E47</f>
        <v>0</v>
      </c>
      <c r="U49" s="57">
        <f>Shape!F47</f>
        <v>0</v>
      </c>
      <c r="V49" s="57">
        <f>Shape!G47</f>
        <v>2</v>
      </c>
      <c r="W49" s="57">
        <f>Shape!H47</f>
        <v>2</v>
      </c>
      <c r="X49" s="57">
        <f>Shape!I47</f>
        <v>2</v>
      </c>
      <c r="Y49" s="57">
        <f>Shape!J47</f>
        <v>2</v>
      </c>
      <c r="Z49" s="57">
        <f>Shape!K47</f>
        <v>2</v>
      </c>
      <c r="AA49" s="57">
        <f>Shape!L47</f>
        <v>2</v>
      </c>
      <c r="AB49" s="57">
        <f>Shape!M47</f>
        <v>2</v>
      </c>
      <c r="AC49" s="57">
        <f>Shape!N47</f>
        <v>2</v>
      </c>
      <c r="AD49" s="57">
        <f>Shape!O47</f>
        <v>2</v>
      </c>
      <c r="AE49" s="57">
        <f>Shape!P47</f>
        <v>2</v>
      </c>
      <c r="AF49" s="57">
        <f>Shape!Q47</f>
        <v>2</v>
      </c>
      <c r="AG49" s="57">
        <f>Shape!R47</f>
        <v>2</v>
      </c>
      <c r="AH49" s="57">
        <f>Shape!S47</f>
        <v>2</v>
      </c>
      <c r="AI49" s="57">
        <f>Shape!T47</f>
        <v>2</v>
      </c>
      <c r="AJ49" s="57">
        <f>Shape!U47</f>
        <v>2</v>
      </c>
      <c r="AK49" s="57">
        <f>Shape!V47</f>
        <v>2</v>
      </c>
      <c r="AL49" s="57">
        <f>Shape!W47</f>
        <v>2</v>
      </c>
      <c r="AM49" s="57">
        <f>Shape!X47</f>
        <v>2</v>
      </c>
      <c r="AN49" s="57">
        <f>Shape!Y47</f>
        <v>2</v>
      </c>
      <c r="AO49" s="57">
        <f>Shape!Z47</f>
        <v>2</v>
      </c>
      <c r="AP49" s="57">
        <f>Shape!AA47</f>
        <v>2</v>
      </c>
      <c r="AQ49" s="57">
        <f>Shape!AB47</f>
        <v>2</v>
      </c>
      <c r="AR49" s="57">
        <f>Shape!AC47</f>
        <v>2</v>
      </c>
      <c r="AS49" s="57">
        <f>Shape!AD47</f>
        <v>2</v>
      </c>
      <c r="AT49" s="57">
        <f>Shape!AE47</f>
        <v>2</v>
      </c>
      <c r="AU49" s="57">
        <f>Shape!AF47</f>
        <v>2</v>
      </c>
      <c r="AV49" s="57">
        <f>Shape!AG47</f>
        <v>2</v>
      </c>
      <c r="AW49" s="57">
        <f>Shape!AH47</f>
        <v>2</v>
      </c>
      <c r="AX49" s="57">
        <f>Shape!AI47</f>
        <v>2</v>
      </c>
      <c r="AY49" s="57">
        <f>Shape!AJ47</f>
        <v>2</v>
      </c>
      <c r="AZ49" s="57">
        <f>Shape!AK47</f>
        <v>2</v>
      </c>
      <c r="BA49" s="57">
        <f>Shape!AL47</f>
        <v>2</v>
      </c>
      <c r="BB49" s="57">
        <f>Shape!AM47</f>
        <v>2</v>
      </c>
      <c r="BC49" s="57">
        <f>Shape!AN47</f>
        <v>2</v>
      </c>
      <c r="BD49" s="57">
        <f>Shape!AO47</f>
        <v>2</v>
      </c>
      <c r="BE49" s="57">
        <f>Shape!AP47</f>
        <v>2</v>
      </c>
      <c r="BF49" s="57">
        <f>Shape!AQ47</f>
        <v>2</v>
      </c>
      <c r="BG49" s="57">
        <f>Shape!AR47</f>
        <v>2</v>
      </c>
      <c r="BH49" s="57">
        <f>Shape!AS47</f>
        <v>2</v>
      </c>
      <c r="BI49" s="57">
        <f>Shape!AT47</f>
        <v>2</v>
      </c>
      <c r="BJ49" s="57">
        <f>Shape!AU47</f>
        <v>2</v>
      </c>
      <c r="BK49" s="57">
        <f>Shape!AV47</f>
        <v>2</v>
      </c>
      <c r="BL49" s="57">
        <f>Shape!AW47</f>
        <v>2</v>
      </c>
      <c r="BM49" s="57">
        <f>Shape!AX47</f>
        <v>2</v>
      </c>
      <c r="BN49" s="57">
        <f>Shape!AY47</f>
        <v>2</v>
      </c>
      <c r="BO49" s="57">
        <f>Shape!AZ47</f>
        <v>2</v>
      </c>
      <c r="BP49" s="57">
        <f>Shape!BA47</f>
        <v>2</v>
      </c>
      <c r="BQ49" s="57">
        <f>Shape!BB47</f>
        <v>2</v>
      </c>
      <c r="BR49" s="57">
        <f>Shape!BC47</f>
        <v>2</v>
      </c>
      <c r="BS49" s="57">
        <f>Shape!BD47</f>
        <v>2</v>
      </c>
      <c r="BT49" s="57">
        <f>Shape!BE47</f>
        <v>2</v>
      </c>
      <c r="BU49" s="54"/>
      <c r="BV49" s="54"/>
      <c r="BW49" s="54"/>
      <c r="BX49" s="54"/>
      <c r="BY49" s="54"/>
      <c r="BZ49" s="54"/>
      <c r="CA49" s="54"/>
      <c r="CB49" s="54"/>
      <c r="CC49" s="54"/>
      <c r="CD49" s="54"/>
    </row>
    <row r="50" spans="1:82" ht="18.5" x14ac:dyDescent="0.45">
      <c r="A50" s="99" t="s">
        <v>169</v>
      </c>
      <c r="C50" s="34"/>
      <c r="D50" s="34"/>
      <c r="E50" s="34"/>
      <c r="K50" s="28"/>
      <c r="L50" s="29"/>
      <c r="N50" s="56" t="s">
        <v>44</v>
      </c>
      <c r="O50" s="60" t="s">
        <v>112</v>
      </c>
      <c r="P50" s="57" t="str">
        <f>Shape!A48</f>
        <v>0507</v>
      </c>
      <c r="Q50" s="57">
        <f>Shape!B48</f>
        <v>0</v>
      </c>
      <c r="R50" s="57">
        <f>Shape!C48</f>
        <v>0</v>
      </c>
      <c r="S50" s="57">
        <f>Shape!D48</f>
        <v>0</v>
      </c>
      <c r="T50" s="57">
        <f>Shape!E48</f>
        <v>0</v>
      </c>
      <c r="U50" s="57">
        <f>Shape!F48</f>
        <v>0</v>
      </c>
      <c r="V50" s="57">
        <f>Shape!G48</f>
        <v>2</v>
      </c>
      <c r="W50" s="57">
        <f>Shape!H48</f>
        <v>2</v>
      </c>
      <c r="X50" s="57">
        <f>Shape!I48</f>
        <v>2</v>
      </c>
      <c r="Y50" s="57">
        <f>Shape!J48</f>
        <v>2</v>
      </c>
      <c r="Z50" s="57">
        <f>Shape!K48</f>
        <v>2</v>
      </c>
      <c r="AA50" s="57">
        <f>Shape!L48</f>
        <v>2</v>
      </c>
      <c r="AB50" s="57">
        <f>Shape!M48</f>
        <v>2</v>
      </c>
      <c r="AC50" s="57">
        <f>Shape!N48</f>
        <v>2</v>
      </c>
      <c r="AD50" s="57">
        <f>Shape!O48</f>
        <v>2</v>
      </c>
      <c r="AE50" s="57">
        <f>Shape!P48</f>
        <v>2</v>
      </c>
      <c r="AF50" s="57">
        <f>Shape!Q48</f>
        <v>2</v>
      </c>
      <c r="AG50" s="57">
        <f>Shape!R48</f>
        <v>2</v>
      </c>
      <c r="AH50" s="57">
        <f>Shape!S48</f>
        <v>2</v>
      </c>
      <c r="AI50" s="57">
        <f>Shape!T48</f>
        <v>2</v>
      </c>
      <c r="AJ50" s="57">
        <f>Shape!U48</f>
        <v>2</v>
      </c>
      <c r="AK50" s="57">
        <f>Shape!V48</f>
        <v>2</v>
      </c>
      <c r="AL50" s="57">
        <f>Shape!W48</f>
        <v>2</v>
      </c>
      <c r="AM50" s="57">
        <f>Shape!X48</f>
        <v>2</v>
      </c>
      <c r="AN50" s="57">
        <f>Shape!Y48</f>
        <v>2</v>
      </c>
      <c r="AO50" s="57">
        <f>Shape!Z48</f>
        <v>2</v>
      </c>
      <c r="AP50" s="57">
        <f>Shape!AA48</f>
        <v>2</v>
      </c>
      <c r="AQ50" s="57">
        <f>Shape!AB48</f>
        <v>2</v>
      </c>
      <c r="AR50" s="57">
        <f>Shape!AC48</f>
        <v>2</v>
      </c>
      <c r="AS50" s="57">
        <f>Shape!AD48</f>
        <v>2</v>
      </c>
      <c r="AT50" s="57">
        <f>Shape!AE48</f>
        <v>2</v>
      </c>
      <c r="AU50" s="57">
        <f>Shape!AF48</f>
        <v>2</v>
      </c>
      <c r="AV50" s="57">
        <f>Shape!AG48</f>
        <v>2</v>
      </c>
      <c r="AW50" s="57">
        <f>Shape!AH48</f>
        <v>2</v>
      </c>
      <c r="AX50" s="57">
        <f>Shape!AI48</f>
        <v>2</v>
      </c>
      <c r="AY50" s="57">
        <f>Shape!AJ48</f>
        <v>2</v>
      </c>
      <c r="AZ50" s="57">
        <f>Shape!AK48</f>
        <v>2</v>
      </c>
      <c r="BA50" s="57">
        <f>Shape!AL48</f>
        <v>2</v>
      </c>
      <c r="BB50" s="57">
        <f>Shape!AM48</f>
        <v>2</v>
      </c>
      <c r="BC50" s="57">
        <f>Shape!AN48</f>
        <v>2</v>
      </c>
      <c r="BD50" s="57">
        <f>Shape!AO48</f>
        <v>2</v>
      </c>
      <c r="BE50" s="57">
        <f>Shape!AP48</f>
        <v>2</v>
      </c>
      <c r="BF50" s="57">
        <f>Shape!AQ48</f>
        <v>2</v>
      </c>
      <c r="BG50" s="57">
        <f>Shape!AR48</f>
        <v>2</v>
      </c>
      <c r="BH50" s="57">
        <f>Shape!AS48</f>
        <v>2</v>
      </c>
      <c r="BI50" s="57">
        <f>Shape!AT48</f>
        <v>2</v>
      </c>
      <c r="BJ50" s="57">
        <f>Shape!AU48</f>
        <v>2</v>
      </c>
      <c r="BK50" s="57">
        <f>Shape!AV48</f>
        <v>2</v>
      </c>
      <c r="BL50" s="57">
        <f>Shape!AW48</f>
        <v>2</v>
      </c>
      <c r="BM50" s="57">
        <f>Shape!AX48</f>
        <v>2</v>
      </c>
      <c r="BN50" s="57">
        <f>Shape!AY48</f>
        <v>2</v>
      </c>
      <c r="BO50" s="57">
        <f>Shape!AZ48</f>
        <v>2</v>
      </c>
      <c r="BP50" s="57">
        <f>Shape!BA48</f>
        <v>2</v>
      </c>
      <c r="BQ50" s="57">
        <f>Shape!BB48</f>
        <v>2</v>
      </c>
      <c r="BR50" s="57">
        <f>Shape!BC48</f>
        <v>2</v>
      </c>
      <c r="BS50" s="57">
        <f>Shape!BD48</f>
        <v>2</v>
      </c>
      <c r="BT50" s="57">
        <f>Shape!BE48</f>
        <v>2</v>
      </c>
      <c r="BU50" s="54"/>
      <c r="BV50" s="54"/>
      <c r="BW50" s="54"/>
      <c r="BX50" s="54"/>
      <c r="BY50" s="54"/>
      <c r="BZ50" s="54"/>
      <c r="CA50" s="54"/>
      <c r="CB50" s="54"/>
      <c r="CC50" s="54"/>
      <c r="CD50" s="54"/>
    </row>
    <row r="51" spans="1:82" x14ac:dyDescent="0.35">
      <c r="A51" s="24" t="s">
        <v>62</v>
      </c>
      <c r="B51" s="24" t="s">
        <v>63</v>
      </c>
      <c r="C51" s="55"/>
      <c r="D51" s="35"/>
      <c r="E51" s="34"/>
      <c r="K51" s="28"/>
      <c r="L51" s="29"/>
      <c r="N51" s="56" t="s">
        <v>45</v>
      </c>
      <c r="O51" s="60" t="s">
        <v>149</v>
      </c>
      <c r="P51" s="57" t="str">
        <f>Shape!A49</f>
        <v>0601</v>
      </c>
      <c r="Q51" s="57">
        <f>Shape!B49</f>
        <v>0</v>
      </c>
      <c r="R51" s="57">
        <f>Shape!C49</f>
        <v>0</v>
      </c>
      <c r="S51" s="57">
        <f>Shape!D49</f>
        <v>0</v>
      </c>
      <c r="T51" s="57">
        <f>Shape!E49</f>
        <v>0</v>
      </c>
      <c r="U51" s="57">
        <f>Shape!F49</f>
        <v>0</v>
      </c>
      <c r="V51" s="57">
        <f>Shape!G49</f>
        <v>1</v>
      </c>
      <c r="W51" s="57">
        <f>Shape!H49</f>
        <v>1</v>
      </c>
      <c r="X51" s="57">
        <f>Shape!I49</f>
        <v>1</v>
      </c>
      <c r="Y51" s="57">
        <f>Shape!J49</f>
        <v>1</v>
      </c>
      <c r="Z51" s="57">
        <f>Shape!K49</f>
        <v>1</v>
      </c>
      <c r="AA51" s="57">
        <f>Shape!L49</f>
        <v>1</v>
      </c>
      <c r="AB51" s="57">
        <f>Shape!M49</f>
        <v>1</v>
      </c>
      <c r="AC51" s="57">
        <f>Shape!N49</f>
        <v>1</v>
      </c>
      <c r="AD51" s="57">
        <f>Shape!O49</f>
        <v>1</v>
      </c>
      <c r="AE51" s="57">
        <f>Shape!P49</f>
        <v>1</v>
      </c>
      <c r="AF51" s="57">
        <f>Shape!Q49</f>
        <v>1</v>
      </c>
      <c r="AG51" s="57">
        <f>Shape!R49</f>
        <v>1</v>
      </c>
      <c r="AH51" s="57">
        <f>Shape!S49</f>
        <v>1</v>
      </c>
      <c r="AI51" s="57">
        <f>Shape!T49</f>
        <v>1</v>
      </c>
      <c r="AJ51" s="57">
        <f>Shape!U49</f>
        <v>1</v>
      </c>
      <c r="AK51" s="57">
        <f>Shape!V49</f>
        <v>1</v>
      </c>
      <c r="AL51" s="57">
        <f>Shape!W49</f>
        <v>1</v>
      </c>
      <c r="AM51" s="57">
        <f>Shape!X49</f>
        <v>1</v>
      </c>
      <c r="AN51" s="57">
        <f>Shape!Y49</f>
        <v>1</v>
      </c>
      <c r="AO51" s="57">
        <f>Shape!Z49</f>
        <v>1</v>
      </c>
      <c r="AP51" s="57">
        <f>Shape!AA49</f>
        <v>1</v>
      </c>
      <c r="AQ51" s="57">
        <f>Shape!AB49</f>
        <v>1</v>
      </c>
      <c r="AR51" s="57">
        <f>Shape!AC49</f>
        <v>1</v>
      </c>
      <c r="AS51" s="57">
        <f>Shape!AD49</f>
        <v>1</v>
      </c>
      <c r="AT51" s="57">
        <f>Shape!AE49</f>
        <v>1</v>
      </c>
      <c r="AU51" s="57">
        <f>Shape!AF49</f>
        <v>1</v>
      </c>
      <c r="AV51" s="57">
        <f>Shape!AG49</f>
        <v>1</v>
      </c>
      <c r="AW51" s="57">
        <f>Shape!AH49</f>
        <v>1</v>
      </c>
      <c r="AX51" s="57">
        <f>Shape!AI49</f>
        <v>1</v>
      </c>
      <c r="AY51" s="57">
        <f>Shape!AJ49</f>
        <v>1</v>
      </c>
      <c r="AZ51" s="57">
        <f>Shape!AK49</f>
        <v>1</v>
      </c>
      <c r="BA51" s="57">
        <f>Shape!AL49</f>
        <v>1</v>
      </c>
      <c r="BB51" s="57">
        <f>Shape!AM49</f>
        <v>1</v>
      </c>
      <c r="BC51" s="57">
        <f>Shape!AN49</f>
        <v>1</v>
      </c>
      <c r="BD51" s="57">
        <f>Shape!AO49</f>
        <v>1</v>
      </c>
      <c r="BE51" s="57">
        <f>Shape!AP49</f>
        <v>1</v>
      </c>
      <c r="BF51" s="57">
        <f>Shape!AQ49</f>
        <v>1</v>
      </c>
      <c r="BG51" s="57">
        <f>Shape!AR49</f>
        <v>1</v>
      </c>
      <c r="BH51" s="57">
        <f>Shape!AS49</f>
        <v>1</v>
      </c>
      <c r="BI51" s="57">
        <f>Shape!AT49</f>
        <v>1</v>
      </c>
      <c r="BJ51" s="57">
        <f>Shape!AU49</f>
        <v>1</v>
      </c>
      <c r="BK51" s="57">
        <f>Shape!AV49</f>
        <v>1</v>
      </c>
      <c r="BL51" s="57">
        <f>Shape!AW49</f>
        <v>1</v>
      </c>
      <c r="BM51" s="57">
        <f>Shape!AX49</f>
        <v>1</v>
      </c>
      <c r="BN51" s="57">
        <f>Shape!AY49</f>
        <v>1</v>
      </c>
      <c r="BO51" s="57">
        <f>Shape!AZ49</f>
        <v>1</v>
      </c>
      <c r="BP51" s="57">
        <f>Shape!BA49</f>
        <v>1</v>
      </c>
      <c r="BQ51" s="57">
        <f>Shape!BB49</f>
        <v>1</v>
      </c>
      <c r="BR51" s="57">
        <f>Shape!BC49</f>
        <v>1</v>
      </c>
      <c r="BS51" s="57">
        <f>Shape!BD49</f>
        <v>1</v>
      </c>
      <c r="BT51" s="57">
        <f>Shape!BE49</f>
        <v>1</v>
      </c>
      <c r="BU51" s="54"/>
      <c r="BV51" s="54"/>
      <c r="BW51" s="54"/>
      <c r="BX51" s="54"/>
      <c r="BY51" s="54"/>
      <c r="BZ51" s="54"/>
      <c r="CA51" s="54"/>
      <c r="CB51" s="54"/>
      <c r="CC51" s="54"/>
      <c r="CD51" s="54"/>
    </row>
    <row r="52" spans="1:82" x14ac:dyDescent="0.35">
      <c r="A52" s="33">
        <f>VLOOKUP($B$3,$P$8:$BT$61,HLOOKUP($B$6,$V$7:$BT$63,57,FALSE),FALSE)</f>
        <v>2</v>
      </c>
      <c r="B52" s="33">
        <f>VLOOKUP($B$3,$P$65:$BT$118,HLOOKUP($B$6,$V$64:$BT$120,57,FALSE),FALSE)</f>
        <v>18.079999999999998</v>
      </c>
      <c r="C52" s="36"/>
      <c r="D52" s="36"/>
      <c r="E52" s="34"/>
      <c r="K52" s="28"/>
      <c r="L52" s="29"/>
      <c r="N52" s="56" t="s">
        <v>46</v>
      </c>
      <c r="O52" s="60" t="s">
        <v>150</v>
      </c>
      <c r="P52" s="57" t="str">
        <f>Shape!A50</f>
        <v>0602</v>
      </c>
      <c r="Q52" s="57">
        <f>Shape!B50</f>
        <v>0</v>
      </c>
      <c r="R52" s="57">
        <f>Shape!C50</f>
        <v>0</v>
      </c>
      <c r="S52" s="57">
        <f>Shape!D50</f>
        <v>0</v>
      </c>
      <c r="T52" s="57">
        <f>Shape!E50</f>
        <v>0</v>
      </c>
      <c r="U52" s="57">
        <f>Shape!F50</f>
        <v>0</v>
      </c>
      <c r="V52" s="57">
        <f>Shape!G50</f>
        <v>2</v>
      </c>
      <c r="W52" s="57">
        <f>Shape!H50</f>
        <v>2</v>
      </c>
      <c r="X52" s="57">
        <f>Shape!I50</f>
        <v>2</v>
      </c>
      <c r="Y52" s="57">
        <f>Shape!J50</f>
        <v>2</v>
      </c>
      <c r="Z52" s="57">
        <f>Shape!K50</f>
        <v>2</v>
      </c>
      <c r="AA52" s="57">
        <f>Shape!L50</f>
        <v>2</v>
      </c>
      <c r="AB52" s="57">
        <f>Shape!M50</f>
        <v>2</v>
      </c>
      <c r="AC52" s="57">
        <f>Shape!N50</f>
        <v>2</v>
      </c>
      <c r="AD52" s="57">
        <f>Shape!O50</f>
        <v>2</v>
      </c>
      <c r="AE52" s="57">
        <f>Shape!P50</f>
        <v>2</v>
      </c>
      <c r="AF52" s="57">
        <f>Shape!Q50</f>
        <v>2</v>
      </c>
      <c r="AG52" s="57">
        <f>Shape!R50</f>
        <v>2</v>
      </c>
      <c r="AH52" s="57">
        <f>Shape!S50</f>
        <v>2</v>
      </c>
      <c r="AI52" s="57">
        <f>Shape!T50</f>
        <v>2</v>
      </c>
      <c r="AJ52" s="57">
        <f>Shape!U50</f>
        <v>2</v>
      </c>
      <c r="AK52" s="57">
        <f>Shape!V50</f>
        <v>2</v>
      </c>
      <c r="AL52" s="57">
        <f>Shape!W50</f>
        <v>2</v>
      </c>
      <c r="AM52" s="57">
        <f>Shape!X50</f>
        <v>2</v>
      </c>
      <c r="AN52" s="57">
        <f>Shape!Y50</f>
        <v>2</v>
      </c>
      <c r="AO52" s="57">
        <f>Shape!Z50</f>
        <v>2</v>
      </c>
      <c r="AP52" s="57">
        <f>Shape!AA50</f>
        <v>2</v>
      </c>
      <c r="AQ52" s="57">
        <f>Shape!AB50</f>
        <v>2</v>
      </c>
      <c r="AR52" s="57">
        <f>Shape!AC50</f>
        <v>2</v>
      </c>
      <c r="AS52" s="57">
        <f>Shape!AD50</f>
        <v>2</v>
      </c>
      <c r="AT52" s="57">
        <f>Shape!AE50</f>
        <v>2</v>
      </c>
      <c r="AU52" s="57">
        <f>Shape!AF50</f>
        <v>2</v>
      </c>
      <c r="AV52" s="57">
        <f>Shape!AG50</f>
        <v>2</v>
      </c>
      <c r="AW52" s="57">
        <f>Shape!AH50</f>
        <v>2</v>
      </c>
      <c r="AX52" s="57">
        <f>Shape!AI50</f>
        <v>2</v>
      </c>
      <c r="AY52" s="57">
        <f>Shape!AJ50</f>
        <v>2</v>
      </c>
      <c r="AZ52" s="57">
        <f>Shape!AK50</f>
        <v>2</v>
      </c>
      <c r="BA52" s="57">
        <f>Shape!AL50</f>
        <v>2</v>
      </c>
      <c r="BB52" s="57">
        <f>Shape!AM50</f>
        <v>2</v>
      </c>
      <c r="BC52" s="57">
        <f>Shape!AN50</f>
        <v>2</v>
      </c>
      <c r="BD52" s="57">
        <f>Shape!AO50</f>
        <v>2</v>
      </c>
      <c r="BE52" s="57">
        <f>Shape!AP50</f>
        <v>2</v>
      </c>
      <c r="BF52" s="57">
        <f>Shape!AQ50</f>
        <v>2</v>
      </c>
      <c r="BG52" s="57">
        <f>Shape!AR50</f>
        <v>2</v>
      </c>
      <c r="BH52" s="57">
        <f>Shape!AS50</f>
        <v>2</v>
      </c>
      <c r="BI52" s="57">
        <f>Shape!AT50</f>
        <v>2</v>
      </c>
      <c r="BJ52" s="57">
        <f>Shape!AU50</f>
        <v>2</v>
      </c>
      <c r="BK52" s="57">
        <f>Shape!AV50</f>
        <v>2</v>
      </c>
      <c r="BL52" s="57">
        <f>Shape!AW50</f>
        <v>2</v>
      </c>
      <c r="BM52" s="57">
        <f>Shape!AX50</f>
        <v>2</v>
      </c>
      <c r="BN52" s="57">
        <f>Shape!AY50</f>
        <v>2</v>
      </c>
      <c r="BO52" s="57">
        <f>Shape!AZ50</f>
        <v>2</v>
      </c>
      <c r="BP52" s="57">
        <f>Shape!BA50</f>
        <v>2</v>
      </c>
      <c r="BQ52" s="57">
        <f>Shape!BB50</f>
        <v>2</v>
      </c>
      <c r="BR52" s="57">
        <f>Shape!BC50</f>
        <v>2</v>
      </c>
      <c r="BS52" s="57">
        <f>Shape!BD50</f>
        <v>2</v>
      </c>
      <c r="BT52" s="57">
        <f>Shape!BE50</f>
        <v>2</v>
      </c>
      <c r="BU52" s="54"/>
      <c r="BV52" s="54"/>
      <c r="BW52" s="54"/>
      <c r="BX52" s="54"/>
      <c r="BY52" s="54"/>
      <c r="BZ52" s="54"/>
      <c r="CA52" s="54"/>
      <c r="CB52" s="54"/>
      <c r="CC52" s="54"/>
      <c r="CD52" s="54"/>
    </row>
    <row r="53" spans="1:82" x14ac:dyDescent="0.35">
      <c r="B53" s="25"/>
      <c r="K53" s="28"/>
      <c r="L53" s="29"/>
      <c r="N53" s="56" t="s">
        <v>47</v>
      </c>
      <c r="O53" s="60" t="s">
        <v>160</v>
      </c>
      <c r="P53" s="57" t="str">
        <f>Shape!A51</f>
        <v>0701</v>
      </c>
      <c r="Q53" s="57">
        <f>Shape!B51</f>
        <v>0</v>
      </c>
      <c r="R53" s="57">
        <f>Shape!C51</f>
        <v>0</v>
      </c>
      <c r="S53" s="57">
        <f>Shape!D51</f>
        <v>0</v>
      </c>
      <c r="T53" s="57">
        <f>Shape!E51</f>
        <v>0</v>
      </c>
      <c r="U53" s="57">
        <f>Shape!F51</f>
        <v>0</v>
      </c>
      <c r="V53" s="57">
        <f>Shape!G51</f>
        <v>1</v>
      </c>
      <c r="W53" s="57">
        <f>Shape!H51</f>
        <v>1</v>
      </c>
      <c r="X53" s="57">
        <f>Shape!I51</f>
        <v>1</v>
      </c>
      <c r="Y53" s="57">
        <f>Shape!J51</f>
        <v>1</v>
      </c>
      <c r="Z53" s="57">
        <f>Shape!K51</f>
        <v>1</v>
      </c>
      <c r="AA53" s="57">
        <f>Shape!L51</f>
        <v>1</v>
      </c>
      <c r="AB53" s="57">
        <f>Shape!M51</f>
        <v>1</v>
      </c>
      <c r="AC53" s="57">
        <f>Shape!N51</f>
        <v>1</v>
      </c>
      <c r="AD53" s="57">
        <f>Shape!O51</f>
        <v>1</v>
      </c>
      <c r="AE53" s="57">
        <f>Shape!P51</f>
        <v>1</v>
      </c>
      <c r="AF53" s="57">
        <f>Shape!Q51</f>
        <v>1</v>
      </c>
      <c r="AG53" s="57">
        <f>Shape!R51</f>
        <v>1</v>
      </c>
      <c r="AH53" s="57">
        <f>Shape!S51</f>
        <v>1</v>
      </c>
      <c r="AI53" s="57">
        <f>Shape!T51</f>
        <v>1</v>
      </c>
      <c r="AJ53" s="57">
        <f>Shape!U51</f>
        <v>1</v>
      </c>
      <c r="AK53" s="57">
        <f>Shape!V51</f>
        <v>1</v>
      </c>
      <c r="AL53" s="57">
        <f>Shape!W51</f>
        <v>1</v>
      </c>
      <c r="AM53" s="57">
        <f>Shape!X51</f>
        <v>1</v>
      </c>
      <c r="AN53" s="57">
        <f>Shape!Y51</f>
        <v>1</v>
      </c>
      <c r="AO53" s="57">
        <f>Shape!Z51</f>
        <v>1</v>
      </c>
      <c r="AP53" s="57">
        <f>Shape!AA51</f>
        <v>1</v>
      </c>
      <c r="AQ53" s="57">
        <f>Shape!AB51</f>
        <v>1</v>
      </c>
      <c r="AR53" s="57">
        <f>Shape!AC51</f>
        <v>1</v>
      </c>
      <c r="AS53" s="57">
        <f>Shape!AD51</f>
        <v>1</v>
      </c>
      <c r="AT53" s="57">
        <f>Shape!AE51</f>
        <v>1</v>
      </c>
      <c r="AU53" s="57">
        <f>Shape!AF51</f>
        <v>1</v>
      </c>
      <c r="AV53" s="57">
        <f>Shape!AG51</f>
        <v>1</v>
      </c>
      <c r="AW53" s="57">
        <f>Shape!AH51</f>
        <v>1</v>
      </c>
      <c r="AX53" s="57">
        <f>Shape!AI51</f>
        <v>1</v>
      </c>
      <c r="AY53" s="57">
        <f>Shape!AJ51</f>
        <v>1</v>
      </c>
      <c r="AZ53" s="57">
        <f>Shape!AK51</f>
        <v>1</v>
      </c>
      <c r="BA53" s="57">
        <f>Shape!AL51</f>
        <v>1</v>
      </c>
      <c r="BB53" s="57">
        <f>Shape!AM51</f>
        <v>1</v>
      </c>
      <c r="BC53" s="57">
        <f>Shape!AN51</f>
        <v>1</v>
      </c>
      <c r="BD53" s="57">
        <f>Shape!AO51</f>
        <v>1</v>
      </c>
      <c r="BE53" s="57">
        <f>Shape!AP51</f>
        <v>1</v>
      </c>
      <c r="BF53" s="57">
        <f>Shape!AQ51</f>
        <v>1</v>
      </c>
      <c r="BG53" s="57">
        <f>Shape!AR51</f>
        <v>1</v>
      </c>
      <c r="BH53" s="57">
        <f>Shape!AS51</f>
        <v>1</v>
      </c>
      <c r="BI53" s="57">
        <f>Shape!AT51</f>
        <v>1</v>
      </c>
      <c r="BJ53" s="57">
        <f>Shape!AU51</f>
        <v>1</v>
      </c>
      <c r="BK53" s="57">
        <f>Shape!AV51</f>
        <v>1</v>
      </c>
      <c r="BL53" s="57">
        <f>Shape!AW51</f>
        <v>1</v>
      </c>
      <c r="BM53" s="57">
        <f>Shape!AX51</f>
        <v>1</v>
      </c>
      <c r="BN53" s="57">
        <f>Shape!AY51</f>
        <v>1</v>
      </c>
      <c r="BO53" s="57">
        <f>Shape!AZ51</f>
        <v>1</v>
      </c>
      <c r="BP53" s="57">
        <f>Shape!BA51</f>
        <v>1</v>
      </c>
      <c r="BQ53" s="57">
        <f>Shape!BB51</f>
        <v>1</v>
      </c>
      <c r="BR53" s="57">
        <f>Shape!BC51</f>
        <v>1</v>
      </c>
      <c r="BS53" s="57">
        <f>Shape!BD51</f>
        <v>1</v>
      </c>
      <c r="BT53" s="57">
        <f>Shape!BE51</f>
        <v>1</v>
      </c>
      <c r="BU53" s="54"/>
      <c r="BV53" s="54"/>
      <c r="BW53" s="54"/>
      <c r="BX53" s="54"/>
      <c r="BY53" s="54"/>
      <c r="BZ53" s="54"/>
      <c r="CA53" s="54"/>
      <c r="CB53" s="54"/>
      <c r="CC53" s="54"/>
      <c r="CD53" s="54"/>
    </row>
    <row r="54" spans="1:82" ht="15.5" x14ac:dyDescent="0.35">
      <c r="A54" s="37" t="s">
        <v>170</v>
      </c>
      <c r="B54" s="38" t="s">
        <v>61</v>
      </c>
      <c r="C54" s="39" t="s">
        <v>171</v>
      </c>
      <c r="D54" s="38"/>
      <c r="E54" s="38" t="s">
        <v>58</v>
      </c>
      <c r="K54" s="28"/>
      <c r="L54" s="29"/>
      <c r="N54" s="56" t="s">
        <v>48</v>
      </c>
      <c r="O54" s="60" t="s">
        <v>113</v>
      </c>
      <c r="P54" s="57" t="str">
        <f>Shape!A52</f>
        <v>0702</v>
      </c>
      <c r="Q54" s="57">
        <f>Shape!B52</f>
        <v>0</v>
      </c>
      <c r="R54" s="57">
        <f>Shape!C52</f>
        <v>0</v>
      </c>
      <c r="S54" s="57">
        <f>Shape!D52</f>
        <v>0</v>
      </c>
      <c r="T54" s="57">
        <f>Shape!E52</f>
        <v>0</v>
      </c>
      <c r="U54" s="57">
        <f>Shape!F52</f>
        <v>0</v>
      </c>
      <c r="V54" s="57">
        <f>Shape!G52</f>
        <v>1</v>
      </c>
      <c r="W54" s="57">
        <f>Shape!H52</f>
        <v>1</v>
      </c>
      <c r="X54" s="57">
        <f>Shape!I52</f>
        <v>1</v>
      </c>
      <c r="Y54" s="57">
        <f>Shape!J52</f>
        <v>1</v>
      </c>
      <c r="Z54" s="57">
        <f>Shape!K52</f>
        <v>1</v>
      </c>
      <c r="AA54" s="57">
        <f>Shape!L52</f>
        <v>1</v>
      </c>
      <c r="AB54" s="57">
        <f>Shape!M52</f>
        <v>1</v>
      </c>
      <c r="AC54" s="57">
        <f>Shape!N52</f>
        <v>1</v>
      </c>
      <c r="AD54" s="57">
        <f>Shape!O52</f>
        <v>1</v>
      </c>
      <c r="AE54" s="57">
        <f>Shape!P52</f>
        <v>1</v>
      </c>
      <c r="AF54" s="57">
        <f>Shape!Q52</f>
        <v>1</v>
      </c>
      <c r="AG54" s="57">
        <f>Shape!R52</f>
        <v>1</v>
      </c>
      <c r="AH54" s="57">
        <f>Shape!S52</f>
        <v>1</v>
      </c>
      <c r="AI54" s="57">
        <f>Shape!T52</f>
        <v>1</v>
      </c>
      <c r="AJ54" s="57">
        <f>Shape!U52</f>
        <v>1</v>
      </c>
      <c r="AK54" s="57">
        <f>Shape!V52</f>
        <v>1</v>
      </c>
      <c r="AL54" s="57">
        <f>Shape!W52</f>
        <v>1</v>
      </c>
      <c r="AM54" s="57">
        <f>Shape!X52</f>
        <v>1</v>
      </c>
      <c r="AN54" s="57">
        <f>Shape!Y52</f>
        <v>1</v>
      </c>
      <c r="AO54" s="57">
        <f>Shape!Z52</f>
        <v>1</v>
      </c>
      <c r="AP54" s="57">
        <f>Shape!AA52</f>
        <v>1</v>
      </c>
      <c r="AQ54" s="57">
        <f>Shape!AB52</f>
        <v>1</v>
      </c>
      <c r="AR54" s="57">
        <f>Shape!AC52</f>
        <v>1</v>
      </c>
      <c r="AS54" s="57">
        <f>Shape!AD52</f>
        <v>1</v>
      </c>
      <c r="AT54" s="57">
        <f>Shape!AE52</f>
        <v>1</v>
      </c>
      <c r="AU54" s="57">
        <f>Shape!AF52</f>
        <v>1</v>
      </c>
      <c r="AV54" s="57">
        <f>Shape!AG52</f>
        <v>1</v>
      </c>
      <c r="AW54" s="57">
        <f>Shape!AH52</f>
        <v>1</v>
      </c>
      <c r="AX54" s="57">
        <f>Shape!AI52</f>
        <v>1</v>
      </c>
      <c r="AY54" s="57">
        <f>Shape!AJ52</f>
        <v>1</v>
      </c>
      <c r="AZ54" s="57">
        <f>Shape!AK52</f>
        <v>1</v>
      </c>
      <c r="BA54" s="57">
        <f>Shape!AL52</f>
        <v>1</v>
      </c>
      <c r="BB54" s="57">
        <f>Shape!AM52</f>
        <v>1</v>
      </c>
      <c r="BC54" s="57">
        <f>Shape!AN52</f>
        <v>1</v>
      </c>
      <c r="BD54" s="57">
        <f>Shape!AO52</f>
        <v>1</v>
      </c>
      <c r="BE54" s="57">
        <f>Shape!AP52</f>
        <v>1</v>
      </c>
      <c r="BF54" s="57">
        <f>Shape!AQ52</f>
        <v>1</v>
      </c>
      <c r="BG54" s="57">
        <f>Shape!AR52</f>
        <v>1</v>
      </c>
      <c r="BH54" s="57">
        <f>Shape!AS52</f>
        <v>1</v>
      </c>
      <c r="BI54" s="57">
        <f>Shape!AT52</f>
        <v>1</v>
      </c>
      <c r="BJ54" s="57">
        <f>Shape!AU52</f>
        <v>1</v>
      </c>
      <c r="BK54" s="57">
        <f>Shape!AV52</f>
        <v>1</v>
      </c>
      <c r="BL54" s="57">
        <f>Shape!AW52</f>
        <v>1</v>
      </c>
      <c r="BM54" s="57">
        <f>Shape!AX52</f>
        <v>1</v>
      </c>
      <c r="BN54" s="57">
        <f>Shape!AY52</f>
        <v>1</v>
      </c>
      <c r="BO54" s="57">
        <f>Shape!AZ52</f>
        <v>1</v>
      </c>
      <c r="BP54" s="57">
        <f>Shape!BA52</f>
        <v>1</v>
      </c>
      <c r="BQ54" s="57">
        <f>Shape!BB52</f>
        <v>1</v>
      </c>
      <c r="BR54" s="57">
        <f>Shape!BC52</f>
        <v>1</v>
      </c>
      <c r="BS54" s="57">
        <f>Shape!BD52</f>
        <v>1</v>
      </c>
      <c r="BT54" s="57">
        <f>Shape!BE52</f>
        <v>1</v>
      </c>
      <c r="BU54" s="54"/>
      <c r="BV54" s="54"/>
      <c r="BW54" s="54"/>
      <c r="BX54" s="54"/>
      <c r="BY54" s="54"/>
      <c r="BZ54" s="54"/>
      <c r="CA54" s="54"/>
      <c r="CB54" s="54"/>
      <c r="CC54" s="54"/>
      <c r="CD54" s="54"/>
    </row>
    <row r="55" spans="1:82" x14ac:dyDescent="0.35">
      <c r="A55" s="40">
        <v>0.01</v>
      </c>
      <c r="B55" s="41">
        <f t="shared" ref="B55:B118" si="0">_xlfn.WEIBULL.DIST($A55,$A$52,$B$52,FALSE)</f>
        <v>6.1183315921578543E-5</v>
      </c>
      <c r="C55" s="28">
        <f>+B55/10</f>
        <v>6.1183315921578545E-6</v>
      </c>
      <c r="D55" s="28"/>
      <c r="E55" s="42">
        <f>+B$6+A55</f>
        <v>1992.01</v>
      </c>
      <c r="K55" s="28"/>
      <c r="L55" s="29"/>
      <c r="N55" s="56" t="s">
        <v>49</v>
      </c>
      <c r="O55" s="60" t="s">
        <v>151</v>
      </c>
      <c r="P55" s="57" t="str">
        <f>Shape!A53</f>
        <v>0703</v>
      </c>
      <c r="Q55" s="57">
        <f>Shape!B53</f>
        <v>0</v>
      </c>
      <c r="R55" s="57">
        <f>Shape!C53</f>
        <v>0</v>
      </c>
      <c r="S55" s="57">
        <f>Shape!D53</f>
        <v>0</v>
      </c>
      <c r="T55" s="57">
        <f>Shape!E53</f>
        <v>0</v>
      </c>
      <c r="U55" s="57">
        <f>Shape!F53</f>
        <v>0</v>
      </c>
      <c r="V55" s="57">
        <f>Shape!G53</f>
        <v>2</v>
      </c>
      <c r="W55" s="57">
        <f>Shape!H53</f>
        <v>2</v>
      </c>
      <c r="X55" s="57">
        <f>Shape!I53</f>
        <v>2</v>
      </c>
      <c r="Y55" s="57">
        <f>Shape!J53</f>
        <v>2</v>
      </c>
      <c r="Z55" s="57">
        <f>Shape!K53</f>
        <v>2</v>
      </c>
      <c r="AA55" s="57">
        <f>Shape!L53</f>
        <v>2</v>
      </c>
      <c r="AB55" s="57">
        <f>Shape!M53</f>
        <v>2</v>
      </c>
      <c r="AC55" s="57">
        <f>Shape!N53</f>
        <v>2</v>
      </c>
      <c r="AD55" s="57">
        <f>Shape!O53</f>
        <v>2</v>
      </c>
      <c r="AE55" s="57">
        <f>Shape!P53</f>
        <v>2</v>
      </c>
      <c r="AF55" s="57">
        <f>Shape!Q53</f>
        <v>2</v>
      </c>
      <c r="AG55" s="57">
        <f>Shape!R53</f>
        <v>2</v>
      </c>
      <c r="AH55" s="57">
        <f>Shape!S53</f>
        <v>2</v>
      </c>
      <c r="AI55" s="57">
        <f>Shape!T53</f>
        <v>2</v>
      </c>
      <c r="AJ55" s="57">
        <f>Shape!U53</f>
        <v>2</v>
      </c>
      <c r="AK55" s="57">
        <f>Shape!V53</f>
        <v>2</v>
      </c>
      <c r="AL55" s="57">
        <f>Shape!W53</f>
        <v>2</v>
      </c>
      <c r="AM55" s="57">
        <f>Shape!X53</f>
        <v>2</v>
      </c>
      <c r="AN55" s="57">
        <f>Shape!Y53</f>
        <v>2</v>
      </c>
      <c r="AO55" s="57">
        <f>Shape!Z53</f>
        <v>2</v>
      </c>
      <c r="AP55" s="57">
        <f>Shape!AA53</f>
        <v>2</v>
      </c>
      <c r="AQ55" s="57">
        <f>Shape!AB53</f>
        <v>2</v>
      </c>
      <c r="AR55" s="57">
        <f>Shape!AC53</f>
        <v>2</v>
      </c>
      <c r="AS55" s="57">
        <f>Shape!AD53</f>
        <v>2</v>
      </c>
      <c r="AT55" s="57">
        <f>Shape!AE53</f>
        <v>2</v>
      </c>
      <c r="AU55" s="57">
        <f>Shape!AF53</f>
        <v>2</v>
      </c>
      <c r="AV55" s="57">
        <f>Shape!AG53</f>
        <v>2</v>
      </c>
      <c r="AW55" s="57">
        <f>Shape!AH53</f>
        <v>2</v>
      </c>
      <c r="AX55" s="57">
        <f>Shape!AI53</f>
        <v>2</v>
      </c>
      <c r="AY55" s="57">
        <f>Shape!AJ53</f>
        <v>2</v>
      </c>
      <c r="AZ55" s="57">
        <f>Shape!AK53</f>
        <v>2</v>
      </c>
      <c r="BA55" s="57">
        <f>Shape!AL53</f>
        <v>2</v>
      </c>
      <c r="BB55" s="57">
        <f>Shape!AM53</f>
        <v>2</v>
      </c>
      <c r="BC55" s="57">
        <f>Shape!AN53</f>
        <v>2</v>
      </c>
      <c r="BD55" s="57">
        <f>Shape!AO53</f>
        <v>2</v>
      </c>
      <c r="BE55" s="57">
        <f>Shape!AP53</f>
        <v>2</v>
      </c>
      <c r="BF55" s="57">
        <f>Shape!AQ53</f>
        <v>2</v>
      </c>
      <c r="BG55" s="57">
        <f>Shape!AR53</f>
        <v>2</v>
      </c>
      <c r="BH55" s="57">
        <f>Shape!AS53</f>
        <v>2</v>
      </c>
      <c r="BI55" s="57">
        <f>Shape!AT53</f>
        <v>2</v>
      </c>
      <c r="BJ55" s="57">
        <f>Shape!AU53</f>
        <v>2</v>
      </c>
      <c r="BK55" s="57">
        <f>Shape!AV53</f>
        <v>2</v>
      </c>
      <c r="BL55" s="57">
        <f>Shape!AW53</f>
        <v>2</v>
      </c>
      <c r="BM55" s="57">
        <f>Shape!AX53</f>
        <v>2</v>
      </c>
      <c r="BN55" s="57">
        <f>Shape!AY53</f>
        <v>2</v>
      </c>
      <c r="BO55" s="57">
        <f>Shape!AZ53</f>
        <v>2</v>
      </c>
      <c r="BP55" s="57">
        <f>Shape!BA53</f>
        <v>2</v>
      </c>
      <c r="BQ55" s="57">
        <f>Shape!BB53</f>
        <v>2</v>
      </c>
      <c r="BR55" s="57">
        <f>Shape!BC53</f>
        <v>2</v>
      </c>
      <c r="BS55" s="57">
        <f>Shape!BD53</f>
        <v>2</v>
      </c>
      <c r="BT55" s="57">
        <f>Shape!BE53</f>
        <v>2</v>
      </c>
      <c r="BU55" s="54"/>
      <c r="BV55" s="54"/>
      <c r="BW55" s="54"/>
      <c r="BX55" s="54"/>
      <c r="BY55" s="54"/>
      <c r="BZ55" s="54"/>
      <c r="CA55" s="54"/>
      <c r="CB55" s="54"/>
      <c r="CC55" s="54"/>
      <c r="CD55" s="54"/>
    </row>
    <row r="56" spans="1:82" x14ac:dyDescent="0.35">
      <c r="A56" s="40">
        <v>0.5</v>
      </c>
      <c r="B56" s="41">
        <f t="shared" si="0"/>
        <v>3.0568280010903988E-3</v>
      </c>
      <c r="C56" s="28">
        <f>+B56/2+C55</f>
        <v>1.5345323321373572E-3</v>
      </c>
      <c r="D56" s="28"/>
      <c r="E56" s="42">
        <f t="shared" ref="E56:E119" si="1">+B$6+A56</f>
        <v>1992.5</v>
      </c>
      <c r="K56" s="28"/>
      <c r="L56" s="29"/>
      <c r="N56" s="56" t="s">
        <v>50</v>
      </c>
      <c r="O56" s="60" t="s">
        <v>152</v>
      </c>
      <c r="P56" s="57" t="str">
        <f>Shape!A54</f>
        <v>0801</v>
      </c>
      <c r="Q56" s="57">
        <f>Shape!B54</f>
        <v>0</v>
      </c>
      <c r="R56" s="57">
        <f>Shape!C54</f>
        <v>0</v>
      </c>
      <c r="S56" s="57">
        <f>Shape!D54</f>
        <v>0</v>
      </c>
      <c r="T56" s="57">
        <f>Shape!E54</f>
        <v>0</v>
      </c>
      <c r="U56" s="57">
        <f>Shape!F54</f>
        <v>0</v>
      </c>
      <c r="V56" s="57">
        <f>Shape!G54</f>
        <v>1</v>
      </c>
      <c r="W56" s="57">
        <f>Shape!H54</f>
        <v>1</v>
      </c>
      <c r="X56" s="57">
        <f>Shape!I54</f>
        <v>1</v>
      </c>
      <c r="Y56" s="57">
        <f>Shape!J54</f>
        <v>1</v>
      </c>
      <c r="Z56" s="57">
        <f>Shape!K54</f>
        <v>1</v>
      </c>
      <c r="AA56" s="57">
        <f>Shape!L54</f>
        <v>1</v>
      </c>
      <c r="AB56" s="57">
        <f>Shape!M54</f>
        <v>1</v>
      </c>
      <c r="AC56" s="57">
        <f>Shape!N54</f>
        <v>1</v>
      </c>
      <c r="AD56" s="57">
        <f>Shape!O54</f>
        <v>1</v>
      </c>
      <c r="AE56" s="57">
        <f>Shape!P54</f>
        <v>1</v>
      </c>
      <c r="AF56" s="57">
        <f>Shape!Q54</f>
        <v>1</v>
      </c>
      <c r="AG56" s="57">
        <f>Shape!R54</f>
        <v>1</v>
      </c>
      <c r="AH56" s="57">
        <f>Shape!S54</f>
        <v>1</v>
      </c>
      <c r="AI56" s="57">
        <f>Shape!T54</f>
        <v>1</v>
      </c>
      <c r="AJ56" s="57">
        <f>Shape!U54</f>
        <v>1</v>
      </c>
      <c r="AK56" s="57">
        <f>Shape!V54</f>
        <v>1</v>
      </c>
      <c r="AL56" s="57">
        <f>Shape!W54</f>
        <v>1</v>
      </c>
      <c r="AM56" s="57">
        <f>Shape!X54</f>
        <v>1</v>
      </c>
      <c r="AN56" s="57">
        <f>Shape!Y54</f>
        <v>1</v>
      </c>
      <c r="AO56" s="57">
        <f>Shape!Z54</f>
        <v>1</v>
      </c>
      <c r="AP56" s="57">
        <f>Shape!AA54</f>
        <v>1</v>
      </c>
      <c r="AQ56" s="57">
        <f>Shape!AB54</f>
        <v>1</v>
      </c>
      <c r="AR56" s="57">
        <f>Shape!AC54</f>
        <v>1</v>
      </c>
      <c r="AS56" s="57">
        <f>Shape!AD54</f>
        <v>1</v>
      </c>
      <c r="AT56" s="57">
        <f>Shape!AE54</f>
        <v>1</v>
      </c>
      <c r="AU56" s="57">
        <f>Shape!AF54</f>
        <v>1</v>
      </c>
      <c r="AV56" s="57">
        <f>Shape!AG54</f>
        <v>1</v>
      </c>
      <c r="AW56" s="57">
        <f>Shape!AH54</f>
        <v>1</v>
      </c>
      <c r="AX56" s="57">
        <f>Shape!AI54</f>
        <v>1</v>
      </c>
      <c r="AY56" s="57">
        <f>Shape!AJ54</f>
        <v>1</v>
      </c>
      <c r="AZ56" s="57">
        <f>Shape!AK54</f>
        <v>1</v>
      </c>
      <c r="BA56" s="57">
        <f>Shape!AL54</f>
        <v>1</v>
      </c>
      <c r="BB56" s="57">
        <f>Shape!AM54</f>
        <v>1</v>
      </c>
      <c r="BC56" s="57">
        <f>Shape!AN54</f>
        <v>1</v>
      </c>
      <c r="BD56" s="57">
        <f>Shape!AO54</f>
        <v>1</v>
      </c>
      <c r="BE56" s="57">
        <f>Shape!AP54</f>
        <v>1</v>
      </c>
      <c r="BF56" s="57">
        <f>Shape!AQ54</f>
        <v>1</v>
      </c>
      <c r="BG56" s="57">
        <f>Shape!AR54</f>
        <v>1</v>
      </c>
      <c r="BH56" s="57">
        <f>Shape!AS54</f>
        <v>1</v>
      </c>
      <c r="BI56" s="57">
        <f>Shape!AT54</f>
        <v>1</v>
      </c>
      <c r="BJ56" s="57">
        <f>Shape!AU54</f>
        <v>1</v>
      </c>
      <c r="BK56" s="57">
        <f>Shape!AV54</f>
        <v>1</v>
      </c>
      <c r="BL56" s="57">
        <f>Shape!AW54</f>
        <v>1</v>
      </c>
      <c r="BM56" s="57">
        <f>Shape!AX54</f>
        <v>1</v>
      </c>
      <c r="BN56" s="57">
        <f>Shape!AY54</f>
        <v>1</v>
      </c>
      <c r="BO56" s="57">
        <f>Shape!AZ54</f>
        <v>1</v>
      </c>
      <c r="BP56" s="57">
        <f>Shape!BA54</f>
        <v>1</v>
      </c>
      <c r="BQ56" s="57">
        <f>Shape!BB54</f>
        <v>1</v>
      </c>
      <c r="BR56" s="57">
        <f>Shape!BC54</f>
        <v>1</v>
      </c>
      <c r="BS56" s="57">
        <f>Shape!BD54</f>
        <v>1</v>
      </c>
      <c r="BT56" s="57">
        <f>Shape!BE54</f>
        <v>1</v>
      </c>
      <c r="BU56" s="54"/>
      <c r="BV56" s="54"/>
      <c r="BW56" s="54"/>
      <c r="BX56" s="54"/>
      <c r="BY56" s="54"/>
      <c r="BZ56" s="54"/>
      <c r="CA56" s="54"/>
      <c r="CB56" s="54"/>
      <c r="CC56" s="54"/>
      <c r="CD56" s="54"/>
    </row>
    <row r="57" spans="1:82" x14ac:dyDescent="0.35">
      <c r="A57" s="40">
        <v>1</v>
      </c>
      <c r="B57" s="41">
        <f t="shared" si="0"/>
        <v>6.0996450617139758E-3</v>
      </c>
      <c r="C57" s="28">
        <f t="shared" ref="C57:C120" si="2">+B57/2+C56</f>
        <v>4.5843548629943449E-3</v>
      </c>
      <c r="D57" s="28"/>
      <c r="E57" s="42">
        <f t="shared" si="1"/>
        <v>1993</v>
      </c>
      <c r="K57" s="28"/>
      <c r="L57" s="29"/>
      <c r="N57" s="56" t="s">
        <v>51</v>
      </c>
      <c r="O57" s="60" t="s">
        <v>153</v>
      </c>
      <c r="P57" s="57" t="str">
        <f>Shape!A55</f>
        <v>0802</v>
      </c>
      <c r="Q57" s="57">
        <f>Shape!B55</f>
        <v>0</v>
      </c>
      <c r="R57" s="57">
        <f>Shape!C55</f>
        <v>0</v>
      </c>
      <c r="S57" s="57">
        <f>Shape!D55</f>
        <v>0</v>
      </c>
      <c r="T57" s="57">
        <f>Shape!E55</f>
        <v>0</v>
      </c>
      <c r="U57" s="57">
        <f>Shape!F55</f>
        <v>0</v>
      </c>
      <c r="V57" s="57">
        <f>Shape!G55</f>
        <v>2</v>
      </c>
      <c r="W57" s="57">
        <f>Shape!H55</f>
        <v>2</v>
      </c>
      <c r="X57" s="57">
        <f>Shape!I55</f>
        <v>2</v>
      </c>
      <c r="Y57" s="57">
        <f>Shape!J55</f>
        <v>2</v>
      </c>
      <c r="Z57" s="57">
        <f>Shape!K55</f>
        <v>2</v>
      </c>
      <c r="AA57" s="57">
        <f>Shape!L55</f>
        <v>2</v>
      </c>
      <c r="AB57" s="57">
        <f>Shape!M55</f>
        <v>2</v>
      </c>
      <c r="AC57" s="57">
        <f>Shape!N55</f>
        <v>2</v>
      </c>
      <c r="AD57" s="57">
        <f>Shape!O55</f>
        <v>2</v>
      </c>
      <c r="AE57" s="57">
        <f>Shape!P55</f>
        <v>2</v>
      </c>
      <c r="AF57" s="57">
        <f>Shape!Q55</f>
        <v>2</v>
      </c>
      <c r="AG57" s="57">
        <f>Shape!R55</f>
        <v>2</v>
      </c>
      <c r="AH57" s="57">
        <f>Shape!S55</f>
        <v>2</v>
      </c>
      <c r="AI57" s="57">
        <f>Shape!T55</f>
        <v>2</v>
      </c>
      <c r="AJ57" s="57">
        <f>Shape!U55</f>
        <v>2</v>
      </c>
      <c r="AK57" s="57">
        <f>Shape!V55</f>
        <v>2</v>
      </c>
      <c r="AL57" s="57">
        <f>Shape!W55</f>
        <v>2</v>
      </c>
      <c r="AM57" s="57">
        <f>Shape!X55</f>
        <v>2</v>
      </c>
      <c r="AN57" s="57">
        <f>Shape!Y55</f>
        <v>2</v>
      </c>
      <c r="AO57" s="57">
        <f>Shape!Z55</f>
        <v>2</v>
      </c>
      <c r="AP57" s="57">
        <f>Shape!AA55</f>
        <v>2</v>
      </c>
      <c r="AQ57" s="57">
        <f>Shape!AB55</f>
        <v>2</v>
      </c>
      <c r="AR57" s="57">
        <f>Shape!AC55</f>
        <v>2</v>
      </c>
      <c r="AS57" s="57">
        <f>Shape!AD55</f>
        <v>2</v>
      </c>
      <c r="AT57" s="57">
        <f>Shape!AE55</f>
        <v>2</v>
      </c>
      <c r="AU57" s="57">
        <f>Shape!AF55</f>
        <v>2</v>
      </c>
      <c r="AV57" s="57">
        <f>Shape!AG55</f>
        <v>2</v>
      </c>
      <c r="AW57" s="57">
        <f>Shape!AH55</f>
        <v>2</v>
      </c>
      <c r="AX57" s="57">
        <f>Shape!AI55</f>
        <v>2</v>
      </c>
      <c r="AY57" s="57">
        <f>Shape!AJ55</f>
        <v>2</v>
      </c>
      <c r="AZ57" s="57">
        <f>Shape!AK55</f>
        <v>2</v>
      </c>
      <c r="BA57" s="57">
        <f>Shape!AL55</f>
        <v>2</v>
      </c>
      <c r="BB57" s="57">
        <f>Shape!AM55</f>
        <v>2</v>
      </c>
      <c r="BC57" s="57">
        <f>Shape!AN55</f>
        <v>2</v>
      </c>
      <c r="BD57" s="57">
        <f>Shape!AO55</f>
        <v>2</v>
      </c>
      <c r="BE57" s="57">
        <f>Shape!AP55</f>
        <v>2</v>
      </c>
      <c r="BF57" s="57">
        <f>Shape!AQ55</f>
        <v>2</v>
      </c>
      <c r="BG57" s="57">
        <f>Shape!AR55</f>
        <v>2</v>
      </c>
      <c r="BH57" s="57">
        <f>Shape!AS55</f>
        <v>2</v>
      </c>
      <c r="BI57" s="57">
        <f>Shape!AT55</f>
        <v>2</v>
      </c>
      <c r="BJ57" s="57">
        <f>Shape!AU55</f>
        <v>2</v>
      </c>
      <c r="BK57" s="57">
        <f>Shape!AV55</f>
        <v>2</v>
      </c>
      <c r="BL57" s="57">
        <f>Shape!AW55</f>
        <v>2</v>
      </c>
      <c r="BM57" s="57">
        <f>Shape!AX55</f>
        <v>2</v>
      </c>
      <c r="BN57" s="57">
        <f>Shape!AY55</f>
        <v>2</v>
      </c>
      <c r="BO57" s="57">
        <f>Shape!AZ55</f>
        <v>2</v>
      </c>
      <c r="BP57" s="57">
        <f>Shape!BA55</f>
        <v>2</v>
      </c>
      <c r="BQ57" s="57">
        <f>Shape!BB55</f>
        <v>2</v>
      </c>
      <c r="BR57" s="57">
        <f>Shape!BC55</f>
        <v>2</v>
      </c>
      <c r="BS57" s="57">
        <f>Shape!BD55</f>
        <v>2</v>
      </c>
      <c r="BT57" s="57">
        <f>Shape!BE55</f>
        <v>2</v>
      </c>
      <c r="BU57" s="54"/>
      <c r="BV57" s="54"/>
      <c r="BW57" s="54"/>
      <c r="BX57" s="54"/>
      <c r="BY57" s="54"/>
      <c r="BZ57" s="54"/>
      <c r="CA57" s="54"/>
      <c r="CB57" s="54"/>
      <c r="CC57" s="54"/>
      <c r="CD57" s="54"/>
    </row>
    <row r="58" spans="1:82" x14ac:dyDescent="0.35">
      <c r="A58" s="40">
        <v>1.5</v>
      </c>
      <c r="B58" s="41">
        <f t="shared" si="0"/>
        <v>9.1145472185598011E-3</v>
      </c>
      <c r="C58" s="28">
        <f t="shared" si="2"/>
        <v>9.1416284722742464E-3</v>
      </c>
      <c r="D58" s="28"/>
      <c r="E58" s="42">
        <f t="shared" si="1"/>
        <v>1993.5</v>
      </c>
      <c r="K58" s="28"/>
      <c r="L58" s="29"/>
      <c r="N58" s="56" t="s">
        <v>52</v>
      </c>
      <c r="O58" s="60" t="s">
        <v>154</v>
      </c>
      <c r="P58" s="57" t="str">
        <f>Shape!A56</f>
        <v>0901</v>
      </c>
      <c r="Q58" s="57">
        <f>Shape!B56</f>
        <v>0</v>
      </c>
      <c r="R58" s="57">
        <f>Shape!C56</f>
        <v>0</v>
      </c>
      <c r="S58" s="57">
        <f>Shape!D56</f>
        <v>0</v>
      </c>
      <c r="T58" s="57">
        <f>Shape!E56</f>
        <v>0</v>
      </c>
      <c r="U58" s="57">
        <f>Shape!F56</f>
        <v>0</v>
      </c>
      <c r="V58" s="57">
        <f>Shape!G56</f>
        <v>1</v>
      </c>
      <c r="W58" s="57">
        <f>Shape!H56</f>
        <v>1</v>
      </c>
      <c r="X58" s="57">
        <f>Shape!I56</f>
        <v>1</v>
      </c>
      <c r="Y58" s="57">
        <f>Shape!J56</f>
        <v>1</v>
      </c>
      <c r="Z58" s="57">
        <f>Shape!K56</f>
        <v>1</v>
      </c>
      <c r="AA58" s="57">
        <f>Shape!L56</f>
        <v>1</v>
      </c>
      <c r="AB58" s="57">
        <f>Shape!M56</f>
        <v>1</v>
      </c>
      <c r="AC58" s="57">
        <f>Shape!N56</f>
        <v>1</v>
      </c>
      <c r="AD58" s="57">
        <f>Shape!O56</f>
        <v>1</v>
      </c>
      <c r="AE58" s="57">
        <f>Shape!P56</f>
        <v>1</v>
      </c>
      <c r="AF58" s="57">
        <f>Shape!Q56</f>
        <v>1</v>
      </c>
      <c r="AG58" s="57">
        <f>Shape!R56</f>
        <v>1</v>
      </c>
      <c r="AH58" s="57">
        <f>Shape!S56</f>
        <v>1</v>
      </c>
      <c r="AI58" s="57">
        <f>Shape!T56</f>
        <v>1</v>
      </c>
      <c r="AJ58" s="57">
        <f>Shape!U56</f>
        <v>1</v>
      </c>
      <c r="AK58" s="57">
        <f>Shape!V56</f>
        <v>1</v>
      </c>
      <c r="AL58" s="57">
        <f>Shape!W56</f>
        <v>1</v>
      </c>
      <c r="AM58" s="57">
        <f>Shape!X56</f>
        <v>1</v>
      </c>
      <c r="AN58" s="57">
        <f>Shape!Y56</f>
        <v>1</v>
      </c>
      <c r="AO58" s="57">
        <f>Shape!Z56</f>
        <v>1</v>
      </c>
      <c r="AP58" s="57">
        <f>Shape!AA56</f>
        <v>1</v>
      </c>
      <c r="AQ58" s="57">
        <f>Shape!AB56</f>
        <v>1</v>
      </c>
      <c r="AR58" s="57">
        <f>Shape!AC56</f>
        <v>1</v>
      </c>
      <c r="AS58" s="57">
        <f>Shape!AD56</f>
        <v>1</v>
      </c>
      <c r="AT58" s="57">
        <f>Shape!AE56</f>
        <v>1</v>
      </c>
      <c r="AU58" s="57">
        <f>Shape!AF56</f>
        <v>1</v>
      </c>
      <c r="AV58" s="57">
        <f>Shape!AG56</f>
        <v>1</v>
      </c>
      <c r="AW58" s="57">
        <f>Shape!AH56</f>
        <v>1</v>
      </c>
      <c r="AX58" s="57">
        <f>Shape!AI56</f>
        <v>1</v>
      </c>
      <c r="AY58" s="57">
        <f>Shape!AJ56</f>
        <v>1</v>
      </c>
      <c r="AZ58" s="57">
        <f>Shape!AK56</f>
        <v>1</v>
      </c>
      <c r="BA58" s="57">
        <f>Shape!AL56</f>
        <v>1</v>
      </c>
      <c r="BB58" s="57">
        <f>Shape!AM56</f>
        <v>1</v>
      </c>
      <c r="BC58" s="57">
        <f>Shape!AN56</f>
        <v>1</v>
      </c>
      <c r="BD58" s="57">
        <f>Shape!AO56</f>
        <v>1</v>
      </c>
      <c r="BE58" s="57">
        <f>Shape!AP56</f>
        <v>1</v>
      </c>
      <c r="BF58" s="57">
        <f>Shape!AQ56</f>
        <v>1</v>
      </c>
      <c r="BG58" s="57">
        <f>Shape!AR56</f>
        <v>1</v>
      </c>
      <c r="BH58" s="57">
        <f>Shape!AS56</f>
        <v>1</v>
      </c>
      <c r="BI58" s="57">
        <f>Shape!AT56</f>
        <v>1</v>
      </c>
      <c r="BJ58" s="57">
        <f>Shape!AU56</f>
        <v>1</v>
      </c>
      <c r="BK58" s="57">
        <f>Shape!AV56</f>
        <v>1</v>
      </c>
      <c r="BL58" s="57">
        <f>Shape!AW56</f>
        <v>1</v>
      </c>
      <c r="BM58" s="57">
        <f>Shape!AX56</f>
        <v>1</v>
      </c>
      <c r="BN58" s="57">
        <f>Shape!AY56</f>
        <v>1</v>
      </c>
      <c r="BO58" s="57">
        <f>Shape!AZ56</f>
        <v>1</v>
      </c>
      <c r="BP58" s="57">
        <f>Shape!BA56</f>
        <v>1</v>
      </c>
      <c r="BQ58" s="57">
        <f>Shape!BB56</f>
        <v>1</v>
      </c>
      <c r="BR58" s="57">
        <f>Shape!BC56</f>
        <v>1</v>
      </c>
      <c r="BS58" s="57">
        <f>Shape!BD56</f>
        <v>1</v>
      </c>
      <c r="BT58" s="57">
        <f>Shape!BE56</f>
        <v>1</v>
      </c>
      <c r="BU58" s="54"/>
      <c r="BV58" s="54"/>
      <c r="BW58" s="54"/>
      <c r="BX58" s="54"/>
      <c r="BY58" s="54"/>
      <c r="BZ58" s="54"/>
      <c r="CA58" s="54"/>
      <c r="CB58" s="54"/>
      <c r="CC58" s="54"/>
      <c r="CD58" s="54"/>
    </row>
    <row r="59" spans="1:82" x14ac:dyDescent="0.35">
      <c r="A59" s="40">
        <v>2</v>
      </c>
      <c r="B59" s="41">
        <f t="shared" si="0"/>
        <v>1.2087843319693457E-2</v>
      </c>
      <c r="C59" s="28">
        <f t="shared" si="2"/>
        <v>1.5185550132120975E-2</v>
      </c>
      <c r="D59" s="28"/>
      <c r="E59" s="42">
        <f t="shared" si="1"/>
        <v>1994</v>
      </c>
      <c r="K59" s="28"/>
      <c r="L59" s="29"/>
      <c r="N59" s="56" t="s">
        <v>53</v>
      </c>
      <c r="O59" s="60" t="s">
        <v>155</v>
      </c>
      <c r="P59" s="57" t="str">
        <f>Shape!A57</f>
        <v>0902</v>
      </c>
      <c r="Q59" s="57">
        <f>Shape!B57</f>
        <v>0</v>
      </c>
      <c r="R59" s="57">
        <f>Shape!C57</f>
        <v>0</v>
      </c>
      <c r="S59" s="57">
        <f>Shape!D57</f>
        <v>0</v>
      </c>
      <c r="T59" s="57">
        <f>Shape!E57</f>
        <v>0</v>
      </c>
      <c r="U59" s="57">
        <f>Shape!F57</f>
        <v>0</v>
      </c>
      <c r="V59" s="57">
        <f>Shape!G57</f>
        <v>1</v>
      </c>
      <c r="W59" s="57">
        <f>Shape!H57</f>
        <v>1</v>
      </c>
      <c r="X59" s="57">
        <f>Shape!I57</f>
        <v>1</v>
      </c>
      <c r="Y59" s="57">
        <f>Shape!J57</f>
        <v>1</v>
      </c>
      <c r="Z59" s="57">
        <f>Shape!K57</f>
        <v>1</v>
      </c>
      <c r="AA59" s="57">
        <f>Shape!L57</f>
        <v>1</v>
      </c>
      <c r="AB59" s="57">
        <f>Shape!M57</f>
        <v>1</v>
      </c>
      <c r="AC59" s="57">
        <f>Shape!N57</f>
        <v>1</v>
      </c>
      <c r="AD59" s="57">
        <f>Shape!O57</f>
        <v>1</v>
      </c>
      <c r="AE59" s="57">
        <f>Shape!P57</f>
        <v>1</v>
      </c>
      <c r="AF59" s="57">
        <f>Shape!Q57</f>
        <v>1</v>
      </c>
      <c r="AG59" s="57">
        <f>Shape!R57</f>
        <v>1</v>
      </c>
      <c r="AH59" s="57">
        <f>Shape!S57</f>
        <v>1</v>
      </c>
      <c r="AI59" s="57">
        <f>Shape!T57</f>
        <v>1</v>
      </c>
      <c r="AJ59" s="57">
        <f>Shape!U57</f>
        <v>1</v>
      </c>
      <c r="AK59" s="57">
        <f>Shape!V57</f>
        <v>1</v>
      </c>
      <c r="AL59" s="57">
        <f>Shape!W57</f>
        <v>1</v>
      </c>
      <c r="AM59" s="57">
        <f>Shape!X57</f>
        <v>1</v>
      </c>
      <c r="AN59" s="57">
        <f>Shape!Y57</f>
        <v>1</v>
      </c>
      <c r="AO59" s="57">
        <f>Shape!Z57</f>
        <v>1</v>
      </c>
      <c r="AP59" s="57">
        <f>Shape!AA57</f>
        <v>1</v>
      </c>
      <c r="AQ59" s="57">
        <f>Shape!AB57</f>
        <v>1</v>
      </c>
      <c r="AR59" s="57">
        <f>Shape!AC57</f>
        <v>1</v>
      </c>
      <c r="AS59" s="57">
        <f>Shape!AD57</f>
        <v>1</v>
      </c>
      <c r="AT59" s="57">
        <f>Shape!AE57</f>
        <v>1</v>
      </c>
      <c r="AU59" s="57">
        <f>Shape!AF57</f>
        <v>1</v>
      </c>
      <c r="AV59" s="57">
        <f>Shape!AG57</f>
        <v>1</v>
      </c>
      <c r="AW59" s="57">
        <f>Shape!AH57</f>
        <v>1</v>
      </c>
      <c r="AX59" s="57">
        <f>Shape!AI57</f>
        <v>1</v>
      </c>
      <c r="AY59" s="57">
        <f>Shape!AJ57</f>
        <v>1</v>
      </c>
      <c r="AZ59" s="57">
        <f>Shape!AK57</f>
        <v>1</v>
      </c>
      <c r="BA59" s="57">
        <f>Shape!AL57</f>
        <v>1</v>
      </c>
      <c r="BB59" s="57">
        <f>Shape!AM57</f>
        <v>1</v>
      </c>
      <c r="BC59" s="57">
        <f>Shape!AN57</f>
        <v>1</v>
      </c>
      <c r="BD59" s="57">
        <f>Shape!AO57</f>
        <v>1</v>
      </c>
      <c r="BE59" s="57">
        <f>Shape!AP57</f>
        <v>1</v>
      </c>
      <c r="BF59" s="57">
        <f>Shape!AQ57</f>
        <v>1</v>
      </c>
      <c r="BG59" s="57">
        <f>Shape!AR57</f>
        <v>1</v>
      </c>
      <c r="BH59" s="57">
        <f>Shape!AS57</f>
        <v>1</v>
      </c>
      <c r="BI59" s="57">
        <f>Shape!AT57</f>
        <v>1</v>
      </c>
      <c r="BJ59" s="57">
        <f>Shape!AU57</f>
        <v>1</v>
      </c>
      <c r="BK59" s="57">
        <f>Shape!AV57</f>
        <v>1</v>
      </c>
      <c r="BL59" s="57">
        <f>Shape!AW57</f>
        <v>1</v>
      </c>
      <c r="BM59" s="57">
        <f>Shape!AX57</f>
        <v>1</v>
      </c>
      <c r="BN59" s="57">
        <f>Shape!AY57</f>
        <v>1</v>
      </c>
      <c r="BO59" s="57">
        <f>Shape!AZ57</f>
        <v>1</v>
      </c>
      <c r="BP59" s="57">
        <f>Shape!BA57</f>
        <v>1</v>
      </c>
      <c r="BQ59" s="57">
        <f>Shape!BB57</f>
        <v>1</v>
      </c>
      <c r="BR59" s="57">
        <f>Shape!BC57</f>
        <v>1</v>
      </c>
      <c r="BS59" s="57">
        <f>Shape!BD57</f>
        <v>1</v>
      </c>
      <c r="BT59" s="57">
        <f>Shape!BE57</f>
        <v>1</v>
      </c>
      <c r="BU59" s="54"/>
      <c r="BV59" s="54"/>
      <c r="BW59" s="54"/>
      <c r="BX59" s="54"/>
      <c r="BY59" s="54"/>
      <c r="BZ59" s="54"/>
      <c r="CA59" s="54"/>
      <c r="CB59" s="54"/>
      <c r="CC59" s="54"/>
      <c r="CD59" s="54"/>
    </row>
    <row r="60" spans="1:82" x14ac:dyDescent="0.35">
      <c r="A60" s="40">
        <v>2.5</v>
      </c>
      <c r="B60" s="41">
        <f t="shared" si="0"/>
        <v>1.500615858859901E-2</v>
      </c>
      <c r="C60" s="28">
        <f t="shared" si="2"/>
        <v>2.2688629426420481E-2</v>
      </c>
      <c r="D60" s="28"/>
      <c r="E60" s="42">
        <f t="shared" si="1"/>
        <v>1994.5</v>
      </c>
      <c r="K60" s="28"/>
      <c r="L60" s="29"/>
      <c r="N60" s="56" t="s">
        <v>54</v>
      </c>
      <c r="O60" s="56" t="s">
        <v>156</v>
      </c>
      <c r="P60" s="57" t="str">
        <f>Shape!A58</f>
        <v>1001</v>
      </c>
      <c r="Q60" s="57">
        <f>Shape!B58</f>
        <v>0</v>
      </c>
      <c r="R60" s="57">
        <f>Shape!C58</f>
        <v>0</v>
      </c>
      <c r="S60" s="57">
        <f>Shape!D58</f>
        <v>0</v>
      </c>
      <c r="T60" s="57">
        <f>Shape!E58</f>
        <v>0</v>
      </c>
      <c r="U60" s="57">
        <f>Shape!F58</f>
        <v>0</v>
      </c>
      <c r="V60" s="57">
        <f>Shape!G58</f>
        <v>2</v>
      </c>
      <c r="W60" s="57">
        <f>Shape!H58</f>
        <v>2</v>
      </c>
      <c r="X60" s="57">
        <f>Shape!I58</f>
        <v>2</v>
      </c>
      <c r="Y60" s="57">
        <f>Shape!J58</f>
        <v>2</v>
      </c>
      <c r="Z60" s="57">
        <f>Shape!K58</f>
        <v>2</v>
      </c>
      <c r="AA60" s="57">
        <f>Shape!L58</f>
        <v>2</v>
      </c>
      <c r="AB60" s="57">
        <f>Shape!M58</f>
        <v>2</v>
      </c>
      <c r="AC60" s="57">
        <f>Shape!N58</f>
        <v>2</v>
      </c>
      <c r="AD60" s="57">
        <f>Shape!O58</f>
        <v>2</v>
      </c>
      <c r="AE60" s="57">
        <f>Shape!P58</f>
        <v>2</v>
      </c>
      <c r="AF60" s="57">
        <f>Shape!Q58</f>
        <v>2</v>
      </c>
      <c r="AG60" s="57">
        <f>Shape!R58</f>
        <v>2</v>
      </c>
      <c r="AH60" s="57">
        <f>Shape!S58</f>
        <v>2</v>
      </c>
      <c r="AI60" s="57">
        <f>Shape!T58</f>
        <v>2</v>
      </c>
      <c r="AJ60" s="57">
        <f>Shape!U58</f>
        <v>2</v>
      </c>
      <c r="AK60" s="57">
        <f>Shape!V58</f>
        <v>2</v>
      </c>
      <c r="AL60" s="57">
        <f>Shape!W58</f>
        <v>2</v>
      </c>
      <c r="AM60" s="57">
        <f>Shape!X58</f>
        <v>2</v>
      </c>
      <c r="AN60" s="57">
        <f>Shape!Y58</f>
        <v>2</v>
      </c>
      <c r="AO60" s="57">
        <f>Shape!Z58</f>
        <v>2</v>
      </c>
      <c r="AP60" s="57">
        <f>Shape!AA58</f>
        <v>2</v>
      </c>
      <c r="AQ60" s="57">
        <f>Shape!AB58</f>
        <v>2</v>
      </c>
      <c r="AR60" s="57">
        <f>Shape!AC58</f>
        <v>2</v>
      </c>
      <c r="AS60" s="57">
        <f>Shape!AD58</f>
        <v>2</v>
      </c>
      <c r="AT60" s="57">
        <f>Shape!AE58</f>
        <v>2</v>
      </c>
      <c r="AU60" s="57">
        <f>Shape!AF58</f>
        <v>2</v>
      </c>
      <c r="AV60" s="57">
        <f>Shape!AG58</f>
        <v>2</v>
      </c>
      <c r="AW60" s="57">
        <f>Shape!AH58</f>
        <v>2</v>
      </c>
      <c r="AX60" s="57">
        <f>Shape!AI58</f>
        <v>2</v>
      </c>
      <c r="AY60" s="57">
        <f>Shape!AJ58</f>
        <v>2</v>
      </c>
      <c r="AZ60" s="57">
        <f>Shape!AK58</f>
        <v>2</v>
      </c>
      <c r="BA60" s="57">
        <f>Shape!AL58</f>
        <v>2</v>
      </c>
      <c r="BB60" s="57">
        <f>Shape!AM58</f>
        <v>2</v>
      </c>
      <c r="BC60" s="57">
        <f>Shape!AN58</f>
        <v>2</v>
      </c>
      <c r="BD60" s="57">
        <f>Shape!AO58</f>
        <v>2</v>
      </c>
      <c r="BE60" s="57">
        <f>Shape!AP58</f>
        <v>2</v>
      </c>
      <c r="BF60" s="57">
        <f>Shape!AQ58</f>
        <v>2</v>
      </c>
      <c r="BG60" s="57">
        <f>Shape!AR58</f>
        <v>2</v>
      </c>
      <c r="BH60" s="57">
        <f>Shape!AS58</f>
        <v>2</v>
      </c>
      <c r="BI60" s="57">
        <f>Shape!AT58</f>
        <v>2</v>
      </c>
      <c r="BJ60" s="57">
        <f>Shape!AU58</f>
        <v>2</v>
      </c>
      <c r="BK60" s="57">
        <f>Shape!AV58</f>
        <v>2</v>
      </c>
      <c r="BL60" s="57">
        <f>Shape!AW58</f>
        <v>2</v>
      </c>
      <c r="BM60" s="57">
        <f>Shape!AX58</f>
        <v>2</v>
      </c>
      <c r="BN60" s="57">
        <f>Shape!AY58</f>
        <v>2</v>
      </c>
      <c r="BO60" s="57">
        <f>Shape!AZ58</f>
        <v>2</v>
      </c>
      <c r="BP60" s="57">
        <f>Shape!BA58</f>
        <v>2</v>
      </c>
      <c r="BQ60" s="57">
        <f>Shape!BB58</f>
        <v>2</v>
      </c>
      <c r="BR60" s="57">
        <f>Shape!BC58</f>
        <v>2</v>
      </c>
      <c r="BS60" s="57">
        <f>Shape!BD58</f>
        <v>2</v>
      </c>
      <c r="BT60" s="57">
        <f>Shape!BE58</f>
        <v>2</v>
      </c>
      <c r="BU60" s="54"/>
      <c r="BV60" s="54"/>
      <c r="BW60" s="54"/>
      <c r="BX60" s="54"/>
      <c r="BY60" s="54"/>
      <c r="BZ60" s="54"/>
      <c r="CA60" s="54"/>
      <c r="CB60" s="54"/>
      <c r="CC60" s="54"/>
      <c r="CD60" s="54"/>
    </row>
    <row r="61" spans="1:82" x14ac:dyDescent="0.35">
      <c r="A61" s="40">
        <v>3</v>
      </c>
      <c r="B61" s="41">
        <f t="shared" si="0"/>
        <v>1.7856534821919595E-2</v>
      </c>
      <c r="C61" s="28">
        <f t="shared" si="2"/>
        <v>3.1616896837380282E-2</v>
      </c>
      <c r="D61" s="28"/>
      <c r="E61" s="42">
        <f t="shared" si="1"/>
        <v>1995</v>
      </c>
      <c r="K61" s="28"/>
      <c r="L61" s="29"/>
      <c r="N61" s="56" t="s">
        <v>55</v>
      </c>
      <c r="O61" s="56" t="s">
        <v>157</v>
      </c>
      <c r="P61" s="57" t="str">
        <f>Shape!A59</f>
        <v>1002</v>
      </c>
      <c r="Q61" s="57">
        <f>Shape!B59</f>
        <v>0</v>
      </c>
      <c r="R61" s="57">
        <f>Shape!C59</f>
        <v>0</v>
      </c>
      <c r="S61" s="57">
        <f>Shape!D59</f>
        <v>0</v>
      </c>
      <c r="T61" s="57">
        <f>Shape!E59</f>
        <v>0</v>
      </c>
      <c r="U61" s="57">
        <f>Shape!F59</f>
        <v>0</v>
      </c>
      <c r="V61" s="57">
        <f>Shape!G59</f>
        <v>2</v>
      </c>
      <c r="W61" s="57">
        <f>Shape!H59</f>
        <v>2</v>
      </c>
      <c r="X61" s="57">
        <f>Shape!I59</f>
        <v>2</v>
      </c>
      <c r="Y61" s="57">
        <f>Shape!J59</f>
        <v>2</v>
      </c>
      <c r="Z61" s="57">
        <f>Shape!K59</f>
        <v>2</v>
      </c>
      <c r="AA61" s="57">
        <f>Shape!L59</f>
        <v>2</v>
      </c>
      <c r="AB61" s="57">
        <f>Shape!M59</f>
        <v>2</v>
      </c>
      <c r="AC61" s="57">
        <f>Shape!N59</f>
        <v>2</v>
      </c>
      <c r="AD61" s="57">
        <f>Shape!O59</f>
        <v>2</v>
      </c>
      <c r="AE61" s="57">
        <f>Shape!P59</f>
        <v>2</v>
      </c>
      <c r="AF61" s="57">
        <f>Shape!Q59</f>
        <v>2</v>
      </c>
      <c r="AG61" s="57">
        <f>Shape!R59</f>
        <v>2</v>
      </c>
      <c r="AH61" s="57">
        <f>Shape!S59</f>
        <v>2</v>
      </c>
      <c r="AI61" s="57">
        <f>Shape!T59</f>
        <v>2</v>
      </c>
      <c r="AJ61" s="57">
        <f>Shape!U59</f>
        <v>2</v>
      </c>
      <c r="AK61" s="57">
        <f>Shape!V59</f>
        <v>2</v>
      </c>
      <c r="AL61" s="57">
        <f>Shape!W59</f>
        <v>2</v>
      </c>
      <c r="AM61" s="57">
        <f>Shape!X59</f>
        <v>2</v>
      </c>
      <c r="AN61" s="57">
        <f>Shape!Y59</f>
        <v>2</v>
      </c>
      <c r="AO61" s="57">
        <f>Shape!Z59</f>
        <v>2</v>
      </c>
      <c r="AP61" s="57">
        <f>Shape!AA59</f>
        <v>2</v>
      </c>
      <c r="AQ61" s="57">
        <f>Shape!AB59</f>
        <v>2</v>
      </c>
      <c r="AR61" s="57">
        <f>Shape!AC59</f>
        <v>2</v>
      </c>
      <c r="AS61" s="57">
        <f>Shape!AD59</f>
        <v>2</v>
      </c>
      <c r="AT61" s="57">
        <f>Shape!AE59</f>
        <v>2</v>
      </c>
      <c r="AU61" s="57">
        <f>Shape!AF59</f>
        <v>2</v>
      </c>
      <c r="AV61" s="57">
        <f>Shape!AG59</f>
        <v>2</v>
      </c>
      <c r="AW61" s="57">
        <f>Shape!AH59</f>
        <v>2</v>
      </c>
      <c r="AX61" s="57">
        <f>Shape!AI59</f>
        <v>2</v>
      </c>
      <c r="AY61" s="57">
        <f>Shape!AJ59</f>
        <v>2</v>
      </c>
      <c r="AZ61" s="57">
        <f>Shape!AK59</f>
        <v>2</v>
      </c>
      <c r="BA61" s="57">
        <f>Shape!AL59</f>
        <v>2</v>
      </c>
      <c r="BB61" s="57">
        <f>Shape!AM59</f>
        <v>2</v>
      </c>
      <c r="BC61" s="57">
        <f>Shape!AN59</f>
        <v>2</v>
      </c>
      <c r="BD61" s="57">
        <f>Shape!AO59</f>
        <v>2</v>
      </c>
      <c r="BE61" s="57">
        <f>Shape!AP59</f>
        <v>2</v>
      </c>
      <c r="BF61" s="57">
        <f>Shape!AQ59</f>
        <v>2</v>
      </c>
      <c r="BG61" s="57">
        <f>Shape!AR59</f>
        <v>2</v>
      </c>
      <c r="BH61" s="57">
        <f>Shape!AS59</f>
        <v>2</v>
      </c>
      <c r="BI61" s="57">
        <f>Shape!AT59</f>
        <v>2</v>
      </c>
      <c r="BJ61" s="57">
        <f>Shape!AU59</f>
        <v>2</v>
      </c>
      <c r="BK61" s="57">
        <f>Shape!AV59</f>
        <v>2</v>
      </c>
      <c r="BL61" s="57">
        <f>Shape!AW59</f>
        <v>2</v>
      </c>
      <c r="BM61" s="57">
        <f>Shape!AX59</f>
        <v>2</v>
      </c>
      <c r="BN61" s="57">
        <f>Shape!AY59</f>
        <v>2</v>
      </c>
      <c r="BO61" s="57">
        <f>Shape!AZ59</f>
        <v>2</v>
      </c>
      <c r="BP61" s="57">
        <f>Shape!BA59</f>
        <v>2</v>
      </c>
      <c r="BQ61" s="57">
        <f>Shape!BB59</f>
        <v>2</v>
      </c>
      <c r="BR61" s="57">
        <f>Shape!BC59</f>
        <v>2</v>
      </c>
      <c r="BS61" s="57">
        <f>Shape!BD59</f>
        <v>2</v>
      </c>
      <c r="BT61" s="57">
        <f>Shape!BE59</f>
        <v>2</v>
      </c>
      <c r="BU61" s="54"/>
      <c r="BV61" s="54"/>
      <c r="BW61" s="54"/>
      <c r="BX61" s="54"/>
      <c r="BY61" s="54"/>
      <c r="BZ61" s="54"/>
      <c r="CA61" s="54"/>
      <c r="CB61" s="54"/>
      <c r="CC61" s="54"/>
      <c r="CD61" s="54"/>
    </row>
    <row r="62" spans="1:82" x14ac:dyDescent="0.35">
      <c r="A62" s="40">
        <v>3.5</v>
      </c>
      <c r="B62" s="41">
        <f t="shared" si="0"/>
        <v>2.0626526170802007E-2</v>
      </c>
      <c r="C62" s="28">
        <f t="shared" si="2"/>
        <v>4.1930159922781284E-2</v>
      </c>
      <c r="D62" s="28"/>
      <c r="E62" s="42">
        <f t="shared" si="1"/>
        <v>1995.5</v>
      </c>
      <c r="K62" s="28"/>
      <c r="L62" s="29"/>
    </row>
    <row r="63" spans="1:82" x14ac:dyDescent="0.35">
      <c r="A63" s="40">
        <v>4</v>
      </c>
      <c r="B63" s="41">
        <f t="shared" si="0"/>
        <v>2.3304289515917703E-2</v>
      </c>
      <c r="C63" s="28">
        <f t="shared" si="2"/>
        <v>5.3582304680740135E-2</v>
      </c>
      <c r="D63" s="28"/>
      <c r="E63" s="42">
        <f t="shared" si="1"/>
        <v>1996</v>
      </c>
      <c r="K63" s="28"/>
      <c r="L63" s="29"/>
      <c r="V63" s="57">
        <v>7</v>
      </c>
      <c r="W63" s="57">
        <v>8</v>
      </c>
      <c r="X63" s="57">
        <v>9</v>
      </c>
      <c r="Y63" s="57">
        <v>10</v>
      </c>
      <c r="Z63" s="57">
        <v>11</v>
      </c>
      <c r="AA63" s="57">
        <v>12</v>
      </c>
      <c r="AB63" s="57">
        <v>13</v>
      </c>
      <c r="AC63" s="57">
        <v>14</v>
      </c>
      <c r="AD63" s="57">
        <v>15</v>
      </c>
      <c r="AE63" s="57">
        <v>16</v>
      </c>
      <c r="AF63" s="57">
        <v>17</v>
      </c>
      <c r="AG63" s="57">
        <v>18</v>
      </c>
      <c r="AH63" s="57">
        <v>19</v>
      </c>
      <c r="AI63" s="57">
        <v>20</v>
      </c>
      <c r="AJ63" s="57">
        <v>21</v>
      </c>
      <c r="AK63" s="57">
        <v>22</v>
      </c>
      <c r="AL63" s="57">
        <v>23</v>
      </c>
      <c r="AM63" s="57">
        <v>24</v>
      </c>
      <c r="AN63" s="57">
        <v>25</v>
      </c>
      <c r="AO63" s="57">
        <v>26</v>
      </c>
      <c r="AP63" s="57">
        <v>27</v>
      </c>
      <c r="AQ63" s="57">
        <v>28</v>
      </c>
      <c r="AR63" s="57">
        <v>29</v>
      </c>
      <c r="AS63" s="57">
        <v>30</v>
      </c>
      <c r="AT63" s="57">
        <v>31</v>
      </c>
      <c r="AU63" s="57">
        <v>32</v>
      </c>
      <c r="AV63" s="57">
        <v>33</v>
      </c>
      <c r="AW63" s="57">
        <v>34</v>
      </c>
      <c r="AX63" s="57">
        <v>35</v>
      </c>
      <c r="AY63" s="57">
        <v>36</v>
      </c>
      <c r="AZ63" s="57">
        <v>37</v>
      </c>
      <c r="BA63" s="57">
        <v>38</v>
      </c>
      <c r="BB63" s="57">
        <v>39</v>
      </c>
      <c r="BC63" s="57">
        <v>40</v>
      </c>
      <c r="BD63" s="57">
        <v>41</v>
      </c>
      <c r="BE63" s="57">
        <v>42</v>
      </c>
      <c r="BF63" s="57">
        <v>43</v>
      </c>
      <c r="BG63" s="57">
        <v>44</v>
      </c>
      <c r="BH63" s="57">
        <v>45</v>
      </c>
      <c r="BI63" s="57">
        <v>46</v>
      </c>
      <c r="BJ63" s="57">
        <v>47</v>
      </c>
      <c r="BK63" s="57">
        <v>48</v>
      </c>
      <c r="BL63" s="57">
        <v>49</v>
      </c>
      <c r="BM63" s="57">
        <v>50</v>
      </c>
      <c r="BN63" s="57">
        <v>51</v>
      </c>
      <c r="BO63" s="57">
        <v>52</v>
      </c>
      <c r="BP63" s="57">
        <v>53</v>
      </c>
      <c r="BQ63" s="57">
        <v>54</v>
      </c>
      <c r="BR63" s="57">
        <v>55</v>
      </c>
      <c r="BS63" s="57">
        <v>56</v>
      </c>
      <c r="BT63" s="57">
        <v>57</v>
      </c>
    </row>
    <row r="64" spans="1:82" x14ac:dyDescent="0.35">
      <c r="A64" s="40">
        <v>4.5</v>
      </c>
      <c r="B64" s="41">
        <f t="shared" si="0"/>
        <v>2.5878668519536956E-2</v>
      </c>
      <c r="C64" s="28">
        <f t="shared" si="2"/>
        <v>6.6521638940508609E-2</v>
      </c>
      <c r="D64" s="28"/>
      <c r="E64" s="42">
        <f t="shared" si="1"/>
        <v>1996.5</v>
      </c>
      <c r="K64" s="28"/>
      <c r="L64" s="29"/>
      <c r="P64" s="57" t="str">
        <f>Scale!A5</f>
        <v>UNU</v>
      </c>
      <c r="Q64" s="57">
        <f>Scale!B5</f>
        <v>0</v>
      </c>
      <c r="R64" s="57">
        <f>Scale!C5</f>
        <v>0</v>
      </c>
      <c r="S64" s="57">
        <f>Scale!D5</f>
        <v>0</v>
      </c>
      <c r="T64" s="57">
        <f>Scale!E5</f>
        <v>0</v>
      </c>
      <c r="U64" s="57">
        <f>Scale!F5</f>
        <v>0</v>
      </c>
      <c r="V64" s="57">
        <f>Scale!G5</f>
        <v>1980</v>
      </c>
      <c r="W64" s="57">
        <f>Scale!H5</f>
        <v>1981</v>
      </c>
      <c r="X64" s="57">
        <f>Scale!I5</f>
        <v>1982</v>
      </c>
      <c r="Y64" s="57">
        <f>Scale!J5</f>
        <v>1983</v>
      </c>
      <c r="Z64" s="57">
        <f>Scale!K5</f>
        <v>1984</v>
      </c>
      <c r="AA64" s="57">
        <f>Scale!L5</f>
        <v>1985</v>
      </c>
      <c r="AB64" s="57">
        <f>Scale!M5</f>
        <v>1986</v>
      </c>
      <c r="AC64" s="57">
        <f>Scale!N5</f>
        <v>1987</v>
      </c>
      <c r="AD64" s="57">
        <f>Scale!O5</f>
        <v>1988</v>
      </c>
      <c r="AE64" s="57">
        <f>Scale!P5</f>
        <v>1989</v>
      </c>
      <c r="AF64" s="57">
        <f>Scale!Q5</f>
        <v>1990</v>
      </c>
      <c r="AG64" s="57">
        <f>Scale!R5</f>
        <v>1991</v>
      </c>
      <c r="AH64" s="57">
        <f>Scale!S5</f>
        <v>1992</v>
      </c>
      <c r="AI64" s="57">
        <f>Scale!T5</f>
        <v>1993</v>
      </c>
      <c r="AJ64" s="57">
        <f>Scale!U5</f>
        <v>1994</v>
      </c>
      <c r="AK64" s="57">
        <f>Scale!V5</f>
        <v>1995</v>
      </c>
      <c r="AL64" s="57">
        <f>Scale!W5</f>
        <v>1996</v>
      </c>
      <c r="AM64" s="57">
        <f>Scale!X5</f>
        <v>1997</v>
      </c>
      <c r="AN64" s="57">
        <f>Scale!Y5</f>
        <v>1998</v>
      </c>
      <c r="AO64" s="57">
        <f>Scale!Z5</f>
        <v>1999</v>
      </c>
      <c r="AP64" s="57">
        <f>Scale!AA5</f>
        <v>2000</v>
      </c>
      <c r="AQ64" s="57">
        <f>Scale!AB5</f>
        <v>2001</v>
      </c>
      <c r="AR64" s="57">
        <f>Scale!AC5</f>
        <v>2002</v>
      </c>
      <c r="AS64" s="57">
        <f>Scale!AD5</f>
        <v>2003</v>
      </c>
      <c r="AT64" s="57">
        <f>Scale!AE5</f>
        <v>2004</v>
      </c>
      <c r="AU64" s="57">
        <f>Scale!AF5</f>
        <v>2005</v>
      </c>
      <c r="AV64" s="57">
        <f>Scale!AG5</f>
        <v>2006</v>
      </c>
      <c r="AW64" s="57">
        <f>Scale!AH5</f>
        <v>2007</v>
      </c>
      <c r="AX64" s="57">
        <f>Scale!AI5</f>
        <v>2008</v>
      </c>
      <c r="AY64" s="57">
        <f>Scale!AJ5</f>
        <v>2009</v>
      </c>
      <c r="AZ64" s="57">
        <f>Scale!AK5</f>
        <v>2010</v>
      </c>
      <c r="BA64" s="57">
        <f>Scale!AL5</f>
        <v>2011</v>
      </c>
      <c r="BB64" s="57">
        <f>Scale!AM5</f>
        <v>2012</v>
      </c>
      <c r="BC64" s="57">
        <f>Scale!AN5</f>
        <v>2013</v>
      </c>
      <c r="BD64" s="57">
        <f>Scale!AO5</f>
        <v>2014</v>
      </c>
      <c r="BE64" s="57">
        <f>Scale!AP5</f>
        <v>2015</v>
      </c>
      <c r="BF64" s="57">
        <f>Scale!AQ5</f>
        <v>2016</v>
      </c>
      <c r="BG64" s="57">
        <f>Scale!AR5</f>
        <v>2017</v>
      </c>
      <c r="BH64" s="57">
        <f>Scale!AS5</f>
        <v>2018</v>
      </c>
      <c r="BI64" s="57">
        <f>Scale!AT5</f>
        <v>2019</v>
      </c>
      <c r="BJ64" s="57">
        <f>Scale!AU5</f>
        <v>2020</v>
      </c>
      <c r="BK64" s="57">
        <f>Scale!AV5</f>
        <v>2021</v>
      </c>
      <c r="BL64" s="57">
        <f>Scale!AW5</f>
        <v>2022</v>
      </c>
      <c r="BM64" s="57">
        <f>Scale!AX5</f>
        <v>2023</v>
      </c>
      <c r="BN64" s="57">
        <f>Scale!AY5</f>
        <v>2024</v>
      </c>
      <c r="BO64" s="57">
        <f>Scale!AZ5</f>
        <v>2025</v>
      </c>
      <c r="BP64" s="57">
        <f>Scale!BA5</f>
        <v>2026</v>
      </c>
      <c r="BQ64" s="57">
        <f>Scale!BB5</f>
        <v>2027</v>
      </c>
      <c r="BR64" s="57">
        <f>Scale!BC5</f>
        <v>2028</v>
      </c>
      <c r="BS64" s="57">
        <f>Scale!BD5</f>
        <v>2029</v>
      </c>
      <c r="BT64" s="57">
        <f>Scale!BE5</f>
        <v>2030</v>
      </c>
      <c r="BU64" s="54"/>
      <c r="BV64" s="54"/>
      <c r="BW64" s="54"/>
      <c r="BX64" s="54"/>
      <c r="BY64" s="54"/>
      <c r="BZ64" s="54"/>
    </row>
    <row r="65" spans="1:78" x14ac:dyDescent="0.35">
      <c r="A65" s="40">
        <v>5</v>
      </c>
      <c r="B65" s="41">
        <f t="shared" si="0"/>
        <v>2.8339270523260535E-2</v>
      </c>
      <c r="C65" s="28">
        <f t="shared" si="2"/>
        <v>8.0691274202138882E-2</v>
      </c>
      <c r="D65" s="28"/>
      <c r="E65" s="42">
        <f t="shared" si="1"/>
        <v>1997</v>
      </c>
      <c r="K65" s="28"/>
      <c r="L65" s="29"/>
      <c r="P65" s="57" t="str">
        <f>Scale!A6</f>
        <v>0001</v>
      </c>
      <c r="Q65" s="57">
        <f>Scale!B6</f>
        <v>0</v>
      </c>
      <c r="R65" s="57">
        <f>Scale!C6</f>
        <v>0</v>
      </c>
      <c r="S65" s="57">
        <f>Scale!D6</f>
        <v>0</v>
      </c>
      <c r="T65" s="57">
        <f>Scale!E6</f>
        <v>0</v>
      </c>
      <c r="U65" s="57">
        <f>Scale!F6</f>
        <v>0</v>
      </c>
      <c r="V65" s="57">
        <f>Scale!G6</f>
        <v>14.21</v>
      </c>
      <c r="W65" s="57">
        <f>Scale!H6</f>
        <v>14.21</v>
      </c>
      <c r="X65" s="57">
        <f>Scale!I6</f>
        <v>14.21</v>
      </c>
      <c r="Y65" s="57">
        <f>Scale!J6</f>
        <v>14.21</v>
      </c>
      <c r="Z65" s="57">
        <f>Scale!K6</f>
        <v>14.21</v>
      </c>
      <c r="AA65" s="57">
        <f>Scale!L6</f>
        <v>14.21</v>
      </c>
      <c r="AB65" s="57">
        <f>Scale!M6</f>
        <v>14.21</v>
      </c>
      <c r="AC65" s="57">
        <f>Scale!N6</f>
        <v>14.21</v>
      </c>
      <c r="AD65" s="57">
        <f>Scale!O6</f>
        <v>14.21</v>
      </c>
      <c r="AE65" s="57">
        <f>Scale!P6</f>
        <v>14.21</v>
      </c>
      <c r="AF65" s="57">
        <f>Scale!Q6</f>
        <v>14.21</v>
      </c>
      <c r="AG65" s="57">
        <f>Scale!R6</f>
        <v>14.21</v>
      </c>
      <c r="AH65" s="57">
        <f>Scale!S6</f>
        <v>14.21</v>
      </c>
      <c r="AI65" s="57">
        <f>Scale!T6</f>
        <v>14.21</v>
      </c>
      <c r="AJ65" s="57">
        <f>Scale!U6</f>
        <v>14.21</v>
      </c>
      <c r="AK65" s="57">
        <f>Scale!V6</f>
        <v>14.21</v>
      </c>
      <c r="AL65" s="57">
        <f>Scale!W6</f>
        <v>14.21</v>
      </c>
      <c r="AM65" s="57">
        <f>Scale!X6</f>
        <v>14.21</v>
      </c>
      <c r="AN65" s="57">
        <f>Scale!Y6</f>
        <v>14.21</v>
      </c>
      <c r="AO65" s="57">
        <f>Scale!Z6</f>
        <v>14.21</v>
      </c>
      <c r="AP65" s="57">
        <f>Scale!AA6</f>
        <v>14.21</v>
      </c>
      <c r="AQ65" s="57">
        <f>Scale!AB6</f>
        <v>14.21</v>
      </c>
      <c r="AR65" s="57">
        <f>Scale!AC6</f>
        <v>14.21</v>
      </c>
      <c r="AS65" s="57">
        <f>Scale!AD6</f>
        <v>14.21</v>
      </c>
      <c r="AT65" s="57">
        <f>Scale!AE6</f>
        <v>14.21</v>
      </c>
      <c r="AU65" s="57">
        <f>Scale!AF6</f>
        <v>14.21</v>
      </c>
      <c r="AV65" s="57">
        <f>Scale!AG6</f>
        <v>14.21</v>
      </c>
      <c r="AW65" s="57">
        <f>Scale!AH6</f>
        <v>14.21</v>
      </c>
      <c r="AX65" s="57">
        <f>Scale!AI6</f>
        <v>14.21</v>
      </c>
      <c r="AY65" s="57">
        <f>Scale!AJ6</f>
        <v>14.21</v>
      </c>
      <c r="AZ65" s="57">
        <f>Scale!AK6</f>
        <v>14.21</v>
      </c>
      <c r="BA65" s="57">
        <f>Scale!AL6</f>
        <v>14.21</v>
      </c>
      <c r="BB65" s="57">
        <f>Scale!AM6</f>
        <v>14.21</v>
      </c>
      <c r="BC65" s="57">
        <f>Scale!AN6</f>
        <v>14.21</v>
      </c>
      <c r="BD65" s="57">
        <f>Scale!AO6</f>
        <v>14.21</v>
      </c>
      <c r="BE65" s="57">
        <f>Scale!AP6</f>
        <v>14.21</v>
      </c>
      <c r="BF65" s="57">
        <f>Scale!AQ6</f>
        <v>14.21</v>
      </c>
      <c r="BG65" s="57">
        <f>Scale!AR6</f>
        <v>14.21</v>
      </c>
      <c r="BH65" s="57">
        <f>Scale!AS6</f>
        <v>14.21</v>
      </c>
      <c r="BI65" s="57">
        <f>Scale!AT6</f>
        <v>14.21</v>
      </c>
      <c r="BJ65" s="57">
        <f>Scale!AU6</f>
        <v>14.21</v>
      </c>
      <c r="BK65" s="57">
        <f>Scale!AV6</f>
        <v>14.21</v>
      </c>
      <c r="BL65" s="57">
        <f>Scale!AW6</f>
        <v>14.21</v>
      </c>
      <c r="BM65" s="57">
        <f>Scale!AX6</f>
        <v>14.21</v>
      </c>
      <c r="BN65" s="57">
        <f>Scale!AY6</f>
        <v>14.21</v>
      </c>
      <c r="BO65" s="57">
        <f>Scale!AZ6</f>
        <v>14.21</v>
      </c>
      <c r="BP65" s="57">
        <f>Scale!BA6</f>
        <v>14.21</v>
      </c>
      <c r="BQ65" s="57">
        <f>Scale!BB6</f>
        <v>14.21</v>
      </c>
      <c r="BR65" s="57">
        <f>Scale!BC6</f>
        <v>14.21</v>
      </c>
      <c r="BS65" s="57">
        <f>Scale!BD6</f>
        <v>14.21</v>
      </c>
      <c r="BT65" s="57">
        <f>Scale!BE6</f>
        <v>14.21</v>
      </c>
      <c r="BU65" s="54"/>
      <c r="BV65" s="54"/>
      <c r="BW65" s="54"/>
      <c r="BX65" s="54"/>
      <c r="BY65" s="54"/>
      <c r="BZ65" s="54"/>
    </row>
    <row r="66" spans="1:78" x14ac:dyDescent="0.35">
      <c r="A66" s="40">
        <v>5.5</v>
      </c>
      <c r="B66" s="41">
        <f t="shared" si="0"/>
        <v>3.0676535555761376E-2</v>
      </c>
      <c r="C66" s="28">
        <f t="shared" si="2"/>
        <v>9.6029541980019575E-2</v>
      </c>
      <c r="D66" s="28"/>
      <c r="E66" s="42">
        <f t="shared" si="1"/>
        <v>1997.5</v>
      </c>
      <c r="K66" s="28"/>
      <c r="L66" s="29"/>
      <c r="P66" s="57" t="str">
        <f>Scale!A7</f>
        <v>0002</v>
      </c>
      <c r="Q66" s="57">
        <f>Scale!B7</f>
        <v>0</v>
      </c>
      <c r="R66" s="57">
        <f>Scale!C7</f>
        <v>0</v>
      </c>
      <c r="S66" s="57">
        <f>Scale!D7</f>
        <v>0</v>
      </c>
      <c r="T66" s="57">
        <f>Scale!E7</f>
        <v>0</v>
      </c>
      <c r="U66" s="57">
        <f>Scale!F7</f>
        <v>0</v>
      </c>
      <c r="V66" s="57">
        <f>Scale!G7</f>
        <v>25</v>
      </c>
      <c r="W66" s="57">
        <f>Scale!H7</f>
        <v>25</v>
      </c>
      <c r="X66" s="57">
        <f>Scale!I7</f>
        <v>25</v>
      </c>
      <c r="Y66" s="57">
        <f>Scale!J7</f>
        <v>25</v>
      </c>
      <c r="Z66" s="57">
        <f>Scale!K7</f>
        <v>25</v>
      </c>
      <c r="AA66" s="57">
        <f>Scale!L7</f>
        <v>25</v>
      </c>
      <c r="AB66" s="57">
        <f>Scale!M7</f>
        <v>25</v>
      </c>
      <c r="AC66" s="57">
        <f>Scale!N7</f>
        <v>25</v>
      </c>
      <c r="AD66" s="57">
        <f>Scale!O7</f>
        <v>25</v>
      </c>
      <c r="AE66" s="57">
        <f>Scale!P7</f>
        <v>25</v>
      </c>
      <c r="AF66" s="57">
        <f>Scale!Q7</f>
        <v>25</v>
      </c>
      <c r="AG66" s="57">
        <f>Scale!R7</f>
        <v>25</v>
      </c>
      <c r="AH66" s="57">
        <f>Scale!S7</f>
        <v>25</v>
      </c>
      <c r="AI66" s="57">
        <f>Scale!T7</f>
        <v>25</v>
      </c>
      <c r="AJ66" s="57">
        <f>Scale!U7</f>
        <v>25</v>
      </c>
      <c r="AK66" s="57">
        <f>Scale!V7</f>
        <v>25</v>
      </c>
      <c r="AL66" s="57">
        <f>Scale!W7</f>
        <v>25</v>
      </c>
      <c r="AM66" s="57">
        <f>Scale!X7</f>
        <v>25</v>
      </c>
      <c r="AN66" s="57">
        <f>Scale!Y7</f>
        <v>25</v>
      </c>
      <c r="AO66" s="57">
        <f>Scale!Z7</f>
        <v>25</v>
      </c>
      <c r="AP66" s="57">
        <f>Scale!AA7</f>
        <v>25</v>
      </c>
      <c r="AQ66" s="57">
        <f>Scale!AB7</f>
        <v>25</v>
      </c>
      <c r="AR66" s="57">
        <f>Scale!AC7</f>
        <v>25</v>
      </c>
      <c r="AS66" s="57">
        <f>Scale!AD7</f>
        <v>25</v>
      </c>
      <c r="AT66" s="57">
        <f>Scale!AE7</f>
        <v>25</v>
      </c>
      <c r="AU66" s="57">
        <f>Scale!AF7</f>
        <v>25</v>
      </c>
      <c r="AV66" s="57">
        <f>Scale!AG7</f>
        <v>25</v>
      </c>
      <c r="AW66" s="57">
        <f>Scale!AH7</f>
        <v>25</v>
      </c>
      <c r="AX66" s="57">
        <f>Scale!AI7</f>
        <v>25</v>
      </c>
      <c r="AY66" s="57">
        <f>Scale!AJ7</f>
        <v>25</v>
      </c>
      <c r="AZ66" s="57">
        <f>Scale!AK7</f>
        <v>25</v>
      </c>
      <c r="BA66" s="57">
        <f>Scale!AL7</f>
        <v>25</v>
      </c>
      <c r="BB66" s="57">
        <f>Scale!AM7</f>
        <v>25</v>
      </c>
      <c r="BC66" s="57">
        <f>Scale!AN7</f>
        <v>25</v>
      </c>
      <c r="BD66" s="57">
        <f>Scale!AO7</f>
        <v>25</v>
      </c>
      <c r="BE66" s="57">
        <f>Scale!AP7</f>
        <v>25</v>
      </c>
      <c r="BF66" s="57">
        <f>Scale!AQ7</f>
        <v>25</v>
      </c>
      <c r="BG66" s="57">
        <f>Scale!AR7</f>
        <v>25</v>
      </c>
      <c r="BH66" s="57">
        <f>Scale!AS7</f>
        <v>25</v>
      </c>
      <c r="BI66" s="57">
        <f>Scale!AT7</f>
        <v>25</v>
      </c>
      <c r="BJ66" s="57">
        <f>Scale!AU7</f>
        <v>25</v>
      </c>
      <c r="BK66" s="57">
        <f>Scale!AV7</f>
        <v>25</v>
      </c>
      <c r="BL66" s="57">
        <f>Scale!AW7</f>
        <v>25</v>
      </c>
      <c r="BM66" s="57">
        <f>Scale!AX7</f>
        <v>25</v>
      </c>
      <c r="BN66" s="57">
        <f>Scale!AY7</f>
        <v>25</v>
      </c>
      <c r="BO66" s="57">
        <f>Scale!AZ7</f>
        <v>25</v>
      </c>
      <c r="BP66" s="57">
        <f>Scale!BA7</f>
        <v>25</v>
      </c>
      <c r="BQ66" s="57">
        <f>Scale!BB7</f>
        <v>25</v>
      </c>
      <c r="BR66" s="57">
        <f>Scale!BC7</f>
        <v>25</v>
      </c>
      <c r="BS66" s="57">
        <f>Scale!BD7</f>
        <v>25</v>
      </c>
      <c r="BT66" s="57">
        <f>Scale!BE7</f>
        <v>25</v>
      </c>
      <c r="BU66" s="54"/>
      <c r="BV66" s="54"/>
      <c r="BW66" s="54"/>
      <c r="BX66" s="54"/>
      <c r="BY66" s="54"/>
      <c r="BZ66" s="54"/>
    </row>
    <row r="67" spans="1:78" x14ac:dyDescent="0.35">
      <c r="A67" s="40">
        <v>6</v>
      </c>
      <c r="B67" s="41">
        <f t="shared" si="0"/>
        <v>3.2881796819591476E-2</v>
      </c>
      <c r="C67" s="28">
        <f t="shared" si="2"/>
        <v>0.11247044038981531</v>
      </c>
      <c r="D67" s="28"/>
      <c r="E67" s="42">
        <f t="shared" si="1"/>
        <v>1998</v>
      </c>
      <c r="K67" s="28"/>
      <c r="L67" s="29"/>
      <c r="P67" s="57" t="str">
        <f>Scale!A8</f>
        <v>0101</v>
      </c>
      <c r="Q67" s="57">
        <f>Scale!B8</f>
        <v>0</v>
      </c>
      <c r="R67" s="57">
        <f>Scale!C8</f>
        <v>0</v>
      </c>
      <c r="S67" s="57">
        <f>Scale!D8</f>
        <v>0</v>
      </c>
      <c r="T67" s="57">
        <f>Scale!E8</f>
        <v>0</v>
      </c>
      <c r="U67" s="57">
        <f>Scale!F8</f>
        <v>0</v>
      </c>
      <c r="V67" s="57">
        <f>Scale!G8</f>
        <v>16.07</v>
      </c>
      <c r="W67" s="57">
        <f>Scale!H8</f>
        <v>16.07</v>
      </c>
      <c r="X67" s="57">
        <f>Scale!I8</f>
        <v>16.07</v>
      </c>
      <c r="Y67" s="57">
        <f>Scale!J8</f>
        <v>16.07</v>
      </c>
      <c r="Z67" s="57">
        <f>Scale!K8</f>
        <v>16.07</v>
      </c>
      <c r="AA67" s="57">
        <f>Scale!L8</f>
        <v>16.07</v>
      </c>
      <c r="AB67" s="57">
        <f>Scale!M8</f>
        <v>16.07</v>
      </c>
      <c r="AC67" s="57">
        <f>Scale!N8</f>
        <v>16.07</v>
      </c>
      <c r="AD67" s="57">
        <f>Scale!O8</f>
        <v>16.07</v>
      </c>
      <c r="AE67" s="57">
        <f>Scale!P8</f>
        <v>16.07</v>
      </c>
      <c r="AF67" s="57">
        <f>Scale!Q8</f>
        <v>16.07</v>
      </c>
      <c r="AG67" s="57">
        <f>Scale!R8</f>
        <v>16.07</v>
      </c>
      <c r="AH67" s="57">
        <f>Scale!S8</f>
        <v>16.07</v>
      </c>
      <c r="AI67" s="57">
        <f>Scale!T8</f>
        <v>16.07</v>
      </c>
      <c r="AJ67" s="57">
        <f>Scale!U8</f>
        <v>16.07</v>
      </c>
      <c r="AK67" s="57">
        <f>Scale!V8</f>
        <v>16.07</v>
      </c>
      <c r="AL67" s="57">
        <f>Scale!W8</f>
        <v>16.07</v>
      </c>
      <c r="AM67" s="57">
        <f>Scale!X8</f>
        <v>16.07</v>
      </c>
      <c r="AN67" s="57">
        <f>Scale!Y8</f>
        <v>16.07</v>
      </c>
      <c r="AO67" s="57">
        <f>Scale!Z8</f>
        <v>16.07</v>
      </c>
      <c r="AP67" s="57">
        <f>Scale!AA8</f>
        <v>16.07</v>
      </c>
      <c r="AQ67" s="57">
        <f>Scale!AB8</f>
        <v>16.07</v>
      </c>
      <c r="AR67" s="57">
        <f>Scale!AC8</f>
        <v>16.07</v>
      </c>
      <c r="AS67" s="57">
        <f>Scale!AD8</f>
        <v>16.07</v>
      </c>
      <c r="AT67" s="57">
        <f>Scale!AE8</f>
        <v>16.07</v>
      </c>
      <c r="AU67" s="57">
        <f>Scale!AF8</f>
        <v>16.07</v>
      </c>
      <c r="AV67" s="57">
        <f>Scale!AG8</f>
        <v>16.07</v>
      </c>
      <c r="AW67" s="57">
        <f>Scale!AH8</f>
        <v>16.07</v>
      </c>
      <c r="AX67" s="57">
        <f>Scale!AI8</f>
        <v>16.07</v>
      </c>
      <c r="AY67" s="57">
        <f>Scale!AJ8</f>
        <v>16.07</v>
      </c>
      <c r="AZ67" s="57">
        <f>Scale!AK8</f>
        <v>16.07</v>
      </c>
      <c r="BA67" s="57">
        <f>Scale!AL8</f>
        <v>16.07</v>
      </c>
      <c r="BB67" s="57">
        <f>Scale!AM8</f>
        <v>16.07</v>
      </c>
      <c r="BC67" s="57">
        <f>Scale!AN8</f>
        <v>16.07</v>
      </c>
      <c r="BD67" s="57">
        <f>Scale!AO8</f>
        <v>16.07</v>
      </c>
      <c r="BE67" s="57">
        <f>Scale!AP8</f>
        <v>16.07</v>
      </c>
      <c r="BF67" s="57">
        <f>Scale!AQ8</f>
        <v>16.07</v>
      </c>
      <c r="BG67" s="57">
        <f>Scale!AR8</f>
        <v>16.07</v>
      </c>
      <c r="BH67" s="57">
        <f>Scale!AS8</f>
        <v>16.07</v>
      </c>
      <c r="BI67" s="57">
        <f>Scale!AT8</f>
        <v>16.07</v>
      </c>
      <c r="BJ67" s="57">
        <f>Scale!AU8</f>
        <v>16.07</v>
      </c>
      <c r="BK67" s="57">
        <f>Scale!AV8</f>
        <v>16.07</v>
      </c>
      <c r="BL67" s="57">
        <f>Scale!AW8</f>
        <v>16.07</v>
      </c>
      <c r="BM67" s="57">
        <f>Scale!AX8</f>
        <v>16.07</v>
      </c>
      <c r="BN67" s="57">
        <f>Scale!AY8</f>
        <v>16.07</v>
      </c>
      <c r="BO67" s="57">
        <f>Scale!AZ8</f>
        <v>16.07</v>
      </c>
      <c r="BP67" s="57">
        <f>Scale!BA8</f>
        <v>16.07</v>
      </c>
      <c r="BQ67" s="57">
        <f>Scale!BB8</f>
        <v>16.07</v>
      </c>
      <c r="BR67" s="57">
        <f>Scale!BC8</f>
        <v>16.07</v>
      </c>
      <c r="BS67" s="57">
        <f>Scale!BD8</f>
        <v>16.07</v>
      </c>
      <c r="BT67" s="57">
        <f>Scale!BE8</f>
        <v>16.07</v>
      </c>
      <c r="BU67" s="54"/>
      <c r="BV67" s="54"/>
      <c r="BW67" s="54"/>
      <c r="BX67" s="54"/>
      <c r="BY67" s="54"/>
      <c r="BZ67" s="54"/>
    </row>
    <row r="68" spans="1:78" x14ac:dyDescent="0.35">
      <c r="A68" s="40">
        <v>6.5</v>
      </c>
      <c r="B68" s="41">
        <f t="shared" si="0"/>
        <v>3.4947332138071385E-2</v>
      </c>
      <c r="C68" s="28">
        <f t="shared" si="2"/>
        <v>0.12994410645885102</v>
      </c>
      <c r="D68" s="28"/>
      <c r="E68" s="42">
        <f t="shared" si="1"/>
        <v>1998.5</v>
      </c>
      <c r="K68" s="28"/>
      <c r="L68" s="29"/>
      <c r="P68" s="57" t="str">
        <f>Scale!A9</f>
        <v>0102</v>
      </c>
      <c r="Q68" s="57">
        <f>Scale!B9</f>
        <v>0</v>
      </c>
      <c r="R68" s="57">
        <f>Scale!C9</f>
        <v>0</v>
      </c>
      <c r="S68" s="57">
        <f>Scale!D9</f>
        <v>0</v>
      </c>
      <c r="T68" s="57">
        <f>Scale!E9</f>
        <v>0</v>
      </c>
      <c r="U68" s="57">
        <f>Scale!F9</f>
        <v>0</v>
      </c>
      <c r="V68" s="57">
        <f>Scale!G9</f>
        <v>17.13</v>
      </c>
      <c r="W68" s="57">
        <f>Scale!H9</f>
        <v>17.13</v>
      </c>
      <c r="X68" s="57">
        <f>Scale!I9</f>
        <v>17.13</v>
      </c>
      <c r="Y68" s="57">
        <f>Scale!J9</f>
        <v>17.13</v>
      </c>
      <c r="Z68" s="57">
        <f>Scale!K9</f>
        <v>17.13</v>
      </c>
      <c r="AA68" s="57">
        <f>Scale!L9</f>
        <v>17.13</v>
      </c>
      <c r="AB68" s="57">
        <f>Scale!M9</f>
        <v>17.13</v>
      </c>
      <c r="AC68" s="57">
        <f>Scale!N9</f>
        <v>17.13</v>
      </c>
      <c r="AD68" s="57">
        <f>Scale!O9</f>
        <v>17.13</v>
      </c>
      <c r="AE68" s="57">
        <f>Scale!P9</f>
        <v>17.13</v>
      </c>
      <c r="AF68" s="57">
        <f>Scale!Q9</f>
        <v>17.13</v>
      </c>
      <c r="AG68" s="57">
        <f>Scale!R9</f>
        <v>17.13</v>
      </c>
      <c r="AH68" s="57">
        <f>Scale!S9</f>
        <v>17.13</v>
      </c>
      <c r="AI68" s="57">
        <f>Scale!T9</f>
        <v>17.13</v>
      </c>
      <c r="AJ68" s="57">
        <f>Scale!U9</f>
        <v>17.13</v>
      </c>
      <c r="AK68" s="57">
        <f>Scale!V9</f>
        <v>17.13</v>
      </c>
      <c r="AL68" s="57">
        <f>Scale!W9</f>
        <v>17.13</v>
      </c>
      <c r="AM68" s="57">
        <f>Scale!X9</f>
        <v>17.13</v>
      </c>
      <c r="AN68" s="57">
        <f>Scale!Y9</f>
        <v>17.13</v>
      </c>
      <c r="AO68" s="57">
        <f>Scale!Z9</f>
        <v>17.13</v>
      </c>
      <c r="AP68" s="57">
        <f>Scale!AA9</f>
        <v>17.13</v>
      </c>
      <c r="AQ68" s="57">
        <f>Scale!AB9</f>
        <v>17.13</v>
      </c>
      <c r="AR68" s="57">
        <f>Scale!AC9</f>
        <v>17.13</v>
      </c>
      <c r="AS68" s="57">
        <f>Scale!AD9</f>
        <v>17.13</v>
      </c>
      <c r="AT68" s="57">
        <f>Scale!AE9</f>
        <v>17.13</v>
      </c>
      <c r="AU68" s="57">
        <f>Scale!AF9</f>
        <v>17.13</v>
      </c>
      <c r="AV68" s="57">
        <f>Scale!AG9</f>
        <v>17.13</v>
      </c>
      <c r="AW68" s="57">
        <f>Scale!AH9</f>
        <v>17.13</v>
      </c>
      <c r="AX68" s="57">
        <f>Scale!AI9</f>
        <v>17.13</v>
      </c>
      <c r="AY68" s="57">
        <f>Scale!AJ9</f>
        <v>17.13</v>
      </c>
      <c r="AZ68" s="57">
        <f>Scale!AK9</f>
        <v>17.13</v>
      </c>
      <c r="BA68" s="57">
        <f>Scale!AL9</f>
        <v>17.13</v>
      </c>
      <c r="BB68" s="57">
        <f>Scale!AM9</f>
        <v>17.13</v>
      </c>
      <c r="BC68" s="57">
        <f>Scale!AN9</f>
        <v>17.13</v>
      </c>
      <c r="BD68" s="57">
        <f>Scale!AO9</f>
        <v>17.13</v>
      </c>
      <c r="BE68" s="57">
        <f>Scale!AP9</f>
        <v>17.13</v>
      </c>
      <c r="BF68" s="57">
        <f>Scale!AQ9</f>
        <v>17.13</v>
      </c>
      <c r="BG68" s="57">
        <f>Scale!AR9</f>
        <v>17.13</v>
      </c>
      <c r="BH68" s="57">
        <f>Scale!AS9</f>
        <v>17.13</v>
      </c>
      <c r="BI68" s="57">
        <f>Scale!AT9</f>
        <v>17.13</v>
      </c>
      <c r="BJ68" s="57">
        <f>Scale!AU9</f>
        <v>17.13</v>
      </c>
      <c r="BK68" s="57">
        <f>Scale!AV9</f>
        <v>17.13</v>
      </c>
      <c r="BL68" s="57">
        <f>Scale!AW9</f>
        <v>17.13</v>
      </c>
      <c r="BM68" s="57">
        <f>Scale!AX9</f>
        <v>17.13</v>
      </c>
      <c r="BN68" s="57">
        <f>Scale!AY9</f>
        <v>17.13</v>
      </c>
      <c r="BO68" s="57">
        <f>Scale!AZ9</f>
        <v>17.13</v>
      </c>
      <c r="BP68" s="57">
        <f>Scale!BA9</f>
        <v>17.13</v>
      </c>
      <c r="BQ68" s="57">
        <f>Scale!BB9</f>
        <v>17.13</v>
      </c>
      <c r="BR68" s="57">
        <f>Scale!BC9</f>
        <v>17.13</v>
      </c>
      <c r="BS68" s="57">
        <f>Scale!BD9</f>
        <v>17.13</v>
      </c>
      <c r="BT68" s="57">
        <f>Scale!BE9</f>
        <v>17.13</v>
      </c>
      <c r="BU68" s="54"/>
      <c r="BV68" s="54"/>
      <c r="BW68" s="54"/>
      <c r="BX68" s="54"/>
      <c r="BY68" s="54"/>
      <c r="BZ68" s="54"/>
    </row>
    <row r="69" spans="1:78" x14ac:dyDescent="0.35">
      <c r="A69" s="40">
        <v>7</v>
      </c>
      <c r="B69" s="41">
        <f t="shared" si="0"/>
        <v>3.6866405960704222E-2</v>
      </c>
      <c r="C69" s="28">
        <f t="shared" si="2"/>
        <v>0.14837730943920313</v>
      </c>
      <c r="D69" s="28"/>
      <c r="E69" s="42">
        <f t="shared" si="1"/>
        <v>1999</v>
      </c>
      <c r="K69" s="28"/>
      <c r="L69" s="29"/>
      <c r="P69" s="57" t="str">
        <f>Scale!A10</f>
        <v>0103</v>
      </c>
      <c r="Q69" s="57">
        <f>Scale!B10</f>
        <v>0</v>
      </c>
      <c r="R69" s="57">
        <f>Scale!C10</f>
        <v>0</v>
      </c>
      <c r="S69" s="57">
        <f>Scale!D10</f>
        <v>0</v>
      </c>
      <c r="T69" s="57">
        <f>Scale!E10</f>
        <v>0</v>
      </c>
      <c r="U69" s="57">
        <f>Scale!F10</f>
        <v>0</v>
      </c>
      <c r="V69" s="57">
        <f>Scale!G10</f>
        <v>19.350000000000001</v>
      </c>
      <c r="W69" s="57">
        <f>Scale!H10</f>
        <v>19.350000000000001</v>
      </c>
      <c r="X69" s="57">
        <f>Scale!I10</f>
        <v>19.350000000000001</v>
      </c>
      <c r="Y69" s="57">
        <f>Scale!J10</f>
        <v>19.350000000000001</v>
      </c>
      <c r="Z69" s="57">
        <f>Scale!K10</f>
        <v>19.350000000000001</v>
      </c>
      <c r="AA69" s="57">
        <f>Scale!L10</f>
        <v>19.350000000000001</v>
      </c>
      <c r="AB69" s="57">
        <f>Scale!M10</f>
        <v>19.350000000000001</v>
      </c>
      <c r="AC69" s="57">
        <f>Scale!N10</f>
        <v>19.350000000000001</v>
      </c>
      <c r="AD69" s="57">
        <f>Scale!O10</f>
        <v>19.350000000000001</v>
      </c>
      <c r="AE69" s="57">
        <f>Scale!P10</f>
        <v>19.350000000000001</v>
      </c>
      <c r="AF69" s="57">
        <f>Scale!Q10</f>
        <v>19.350000000000001</v>
      </c>
      <c r="AG69" s="57">
        <f>Scale!R10</f>
        <v>19.350000000000001</v>
      </c>
      <c r="AH69" s="57">
        <f>Scale!S10</f>
        <v>19.350000000000001</v>
      </c>
      <c r="AI69" s="57">
        <f>Scale!T10</f>
        <v>19.350000000000001</v>
      </c>
      <c r="AJ69" s="57">
        <f>Scale!U10</f>
        <v>19.350000000000001</v>
      </c>
      <c r="AK69" s="57">
        <f>Scale!V10</f>
        <v>19.350000000000001</v>
      </c>
      <c r="AL69" s="57">
        <f>Scale!W10</f>
        <v>19.350000000000001</v>
      </c>
      <c r="AM69" s="57">
        <f>Scale!X10</f>
        <v>19.350000000000001</v>
      </c>
      <c r="AN69" s="57">
        <f>Scale!Y10</f>
        <v>19.350000000000001</v>
      </c>
      <c r="AO69" s="57">
        <f>Scale!Z10</f>
        <v>19.350000000000001</v>
      </c>
      <c r="AP69" s="57">
        <f>Scale!AA10</f>
        <v>19.350000000000001</v>
      </c>
      <c r="AQ69" s="57">
        <f>Scale!AB10</f>
        <v>19.350000000000001</v>
      </c>
      <c r="AR69" s="57">
        <f>Scale!AC10</f>
        <v>19.350000000000001</v>
      </c>
      <c r="AS69" s="57">
        <f>Scale!AD10</f>
        <v>19.350000000000001</v>
      </c>
      <c r="AT69" s="57">
        <f>Scale!AE10</f>
        <v>19.350000000000001</v>
      </c>
      <c r="AU69" s="57">
        <f>Scale!AF10</f>
        <v>19.350000000000001</v>
      </c>
      <c r="AV69" s="57">
        <f>Scale!AG10</f>
        <v>19.350000000000001</v>
      </c>
      <c r="AW69" s="57">
        <f>Scale!AH10</f>
        <v>19.350000000000001</v>
      </c>
      <c r="AX69" s="57">
        <f>Scale!AI10</f>
        <v>19.350000000000001</v>
      </c>
      <c r="AY69" s="57">
        <f>Scale!AJ10</f>
        <v>19.350000000000001</v>
      </c>
      <c r="AZ69" s="57">
        <f>Scale!AK10</f>
        <v>19.350000000000001</v>
      </c>
      <c r="BA69" s="57">
        <f>Scale!AL10</f>
        <v>19.350000000000001</v>
      </c>
      <c r="BB69" s="57">
        <f>Scale!AM10</f>
        <v>19.350000000000001</v>
      </c>
      <c r="BC69" s="57">
        <f>Scale!AN10</f>
        <v>19.350000000000001</v>
      </c>
      <c r="BD69" s="57">
        <f>Scale!AO10</f>
        <v>19.350000000000001</v>
      </c>
      <c r="BE69" s="57">
        <f>Scale!AP10</f>
        <v>19.350000000000001</v>
      </c>
      <c r="BF69" s="57">
        <f>Scale!AQ10</f>
        <v>19.350000000000001</v>
      </c>
      <c r="BG69" s="57">
        <f>Scale!AR10</f>
        <v>19.350000000000001</v>
      </c>
      <c r="BH69" s="57">
        <f>Scale!AS10</f>
        <v>19.350000000000001</v>
      </c>
      <c r="BI69" s="57">
        <f>Scale!AT10</f>
        <v>19.350000000000001</v>
      </c>
      <c r="BJ69" s="57">
        <f>Scale!AU10</f>
        <v>19.350000000000001</v>
      </c>
      <c r="BK69" s="57">
        <f>Scale!AV10</f>
        <v>19.350000000000001</v>
      </c>
      <c r="BL69" s="57">
        <f>Scale!AW10</f>
        <v>19.350000000000001</v>
      </c>
      <c r="BM69" s="57">
        <f>Scale!AX10</f>
        <v>19.350000000000001</v>
      </c>
      <c r="BN69" s="57">
        <f>Scale!AY10</f>
        <v>19.350000000000001</v>
      </c>
      <c r="BO69" s="57">
        <f>Scale!AZ10</f>
        <v>19.350000000000001</v>
      </c>
      <c r="BP69" s="57">
        <f>Scale!BA10</f>
        <v>19.350000000000001</v>
      </c>
      <c r="BQ69" s="57">
        <f>Scale!BB10</f>
        <v>19.350000000000001</v>
      </c>
      <c r="BR69" s="57">
        <f>Scale!BC10</f>
        <v>19.350000000000001</v>
      </c>
      <c r="BS69" s="57">
        <f>Scale!BD10</f>
        <v>19.350000000000001</v>
      </c>
      <c r="BT69" s="57">
        <f>Scale!BE10</f>
        <v>19.350000000000001</v>
      </c>
      <c r="BU69" s="54"/>
      <c r="BV69" s="54"/>
      <c r="BW69" s="54"/>
      <c r="BX69" s="54"/>
      <c r="BY69" s="54"/>
      <c r="BZ69" s="54"/>
    </row>
    <row r="70" spans="1:78" x14ac:dyDescent="0.35">
      <c r="A70" s="40">
        <v>7.5</v>
      </c>
      <c r="B70" s="41">
        <f t="shared" si="0"/>
        <v>3.8633301646583428E-2</v>
      </c>
      <c r="C70" s="28">
        <f t="shared" si="2"/>
        <v>0.16769396026249483</v>
      </c>
      <c r="D70" s="28"/>
      <c r="E70" s="42">
        <f t="shared" si="1"/>
        <v>1999.5</v>
      </c>
      <c r="K70" s="28"/>
      <c r="L70" s="29"/>
      <c r="P70" s="57" t="str">
        <f>Scale!A11</f>
        <v>0104</v>
      </c>
      <c r="Q70" s="57">
        <f>Scale!B11</f>
        <v>0</v>
      </c>
      <c r="R70" s="57">
        <f>Scale!C11</f>
        <v>0</v>
      </c>
      <c r="S70" s="57">
        <f>Scale!D11</f>
        <v>0</v>
      </c>
      <c r="T70" s="57">
        <f>Scale!E11</f>
        <v>0</v>
      </c>
      <c r="U70" s="57">
        <f>Scale!F11</f>
        <v>0</v>
      </c>
      <c r="V70" s="57">
        <f>Scale!G11</f>
        <v>13.32</v>
      </c>
      <c r="W70" s="57">
        <f>Scale!H11</f>
        <v>13.32</v>
      </c>
      <c r="X70" s="57">
        <f>Scale!I11</f>
        <v>13.32</v>
      </c>
      <c r="Y70" s="57">
        <f>Scale!J11</f>
        <v>13.32</v>
      </c>
      <c r="Z70" s="57">
        <f>Scale!K11</f>
        <v>13.32</v>
      </c>
      <c r="AA70" s="57">
        <f>Scale!L11</f>
        <v>13.32</v>
      </c>
      <c r="AB70" s="57">
        <f>Scale!M11</f>
        <v>13.32</v>
      </c>
      <c r="AC70" s="57">
        <f>Scale!N11</f>
        <v>13.32</v>
      </c>
      <c r="AD70" s="57">
        <f>Scale!O11</f>
        <v>13.32</v>
      </c>
      <c r="AE70" s="57">
        <f>Scale!P11</f>
        <v>13.32</v>
      </c>
      <c r="AF70" s="57">
        <f>Scale!Q11</f>
        <v>13.32</v>
      </c>
      <c r="AG70" s="57">
        <f>Scale!R11</f>
        <v>13.32</v>
      </c>
      <c r="AH70" s="57">
        <f>Scale!S11</f>
        <v>13.32</v>
      </c>
      <c r="AI70" s="57">
        <f>Scale!T11</f>
        <v>13.32</v>
      </c>
      <c r="AJ70" s="57">
        <f>Scale!U11</f>
        <v>13.32</v>
      </c>
      <c r="AK70" s="57">
        <f>Scale!V11</f>
        <v>13.32</v>
      </c>
      <c r="AL70" s="57">
        <f>Scale!W11</f>
        <v>13.32</v>
      </c>
      <c r="AM70" s="57">
        <f>Scale!X11</f>
        <v>13.32</v>
      </c>
      <c r="AN70" s="57">
        <f>Scale!Y11</f>
        <v>13.32</v>
      </c>
      <c r="AO70" s="57">
        <f>Scale!Z11</f>
        <v>13.32</v>
      </c>
      <c r="AP70" s="57">
        <f>Scale!AA11</f>
        <v>13.32</v>
      </c>
      <c r="AQ70" s="57">
        <f>Scale!AB11</f>
        <v>13.32</v>
      </c>
      <c r="AR70" s="57">
        <f>Scale!AC11</f>
        <v>13.32</v>
      </c>
      <c r="AS70" s="57">
        <f>Scale!AD11</f>
        <v>13.32</v>
      </c>
      <c r="AT70" s="57">
        <f>Scale!AE11</f>
        <v>13.32</v>
      </c>
      <c r="AU70" s="57">
        <f>Scale!AF11</f>
        <v>13.32</v>
      </c>
      <c r="AV70" s="57">
        <f>Scale!AG11</f>
        <v>13.32</v>
      </c>
      <c r="AW70" s="57">
        <f>Scale!AH11</f>
        <v>13.32</v>
      </c>
      <c r="AX70" s="57">
        <f>Scale!AI11</f>
        <v>13.32</v>
      </c>
      <c r="AY70" s="57">
        <f>Scale!AJ11</f>
        <v>13.32</v>
      </c>
      <c r="AZ70" s="57">
        <f>Scale!AK11</f>
        <v>13.32</v>
      </c>
      <c r="BA70" s="57">
        <f>Scale!AL11</f>
        <v>13.32</v>
      </c>
      <c r="BB70" s="57">
        <f>Scale!AM11</f>
        <v>13.32</v>
      </c>
      <c r="BC70" s="57">
        <f>Scale!AN11</f>
        <v>13.32</v>
      </c>
      <c r="BD70" s="57">
        <f>Scale!AO11</f>
        <v>13.32</v>
      </c>
      <c r="BE70" s="57">
        <f>Scale!AP11</f>
        <v>13.32</v>
      </c>
      <c r="BF70" s="57">
        <f>Scale!AQ11</f>
        <v>13.32</v>
      </c>
      <c r="BG70" s="57">
        <f>Scale!AR11</f>
        <v>13.32</v>
      </c>
      <c r="BH70" s="57">
        <f>Scale!AS11</f>
        <v>13.32</v>
      </c>
      <c r="BI70" s="57">
        <f>Scale!AT11</f>
        <v>13.32</v>
      </c>
      <c r="BJ70" s="57">
        <f>Scale!AU11</f>
        <v>13.32</v>
      </c>
      <c r="BK70" s="57">
        <f>Scale!AV11</f>
        <v>13.32</v>
      </c>
      <c r="BL70" s="57">
        <f>Scale!AW11</f>
        <v>13.32</v>
      </c>
      <c r="BM70" s="57">
        <f>Scale!AX11</f>
        <v>13.32</v>
      </c>
      <c r="BN70" s="57">
        <f>Scale!AY11</f>
        <v>13.32</v>
      </c>
      <c r="BO70" s="57">
        <f>Scale!AZ11</f>
        <v>13.32</v>
      </c>
      <c r="BP70" s="57">
        <f>Scale!BA11</f>
        <v>13.32</v>
      </c>
      <c r="BQ70" s="57">
        <f>Scale!BB11</f>
        <v>13.32</v>
      </c>
      <c r="BR70" s="57">
        <f>Scale!BC11</f>
        <v>13.32</v>
      </c>
      <c r="BS70" s="57">
        <f>Scale!BD11</f>
        <v>13.32</v>
      </c>
      <c r="BT70" s="57">
        <f>Scale!BE11</f>
        <v>13.32</v>
      </c>
      <c r="BU70" s="54"/>
      <c r="BV70" s="54"/>
      <c r="BW70" s="54"/>
      <c r="BX70" s="54"/>
      <c r="BY70" s="54"/>
      <c r="BZ70" s="54"/>
    </row>
    <row r="71" spans="1:78" x14ac:dyDescent="0.35">
      <c r="A71" s="40">
        <v>8</v>
      </c>
      <c r="B71" s="41">
        <f t="shared" si="0"/>
        <v>4.0243343868001998E-2</v>
      </c>
      <c r="C71" s="28">
        <f t="shared" si="2"/>
        <v>0.18781563219649583</v>
      </c>
      <c r="D71" s="28"/>
      <c r="E71" s="42">
        <f t="shared" si="1"/>
        <v>2000</v>
      </c>
      <c r="K71" s="28"/>
      <c r="L71" s="29"/>
      <c r="P71" s="57" t="str">
        <f>Scale!A12</f>
        <v>0105</v>
      </c>
      <c r="Q71" s="57">
        <f>Scale!B12</f>
        <v>0</v>
      </c>
      <c r="R71" s="57">
        <f>Scale!C12</f>
        <v>0</v>
      </c>
      <c r="S71" s="57">
        <f>Scale!D12</f>
        <v>0</v>
      </c>
      <c r="T71" s="57">
        <f>Scale!E12</f>
        <v>0</v>
      </c>
      <c r="U71" s="57">
        <f>Scale!F12</f>
        <v>0</v>
      </c>
      <c r="V71" s="57">
        <f>Scale!G12</f>
        <v>18.079999999999998</v>
      </c>
      <c r="W71" s="57">
        <f>Scale!H12</f>
        <v>18.079999999999998</v>
      </c>
      <c r="X71" s="57">
        <f>Scale!I12</f>
        <v>18.079999999999998</v>
      </c>
      <c r="Y71" s="57">
        <f>Scale!J12</f>
        <v>18.079999999999998</v>
      </c>
      <c r="Z71" s="57">
        <f>Scale!K12</f>
        <v>18.079999999999998</v>
      </c>
      <c r="AA71" s="57">
        <f>Scale!L12</f>
        <v>18.079999999999998</v>
      </c>
      <c r="AB71" s="57">
        <f>Scale!M12</f>
        <v>18.079999999999998</v>
      </c>
      <c r="AC71" s="57">
        <f>Scale!N12</f>
        <v>18.079999999999998</v>
      </c>
      <c r="AD71" s="57">
        <f>Scale!O12</f>
        <v>18.079999999999998</v>
      </c>
      <c r="AE71" s="57">
        <f>Scale!P12</f>
        <v>18.079999999999998</v>
      </c>
      <c r="AF71" s="57">
        <f>Scale!Q12</f>
        <v>18.079999999999998</v>
      </c>
      <c r="AG71" s="57">
        <f>Scale!R12</f>
        <v>18.079999999999998</v>
      </c>
      <c r="AH71" s="57">
        <f>Scale!S12</f>
        <v>18.079999999999998</v>
      </c>
      <c r="AI71" s="57">
        <f>Scale!T12</f>
        <v>18.079999999999998</v>
      </c>
      <c r="AJ71" s="57">
        <f>Scale!U12</f>
        <v>18.079999999999998</v>
      </c>
      <c r="AK71" s="57">
        <f>Scale!V12</f>
        <v>18.079999999999998</v>
      </c>
      <c r="AL71" s="57">
        <f>Scale!W12</f>
        <v>18.079999999999998</v>
      </c>
      <c r="AM71" s="57">
        <f>Scale!X12</f>
        <v>18.079999999999998</v>
      </c>
      <c r="AN71" s="57">
        <f>Scale!Y12</f>
        <v>18.079999999999998</v>
      </c>
      <c r="AO71" s="57">
        <f>Scale!Z12</f>
        <v>18.079999999999998</v>
      </c>
      <c r="AP71" s="57">
        <f>Scale!AA12</f>
        <v>18.079999999999998</v>
      </c>
      <c r="AQ71" s="57">
        <f>Scale!AB12</f>
        <v>18.079999999999998</v>
      </c>
      <c r="AR71" s="57">
        <f>Scale!AC12</f>
        <v>18.079999999999998</v>
      </c>
      <c r="AS71" s="57">
        <f>Scale!AD12</f>
        <v>18.079999999999998</v>
      </c>
      <c r="AT71" s="57">
        <f>Scale!AE12</f>
        <v>18.079999999999998</v>
      </c>
      <c r="AU71" s="57">
        <f>Scale!AF12</f>
        <v>18.079999999999998</v>
      </c>
      <c r="AV71" s="57">
        <f>Scale!AG12</f>
        <v>18.079999999999998</v>
      </c>
      <c r="AW71" s="57">
        <f>Scale!AH12</f>
        <v>18.079999999999998</v>
      </c>
      <c r="AX71" s="57">
        <f>Scale!AI12</f>
        <v>18.079999999999998</v>
      </c>
      <c r="AY71" s="57">
        <f>Scale!AJ12</f>
        <v>18.079999999999998</v>
      </c>
      <c r="AZ71" s="57">
        <f>Scale!AK12</f>
        <v>18.079999999999998</v>
      </c>
      <c r="BA71" s="57">
        <f>Scale!AL12</f>
        <v>18.079999999999998</v>
      </c>
      <c r="BB71" s="57">
        <f>Scale!AM12</f>
        <v>18.079999999999998</v>
      </c>
      <c r="BC71" s="57">
        <f>Scale!AN12</f>
        <v>18.079999999999998</v>
      </c>
      <c r="BD71" s="57">
        <f>Scale!AO12</f>
        <v>18.079999999999998</v>
      </c>
      <c r="BE71" s="57">
        <f>Scale!AP12</f>
        <v>18.079999999999998</v>
      </c>
      <c r="BF71" s="57">
        <f>Scale!AQ12</f>
        <v>18.079999999999998</v>
      </c>
      <c r="BG71" s="57">
        <f>Scale!AR12</f>
        <v>18.079999999999998</v>
      </c>
      <c r="BH71" s="57">
        <f>Scale!AS12</f>
        <v>18.079999999999998</v>
      </c>
      <c r="BI71" s="57">
        <f>Scale!AT12</f>
        <v>18.079999999999998</v>
      </c>
      <c r="BJ71" s="57">
        <f>Scale!AU12</f>
        <v>18.079999999999998</v>
      </c>
      <c r="BK71" s="57">
        <f>Scale!AV12</f>
        <v>18.079999999999998</v>
      </c>
      <c r="BL71" s="57">
        <f>Scale!AW12</f>
        <v>18.079999999999998</v>
      </c>
      <c r="BM71" s="57">
        <f>Scale!AX12</f>
        <v>18.079999999999998</v>
      </c>
      <c r="BN71" s="57">
        <f>Scale!AY12</f>
        <v>18.079999999999998</v>
      </c>
      <c r="BO71" s="57">
        <f>Scale!AZ12</f>
        <v>18.079999999999998</v>
      </c>
      <c r="BP71" s="57">
        <f>Scale!BA12</f>
        <v>18.079999999999998</v>
      </c>
      <c r="BQ71" s="57">
        <f>Scale!BB12</f>
        <v>18.079999999999998</v>
      </c>
      <c r="BR71" s="57">
        <f>Scale!BC12</f>
        <v>18.079999999999998</v>
      </c>
      <c r="BS71" s="57">
        <f>Scale!BD12</f>
        <v>18.079999999999998</v>
      </c>
      <c r="BT71" s="57">
        <f>Scale!BE12</f>
        <v>18.079999999999998</v>
      </c>
      <c r="BU71" s="54"/>
      <c r="BV71" s="54"/>
      <c r="BW71" s="54"/>
      <c r="BX71" s="54"/>
      <c r="BY71" s="54"/>
      <c r="BZ71" s="54"/>
    </row>
    <row r="72" spans="1:78" x14ac:dyDescent="0.35">
      <c r="A72" s="40">
        <v>8.5</v>
      </c>
      <c r="B72" s="41">
        <f t="shared" si="0"/>
        <v>4.1692911099033697E-2</v>
      </c>
      <c r="C72" s="28">
        <f t="shared" si="2"/>
        <v>0.20866208774601269</v>
      </c>
      <c r="D72" s="28"/>
      <c r="E72" s="42">
        <f t="shared" si="1"/>
        <v>2000.5</v>
      </c>
      <c r="K72" s="28"/>
      <c r="L72" s="29"/>
      <c r="P72" s="57" t="str">
        <f>Scale!A13</f>
        <v>0106</v>
      </c>
      <c r="Q72" s="57">
        <f>Scale!B13</f>
        <v>0</v>
      </c>
      <c r="R72" s="57">
        <f>Scale!C13</f>
        <v>0</v>
      </c>
      <c r="S72" s="57">
        <f>Scale!D13</f>
        <v>0</v>
      </c>
      <c r="T72" s="57">
        <f>Scale!E13</f>
        <v>0</v>
      </c>
      <c r="U72" s="57">
        <f>Scale!F13</f>
        <v>0</v>
      </c>
      <c r="V72" s="57">
        <f>Scale!G13</f>
        <v>13.47</v>
      </c>
      <c r="W72" s="57">
        <f>Scale!H13</f>
        <v>13.47</v>
      </c>
      <c r="X72" s="57">
        <f>Scale!I13</f>
        <v>13.47</v>
      </c>
      <c r="Y72" s="57">
        <f>Scale!J13</f>
        <v>13.47</v>
      </c>
      <c r="Z72" s="57">
        <f>Scale!K13</f>
        <v>13.47</v>
      </c>
      <c r="AA72" s="57">
        <f>Scale!L13</f>
        <v>13.47</v>
      </c>
      <c r="AB72" s="57">
        <f>Scale!M13</f>
        <v>13.47</v>
      </c>
      <c r="AC72" s="57">
        <f>Scale!N13</f>
        <v>13.47</v>
      </c>
      <c r="AD72" s="57">
        <f>Scale!O13</f>
        <v>13.47</v>
      </c>
      <c r="AE72" s="57">
        <f>Scale!P13</f>
        <v>13.47</v>
      </c>
      <c r="AF72" s="57">
        <f>Scale!Q13</f>
        <v>13.47</v>
      </c>
      <c r="AG72" s="57">
        <f>Scale!R13</f>
        <v>13.47</v>
      </c>
      <c r="AH72" s="57">
        <f>Scale!S13</f>
        <v>13.47</v>
      </c>
      <c r="AI72" s="57">
        <f>Scale!T13</f>
        <v>13.47</v>
      </c>
      <c r="AJ72" s="57">
        <f>Scale!U13</f>
        <v>13.47</v>
      </c>
      <c r="AK72" s="57">
        <f>Scale!V13</f>
        <v>13.47</v>
      </c>
      <c r="AL72" s="57">
        <f>Scale!W13</f>
        <v>13.47</v>
      </c>
      <c r="AM72" s="57">
        <f>Scale!X13</f>
        <v>13.47</v>
      </c>
      <c r="AN72" s="57">
        <f>Scale!Y13</f>
        <v>13.47</v>
      </c>
      <c r="AO72" s="57">
        <f>Scale!Z13</f>
        <v>13.47</v>
      </c>
      <c r="AP72" s="57">
        <f>Scale!AA13</f>
        <v>13.47</v>
      </c>
      <c r="AQ72" s="57">
        <f>Scale!AB13</f>
        <v>13.47</v>
      </c>
      <c r="AR72" s="57">
        <f>Scale!AC13</f>
        <v>13.47</v>
      </c>
      <c r="AS72" s="57">
        <f>Scale!AD13</f>
        <v>13.47</v>
      </c>
      <c r="AT72" s="57">
        <f>Scale!AE13</f>
        <v>13.47</v>
      </c>
      <c r="AU72" s="57">
        <f>Scale!AF13</f>
        <v>13.47</v>
      </c>
      <c r="AV72" s="57">
        <f>Scale!AG13</f>
        <v>13.47</v>
      </c>
      <c r="AW72" s="57">
        <f>Scale!AH13</f>
        <v>13.47</v>
      </c>
      <c r="AX72" s="57">
        <f>Scale!AI13</f>
        <v>13.47</v>
      </c>
      <c r="AY72" s="57">
        <f>Scale!AJ13</f>
        <v>13.47</v>
      </c>
      <c r="AZ72" s="57">
        <f>Scale!AK13</f>
        <v>13.47</v>
      </c>
      <c r="BA72" s="57">
        <f>Scale!AL13</f>
        <v>13.47</v>
      </c>
      <c r="BB72" s="57">
        <f>Scale!AM13</f>
        <v>13.47</v>
      </c>
      <c r="BC72" s="57">
        <f>Scale!AN13</f>
        <v>13.47</v>
      </c>
      <c r="BD72" s="57">
        <f>Scale!AO13</f>
        <v>13.47</v>
      </c>
      <c r="BE72" s="57">
        <f>Scale!AP13</f>
        <v>13.47</v>
      </c>
      <c r="BF72" s="57">
        <f>Scale!AQ13</f>
        <v>13.47</v>
      </c>
      <c r="BG72" s="57">
        <f>Scale!AR13</f>
        <v>13.47</v>
      </c>
      <c r="BH72" s="57">
        <f>Scale!AS13</f>
        <v>13.47</v>
      </c>
      <c r="BI72" s="57">
        <f>Scale!AT13</f>
        <v>13.47</v>
      </c>
      <c r="BJ72" s="57">
        <f>Scale!AU13</f>
        <v>13.47</v>
      </c>
      <c r="BK72" s="57">
        <f>Scale!AV13</f>
        <v>13.47</v>
      </c>
      <c r="BL72" s="57">
        <f>Scale!AW13</f>
        <v>13.47</v>
      </c>
      <c r="BM72" s="57">
        <f>Scale!AX13</f>
        <v>13.47</v>
      </c>
      <c r="BN72" s="57">
        <f>Scale!AY13</f>
        <v>13.47</v>
      </c>
      <c r="BO72" s="57">
        <f>Scale!AZ13</f>
        <v>13.47</v>
      </c>
      <c r="BP72" s="57">
        <f>Scale!BA13</f>
        <v>13.47</v>
      </c>
      <c r="BQ72" s="57">
        <f>Scale!BB13</f>
        <v>13.47</v>
      </c>
      <c r="BR72" s="57">
        <f>Scale!BC13</f>
        <v>13.47</v>
      </c>
      <c r="BS72" s="57">
        <f>Scale!BD13</f>
        <v>13.47</v>
      </c>
      <c r="BT72" s="57">
        <f>Scale!BE13</f>
        <v>13.47</v>
      </c>
      <c r="BU72" s="54"/>
      <c r="BV72" s="54"/>
      <c r="BW72" s="54"/>
      <c r="BX72" s="54"/>
      <c r="BY72" s="54"/>
      <c r="BZ72" s="54"/>
    </row>
    <row r="73" spans="1:78" x14ac:dyDescent="0.35">
      <c r="A73" s="40">
        <v>9</v>
      </c>
      <c r="B73" s="41">
        <f t="shared" si="0"/>
        <v>4.297943827439616E-2</v>
      </c>
      <c r="C73" s="28">
        <f t="shared" si="2"/>
        <v>0.23015180688321077</v>
      </c>
      <c r="D73" s="28"/>
      <c r="E73" s="42">
        <f t="shared" si="1"/>
        <v>2001</v>
      </c>
      <c r="K73" s="28"/>
      <c r="L73" s="29"/>
      <c r="P73" s="57" t="str">
        <f>Scale!A14</f>
        <v>0108</v>
      </c>
      <c r="Q73" s="57">
        <f>Scale!B14</f>
        <v>0</v>
      </c>
      <c r="R73" s="57">
        <f>Scale!C14</f>
        <v>0</v>
      </c>
      <c r="S73" s="57">
        <f>Scale!D14</f>
        <v>0</v>
      </c>
      <c r="T73" s="57">
        <f>Scale!E14</f>
        <v>0</v>
      </c>
      <c r="U73" s="57">
        <f>Scale!F14</f>
        <v>0</v>
      </c>
      <c r="V73" s="57">
        <f>Scale!G14</f>
        <v>16.71</v>
      </c>
      <c r="W73" s="57">
        <f>Scale!H14</f>
        <v>16.71</v>
      </c>
      <c r="X73" s="57">
        <f>Scale!I14</f>
        <v>16.71</v>
      </c>
      <c r="Y73" s="57">
        <f>Scale!J14</f>
        <v>16.71</v>
      </c>
      <c r="Z73" s="57">
        <f>Scale!K14</f>
        <v>16.71</v>
      </c>
      <c r="AA73" s="57">
        <f>Scale!L14</f>
        <v>16.71</v>
      </c>
      <c r="AB73" s="57">
        <f>Scale!M14</f>
        <v>16.71</v>
      </c>
      <c r="AC73" s="57">
        <f>Scale!N14</f>
        <v>16.71</v>
      </c>
      <c r="AD73" s="57">
        <f>Scale!O14</f>
        <v>16.71</v>
      </c>
      <c r="AE73" s="57">
        <f>Scale!P14</f>
        <v>16.71</v>
      </c>
      <c r="AF73" s="57">
        <f>Scale!Q14</f>
        <v>16.71</v>
      </c>
      <c r="AG73" s="57">
        <f>Scale!R14</f>
        <v>16.71</v>
      </c>
      <c r="AH73" s="57">
        <f>Scale!S14</f>
        <v>16.71</v>
      </c>
      <c r="AI73" s="57">
        <f>Scale!T14</f>
        <v>16.71</v>
      </c>
      <c r="AJ73" s="57">
        <f>Scale!U14</f>
        <v>16.71</v>
      </c>
      <c r="AK73" s="57">
        <f>Scale!V14</f>
        <v>16.71</v>
      </c>
      <c r="AL73" s="57">
        <f>Scale!W14</f>
        <v>16.71</v>
      </c>
      <c r="AM73" s="57">
        <f>Scale!X14</f>
        <v>16.71</v>
      </c>
      <c r="AN73" s="57">
        <f>Scale!Y14</f>
        <v>16.71</v>
      </c>
      <c r="AO73" s="57">
        <f>Scale!Z14</f>
        <v>16.71</v>
      </c>
      <c r="AP73" s="57">
        <f>Scale!AA14</f>
        <v>16.71</v>
      </c>
      <c r="AQ73" s="57">
        <f>Scale!AB14</f>
        <v>16.71</v>
      </c>
      <c r="AR73" s="57">
        <f>Scale!AC14</f>
        <v>16.71</v>
      </c>
      <c r="AS73" s="57">
        <f>Scale!AD14</f>
        <v>16.71</v>
      </c>
      <c r="AT73" s="57">
        <f>Scale!AE14</f>
        <v>16.71</v>
      </c>
      <c r="AU73" s="57">
        <f>Scale!AF14</f>
        <v>16.71</v>
      </c>
      <c r="AV73" s="57">
        <f>Scale!AG14</f>
        <v>16.71</v>
      </c>
      <c r="AW73" s="57">
        <f>Scale!AH14</f>
        <v>16.71</v>
      </c>
      <c r="AX73" s="57">
        <f>Scale!AI14</f>
        <v>16.71</v>
      </c>
      <c r="AY73" s="57">
        <f>Scale!AJ14</f>
        <v>16.71</v>
      </c>
      <c r="AZ73" s="57">
        <f>Scale!AK14</f>
        <v>16.71</v>
      </c>
      <c r="BA73" s="57">
        <f>Scale!AL14</f>
        <v>16.71</v>
      </c>
      <c r="BB73" s="57">
        <f>Scale!AM14</f>
        <v>16.71</v>
      </c>
      <c r="BC73" s="57">
        <f>Scale!AN14</f>
        <v>16.71</v>
      </c>
      <c r="BD73" s="57">
        <f>Scale!AO14</f>
        <v>16.71</v>
      </c>
      <c r="BE73" s="57">
        <f>Scale!AP14</f>
        <v>16.71</v>
      </c>
      <c r="BF73" s="57">
        <f>Scale!AQ14</f>
        <v>16.71</v>
      </c>
      <c r="BG73" s="57">
        <f>Scale!AR14</f>
        <v>16.71</v>
      </c>
      <c r="BH73" s="57">
        <f>Scale!AS14</f>
        <v>16.71</v>
      </c>
      <c r="BI73" s="57">
        <f>Scale!AT14</f>
        <v>16.71</v>
      </c>
      <c r="BJ73" s="57">
        <f>Scale!AU14</f>
        <v>16.71</v>
      </c>
      <c r="BK73" s="57">
        <f>Scale!AV14</f>
        <v>16.71</v>
      </c>
      <c r="BL73" s="57">
        <f>Scale!AW14</f>
        <v>16.71</v>
      </c>
      <c r="BM73" s="57">
        <f>Scale!AX14</f>
        <v>16.71</v>
      </c>
      <c r="BN73" s="57">
        <f>Scale!AY14</f>
        <v>16.71</v>
      </c>
      <c r="BO73" s="57">
        <f>Scale!AZ14</f>
        <v>16.71</v>
      </c>
      <c r="BP73" s="57">
        <f>Scale!BA14</f>
        <v>16.71</v>
      </c>
      <c r="BQ73" s="57">
        <f>Scale!BB14</f>
        <v>16.71</v>
      </c>
      <c r="BR73" s="57">
        <f>Scale!BC14</f>
        <v>16.71</v>
      </c>
      <c r="BS73" s="57">
        <f>Scale!BD14</f>
        <v>16.71</v>
      </c>
      <c r="BT73" s="57">
        <f>Scale!BE14</f>
        <v>16.71</v>
      </c>
      <c r="BU73" s="54"/>
      <c r="BV73" s="54"/>
      <c r="BW73" s="54"/>
      <c r="BX73" s="54"/>
      <c r="BY73" s="54"/>
      <c r="BZ73" s="54"/>
    </row>
    <row r="74" spans="1:78" x14ac:dyDescent="0.35">
      <c r="A74" s="40">
        <v>9.5</v>
      </c>
      <c r="B74" s="41">
        <f t="shared" si="0"/>
        <v>4.4101409820645636E-2</v>
      </c>
      <c r="C74" s="28">
        <f t="shared" si="2"/>
        <v>0.25220251179353359</v>
      </c>
      <c r="D74" s="28"/>
      <c r="E74" s="42">
        <f t="shared" si="1"/>
        <v>2001.5</v>
      </c>
      <c r="K74" s="28"/>
      <c r="L74" s="29"/>
      <c r="P74" s="57" t="str">
        <f>Scale!A15</f>
        <v>0109</v>
      </c>
      <c r="Q74" s="57">
        <f>Scale!B15</f>
        <v>0</v>
      </c>
      <c r="R74" s="57">
        <f>Scale!C15</f>
        <v>0</v>
      </c>
      <c r="S74" s="57">
        <f>Scale!D15</f>
        <v>0</v>
      </c>
      <c r="T74" s="57">
        <f>Scale!E15</f>
        <v>0</v>
      </c>
      <c r="U74" s="57">
        <f>Scale!F15</f>
        <v>0</v>
      </c>
      <c r="V74" s="57">
        <f>Scale!G15</f>
        <v>18.55</v>
      </c>
      <c r="W74" s="57">
        <f>Scale!H15</f>
        <v>18.55</v>
      </c>
      <c r="X74" s="57">
        <f>Scale!I15</f>
        <v>18.55</v>
      </c>
      <c r="Y74" s="57">
        <f>Scale!J15</f>
        <v>18.55</v>
      </c>
      <c r="Z74" s="57">
        <f>Scale!K15</f>
        <v>18.55</v>
      </c>
      <c r="AA74" s="57">
        <f>Scale!L15</f>
        <v>18.55</v>
      </c>
      <c r="AB74" s="57">
        <f>Scale!M15</f>
        <v>18.55</v>
      </c>
      <c r="AC74" s="57">
        <f>Scale!N15</f>
        <v>18.55</v>
      </c>
      <c r="AD74" s="57">
        <f>Scale!O15</f>
        <v>18.55</v>
      </c>
      <c r="AE74" s="57">
        <f>Scale!P15</f>
        <v>18.55</v>
      </c>
      <c r="AF74" s="57">
        <f>Scale!Q15</f>
        <v>18.55</v>
      </c>
      <c r="AG74" s="57">
        <f>Scale!R15</f>
        <v>18.55</v>
      </c>
      <c r="AH74" s="57">
        <f>Scale!S15</f>
        <v>18.55</v>
      </c>
      <c r="AI74" s="57">
        <f>Scale!T15</f>
        <v>18.55</v>
      </c>
      <c r="AJ74" s="57">
        <f>Scale!U15</f>
        <v>18.55</v>
      </c>
      <c r="AK74" s="57">
        <f>Scale!V15</f>
        <v>18.55</v>
      </c>
      <c r="AL74" s="57">
        <f>Scale!W15</f>
        <v>18.55</v>
      </c>
      <c r="AM74" s="57">
        <f>Scale!X15</f>
        <v>18.55</v>
      </c>
      <c r="AN74" s="57">
        <f>Scale!Y15</f>
        <v>18.55</v>
      </c>
      <c r="AO74" s="57">
        <f>Scale!Z15</f>
        <v>18.55</v>
      </c>
      <c r="AP74" s="57">
        <f>Scale!AA15</f>
        <v>18.55</v>
      </c>
      <c r="AQ74" s="57">
        <f>Scale!AB15</f>
        <v>18.55</v>
      </c>
      <c r="AR74" s="57">
        <f>Scale!AC15</f>
        <v>18.55</v>
      </c>
      <c r="AS74" s="57">
        <f>Scale!AD15</f>
        <v>18.55</v>
      </c>
      <c r="AT74" s="57">
        <f>Scale!AE15</f>
        <v>18.55</v>
      </c>
      <c r="AU74" s="57">
        <f>Scale!AF15</f>
        <v>18.55</v>
      </c>
      <c r="AV74" s="57">
        <f>Scale!AG15</f>
        <v>18.55</v>
      </c>
      <c r="AW74" s="57">
        <f>Scale!AH15</f>
        <v>18.55</v>
      </c>
      <c r="AX74" s="57">
        <f>Scale!AI15</f>
        <v>18.55</v>
      </c>
      <c r="AY74" s="57">
        <f>Scale!AJ15</f>
        <v>18.55</v>
      </c>
      <c r="AZ74" s="57">
        <f>Scale!AK15</f>
        <v>18.55</v>
      </c>
      <c r="BA74" s="57">
        <f>Scale!AL15</f>
        <v>18.55</v>
      </c>
      <c r="BB74" s="57">
        <f>Scale!AM15</f>
        <v>18.55</v>
      </c>
      <c r="BC74" s="57">
        <f>Scale!AN15</f>
        <v>18.55</v>
      </c>
      <c r="BD74" s="57">
        <f>Scale!AO15</f>
        <v>18.55</v>
      </c>
      <c r="BE74" s="57">
        <f>Scale!AP15</f>
        <v>18.55</v>
      </c>
      <c r="BF74" s="57">
        <f>Scale!AQ15</f>
        <v>18.55</v>
      </c>
      <c r="BG74" s="57">
        <f>Scale!AR15</f>
        <v>18.55</v>
      </c>
      <c r="BH74" s="57">
        <f>Scale!AS15</f>
        <v>18.55</v>
      </c>
      <c r="BI74" s="57">
        <f>Scale!AT15</f>
        <v>18.55</v>
      </c>
      <c r="BJ74" s="57">
        <f>Scale!AU15</f>
        <v>18.55</v>
      </c>
      <c r="BK74" s="57">
        <f>Scale!AV15</f>
        <v>18.55</v>
      </c>
      <c r="BL74" s="57">
        <f>Scale!AW15</f>
        <v>18.55</v>
      </c>
      <c r="BM74" s="57">
        <f>Scale!AX15</f>
        <v>18.55</v>
      </c>
      <c r="BN74" s="57">
        <f>Scale!AY15</f>
        <v>18.55</v>
      </c>
      <c r="BO74" s="57">
        <f>Scale!AZ15</f>
        <v>18.55</v>
      </c>
      <c r="BP74" s="57">
        <f>Scale!BA15</f>
        <v>18.55</v>
      </c>
      <c r="BQ74" s="57">
        <f>Scale!BB15</f>
        <v>18.55</v>
      </c>
      <c r="BR74" s="57">
        <f>Scale!BC15</f>
        <v>18.55</v>
      </c>
      <c r="BS74" s="57">
        <f>Scale!BD15</f>
        <v>18.55</v>
      </c>
      <c r="BT74" s="57">
        <f>Scale!BE15</f>
        <v>18.55</v>
      </c>
      <c r="BU74" s="54"/>
      <c r="BV74" s="54"/>
      <c r="BW74" s="54"/>
      <c r="BX74" s="54"/>
      <c r="BY74" s="54"/>
      <c r="BZ74" s="54"/>
    </row>
    <row r="75" spans="1:78" x14ac:dyDescent="0.35">
      <c r="A75" s="40">
        <v>10</v>
      </c>
      <c r="B75" s="41">
        <f t="shared" si="0"/>
        <v>4.5058343373016903E-2</v>
      </c>
      <c r="C75" s="28">
        <f t="shared" si="2"/>
        <v>0.27473168348004207</v>
      </c>
      <c r="D75" s="28"/>
      <c r="E75" s="42">
        <f t="shared" si="1"/>
        <v>2002</v>
      </c>
      <c r="K75" s="28"/>
      <c r="L75" s="29"/>
      <c r="P75" s="57" t="str">
        <f>Scale!A16</f>
        <v>0111</v>
      </c>
      <c r="Q75" s="57">
        <f>Scale!B16</f>
        <v>0</v>
      </c>
      <c r="R75" s="57">
        <f>Scale!C16</f>
        <v>0</v>
      </c>
      <c r="S75" s="57">
        <f>Scale!D16</f>
        <v>0</v>
      </c>
      <c r="T75" s="57">
        <f>Scale!E16</f>
        <v>0</v>
      </c>
      <c r="U75" s="57">
        <f>Scale!F16</f>
        <v>0</v>
      </c>
      <c r="V75" s="57">
        <f>Scale!G16</f>
        <v>20.6</v>
      </c>
      <c r="W75" s="57">
        <f>Scale!H16</f>
        <v>20.6</v>
      </c>
      <c r="X75" s="57">
        <f>Scale!I16</f>
        <v>20.6</v>
      </c>
      <c r="Y75" s="57">
        <f>Scale!J16</f>
        <v>20.6</v>
      </c>
      <c r="Z75" s="57">
        <f>Scale!K16</f>
        <v>20.6</v>
      </c>
      <c r="AA75" s="57">
        <f>Scale!L16</f>
        <v>20.6</v>
      </c>
      <c r="AB75" s="57">
        <f>Scale!M16</f>
        <v>20.6</v>
      </c>
      <c r="AC75" s="57">
        <f>Scale!N16</f>
        <v>20.6</v>
      </c>
      <c r="AD75" s="57">
        <f>Scale!O16</f>
        <v>20.6</v>
      </c>
      <c r="AE75" s="57">
        <f>Scale!P16</f>
        <v>20.6</v>
      </c>
      <c r="AF75" s="57">
        <f>Scale!Q16</f>
        <v>20.6</v>
      </c>
      <c r="AG75" s="57">
        <f>Scale!R16</f>
        <v>20.6</v>
      </c>
      <c r="AH75" s="57">
        <f>Scale!S16</f>
        <v>20.6</v>
      </c>
      <c r="AI75" s="57">
        <f>Scale!T16</f>
        <v>20.6</v>
      </c>
      <c r="AJ75" s="57">
        <f>Scale!U16</f>
        <v>20.6</v>
      </c>
      <c r="AK75" s="57">
        <f>Scale!V16</f>
        <v>20.6</v>
      </c>
      <c r="AL75" s="57">
        <f>Scale!W16</f>
        <v>20.6</v>
      </c>
      <c r="AM75" s="57">
        <f>Scale!X16</f>
        <v>20.6</v>
      </c>
      <c r="AN75" s="57">
        <f>Scale!Y16</f>
        <v>20.6</v>
      </c>
      <c r="AO75" s="57">
        <f>Scale!Z16</f>
        <v>20.6</v>
      </c>
      <c r="AP75" s="57">
        <f>Scale!AA16</f>
        <v>20.6</v>
      </c>
      <c r="AQ75" s="57">
        <f>Scale!AB16</f>
        <v>20.6</v>
      </c>
      <c r="AR75" s="57">
        <f>Scale!AC16</f>
        <v>20.6</v>
      </c>
      <c r="AS75" s="57">
        <f>Scale!AD16</f>
        <v>20.6</v>
      </c>
      <c r="AT75" s="57">
        <f>Scale!AE16</f>
        <v>20.6</v>
      </c>
      <c r="AU75" s="57">
        <f>Scale!AF16</f>
        <v>20.6</v>
      </c>
      <c r="AV75" s="57">
        <f>Scale!AG16</f>
        <v>20.6</v>
      </c>
      <c r="AW75" s="57">
        <f>Scale!AH16</f>
        <v>20.6</v>
      </c>
      <c r="AX75" s="57">
        <f>Scale!AI16</f>
        <v>20.6</v>
      </c>
      <c r="AY75" s="57">
        <f>Scale!AJ16</f>
        <v>20.6</v>
      </c>
      <c r="AZ75" s="57">
        <f>Scale!AK16</f>
        <v>20.6</v>
      </c>
      <c r="BA75" s="57">
        <f>Scale!AL16</f>
        <v>20.6</v>
      </c>
      <c r="BB75" s="57">
        <f>Scale!AM16</f>
        <v>20.6</v>
      </c>
      <c r="BC75" s="57">
        <f>Scale!AN16</f>
        <v>20.6</v>
      </c>
      <c r="BD75" s="57">
        <f>Scale!AO16</f>
        <v>20.6</v>
      </c>
      <c r="BE75" s="57">
        <f>Scale!AP16</f>
        <v>20.6</v>
      </c>
      <c r="BF75" s="57">
        <f>Scale!AQ16</f>
        <v>20.6</v>
      </c>
      <c r="BG75" s="57">
        <f>Scale!AR16</f>
        <v>20.6</v>
      </c>
      <c r="BH75" s="57">
        <f>Scale!AS16</f>
        <v>20.6</v>
      </c>
      <c r="BI75" s="57">
        <f>Scale!AT16</f>
        <v>20.6</v>
      </c>
      <c r="BJ75" s="57">
        <f>Scale!AU16</f>
        <v>20.6</v>
      </c>
      <c r="BK75" s="57">
        <f>Scale!AV16</f>
        <v>20.6</v>
      </c>
      <c r="BL75" s="57">
        <f>Scale!AW16</f>
        <v>20.6</v>
      </c>
      <c r="BM75" s="57">
        <f>Scale!AX16</f>
        <v>20.6</v>
      </c>
      <c r="BN75" s="57">
        <f>Scale!AY16</f>
        <v>20.6</v>
      </c>
      <c r="BO75" s="57">
        <f>Scale!AZ16</f>
        <v>20.6</v>
      </c>
      <c r="BP75" s="57">
        <f>Scale!BA16</f>
        <v>20.6</v>
      </c>
      <c r="BQ75" s="57">
        <f>Scale!BB16</f>
        <v>20.6</v>
      </c>
      <c r="BR75" s="57">
        <f>Scale!BC16</f>
        <v>20.6</v>
      </c>
      <c r="BS75" s="57">
        <f>Scale!BD16</f>
        <v>20.6</v>
      </c>
      <c r="BT75" s="57">
        <f>Scale!BE16</f>
        <v>20.6</v>
      </c>
      <c r="BU75" s="54"/>
      <c r="BV75" s="54"/>
      <c r="BW75" s="54"/>
      <c r="BX75" s="54"/>
      <c r="BY75" s="54"/>
      <c r="BZ75" s="54"/>
    </row>
    <row r="76" spans="1:78" x14ac:dyDescent="0.35">
      <c r="A76" s="40">
        <v>10.5</v>
      </c>
      <c r="B76" s="41">
        <f t="shared" si="0"/>
        <v>4.5850764595466977E-2</v>
      </c>
      <c r="C76" s="28">
        <f t="shared" si="2"/>
        <v>0.29765706577777556</v>
      </c>
      <c r="D76" s="28"/>
      <c r="E76" s="42">
        <f t="shared" si="1"/>
        <v>2002.5</v>
      </c>
      <c r="K76" s="28"/>
      <c r="L76" s="29"/>
      <c r="P76" s="57" t="str">
        <f>Scale!A17</f>
        <v>0112</v>
      </c>
      <c r="Q76" s="57">
        <f>Scale!B17</f>
        <v>0</v>
      </c>
      <c r="R76" s="57">
        <f>Scale!C17</f>
        <v>0</v>
      </c>
      <c r="S76" s="57">
        <f>Scale!D17</f>
        <v>0</v>
      </c>
      <c r="T76" s="57">
        <f>Scale!E17</f>
        <v>0</v>
      </c>
      <c r="U76" s="57">
        <f>Scale!F17</f>
        <v>0</v>
      </c>
      <c r="V76" s="57">
        <f>Scale!G17</f>
        <v>13.36</v>
      </c>
      <c r="W76" s="57">
        <f>Scale!H17</f>
        <v>13.36</v>
      </c>
      <c r="X76" s="57">
        <f>Scale!I17</f>
        <v>13.36</v>
      </c>
      <c r="Y76" s="57">
        <f>Scale!J17</f>
        <v>13.36</v>
      </c>
      <c r="Z76" s="57">
        <f>Scale!K17</f>
        <v>13.36</v>
      </c>
      <c r="AA76" s="57">
        <f>Scale!L17</f>
        <v>13.36</v>
      </c>
      <c r="AB76" s="57">
        <f>Scale!M17</f>
        <v>13.36</v>
      </c>
      <c r="AC76" s="57">
        <f>Scale!N17</f>
        <v>13.36</v>
      </c>
      <c r="AD76" s="57">
        <f>Scale!O17</f>
        <v>13.36</v>
      </c>
      <c r="AE76" s="57">
        <f>Scale!P17</f>
        <v>13.36</v>
      </c>
      <c r="AF76" s="57">
        <f>Scale!Q17</f>
        <v>13.36</v>
      </c>
      <c r="AG76" s="57">
        <f>Scale!R17</f>
        <v>13.36</v>
      </c>
      <c r="AH76" s="57">
        <f>Scale!S17</f>
        <v>13.36</v>
      </c>
      <c r="AI76" s="57">
        <f>Scale!T17</f>
        <v>13.36</v>
      </c>
      <c r="AJ76" s="57">
        <f>Scale!U17</f>
        <v>13.36</v>
      </c>
      <c r="AK76" s="57">
        <f>Scale!V17</f>
        <v>13.36</v>
      </c>
      <c r="AL76" s="57">
        <f>Scale!W17</f>
        <v>13.36</v>
      </c>
      <c r="AM76" s="57">
        <f>Scale!X17</f>
        <v>13.36</v>
      </c>
      <c r="AN76" s="57">
        <f>Scale!Y17</f>
        <v>13.36</v>
      </c>
      <c r="AO76" s="57">
        <f>Scale!Z17</f>
        <v>13.36</v>
      </c>
      <c r="AP76" s="57">
        <f>Scale!AA17</f>
        <v>13.36</v>
      </c>
      <c r="AQ76" s="57">
        <f>Scale!AB17</f>
        <v>13.36</v>
      </c>
      <c r="AR76" s="57">
        <f>Scale!AC17</f>
        <v>13.36</v>
      </c>
      <c r="AS76" s="57">
        <f>Scale!AD17</f>
        <v>13.36</v>
      </c>
      <c r="AT76" s="57">
        <f>Scale!AE17</f>
        <v>13.36</v>
      </c>
      <c r="AU76" s="57">
        <f>Scale!AF17</f>
        <v>13.36</v>
      </c>
      <c r="AV76" s="57">
        <f>Scale!AG17</f>
        <v>13.36</v>
      </c>
      <c r="AW76" s="57">
        <f>Scale!AH17</f>
        <v>13.36</v>
      </c>
      <c r="AX76" s="57">
        <f>Scale!AI17</f>
        <v>13.36</v>
      </c>
      <c r="AY76" s="57">
        <f>Scale!AJ17</f>
        <v>13.36</v>
      </c>
      <c r="AZ76" s="57">
        <f>Scale!AK17</f>
        <v>13.36</v>
      </c>
      <c r="BA76" s="57">
        <f>Scale!AL17</f>
        <v>13.36</v>
      </c>
      <c r="BB76" s="57">
        <f>Scale!AM17</f>
        <v>13.36</v>
      </c>
      <c r="BC76" s="57">
        <f>Scale!AN17</f>
        <v>13.36</v>
      </c>
      <c r="BD76" s="57">
        <f>Scale!AO17</f>
        <v>13.36</v>
      </c>
      <c r="BE76" s="57">
        <f>Scale!AP17</f>
        <v>13.36</v>
      </c>
      <c r="BF76" s="57">
        <f>Scale!AQ17</f>
        <v>13.36</v>
      </c>
      <c r="BG76" s="57">
        <f>Scale!AR17</f>
        <v>13.36</v>
      </c>
      <c r="BH76" s="57">
        <f>Scale!AS17</f>
        <v>13.36</v>
      </c>
      <c r="BI76" s="57">
        <f>Scale!AT17</f>
        <v>13.36</v>
      </c>
      <c r="BJ76" s="57">
        <f>Scale!AU17</f>
        <v>13.36</v>
      </c>
      <c r="BK76" s="57">
        <f>Scale!AV17</f>
        <v>13.36</v>
      </c>
      <c r="BL76" s="57">
        <f>Scale!AW17</f>
        <v>13.36</v>
      </c>
      <c r="BM76" s="57">
        <f>Scale!AX17</f>
        <v>13.36</v>
      </c>
      <c r="BN76" s="57">
        <f>Scale!AY17</f>
        <v>13.36</v>
      </c>
      <c r="BO76" s="57">
        <f>Scale!AZ17</f>
        <v>13.36</v>
      </c>
      <c r="BP76" s="57">
        <f>Scale!BA17</f>
        <v>13.36</v>
      </c>
      <c r="BQ76" s="57">
        <f>Scale!BB17</f>
        <v>13.36</v>
      </c>
      <c r="BR76" s="57">
        <f>Scale!BC17</f>
        <v>13.36</v>
      </c>
      <c r="BS76" s="57">
        <f>Scale!BD17</f>
        <v>13.36</v>
      </c>
      <c r="BT76" s="57">
        <f>Scale!BE17</f>
        <v>13.36</v>
      </c>
      <c r="BU76" s="54"/>
      <c r="BV76" s="54"/>
      <c r="BW76" s="54"/>
      <c r="BX76" s="54"/>
      <c r="BY76" s="54"/>
      <c r="BZ76" s="54"/>
    </row>
    <row r="77" spans="1:78" x14ac:dyDescent="0.35">
      <c r="A77" s="40">
        <v>11</v>
      </c>
      <c r="B77" s="41">
        <f t="shared" si="0"/>
        <v>4.6480173617316517E-2</v>
      </c>
      <c r="C77" s="28">
        <f t="shared" si="2"/>
        <v>0.32089715258643381</v>
      </c>
      <c r="D77" s="28"/>
      <c r="E77" s="42">
        <f t="shared" si="1"/>
        <v>2003</v>
      </c>
      <c r="K77" s="28"/>
      <c r="L77" s="29"/>
      <c r="P77" s="57" t="str">
        <f>Scale!A18</f>
        <v>0113</v>
      </c>
      <c r="Q77" s="57">
        <f>Scale!B18</f>
        <v>0</v>
      </c>
      <c r="R77" s="57">
        <f>Scale!C18</f>
        <v>0</v>
      </c>
      <c r="S77" s="57">
        <f>Scale!D18</f>
        <v>0</v>
      </c>
      <c r="T77" s="57">
        <f>Scale!E18</f>
        <v>0</v>
      </c>
      <c r="U77" s="57">
        <f>Scale!F18</f>
        <v>0</v>
      </c>
      <c r="V77" s="57">
        <f>Scale!G18</f>
        <v>15.36</v>
      </c>
      <c r="W77" s="57">
        <f>Scale!H18</f>
        <v>15.36</v>
      </c>
      <c r="X77" s="57">
        <f>Scale!I18</f>
        <v>15.36</v>
      </c>
      <c r="Y77" s="57">
        <f>Scale!J18</f>
        <v>15.36</v>
      </c>
      <c r="Z77" s="57">
        <f>Scale!K18</f>
        <v>15.36</v>
      </c>
      <c r="AA77" s="57">
        <f>Scale!L18</f>
        <v>15.36</v>
      </c>
      <c r="AB77" s="57">
        <f>Scale!M18</f>
        <v>15.36</v>
      </c>
      <c r="AC77" s="57">
        <f>Scale!N18</f>
        <v>15.36</v>
      </c>
      <c r="AD77" s="57">
        <f>Scale!O18</f>
        <v>15.36</v>
      </c>
      <c r="AE77" s="57">
        <f>Scale!P18</f>
        <v>15.36</v>
      </c>
      <c r="AF77" s="57">
        <f>Scale!Q18</f>
        <v>15.36</v>
      </c>
      <c r="AG77" s="57">
        <f>Scale!R18</f>
        <v>15.36</v>
      </c>
      <c r="AH77" s="57">
        <f>Scale!S18</f>
        <v>15.36</v>
      </c>
      <c r="AI77" s="57">
        <f>Scale!T18</f>
        <v>15.36</v>
      </c>
      <c r="AJ77" s="57">
        <f>Scale!U18</f>
        <v>15.36</v>
      </c>
      <c r="AK77" s="57">
        <f>Scale!V18</f>
        <v>15.36</v>
      </c>
      <c r="AL77" s="57">
        <f>Scale!W18</f>
        <v>15.36</v>
      </c>
      <c r="AM77" s="57">
        <f>Scale!X18</f>
        <v>15.36</v>
      </c>
      <c r="AN77" s="57">
        <f>Scale!Y18</f>
        <v>15.36</v>
      </c>
      <c r="AO77" s="57">
        <f>Scale!Z18</f>
        <v>15.36</v>
      </c>
      <c r="AP77" s="57">
        <f>Scale!AA18</f>
        <v>15.36</v>
      </c>
      <c r="AQ77" s="57">
        <f>Scale!AB18</f>
        <v>15.36</v>
      </c>
      <c r="AR77" s="57">
        <f>Scale!AC18</f>
        <v>15.36</v>
      </c>
      <c r="AS77" s="57">
        <f>Scale!AD18</f>
        <v>15.36</v>
      </c>
      <c r="AT77" s="57">
        <f>Scale!AE18</f>
        <v>15.36</v>
      </c>
      <c r="AU77" s="57">
        <f>Scale!AF18</f>
        <v>15.36</v>
      </c>
      <c r="AV77" s="57">
        <f>Scale!AG18</f>
        <v>15.36</v>
      </c>
      <c r="AW77" s="57">
        <f>Scale!AH18</f>
        <v>15.36</v>
      </c>
      <c r="AX77" s="57">
        <f>Scale!AI18</f>
        <v>15.36</v>
      </c>
      <c r="AY77" s="57">
        <f>Scale!AJ18</f>
        <v>15.36</v>
      </c>
      <c r="AZ77" s="57">
        <f>Scale!AK18</f>
        <v>15.36</v>
      </c>
      <c r="BA77" s="57">
        <f>Scale!AL18</f>
        <v>15.36</v>
      </c>
      <c r="BB77" s="57">
        <f>Scale!AM18</f>
        <v>15.36</v>
      </c>
      <c r="BC77" s="57">
        <f>Scale!AN18</f>
        <v>15.36</v>
      </c>
      <c r="BD77" s="57">
        <f>Scale!AO18</f>
        <v>15.36</v>
      </c>
      <c r="BE77" s="57">
        <f>Scale!AP18</f>
        <v>15.36</v>
      </c>
      <c r="BF77" s="57">
        <f>Scale!AQ18</f>
        <v>15.36</v>
      </c>
      <c r="BG77" s="57">
        <f>Scale!AR18</f>
        <v>15.36</v>
      </c>
      <c r="BH77" s="57">
        <f>Scale!AS18</f>
        <v>15.36</v>
      </c>
      <c r="BI77" s="57">
        <f>Scale!AT18</f>
        <v>15.36</v>
      </c>
      <c r="BJ77" s="57">
        <f>Scale!AU18</f>
        <v>15.36</v>
      </c>
      <c r="BK77" s="57">
        <f>Scale!AV18</f>
        <v>15.36</v>
      </c>
      <c r="BL77" s="57">
        <f>Scale!AW18</f>
        <v>15.36</v>
      </c>
      <c r="BM77" s="57">
        <f>Scale!AX18</f>
        <v>15.36</v>
      </c>
      <c r="BN77" s="57">
        <f>Scale!AY18</f>
        <v>15.36</v>
      </c>
      <c r="BO77" s="57">
        <f>Scale!AZ18</f>
        <v>15.36</v>
      </c>
      <c r="BP77" s="57">
        <f>Scale!BA18</f>
        <v>15.36</v>
      </c>
      <c r="BQ77" s="57">
        <f>Scale!BB18</f>
        <v>15.36</v>
      </c>
      <c r="BR77" s="57">
        <f>Scale!BC18</f>
        <v>15.36</v>
      </c>
      <c r="BS77" s="57">
        <f>Scale!BD18</f>
        <v>15.36</v>
      </c>
      <c r="BT77" s="57">
        <f>Scale!BE18</f>
        <v>15.36</v>
      </c>
      <c r="BU77" s="54"/>
      <c r="BV77" s="54"/>
      <c r="BW77" s="54"/>
      <c r="BX77" s="54"/>
      <c r="BY77" s="54"/>
      <c r="BZ77" s="54"/>
    </row>
    <row r="78" spans="1:78" x14ac:dyDescent="0.35">
      <c r="A78" s="40">
        <v>11.5</v>
      </c>
      <c r="B78" s="41">
        <f t="shared" si="0"/>
        <v>4.6949003686093692E-2</v>
      </c>
      <c r="C78" s="28">
        <f t="shared" si="2"/>
        <v>0.34437165442948064</v>
      </c>
      <c r="D78" s="28"/>
      <c r="E78" s="42">
        <f t="shared" si="1"/>
        <v>2003.5</v>
      </c>
      <c r="K78" s="28"/>
      <c r="L78" s="29"/>
      <c r="P78" s="57" t="str">
        <f>Scale!A19</f>
        <v>0114</v>
      </c>
      <c r="Q78" s="57">
        <f>Scale!B19</f>
        <v>0</v>
      </c>
      <c r="R78" s="57">
        <f>Scale!C19</f>
        <v>0</v>
      </c>
      <c r="S78" s="57">
        <f>Scale!D19</f>
        <v>0</v>
      </c>
      <c r="T78" s="57">
        <f>Scale!E19</f>
        <v>0</v>
      </c>
      <c r="U78" s="57">
        <f>Scale!F19</f>
        <v>0</v>
      </c>
      <c r="V78" s="57">
        <f>Scale!G19</f>
        <v>17.989999999999998</v>
      </c>
      <c r="W78" s="57">
        <f>Scale!H19</f>
        <v>17.989999999999998</v>
      </c>
      <c r="X78" s="57">
        <f>Scale!I19</f>
        <v>17.989999999999998</v>
      </c>
      <c r="Y78" s="57">
        <f>Scale!J19</f>
        <v>17.989999999999998</v>
      </c>
      <c r="Z78" s="57">
        <f>Scale!K19</f>
        <v>17.989999999999998</v>
      </c>
      <c r="AA78" s="57">
        <f>Scale!L19</f>
        <v>17.989999999999998</v>
      </c>
      <c r="AB78" s="57">
        <f>Scale!M19</f>
        <v>17.989999999999998</v>
      </c>
      <c r="AC78" s="57">
        <f>Scale!N19</f>
        <v>17.989999999999998</v>
      </c>
      <c r="AD78" s="57">
        <f>Scale!O19</f>
        <v>17.989999999999998</v>
      </c>
      <c r="AE78" s="57">
        <f>Scale!P19</f>
        <v>17.989999999999998</v>
      </c>
      <c r="AF78" s="57">
        <f>Scale!Q19</f>
        <v>17.989999999999998</v>
      </c>
      <c r="AG78" s="57">
        <f>Scale!R19</f>
        <v>17.989999999999998</v>
      </c>
      <c r="AH78" s="57">
        <f>Scale!S19</f>
        <v>17.989999999999998</v>
      </c>
      <c r="AI78" s="57">
        <f>Scale!T19</f>
        <v>17.989999999999998</v>
      </c>
      <c r="AJ78" s="57">
        <f>Scale!U19</f>
        <v>17.989999999999998</v>
      </c>
      <c r="AK78" s="57">
        <f>Scale!V19</f>
        <v>17.989999999999998</v>
      </c>
      <c r="AL78" s="57">
        <f>Scale!W19</f>
        <v>17.989999999999998</v>
      </c>
      <c r="AM78" s="57">
        <f>Scale!X19</f>
        <v>17.989999999999998</v>
      </c>
      <c r="AN78" s="57">
        <f>Scale!Y19</f>
        <v>17.989999999999998</v>
      </c>
      <c r="AO78" s="57">
        <f>Scale!Z19</f>
        <v>17.989999999999998</v>
      </c>
      <c r="AP78" s="57">
        <f>Scale!AA19</f>
        <v>17.989999999999998</v>
      </c>
      <c r="AQ78" s="57">
        <f>Scale!AB19</f>
        <v>17.989999999999998</v>
      </c>
      <c r="AR78" s="57">
        <f>Scale!AC19</f>
        <v>17.989999999999998</v>
      </c>
      <c r="AS78" s="57">
        <f>Scale!AD19</f>
        <v>17.989999999999998</v>
      </c>
      <c r="AT78" s="57">
        <f>Scale!AE19</f>
        <v>17.989999999999998</v>
      </c>
      <c r="AU78" s="57">
        <f>Scale!AF19</f>
        <v>17.989999999999998</v>
      </c>
      <c r="AV78" s="57">
        <f>Scale!AG19</f>
        <v>17.989999999999998</v>
      </c>
      <c r="AW78" s="57">
        <f>Scale!AH19</f>
        <v>17.989999999999998</v>
      </c>
      <c r="AX78" s="57">
        <f>Scale!AI19</f>
        <v>17.989999999999998</v>
      </c>
      <c r="AY78" s="57">
        <f>Scale!AJ19</f>
        <v>17.989999999999998</v>
      </c>
      <c r="AZ78" s="57">
        <f>Scale!AK19</f>
        <v>17.989999999999998</v>
      </c>
      <c r="BA78" s="57">
        <f>Scale!AL19</f>
        <v>17.989999999999998</v>
      </c>
      <c r="BB78" s="57">
        <f>Scale!AM19</f>
        <v>17.989999999999998</v>
      </c>
      <c r="BC78" s="57">
        <f>Scale!AN19</f>
        <v>17.989999999999998</v>
      </c>
      <c r="BD78" s="57">
        <f>Scale!AO19</f>
        <v>17.989999999999998</v>
      </c>
      <c r="BE78" s="57">
        <f>Scale!AP19</f>
        <v>17.989999999999998</v>
      </c>
      <c r="BF78" s="57">
        <f>Scale!AQ19</f>
        <v>17.989999999999998</v>
      </c>
      <c r="BG78" s="57">
        <f>Scale!AR19</f>
        <v>17.989999999999998</v>
      </c>
      <c r="BH78" s="57">
        <f>Scale!AS19</f>
        <v>17.989999999999998</v>
      </c>
      <c r="BI78" s="57">
        <f>Scale!AT19</f>
        <v>17.989999999999998</v>
      </c>
      <c r="BJ78" s="57">
        <f>Scale!AU19</f>
        <v>17.989999999999998</v>
      </c>
      <c r="BK78" s="57">
        <f>Scale!AV19</f>
        <v>17.989999999999998</v>
      </c>
      <c r="BL78" s="57">
        <f>Scale!AW19</f>
        <v>17.989999999999998</v>
      </c>
      <c r="BM78" s="57">
        <f>Scale!AX19</f>
        <v>17.989999999999998</v>
      </c>
      <c r="BN78" s="57">
        <f>Scale!AY19</f>
        <v>17.989999999999998</v>
      </c>
      <c r="BO78" s="57">
        <f>Scale!AZ19</f>
        <v>17.989999999999998</v>
      </c>
      <c r="BP78" s="57">
        <f>Scale!BA19</f>
        <v>17.989999999999998</v>
      </c>
      <c r="BQ78" s="57">
        <f>Scale!BB19</f>
        <v>17.989999999999998</v>
      </c>
      <c r="BR78" s="57">
        <f>Scale!BC19</f>
        <v>17.989999999999998</v>
      </c>
      <c r="BS78" s="57">
        <f>Scale!BD19</f>
        <v>17.989999999999998</v>
      </c>
      <c r="BT78" s="57">
        <f>Scale!BE19</f>
        <v>17.989999999999998</v>
      </c>
      <c r="BU78" s="54"/>
      <c r="BV78" s="54"/>
      <c r="BW78" s="54"/>
      <c r="BX78" s="54"/>
      <c r="BY78" s="54"/>
      <c r="BZ78" s="54"/>
    </row>
    <row r="79" spans="1:78" x14ac:dyDescent="0.35">
      <c r="A79" s="40">
        <v>12</v>
      </c>
      <c r="B79" s="41">
        <f t="shared" si="0"/>
        <v>4.726057271175247E-2</v>
      </c>
      <c r="C79" s="28">
        <f t="shared" si="2"/>
        <v>0.36800194078535686</v>
      </c>
      <c r="D79" s="28"/>
      <c r="E79" s="42">
        <f t="shared" si="1"/>
        <v>2004</v>
      </c>
      <c r="K79" s="28"/>
      <c r="L79" s="29"/>
      <c r="P79" s="57" t="str">
        <f>Scale!A20</f>
        <v>0201</v>
      </c>
      <c r="Q79" s="57">
        <f>Scale!B20</f>
        <v>0</v>
      </c>
      <c r="R79" s="57">
        <f>Scale!C20</f>
        <v>0</v>
      </c>
      <c r="S79" s="57">
        <f>Scale!D20</f>
        <v>0</v>
      </c>
      <c r="T79" s="57">
        <f>Scale!E20</f>
        <v>0</v>
      </c>
      <c r="U79" s="57">
        <f>Scale!F20</f>
        <v>0</v>
      </c>
      <c r="V79" s="57">
        <f>Scale!G20</f>
        <v>7.97</v>
      </c>
      <c r="W79" s="57">
        <f>Scale!H20</f>
        <v>7.97</v>
      </c>
      <c r="X79" s="57">
        <f>Scale!I20</f>
        <v>7.97</v>
      </c>
      <c r="Y79" s="57">
        <f>Scale!J20</f>
        <v>7.97</v>
      </c>
      <c r="Z79" s="57">
        <f>Scale!K20</f>
        <v>7.97</v>
      </c>
      <c r="AA79" s="57">
        <f>Scale!L20</f>
        <v>7.97</v>
      </c>
      <c r="AB79" s="57">
        <f>Scale!M20</f>
        <v>7.97</v>
      </c>
      <c r="AC79" s="57">
        <f>Scale!N20</f>
        <v>7.97</v>
      </c>
      <c r="AD79" s="57">
        <f>Scale!O20</f>
        <v>7.97</v>
      </c>
      <c r="AE79" s="57">
        <f>Scale!P20</f>
        <v>7.97</v>
      </c>
      <c r="AF79" s="57">
        <f>Scale!Q20</f>
        <v>7.97</v>
      </c>
      <c r="AG79" s="57">
        <f>Scale!R20</f>
        <v>7.97</v>
      </c>
      <c r="AH79" s="57">
        <f>Scale!S20</f>
        <v>7.97</v>
      </c>
      <c r="AI79" s="57">
        <f>Scale!T20</f>
        <v>7.97</v>
      </c>
      <c r="AJ79" s="57">
        <f>Scale!U20</f>
        <v>7.97</v>
      </c>
      <c r="AK79" s="57">
        <f>Scale!V20</f>
        <v>7.97</v>
      </c>
      <c r="AL79" s="57">
        <f>Scale!W20</f>
        <v>7.97</v>
      </c>
      <c r="AM79" s="57">
        <f>Scale!X20</f>
        <v>7.97</v>
      </c>
      <c r="AN79" s="57">
        <f>Scale!Y20</f>
        <v>7.97</v>
      </c>
      <c r="AO79" s="57">
        <f>Scale!Z20</f>
        <v>7.97</v>
      </c>
      <c r="AP79" s="57">
        <f>Scale!AA20</f>
        <v>7.97</v>
      </c>
      <c r="AQ79" s="57">
        <f>Scale!AB20</f>
        <v>7.97</v>
      </c>
      <c r="AR79" s="57">
        <f>Scale!AC20</f>
        <v>7.97</v>
      </c>
      <c r="AS79" s="57">
        <f>Scale!AD20</f>
        <v>7.97</v>
      </c>
      <c r="AT79" s="57">
        <f>Scale!AE20</f>
        <v>7.97</v>
      </c>
      <c r="AU79" s="57">
        <f>Scale!AF20</f>
        <v>7.97</v>
      </c>
      <c r="AV79" s="57">
        <f>Scale!AG20</f>
        <v>7.97</v>
      </c>
      <c r="AW79" s="57">
        <f>Scale!AH20</f>
        <v>7.97</v>
      </c>
      <c r="AX79" s="57">
        <f>Scale!AI20</f>
        <v>7.97</v>
      </c>
      <c r="AY79" s="57">
        <f>Scale!AJ20</f>
        <v>7.97</v>
      </c>
      <c r="AZ79" s="57">
        <f>Scale!AK20</f>
        <v>7.97</v>
      </c>
      <c r="BA79" s="57">
        <f>Scale!AL20</f>
        <v>7.97</v>
      </c>
      <c r="BB79" s="57">
        <f>Scale!AM20</f>
        <v>7.97</v>
      </c>
      <c r="BC79" s="57">
        <f>Scale!AN20</f>
        <v>7.97</v>
      </c>
      <c r="BD79" s="57">
        <f>Scale!AO20</f>
        <v>7.97</v>
      </c>
      <c r="BE79" s="57">
        <f>Scale!AP20</f>
        <v>7.97</v>
      </c>
      <c r="BF79" s="57">
        <f>Scale!AQ20</f>
        <v>7.97</v>
      </c>
      <c r="BG79" s="57">
        <f>Scale!AR20</f>
        <v>7.97</v>
      </c>
      <c r="BH79" s="57">
        <f>Scale!AS20</f>
        <v>7.97</v>
      </c>
      <c r="BI79" s="57">
        <f>Scale!AT20</f>
        <v>7.97</v>
      </c>
      <c r="BJ79" s="57">
        <f>Scale!AU20</f>
        <v>7.97</v>
      </c>
      <c r="BK79" s="57">
        <f>Scale!AV20</f>
        <v>7.97</v>
      </c>
      <c r="BL79" s="57">
        <f>Scale!AW20</f>
        <v>7.97</v>
      </c>
      <c r="BM79" s="57">
        <f>Scale!AX20</f>
        <v>7.97</v>
      </c>
      <c r="BN79" s="57">
        <f>Scale!AY20</f>
        <v>7.97</v>
      </c>
      <c r="BO79" s="57">
        <f>Scale!AZ20</f>
        <v>7.97</v>
      </c>
      <c r="BP79" s="57">
        <f>Scale!BA20</f>
        <v>7.97</v>
      </c>
      <c r="BQ79" s="57">
        <f>Scale!BB20</f>
        <v>7.97</v>
      </c>
      <c r="BR79" s="57">
        <f>Scale!BC20</f>
        <v>7.97</v>
      </c>
      <c r="BS79" s="57">
        <f>Scale!BD20</f>
        <v>7.97</v>
      </c>
      <c r="BT79" s="57">
        <f>Scale!BE20</f>
        <v>7.97</v>
      </c>
      <c r="BU79" s="54"/>
      <c r="BV79" s="54"/>
      <c r="BW79" s="54"/>
      <c r="BX79" s="54"/>
      <c r="BY79" s="54"/>
      <c r="BZ79" s="54"/>
    </row>
    <row r="80" spans="1:78" x14ac:dyDescent="0.35">
      <c r="A80" s="40">
        <v>12.5</v>
      </c>
      <c r="B80" s="41">
        <f t="shared" si="0"/>
        <v>4.7419028441542894E-2</v>
      </c>
      <c r="C80" s="28">
        <f t="shared" si="2"/>
        <v>0.39171145500612831</v>
      </c>
      <c r="D80" s="28"/>
      <c r="E80" s="42">
        <f t="shared" si="1"/>
        <v>2004.5</v>
      </c>
      <c r="K80" s="28"/>
      <c r="L80" s="29"/>
      <c r="P80" s="57" t="str">
        <f>Scale!A21</f>
        <v>0202</v>
      </c>
      <c r="Q80" s="57">
        <f>Scale!B21</f>
        <v>0</v>
      </c>
      <c r="R80" s="57">
        <f>Scale!C21</f>
        <v>0</v>
      </c>
      <c r="S80" s="57">
        <f>Scale!D21</f>
        <v>0</v>
      </c>
      <c r="T80" s="57">
        <f>Scale!E21</f>
        <v>0</v>
      </c>
      <c r="U80" s="57">
        <f>Scale!F21</f>
        <v>0</v>
      </c>
      <c r="V80" s="57">
        <f>Scale!G21</f>
        <v>11.02</v>
      </c>
      <c r="W80" s="57">
        <f>Scale!H21</f>
        <v>11.02</v>
      </c>
      <c r="X80" s="57">
        <f>Scale!I21</f>
        <v>11.02</v>
      </c>
      <c r="Y80" s="57">
        <f>Scale!J21</f>
        <v>11.02</v>
      </c>
      <c r="Z80" s="57">
        <f>Scale!K21</f>
        <v>11.02</v>
      </c>
      <c r="AA80" s="57">
        <f>Scale!L21</f>
        <v>11.02</v>
      </c>
      <c r="AB80" s="57">
        <f>Scale!M21</f>
        <v>11.02</v>
      </c>
      <c r="AC80" s="57">
        <f>Scale!N21</f>
        <v>11.02</v>
      </c>
      <c r="AD80" s="57">
        <f>Scale!O21</f>
        <v>11.02</v>
      </c>
      <c r="AE80" s="57">
        <f>Scale!P21</f>
        <v>11.02</v>
      </c>
      <c r="AF80" s="57">
        <f>Scale!Q21</f>
        <v>11.02</v>
      </c>
      <c r="AG80" s="57">
        <f>Scale!R21</f>
        <v>11.02</v>
      </c>
      <c r="AH80" s="57">
        <f>Scale!S21</f>
        <v>11.02</v>
      </c>
      <c r="AI80" s="57">
        <f>Scale!T21</f>
        <v>11.02</v>
      </c>
      <c r="AJ80" s="57">
        <f>Scale!U21</f>
        <v>11.02</v>
      </c>
      <c r="AK80" s="57">
        <f>Scale!V21</f>
        <v>11.02</v>
      </c>
      <c r="AL80" s="57">
        <f>Scale!W21</f>
        <v>11.02</v>
      </c>
      <c r="AM80" s="57">
        <f>Scale!X21</f>
        <v>11.02</v>
      </c>
      <c r="AN80" s="57">
        <f>Scale!Y21</f>
        <v>11.02</v>
      </c>
      <c r="AO80" s="57">
        <f>Scale!Z21</f>
        <v>11.02</v>
      </c>
      <c r="AP80" s="57">
        <f>Scale!AA21</f>
        <v>11.02</v>
      </c>
      <c r="AQ80" s="57">
        <f>Scale!AB21</f>
        <v>11.02</v>
      </c>
      <c r="AR80" s="57">
        <f>Scale!AC21</f>
        <v>11.02</v>
      </c>
      <c r="AS80" s="57">
        <f>Scale!AD21</f>
        <v>11.02</v>
      </c>
      <c r="AT80" s="57">
        <f>Scale!AE21</f>
        <v>11.02</v>
      </c>
      <c r="AU80" s="57">
        <f>Scale!AF21</f>
        <v>11.02</v>
      </c>
      <c r="AV80" s="57">
        <f>Scale!AG21</f>
        <v>11.02</v>
      </c>
      <c r="AW80" s="57">
        <f>Scale!AH21</f>
        <v>11.02</v>
      </c>
      <c r="AX80" s="57">
        <f>Scale!AI21</f>
        <v>11.02</v>
      </c>
      <c r="AY80" s="57">
        <f>Scale!AJ21</f>
        <v>11.02</v>
      </c>
      <c r="AZ80" s="57">
        <f>Scale!AK21</f>
        <v>11.02</v>
      </c>
      <c r="BA80" s="57">
        <f>Scale!AL21</f>
        <v>11.02</v>
      </c>
      <c r="BB80" s="57">
        <f>Scale!AM21</f>
        <v>11.02</v>
      </c>
      <c r="BC80" s="57">
        <f>Scale!AN21</f>
        <v>11.02</v>
      </c>
      <c r="BD80" s="57">
        <f>Scale!AO21</f>
        <v>11.02</v>
      </c>
      <c r="BE80" s="57">
        <f>Scale!AP21</f>
        <v>11.02</v>
      </c>
      <c r="BF80" s="57">
        <f>Scale!AQ21</f>
        <v>11.02</v>
      </c>
      <c r="BG80" s="57">
        <f>Scale!AR21</f>
        <v>11.02</v>
      </c>
      <c r="BH80" s="57">
        <f>Scale!AS21</f>
        <v>11.02</v>
      </c>
      <c r="BI80" s="57">
        <f>Scale!AT21</f>
        <v>11.02</v>
      </c>
      <c r="BJ80" s="57">
        <f>Scale!AU21</f>
        <v>11.02</v>
      </c>
      <c r="BK80" s="57">
        <f>Scale!AV21</f>
        <v>11.02</v>
      </c>
      <c r="BL80" s="57">
        <f>Scale!AW21</f>
        <v>11.02</v>
      </c>
      <c r="BM80" s="57">
        <f>Scale!AX21</f>
        <v>11.02</v>
      </c>
      <c r="BN80" s="57">
        <f>Scale!AY21</f>
        <v>11.02</v>
      </c>
      <c r="BO80" s="57">
        <f>Scale!AZ21</f>
        <v>11.02</v>
      </c>
      <c r="BP80" s="57">
        <f>Scale!BA21</f>
        <v>11.02</v>
      </c>
      <c r="BQ80" s="57">
        <f>Scale!BB21</f>
        <v>11.02</v>
      </c>
      <c r="BR80" s="57">
        <f>Scale!BC21</f>
        <v>11.02</v>
      </c>
      <c r="BS80" s="57">
        <f>Scale!BD21</f>
        <v>11.02</v>
      </c>
      <c r="BT80" s="57">
        <f>Scale!BE21</f>
        <v>11.02</v>
      </c>
      <c r="BU80" s="54"/>
      <c r="BV80" s="54"/>
      <c r="BW80" s="54"/>
      <c r="BX80" s="54"/>
      <c r="BY80" s="54"/>
      <c r="BZ80" s="54"/>
    </row>
    <row r="81" spans="1:78" x14ac:dyDescent="0.35">
      <c r="A81" s="40">
        <v>13</v>
      </c>
      <c r="B81" s="41">
        <f t="shared" si="0"/>
        <v>4.7429288056858102E-2</v>
      </c>
      <c r="C81" s="28">
        <f t="shared" si="2"/>
        <v>0.41542609903455735</v>
      </c>
      <c r="D81" s="28"/>
      <c r="E81" s="42">
        <f t="shared" si="1"/>
        <v>2005</v>
      </c>
      <c r="K81" s="28"/>
      <c r="L81" s="29"/>
      <c r="P81" s="57" t="str">
        <f>Scale!A22</f>
        <v>0203</v>
      </c>
      <c r="Q81" s="57">
        <f>Scale!B22</f>
        <v>0</v>
      </c>
      <c r="R81" s="57">
        <f>Scale!C22</f>
        <v>0</v>
      </c>
      <c r="S81" s="57">
        <f>Scale!D22</f>
        <v>0</v>
      </c>
      <c r="T81" s="57">
        <f>Scale!E22</f>
        <v>0</v>
      </c>
      <c r="U81" s="57">
        <f>Scale!F22</f>
        <v>0</v>
      </c>
      <c r="V81" s="57">
        <f>Scale!G22</f>
        <v>7.61</v>
      </c>
      <c r="W81" s="57">
        <f>Scale!H22</f>
        <v>7.61</v>
      </c>
      <c r="X81" s="57">
        <f>Scale!I22</f>
        <v>7.61</v>
      </c>
      <c r="Y81" s="57">
        <f>Scale!J22</f>
        <v>7.61</v>
      </c>
      <c r="Z81" s="57">
        <f>Scale!K22</f>
        <v>7.61</v>
      </c>
      <c r="AA81" s="57">
        <f>Scale!L22</f>
        <v>7.61</v>
      </c>
      <c r="AB81" s="57">
        <f>Scale!M22</f>
        <v>7.61</v>
      </c>
      <c r="AC81" s="57">
        <f>Scale!N22</f>
        <v>7.61</v>
      </c>
      <c r="AD81" s="57">
        <f>Scale!O22</f>
        <v>7.61</v>
      </c>
      <c r="AE81" s="57">
        <f>Scale!P22</f>
        <v>7.61</v>
      </c>
      <c r="AF81" s="57">
        <f>Scale!Q22</f>
        <v>7.61</v>
      </c>
      <c r="AG81" s="57">
        <f>Scale!R22</f>
        <v>7.61</v>
      </c>
      <c r="AH81" s="57">
        <f>Scale!S22</f>
        <v>7.61</v>
      </c>
      <c r="AI81" s="57">
        <f>Scale!T22</f>
        <v>7.61</v>
      </c>
      <c r="AJ81" s="57">
        <f>Scale!U22</f>
        <v>7.61</v>
      </c>
      <c r="AK81" s="57">
        <f>Scale!V22</f>
        <v>7.61</v>
      </c>
      <c r="AL81" s="57">
        <f>Scale!W22</f>
        <v>7.61</v>
      </c>
      <c r="AM81" s="57">
        <f>Scale!X22</f>
        <v>7.61</v>
      </c>
      <c r="AN81" s="57">
        <f>Scale!Y22</f>
        <v>7.61</v>
      </c>
      <c r="AO81" s="57">
        <f>Scale!Z22</f>
        <v>7.61</v>
      </c>
      <c r="AP81" s="57">
        <f>Scale!AA22</f>
        <v>7.61</v>
      </c>
      <c r="AQ81" s="57">
        <f>Scale!AB22</f>
        <v>7.61</v>
      </c>
      <c r="AR81" s="57">
        <f>Scale!AC22</f>
        <v>7.61</v>
      </c>
      <c r="AS81" s="57">
        <f>Scale!AD22</f>
        <v>7.61</v>
      </c>
      <c r="AT81" s="57">
        <f>Scale!AE22</f>
        <v>7.61</v>
      </c>
      <c r="AU81" s="57">
        <f>Scale!AF22</f>
        <v>7.61</v>
      </c>
      <c r="AV81" s="57">
        <f>Scale!AG22</f>
        <v>7.61</v>
      </c>
      <c r="AW81" s="57">
        <f>Scale!AH22</f>
        <v>7.61</v>
      </c>
      <c r="AX81" s="57">
        <f>Scale!AI22</f>
        <v>7.61</v>
      </c>
      <c r="AY81" s="57">
        <f>Scale!AJ22</f>
        <v>7.61</v>
      </c>
      <c r="AZ81" s="57">
        <f>Scale!AK22</f>
        <v>7.61</v>
      </c>
      <c r="BA81" s="57">
        <f>Scale!AL22</f>
        <v>7.61</v>
      </c>
      <c r="BB81" s="57">
        <f>Scale!AM22</f>
        <v>7.61</v>
      </c>
      <c r="BC81" s="57">
        <f>Scale!AN22</f>
        <v>7.61</v>
      </c>
      <c r="BD81" s="57">
        <f>Scale!AO22</f>
        <v>7.61</v>
      </c>
      <c r="BE81" s="57">
        <f>Scale!AP22</f>
        <v>7.61</v>
      </c>
      <c r="BF81" s="57">
        <f>Scale!AQ22</f>
        <v>7.61</v>
      </c>
      <c r="BG81" s="57">
        <f>Scale!AR22</f>
        <v>7.61</v>
      </c>
      <c r="BH81" s="57">
        <f>Scale!AS22</f>
        <v>7.61</v>
      </c>
      <c r="BI81" s="57">
        <f>Scale!AT22</f>
        <v>7.61</v>
      </c>
      <c r="BJ81" s="57">
        <f>Scale!AU22</f>
        <v>7.61</v>
      </c>
      <c r="BK81" s="57">
        <f>Scale!AV22</f>
        <v>7.61</v>
      </c>
      <c r="BL81" s="57">
        <f>Scale!AW22</f>
        <v>7.61</v>
      </c>
      <c r="BM81" s="57">
        <f>Scale!AX22</f>
        <v>7.61</v>
      </c>
      <c r="BN81" s="57">
        <f>Scale!AY22</f>
        <v>7.61</v>
      </c>
      <c r="BO81" s="57">
        <f>Scale!AZ22</f>
        <v>7.61</v>
      </c>
      <c r="BP81" s="57">
        <f>Scale!BA22</f>
        <v>7.61</v>
      </c>
      <c r="BQ81" s="57">
        <f>Scale!BB22</f>
        <v>7.61</v>
      </c>
      <c r="BR81" s="57">
        <f>Scale!BC22</f>
        <v>7.61</v>
      </c>
      <c r="BS81" s="57">
        <f>Scale!BD22</f>
        <v>7.61</v>
      </c>
      <c r="BT81" s="57">
        <f>Scale!BE22</f>
        <v>7.61</v>
      </c>
      <c r="BU81" s="54"/>
      <c r="BV81" s="54"/>
      <c r="BW81" s="54"/>
      <c r="BX81" s="54"/>
      <c r="BY81" s="54"/>
      <c r="BZ81" s="54"/>
    </row>
    <row r="82" spans="1:78" x14ac:dyDescent="0.35">
      <c r="A82" s="40">
        <v>13.5</v>
      </c>
      <c r="B82" s="41">
        <f t="shared" si="0"/>
        <v>4.7296973022984683E-2</v>
      </c>
      <c r="C82" s="28">
        <f t="shared" si="2"/>
        <v>0.43907458554604967</v>
      </c>
      <c r="D82" s="28"/>
      <c r="E82" s="42">
        <f t="shared" si="1"/>
        <v>2005.5</v>
      </c>
      <c r="K82" s="28"/>
      <c r="L82" s="29"/>
      <c r="P82" s="57" t="str">
        <f>Scale!A23</f>
        <v>0204</v>
      </c>
      <c r="Q82" s="57">
        <f>Scale!B23</f>
        <v>0</v>
      </c>
      <c r="R82" s="57">
        <f>Scale!C23</f>
        <v>0</v>
      </c>
      <c r="S82" s="57">
        <f>Scale!D23</f>
        <v>0</v>
      </c>
      <c r="T82" s="57">
        <f>Scale!E23</f>
        <v>0</v>
      </c>
      <c r="U82" s="57">
        <f>Scale!F23</f>
        <v>0</v>
      </c>
      <c r="V82" s="57">
        <f>Scale!G23</f>
        <v>10.59</v>
      </c>
      <c r="W82" s="57">
        <f>Scale!H23</f>
        <v>10.59</v>
      </c>
      <c r="X82" s="57">
        <f>Scale!I23</f>
        <v>10.59</v>
      </c>
      <c r="Y82" s="57">
        <f>Scale!J23</f>
        <v>10.59</v>
      </c>
      <c r="Z82" s="57">
        <f>Scale!K23</f>
        <v>10.59</v>
      </c>
      <c r="AA82" s="57">
        <f>Scale!L23</f>
        <v>10.59</v>
      </c>
      <c r="AB82" s="57">
        <f>Scale!M23</f>
        <v>10.59</v>
      </c>
      <c r="AC82" s="57">
        <f>Scale!N23</f>
        <v>10.59</v>
      </c>
      <c r="AD82" s="57">
        <f>Scale!O23</f>
        <v>10.59</v>
      </c>
      <c r="AE82" s="57">
        <f>Scale!P23</f>
        <v>10.59</v>
      </c>
      <c r="AF82" s="57">
        <f>Scale!Q23</f>
        <v>10.59</v>
      </c>
      <c r="AG82" s="57">
        <f>Scale!R23</f>
        <v>10.59</v>
      </c>
      <c r="AH82" s="57">
        <f>Scale!S23</f>
        <v>10.59</v>
      </c>
      <c r="AI82" s="57">
        <f>Scale!T23</f>
        <v>10.59</v>
      </c>
      <c r="AJ82" s="57">
        <f>Scale!U23</f>
        <v>10.59</v>
      </c>
      <c r="AK82" s="57">
        <f>Scale!V23</f>
        <v>10.59</v>
      </c>
      <c r="AL82" s="57">
        <f>Scale!W23</f>
        <v>10.59</v>
      </c>
      <c r="AM82" s="57">
        <f>Scale!X23</f>
        <v>10.59</v>
      </c>
      <c r="AN82" s="57">
        <f>Scale!Y23</f>
        <v>10.59</v>
      </c>
      <c r="AO82" s="57">
        <f>Scale!Z23</f>
        <v>10.59</v>
      </c>
      <c r="AP82" s="57">
        <f>Scale!AA23</f>
        <v>10.59</v>
      </c>
      <c r="AQ82" s="57">
        <f>Scale!AB23</f>
        <v>10.59</v>
      </c>
      <c r="AR82" s="57">
        <f>Scale!AC23</f>
        <v>10.59</v>
      </c>
      <c r="AS82" s="57">
        <f>Scale!AD23</f>
        <v>10.59</v>
      </c>
      <c r="AT82" s="57">
        <f>Scale!AE23</f>
        <v>10.59</v>
      </c>
      <c r="AU82" s="57">
        <f>Scale!AF23</f>
        <v>10.59</v>
      </c>
      <c r="AV82" s="57">
        <f>Scale!AG23</f>
        <v>10.59</v>
      </c>
      <c r="AW82" s="57">
        <f>Scale!AH23</f>
        <v>10.59</v>
      </c>
      <c r="AX82" s="57">
        <f>Scale!AI23</f>
        <v>10.59</v>
      </c>
      <c r="AY82" s="57">
        <f>Scale!AJ23</f>
        <v>10.59</v>
      </c>
      <c r="AZ82" s="57">
        <f>Scale!AK23</f>
        <v>10.59</v>
      </c>
      <c r="BA82" s="57">
        <f>Scale!AL23</f>
        <v>10.59</v>
      </c>
      <c r="BB82" s="57">
        <f>Scale!AM23</f>
        <v>10.59</v>
      </c>
      <c r="BC82" s="57">
        <f>Scale!AN23</f>
        <v>10.59</v>
      </c>
      <c r="BD82" s="57">
        <f>Scale!AO23</f>
        <v>10.59</v>
      </c>
      <c r="BE82" s="57">
        <f>Scale!AP23</f>
        <v>10.59</v>
      </c>
      <c r="BF82" s="57">
        <f>Scale!AQ23</f>
        <v>10.59</v>
      </c>
      <c r="BG82" s="57">
        <f>Scale!AR23</f>
        <v>10.59</v>
      </c>
      <c r="BH82" s="57">
        <f>Scale!AS23</f>
        <v>10.59</v>
      </c>
      <c r="BI82" s="57">
        <f>Scale!AT23</f>
        <v>10.59</v>
      </c>
      <c r="BJ82" s="57">
        <f>Scale!AU23</f>
        <v>10.59</v>
      </c>
      <c r="BK82" s="57">
        <f>Scale!AV23</f>
        <v>10.59</v>
      </c>
      <c r="BL82" s="57">
        <f>Scale!AW23</f>
        <v>10.59</v>
      </c>
      <c r="BM82" s="57">
        <f>Scale!AX23</f>
        <v>10.59</v>
      </c>
      <c r="BN82" s="57">
        <f>Scale!AY23</f>
        <v>10.59</v>
      </c>
      <c r="BO82" s="57">
        <f>Scale!AZ23</f>
        <v>10.59</v>
      </c>
      <c r="BP82" s="57">
        <f>Scale!BA23</f>
        <v>10.59</v>
      </c>
      <c r="BQ82" s="57">
        <f>Scale!BB23</f>
        <v>10.59</v>
      </c>
      <c r="BR82" s="57">
        <f>Scale!BC23</f>
        <v>10.59</v>
      </c>
      <c r="BS82" s="57">
        <f>Scale!BD23</f>
        <v>10.59</v>
      </c>
      <c r="BT82" s="57">
        <f>Scale!BE23</f>
        <v>10.59</v>
      </c>
      <c r="BU82" s="54"/>
      <c r="BV82" s="54"/>
      <c r="BW82" s="54"/>
      <c r="BX82" s="54"/>
      <c r="BY82" s="54"/>
      <c r="BZ82" s="54"/>
    </row>
    <row r="83" spans="1:78" x14ac:dyDescent="0.35">
      <c r="A83" s="40">
        <v>14</v>
      </c>
      <c r="B83" s="41">
        <f t="shared" si="0"/>
        <v>4.7028340049679832E-2</v>
      </c>
      <c r="C83" s="28">
        <f t="shared" si="2"/>
        <v>0.46258875557088958</v>
      </c>
      <c r="D83" s="28"/>
      <c r="E83" s="42">
        <f t="shared" si="1"/>
        <v>2006</v>
      </c>
      <c r="K83" s="28"/>
      <c r="L83" s="29"/>
      <c r="P83" s="57" t="str">
        <f>Scale!A24</f>
        <v>0205</v>
      </c>
      <c r="Q83" s="57">
        <f>Scale!B24</f>
        <v>0</v>
      </c>
      <c r="R83" s="57">
        <f>Scale!C24</f>
        <v>0</v>
      </c>
      <c r="S83" s="57">
        <f>Scale!D24</f>
        <v>0</v>
      </c>
      <c r="T83" s="57">
        <f>Scale!E24</f>
        <v>0</v>
      </c>
      <c r="U83" s="57">
        <f>Scale!F24</f>
        <v>0</v>
      </c>
      <c r="V83" s="57">
        <f>Scale!G24</f>
        <v>8.09</v>
      </c>
      <c r="W83" s="57">
        <f>Scale!H24</f>
        <v>8.09</v>
      </c>
      <c r="X83" s="57">
        <f>Scale!I24</f>
        <v>8.09</v>
      </c>
      <c r="Y83" s="57">
        <f>Scale!J24</f>
        <v>8.09</v>
      </c>
      <c r="Z83" s="57">
        <f>Scale!K24</f>
        <v>8.09</v>
      </c>
      <c r="AA83" s="57">
        <f>Scale!L24</f>
        <v>8.09</v>
      </c>
      <c r="AB83" s="57">
        <f>Scale!M24</f>
        <v>8.09</v>
      </c>
      <c r="AC83" s="57">
        <f>Scale!N24</f>
        <v>8.09</v>
      </c>
      <c r="AD83" s="57">
        <f>Scale!O24</f>
        <v>8.09</v>
      </c>
      <c r="AE83" s="57">
        <f>Scale!P24</f>
        <v>8.09</v>
      </c>
      <c r="AF83" s="57">
        <f>Scale!Q24</f>
        <v>8.09</v>
      </c>
      <c r="AG83" s="57">
        <f>Scale!R24</f>
        <v>8.09</v>
      </c>
      <c r="AH83" s="57">
        <f>Scale!S24</f>
        <v>8.09</v>
      </c>
      <c r="AI83" s="57">
        <f>Scale!T24</f>
        <v>8.09</v>
      </c>
      <c r="AJ83" s="57">
        <f>Scale!U24</f>
        <v>8.09</v>
      </c>
      <c r="AK83" s="57">
        <f>Scale!V24</f>
        <v>8.09</v>
      </c>
      <c r="AL83" s="57">
        <f>Scale!W24</f>
        <v>8.09</v>
      </c>
      <c r="AM83" s="57">
        <f>Scale!X24</f>
        <v>8.09</v>
      </c>
      <c r="AN83" s="57">
        <f>Scale!Y24</f>
        <v>8.09</v>
      </c>
      <c r="AO83" s="57">
        <f>Scale!Z24</f>
        <v>8.09</v>
      </c>
      <c r="AP83" s="57">
        <f>Scale!AA24</f>
        <v>8.09</v>
      </c>
      <c r="AQ83" s="57">
        <f>Scale!AB24</f>
        <v>8.09</v>
      </c>
      <c r="AR83" s="57">
        <f>Scale!AC24</f>
        <v>8.09</v>
      </c>
      <c r="AS83" s="57">
        <f>Scale!AD24</f>
        <v>8.09</v>
      </c>
      <c r="AT83" s="57">
        <f>Scale!AE24</f>
        <v>8.09</v>
      </c>
      <c r="AU83" s="57">
        <f>Scale!AF24</f>
        <v>8.09</v>
      </c>
      <c r="AV83" s="57">
        <f>Scale!AG24</f>
        <v>8.09</v>
      </c>
      <c r="AW83" s="57">
        <f>Scale!AH24</f>
        <v>8.09</v>
      </c>
      <c r="AX83" s="57">
        <f>Scale!AI24</f>
        <v>8.09</v>
      </c>
      <c r="AY83" s="57">
        <f>Scale!AJ24</f>
        <v>8.09</v>
      </c>
      <c r="AZ83" s="57">
        <f>Scale!AK24</f>
        <v>8.09</v>
      </c>
      <c r="BA83" s="57">
        <f>Scale!AL24</f>
        <v>8.09</v>
      </c>
      <c r="BB83" s="57">
        <f>Scale!AM24</f>
        <v>8.09</v>
      </c>
      <c r="BC83" s="57">
        <f>Scale!AN24</f>
        <v>8.09</v>
      </c>
      <c r="BD83" s="57">
        <f>Scale!AO24</f>
        <v>8.09</v>
      </c>
      <c r="BE83" s="57">
        <f>Scale!AP24</f>
        <v>8.09</v>
      </c>
      <c r="BF83" s="57">
        <f>Scale!AQ24</f>
        <v>8.09</v>
      </c>
      <c r="BG83" s="57">
        <f>Scale!AR24</f>
        <v>8.09</v>
      </c>
      <c r="BH83" s="57">
        <f>Scale!AS24</f>
        <v>8.09</v>
      </c>
      <c r="BI83" s="57">
        <f>Scale!AT24</f>
        <v>8.09</v>
      </c>
      <c r="BJ83" s="57">
        <f>Scale!AU24</f>
        <v>8.09</v>
      </c>
      <c r="BK83" s="57">
        <f>Scale!AV24</f>
        <v>8.09</v>
      </c>
      <c r="BL83" s="57">
        <f>Scale!AW24</f>
        <v>8.09</v>
      </c>
      <c r="BM83" s="57">
        <f>Scale!AX24</f>
        <v>8.09</v>
      </c>
      <c r="BN83" s="57">
        <f>Scale!AY24</f>
        <v>8.09</v>
      </c>
      <c r="BO83" s="57">
        <f>Scale!AZ24</f>
        <v>8.09</v>
      </c>
      <c r="BP83" s="57">
        <f>Scale!BA24</f>
        <v>8.09</v>
      </c>
      <c r="BQ83" s="57">
        <f>Scale!BB24</f>
        <v>8.09</v>
      </c>
      <c r="BR83" s="57">
        <f>Scale!BC24</f>
        <v>8.09</v>
      </c>
      <c r="BS83" s="57">
        <f>Scale!BD24</f>
        <v>8.09</v>
      </c>
      <c r="BT83" s="57">
        <f>Scale!BE24</f>
        <v>8.09</v>
      </c>
      <c r="BU83" s="54"/>
      <c r="BV83" s="54"/>
      <c r="BW83" s="54"/>
      <c r="BX83" s="54"/>
      <c r="BY83" s="54"/>
      <c r="BZ83" s="54"/>
    </row>
    <row r="84" spans="1:78" x14ac:dyDescent="0.35">
      <c r="A84" s="40">
        <v>14.5</v>
      </c>
      <c r="B84" s="41">
        <f t="shared" si="0"/>
        <v>4.6630209034937385E-2</v>
      </c>
      <c r="C84" s="28">
        <f t="shared" si="2"/>
        <v>0.48590386008835829</v>
      </c>
      <c r="D84" s="28"/>
      <c r="E84" s="42">
        <f t="shared" si="1"/>
        <v>2006.5</v>
      </c>
      <c r="K84" s="28"/>
      <c r="L84" s="29"/>
      <c r="P84" s="57" t="str">
        <f>Scale!A25</f>
        <v>0301</v>
      </c>
      <c r="Q84" s="57">
        <f>Scale!B25</f>
        <v>0</v>
      </c>
      <c r="R84" s="57">
        <f>Scale!C25</f>
        <v>0</v>
      </c>
      <c r="S84" s="57">
        <f>Scale!D25</f>
        <v>0</v>
      </c>
      <c r="T84" s="57">
        <f>Scale!E25</f>
        <v>0</v>
      </c>
      <c r="U84" s="57">
        <f>Scale!F25</f>
        <v>0</v>
      </c>
      <c r="V84" s="57">
        <f>Scale!G25</f>
        <v>6.15</v>
      </c>
      <c r="W84" s="57">
        <f>Scale!H25</f>
        <v>6.15</v>
      </c>
      <c r="X84" s="57">
        <f>Scale!I25</f>
        <v>6.15</v>
      </c>
      <c r="Y84" s="57">
        <f>Scale!J25</f>
        <v>6.15</v>
      </c>
      <c r="Z84" s="57">
        <f>Scale!K25</f>
        <v>6.15</v>
      </c>
      <c r="AA84" s="57">
        <f>Scale!L25</f>
        <v>6.15</v>
      </c>
      <c r="AB84" s="57">
        <f>Scale!M25</f>
        <v>6.15</v>
      </c>
      <c r="AC84" s="57">
        <f>Scale!N25</f>
        <v>6.15</v>
      </c>
      <c r="AD84" s="57">
        <f>Scale!O25</f>
        <v>6.15</v>
      </c>
      <c r="AE84" s="57">
        <f>Scale!P25</f>
        <v>6.15</v>
      </c>
      <c r="AF84" s="57">
        <f>Scale!Q25</f>
        <v>6.15</v>
      </c>
      <c r="AG84" s="57">
        <f>Scale!R25</f>
        <v>6.15</v>
      </c>
      <c r="AH84" s="57">
        <f>Scale!S25</f>
        <v>6.15</v>
      </c>
      <c r="AI84" s="57">
        <f>Scale!T25</f>
        <v>6.15</v>
      </c>
      <c r="AJ84" s="57">
        <f>Scale!U25</f>
        <v>6.15</v>
      </c>
      <c r="AK84" s="57">
        <f>Scale!V25</f>
        <v>6.15</v>
      </c>
      <c r="AL84" s="57">
        <f>Scale!W25</f>
        <v>6.15</v>
      </c>
      <c r="AM84" s="57">
        <f>Scale!X25</f>
        <v>6.15</v>
      </c>
      <c r="AN84" s="57">
        <f>Scale!Y25</f>
        <v>6.15</v>
      </c>
      <c r="AO84" s="57">
        <f>Scale!Z25</f>
        <v>6.15</v>
      </c>
      <c r="AP84" s="57">
        <f>Scale!AA25</f>
        <v>6.15</v>
      </c>
      <c r="AQ84" s="57">
        <f>Scale!AB25</f>
        <v>6.15</v>
      </c>
      <c r="AR84" s="57">
        <f>Scale!AC25</f>
        <v>6.15</v>
      </c>
      <c r="AS84" s="57">
        <f>Scale!AD25</f>
        <v>6.15</v>
      </c>
      <c r="AT84" s="57">
        <f>Scale!AE25</f>
        <v>6.15</v>
      </c>
      <c r="AU84" s="57">
        <f>Scale!AF25</f>
        <v>6.15</v>
      </c>
      <c r="AV84" s="57">
        <f>Scale!AG25</f>
        <v>6.15</v>
      </c>
      <c r="AW84" s="57">
        <f>Scale!AH25</f>
        <v>6.15</v>
      </c>
      <c r="AX84" s="57">
        <f>Scale!AI25</f>
        <v>6.15</v>
      </c>
      <c r="AY84" s="57">
        <f>Scale!AJ25</f>
        <v>6.15</v>
      </c>
      <c r="AZ84" s="57">
        <f>Scale!AK25</f>
        <v>6.15</v>
      </c>
      <c r="BA84" s="57">
        <f>Scale!AL25</f>
        <v>6.15</v>
      </c>
      <c r="BB84" s="57">
        <f>Scale!AM25</f>
        <v>6.15</v>
      </c>
      <c r="BC84" s="57">
        <f>Scale!AN25</f>
        <v>6.15</v>
      </c>
      <c r="BD84" s="57">
        <f>Scale!AO25</f>
        <v>6.15</v>
      </c>
      <c r="BE84" s="57">
        <f>Scale!AP25</f>
        <v>6.15</v>
      </c>
      <c r="BF84" s="57">
        <f>Scale!AQ25</f>
        <v>6.15</v>
      </c>
      <c r="BG84" s="57">
        <f>Scale!AR25</f>
        <v>6.15</v>
      </c>
      <c r="BH84" s="57">
        <f>Scale!AS25</f>
        <v>6.15</v>
      </c>
      <c r="BI84" s="57">
        <f>Scale!AT25</f>
        <v>6.15</v>
      </c>
      <c r="BJ84" s="57">
        <f>Scale!AU25</f>
        <v>6.15</v>
      </c>
      <c r="BK84" s="57">
        <f>Scale!AV25</f>
        <v>6.15</v>
      </c>
      <c r="BL84" s="57">
        <f>Scale!AW25</f>
        <v>6.15</v>
      </c>
      <c r="BM84" s="57">
        <f>Scale!AX25</f>
        <v>6.15</v>
      </c>
      <c r="BN84" s="57">
        <f>Scale!AY25</f>
        <v>6.15</v>
      </c>
      <c r="BO84" s="57">
        <f>Scale!AZ25</f>
        <v>6.15</v>
      </c>
      <c r="BP84" s="57">
        <f>Scale!BA25</f>
        <v>6.15</v>
      </c>
      <c r="BQ84" s="57">
        <f>Scale!BB25</f>
        <v>6.15</v>
      </c>
      <c r="BR84" s="57">
        <f>Scale!BC25</f>
        <v>6.15</v>
      </c>
      <c r="BS84" s="57">
        <f>Scale!BD25</f>
        <v>6.15</v>
      </c>
      <c r="BT84" s="57">
        <f>Scale!BE25</f>
        <v>6.15</v>
      </c>
      <c r="BU84" s="54"/>
      <c r="BV84" s="54"/>
      <c r="BW84" s="54"/>
      <c r="BX84" s="54"/>
      <c r="BY84" s="54"/>
      <c r="BZ84" s="54"/>
    </row>
    <row r="85" spans="1:78" x14ac:dyDescent="0.35">
      <c r="A85" s="40">
        <v>15</v>
      </c>
      <c r="B85" s="41">
        <f t="shared" si="0"/>
        <v>4.6109888866439817E-2</v>
      </c>
      <c r="C85" s="28">
        <f t="shared" si="2"/>
        <v>0.50895880452157816</v>
      </c>
      <c r="D85" s="28"/>
      <c r="E85" s="42">
        <f t="shared" si="1"/>
        <v>2007</v>
      </c>
      <c r="K85" s="28"/>
      <c r="L85" s="29"/>
      <c r="P85" s="57" t="str">
        <f>Scale!A26</f>
        <v>0302</v>
      </c>
      <c r="Q85" s="57">
        <f>Scale!B26</f>
        <v>0</v>
      </c>
      <c r="R85" s="57">
        <f>Scale!C26</f>
        <v>0</v>
      </c>
      <c r="S85" s="57">
        <f>Scale!D26</f>
        <v>0</v>
      </c>
      <c r="T85" s="57">
        <f>Scale!E26</f>
        <v>0</v>
      </c>
      <c r="U85" s="57">
        <f>Scale!F26</f>
        <v>0</v>
      </c>
      <c r="V85" s="57">
        <f>Scale!G26</f>
        <v>10.33</v>
      </c>
      <c r="W85" s="57">
        <f>Scale!H26</f>
        <v>10.33</v>
      </c>
      <c r="X85" s="57">
        <f>Scale!I26</f>
        <v>10.33</v>
      </c>
      <c r="Y85" s="57">
        <f>Scale!J26</f>
        <v>10.33</v>
      </c>
      <c r="Z85" s="57">
        <f>Scale!K26</f>
        <v>10.33</v>
      </c>
      <c r="AA85" s="57">
        <f>Scale!L26</f>
        <v>10.33</v>
      </c>
      <c r="AB85" s="57">
        <f>Scale!M26</f>
        <v>10.33</v>
      </c>
      <c r="AC85" s="57">
        <f>Scale!N26</f>
        <v>10.33</v>
      </c>
      <c r="AD85" s="57">
        <f>Scale!O26</f>
        <v>10.33</v>
      </c>
      <c r="AE85" s="57">
        <f>Scale!P26</f>
        <v>10.33</v>
      </c>
      <c r="AF85" s="57">
        <f>Scale!Q26</f>
        <v>10.33</v>
      </c>
      <c r="AG85" s="57">
        <f>Scale!R26</f>
        <v>10.33</v>
      </c>
      <c r="AH85" s="57">
        <f>Scale!S26</f>
        <v>10.33</v>
      </c>
      <c r="AI85" s="57">
        <f>Scale!T26</f>
        <v>10.33</v>
      </c>
      <c r="AJ85" s="57">
        <f>Scale!U26</f>
        <v>10.33</v>
      </c>
      <c r="AK85" s="57">
        <f>Scale!V26</f>
        <v>10.33</v>
      </c>
      <c r="AL85" s="57">
        <f>Scale!W26</f>
        <v>10.33</v>
      </c>
      <c r="AM85" s="57">
        <f>Scale!X26</f>
        <v>10.33</v>
      </c>
      <c r="AN85" s="57">
        <f>Scale!Y26</f>
        <v>10.33</v>
      </c>
      <c r="AO85" s="57">
        <f>Scale!Z26</f>
        <v>10.33</v>
      </c>
      <c r="AP85" s="57">
        <f>Scale!AA26</f>
        <v>10.33</v>
      </c>
      <c r="AQ85" s="57">
        <f>Scale!AB26</f>
        <v>10.33</v>
      </c>
      <c r="AR85" s="57">
        <f>Scale!AC26</f>
        <v>10.33</v>
      </c>
      <c r="AS85" s="57">
        <f>Scale!AD26</f>
        <v>10.33</v>
      </c>
      <c r="AT85" s="57">
        <f>Scale!AE26</f>
        <v>10.33</v>
      </c>
      <c r="AU85" s="57">
        <f>Scale!AF26</f>
        <v>10.33</v>
      </c>
      <c r="AV85" s="57">
        <f>Scale!AG26</f>
        <v>10.33</v>
      </c>
      <c r="AW85" s="57">
        <f>Scale!AH26</f>
        <v>10.33</v>
      </c>
      <c r="AX85" s="57">
        <f>Scale!AI26</f>
        <v>10.33</v>
      </c>
      <c r="AY85" s="57">
        <f>Scale!AJ26</f>
        <v>10.33</v>
      </c>
      <c r="AZ85" s="57">
        <f>Scale!AK26</f>
        <v>10.33</v>
      </c>
      <c r="BA85" s="57">
        <f>Scale!AL26</f>
        <v>10.33</v>
      </c>
      <c r="BB85" s="57">
        <f>Scale!AM26</f>
        <v>10.33</v>
      </c>
      <c r="BC85" s="57">
        <f>Scale!AN26</f>
        <v>10.33</v>
      </c>
      <c r="BD85" s="57">
        <f>Scale!AO26</f>
        <v>10.33</v>
      </c>
      <c r="BE85" s="57">
        <f>Scale!AP26</f>
        <v>10.33</v>
      </c>
      <c r="BF85" s="57">
        <f>Scale!AQ26</f>
        <v>10.33</v>
      </c>
      <c r="BG85" s="57">
        <f>Scale!AR26</f>
        <v>10.33</v>
      </c>
      <c r="BH85" s="57">
        <f>Scale!AS26</f>
        <v>10.33</v>
      </c>
      <c r="BI85" s="57">
        <f>Scale!AT26</f>
        <v>10.33</v>
      </c>
      <c r="BJ85" s="57">
        <f>Scale!AU26</f>
        <v>10.33</v>
      </c>
      <c r="BK85" s="57">
        <f>Scale!AV26</f>
        <v>10.33</v>
      </c>
      <c r="BL85" s="57">
        <f>Scale!AW26</f>
        <v>10.33</v>
      </c>
      <c r="BM85" s="57">
        <f>Scale!AX26</f>
        <v>10.33</v>
      </c>
      <c r="BN85" s="57">
        <f>Scale!AY26</f>
        <v>10.33</v>
      </c>
      <c r="BO85" s="57">
        <f>Scale!AZ26</f>
        <v>10.33</v>
      </c>
      <c r="BP85" s="57">
        <f>Scale!BA26</f>
        <v>10.33</v>
      </c>
      <c r="BQ85" s="57">
        <f>Scale!BB26</f>
        <v>10.33</v>
      </c>
      <c r="BR85" s="57">
        <f>Scale!BC26</f>
        <v>10.33</v>
      </c>
      <c r="BS85" s="57">
        <f>Scale!BD26</f>
        <v>10.33</v>
      </c>
      <c r="BT85" s="57">
        <f>Scale!BE26</f>
        <v>10.33</v>
      </c>
      <c r="BU85" s="54"/>
      <c r="BV85" s="54"/>
      <c r="BW85" s="54"/>
      <c r="BX85" s="54"/>
      <c r="BY85" s="54"/>
      <c r="BZ85" s="54"/>
    </row>
    <row r="86" spans="1:78" x14ac:dyDescent="0.35">
      <c r="A86" s="40">
        <v>15.5</v>
      </c>
      <c r="B86" s="41">
        <f t="shared" si="0"/>
        <v>4.5475101945474536E-2</v>
      </c>
      <c r="C86" s="28">
        <f t="shared" si="2"/>
        <v>0.53169635549431538</v>
      </c>
      <c r="D86" s="28"/>
      <c r="E86" s="42">
        <f t="shared" si="1"/>
        <v>2007.5</v>
      </c>
      <c r="K86" s="28"/>
      <c r="L86" s="29"/>
      <c r="P86" s="57" t="str">
        <f>Scale!A27</f>
        <v>0303</v>
      </c>
      <c r="Q86" s="57">
        <f>Scale!B27</f>
        <v>0</v>
      </c>
      <c r="R86" s="57">
        <f>Scale!C27</f>
        <v>0</v>
      </c>
      <c r="S86" s="57">
        <f>Scale!D27</f>
        <v>0</v>
      </c>
      <c r="T86" s="57">
        <f>Scale!E27</f>
        <v>0</v>
      </c>
      <c r="U86" s="57">
        <f>Scale!F27</f>
        <v>0</v>
      </c>
      <c r="V86" s="57">
        <f>Scale!G27</f>
        <v>8.76</v>
      </c>
      <c r="W86" s="57">
        <f>Scale!H27</f>
        <v>8.76</v>
      </c>
      <c r="X86" s="57">
        <f>Scale!I27</f>
        <v>8.76</v>
      </c>
      <c r="Y86" s="57">
        <f>Scale!J27</f>
        <v>8.76</v>
      </c>
      <c r="Z86" s="57">
        <f>Scale!K27</f>
        <v>8.76</v>
      </c>
      <c r="AA86" s="57">
        <f>Scale!L27</f>
        <v>8.76</v>
      </c>
      <c r="AB86" s="57">
        <f>Scale!M27</f>
        <v>8.76</v>
      </c>
      <c r="AC86" s="57">
        <f>Scale!N27</f>
        <v>8.76</v>
      </c>
      <c r="AD86" s="57">
        <f>Scale!O27</f>
        <v>8.76</v>
      </c>
      <c r="AE86" s="57">
        <f>Scale!P27</f>
        <v>8.76</v>
      </c>
      <c r="AF86" s="57">
        <f>Scale!Q27</f>
        <v>8.76</v>
      </c>
      <c r="AG86" s="57">
        <f>Scale!R27</f>
        <v>8.76</v>
      </c>
      <c r="AH86" s="57">
        <f>Scale!S27</f>
        <v>8.76</v>
      </c>
      <c r="AI86" s="57">
        <f>Scale!T27</f>
        <v>8.76</v>
      </c>
      <c r="AJ86" s="57">
        <f>Scale!U27</f>
        <v>8.76</v>
      </c>
      <c r="AK86" s="57">
        <f>Scale!V27</f>
        <v>8.76</v>
      </c>
      <c r="AL86" s="57">
        <f>Scale!W27</f>
        <v>8.76</v>
      </c>
      <c r="AM86" s="57">
        <f>Scale!X27</f>
        <v>8.76</v>
      </c>
      <c r="AN86" s="57">
        <f>Scale!Y27</f>
        <v>8.76</v>
      </c>
      <c r="AO86" s="57">
        <f>Scale!Z27</f>
        <v>8.76</v>
      </c>
      <c r="AP86" s="57">
        <f>Scale!AA27</f>
        <v>8.76</v>
      </c>
      <c r="AQ86" s="57">
        <f>Scale!AB27</f>
        <v>8.76</v>
      </c>
      <c r="AR86" s="57">
        <f>Scale!AC27</f>
        <v>8.76</v>
      </c>
      <c r="AS86" s="57">
        <f>Scale!AD27</f>
        <v>8.76</v>
      </c>
      <c r="AT86" s="57">
        <f>Scale!AE27</f>
        <v>8.76</v>
      </c>
      <c r="AU86" s="57">
        <f>Scale!AF27</f>
        <v>8.76</v>
      </c>
      <c r="AV86" s="57">
        <f>Scale!AG27</f>
        <v>8.76</v>
      </c>
      <c r="AW86" s="57">
        <f>Scale!AH27</f>
        <v>8.76</v>
      </c>
      <c r="AX86" s="57">
        <f>Scale!AI27</f>
        <v>8.76</v>
      </c>
      <c r="AY86" s="57">
        <f>Scale!AJ27</f>
        <v>8.76</v>
      </c>
      <c r="AZ86" s="57">
        <f>Scale!AK27</f>
        <v>8.76</v>
      </c>
      <c r="BA86" s="57">
        <f>Scale!AL27</f>
        <v>8.76</v>
      </c>
      <c r="BB86" s="57">
        <f>Scale!AM27</f>
        <v>8.76</v>
      </c>
      <c r="BC86" s="57">
        <f>Scale!AN27</f>
        <v>8.76</v>
      </c>
      <c r="BD86" s="57">
        <f>Scale!AO27</f>
        <v>8.76</v>
      </c>
      <c r="BE86" s="57">
        <f>Scale!AP27</f>
        <v>8.76</v>
      </c>
      <c r="BF86" s="57">
        <f>Scale!AQ27</f>
        <v>8.76</v>
      </c>
      <c r="BG86" s="57">
        <f>Scale!AR27</f>
        <v>8.76</v>
      </c>
      <c r="BH86" s="57">
        <f>Scale!AS27</f>
        <v>8.76</v>
      </c>
      <c r="BI86" s="57">
        <f>Scale!AT27</f>
        <v>8.76</v>
      </c>
      <c r="BJ86" s="57">
        <f>Scale!AU27</f>
        <v>8.76</v>
      </c>
      <c r="BK86" s="57">
        <f>Scale!AV27</f>
        <v>8.76</v>
      </c>
      <c r="BL86" s="57">
        <f>Scale!AW27</f>
        <v>8.76</v>
      </c>
      <c r="BM86" s="57">
        <f>Scale!AX27</f>
        <v>8.76</v>
      </c>
      <c r="BN86" s="57">
        <f>Scale!AY27</f>
        <v>8.76</v>
      </c>
      <c r="BO86" s="57">
        <f>Scale!AZ27</f>
        <v>8.76</v>
      </c>
      <c r="BP86" s="57">
        <f>Scale!BA27</f>
        <v>8.76</v>
      </c>
      <c r="BQ86" s="57">
        <f>Scale!BB27</f>
        <v>8.76</v>
      </c>
      <c r="BR86" s="57">
        <f>Scale!BC27</f>
        <v>8.76</v>
      </c>
      <c r="BS86" s="57">
        <f>Scale!BD27</f>
        <v>8.76</v>
      </c>
      <c r="BT86" s="57">
        <f>Scale!BE27</f>
        <v>8.76</v>
      </c>
      <c r="BU86" s="54"/>
      <c r="BV86" s="54"/>
      <c r="BW86" s="54"/>
      <c r="BX86" s="54"/>
      <c r="BY86" s="54"/>
      <c r="BZ86" s="54"/>
    </row>
    <row r="87" spans="1:78" x14ac:dyDescent="0.35">
      <c r="A87" s="40">
        <v>16</v>
      </c>
      <c r="B87" s="41">
        <f t="shared" si="0"/>
        <v>4.4733908277139377E-2</v>
      </c>
      <c r="C87" s="28">
        <f t="shared" si="2"/>
        <v>0.55406330963288508</v>
      </c>
      <c r="D87" s="28"/>
      <c r="E87" s="42">
        <f t="shared" si="1"/>
        <v>2008</v>
      </c>
      <c r="K87" s="28"/>
      <c r="L87" s="29"/>
      <c r="P87" s="57" t="str">
        <f>Scale!A28</f>
        <v>0304</v>
      </c>
      <c r="Q87" s="57">
        <f>Scale!B28</f>
        <v>0</v>
      </c>
      <c r="R87" s="57">
        <f>Scale!C28</f>
        <v>0</v>
      </c>
      <c r="S87" s="57">
        <f>Scale!D28</f>
        <v>0</v>
      </c>
      <c r="T87" s="57">
        <f>Scale!E28</f>
        <v>0</v>
      </c>
      <c r="U87" s="57">
        <f>Scale!F28</f>
        <v>0</v>
      </c>
      <c r="V87" s="57">
        <f>Scale!G28</f>
        <v>9.31</v>
      </c>
      <c r="W87" s="57">
        <f>Scale!H28</f>
        <v>9.31</v>
      </c>
      <c r="X87" s="57">
        <f>Scale!I28</f>
        <v>9.31</v>
      </c>
      <c r="Y87" s="57">
        <f>Scale!J28</f>
        <v>9.31</v>
      </c>
      <c r="Z87" s="57">
        <f>Scale!K28</f>
        <v>9.31</v>
      </c>
      <c r="AA87" s="57">
        <f>Scale!L28</f>
        <v>9.31</v>
      </c>
      <c r="AB87" s="57">
        <f>Scale!M28</f>
        <v>9.31</v>
      </c>
      <c r="AC87" s="57">
        <f>Scale!N28</f>
        <v>9.31</v>
      </c>
      <c r="AD87" s="57">
        <f>Scale!O28</f>
        <v>9.31</v>
      </c>
      <c r="AE87" s="57">
        <f>Scale!P28</f>
        <v>9.31</v>
      </c>
      <c r="AF87" s="57">
        <f>Scale!Q28</f>
        <v>9.31</v>
      </c>
      <c r="AG87" s="57">
        <f>Scale!R28</f>
        <v>9.31</v>
      </c>
      <c r="AH87" s="57">
        <f>Scale!S28</f>
        <v>9.31</v>
      </c>
      <c r="AI87" s="57">
        <f>Scale!T28</f>
        <v>9.31</v>
      </c>
      <c r="AJ87" s="57">
        <f>Scale!U28</f>
        <v>9.31</v>
      </c>
      <c r="AK87" s="57">
        <f>Scale!V28</f>
        <v>9.31</v>
      </c>
      <c r="AL87" s="57">
        <f>Scale!W28</f>
        <v>9.31</v>
      </c>
      <c r="AM87" s="57">
        <f>Scale!X28</f>
        <v>9.31</v>
      </c>
      <c r="AN87" s="57">
        <f>Scale!Y28</f>
        <v>9.31</v>
      </c>
      <c r="AO87" s="57">
        <f>Scale!Z28</f>
        <v>9.31</v>
      </c>
      <c r="AP87" s="57">
        <f>Scale!AA28</f>
        <v>9.31</v>
      </c>
      <c r="AQ87" s="57">
        <f>Scale!AB28</f>
        <v>9.31</v>
      </c>
      <c r="AR87" s="57">
        <f>Scale!AC28</f>
        <v>9.31</v>
      </c>
      <c r="AS87" s="57">
        <f>Scale!AD28</f>
        <v>9.31</v>
      </c>
      <c r="AT87" s="57">
        <f>Scale!AE28</f>
        <v>9.31</v>
      </c>
      <c r="AU87" s="57">
        <f>Scale!AF28</f>
        <v>9.31</v>
      </c>
      <c r="AV87" s="57">
        <f>Scale!AG28</f>
        <v>9.31</v>
      </c>
      <c r="AW87" s="57">
        <f>Scale!AH28</f>
        <v>9.31</v>
      </c>
      <c r="AX87" s="57">
        <f>Scale!AI28</f>
        <v>9.31</v>
      </c>
      <c r="AY87" s="57">
        <f>Scale!AJ28</f>
        <v>9.31</v>
      </c>
      <c r="AZ87" s="57">
        <f>Scale!AK28</f>
        <v>9.31</v>
      </c>
      <c r="BA87" s="57">
        <f>Scale!AL28</f>
        <v>9.31</v>
      </c>
      <c r="BB87" s="57">
        <f>Scale!AM28</f>
        <v>9.31</v>
      </c>
      <c r="BC87" s="57">
        <f>Scale!AN28</f>
        <v>9.31</v>
      </c>
      <c r="BD87" s="57">
        <f>Scale!AO28</f>
        <v>9.31</v>
      </c>
      <c r="BE87" s="57">
        <f>Scale!AP28</f>
        <v>9.31</v>
      </c>
      <c r="BF87" s="57">
        <f>Scale!AQ28</f>
        <v>9.31</v>
      </c>
      <c r="BG87" s="57">
        <f>Scale!AR28</f>
        <v>9.31</v>
      </c>
      <c r="BH87" s="57">
        <f>Scale!AS28</f>
        <v>9.31</v>
      </c>
      <c r="BI87" s="57">
        <f>Scale!AT28</f>
        <v>9.31</v>
      </c>
      <c r="BJ87" s="57">
        <f>Scale!AU28</f>
        <v>9.31</v>
      </c>
      <c r="BK87" s="57">
        <f>Scale!AV28</f>
        <v>9.31</v>
      </c>
      <c r="BL87" s="57">
        <f>Scale!AW28</f>
        <v>9.31</v>
      </c>
      <c r="BM87" s="57">
        <f>Scale!AX28</f>
        <v>9.31</v>
      </c>
      <c r="BN87" s="57">
        <f>Scale!AY28</f>
        <v>9.31</v>
      </c>
      <c r="BO87" s="57">
        <f>Scale!AZ28</f>
        <v>9.31</v>
      </c>
      <c r="BP87" s="57">
        <f>Scale!BA28</f>
        <v>9.31</v>
      </c>
      <c r="BQ87" s="57">
        <f>Scale!BB28</f>
        <v>9.31</v>
      </c>
      <c r="BR87" s="57">
        <f>Scale!BC28</f>
        <v>9.31</v>
      </c>
      <c r="BS87" s="57">
        <f>Scale!BD28</f>
        <v>9.31</v>
      </c>
      <c r="BT87" s="57">
        <f>Scale!BE28</f>
        <v>9.31</v>
      </c>
      <c r="BU87" s="54"/>
      <c r="BV87" s="54"/>
      <c r="BW87" s="54"/>
      <c r="BX87" s="54"/>
      <c r="BY87" s="54"/>
      <c r="BZ87" s="54"/>
    </row>
    <row r="88" spans="1:78" x14ac:dyDescent="0.35">
      <c r="A88" s="40">
        <v>16.5</v>
      </c>
      <c r="B88" s="41">
        <f t="shared" si="0"/>
        <v>4.3894629939264324E-2</v>
      </c>
      <c r="C88" s="28">
        <f t="shared" si="2"/>
        <v>0.57601062460251728</v>
      </c>
      <c r="D88" s="28"/>
      <c r="E88" s="42">
        <f t="shared" si="1"/>
        <v>2008.5</v>
      </c>
      <c r="K88" s="28"/>
      <c r="L88" s="29"/>
      <c r="P88" s="57" t="str">
        <f>Scale!A29</f>
        <v>0305</v>
      </c>
      <c r="Q88" s="57">
        <f>Scale!B29</f>
        <v>0</v>
      </c>
      <c r="R88" s="57">
        <f>Scale!C29</f>
        <v>0</v>
      </c>
      <c r="S88" s="57">
        <f>Scale!D29</f>
        <v>0</v>
      </c>
      <c r="T88" s="57">
        <f>Scale!E29</f>
        <v>0</v>
      </c>
      <c r="U88" s="57">
        <f>Scale!F29</f>
        <v>0</v>
      </c>
      <c r="V88" s="57">
        <f>Scale!G29</f>
        <v>7.7</v>
      </c>
      <c r="W88" s="57">
        <f>Scale!H29</f>
        <v>7.7</v>
      </c>
      <c r="X88" s="57">
        <f>Scale!I29</f>
        <v>7.7</v>
      </c>
      <c r="Y88" s="57">
        <f>Scale!J29</f>
        <v>7.7</v>
      </c>
      <c r="Z88" s="57">
        <f>Scale!K29</f>
        <v>7.7</v>
      </c>
      <c r="AA88" s="57">
        <f>Scale!L29</f>
        <v>7.7</v>
      </c>
      <c r="AB88" s="57">
        <f>Scale!M29</f>
        <v>7.7</v>
      </c>
      <c r="AC88" s="57">
        <f>Scale!N29</f>
        <v>7.7</v>
      </c>
      <c r="AD88" s="57">
        <f>Scale!O29</f>
        <v>7.7</v>
      </c>
      <c r="AE88" s="57">
        <f>Scale!P29</f>
        <v>7.7</v>
      </c>
      <c r="AF88" s="57">
        <f>Scale!Q29</f>
        <v>7.7</v>
      </c>
      <c r="AG88" s="57">
        <f>Scale!R29</f>
        <v>7.7</v>
      </c>
      <c r="AH88" s="57">
        <f>Scale!S29</f>
        <v>7.7</v>
      </c>
      <c r="AI88" s="57">
        <f>Scale!T29</f>
        <v>7.7</v>
      </c>
      <c r="AJ88" s="57">
        <f>Scale!U29</f>
        <v>7.7</v>
      </c>
      <c r="AK88" s="57">
        <f>Scale!V29</f>
        <v>7.7</v>
      </c>
      <c r="AL88" s="57">
        <f>Scale!W29</f>
        <v>7.7</v>
      </c>
      <c r="AM88" s="57">
        <f>Scale!X29</f>
        <v>7.7</v>
      </c>
      <c r="AN88" s="57">
        <f>Scale!Y29</f>
        <v>7.7</v>
      </c>
      <c r="AO88" s="57">
        <f>Scale!Z29</f>
        <v>7.7</v>
      </c>
      <c r="AP88" s="57">
        <f>Scale!AA29</f>
        <v>7.7</v>
      </c>
      <c r="AQ88" s="57">
        <f>Scale!AB29</f>
        <v>7.7</v>
      </c>
      <c r="AR88" s="57">
        <f>Scale!AC29</f>
        <v>7.7</v>
      </c>
      <c r="AS88" s="57">
        <f>Scale!AD29</f>
        <v>7.7</v>
      </c>
      <c r="AT88" s="57">
        <f>Scale!AE29</f>
        <v>7.7</v>
      </c>
      <c r="AU88" s="57">
        <f>Scale!AF29</f>
        <v>7.7</v>
      </c>
      <c r="AV88" s="57">
        <f>Scale!AG29</f>
        <v>7.7</v>
      </c>
      <c r="AW88" s="57">
        <f>Scale!AH29</f>
        <v>7.7</v>
      </c>
      <c r="AX88" s="57">
        <f>Scale!AI29</f>
        <v>7.7</v>
      </c>
      <c r="AY88" s="57">
        <f>Scale!AJ29</f>
        <v>7.7</v>
      </c>
      <c r="AZ88" s="57">
        <f>Scale!AK29</f>
        <v>7.7</v>
      </c>
      <c r="BA88" s="57">
        <f>Scale!AL29</f>
        <v>7.7</v>
      </c>
      <c r="BB88" s="57">
        <f>Scale!AM29</f>
        <v>7.7</v>
      </c>
      <c r="BC88" s="57">
        <f>Scale!AN29</f>
        <v>7.7</v>
      </c>
      <c r="BD88" s="57">
        <f>Scale!AO29</f>
        <v>7.7</v>
      </c>
      <c r="BE88" s="57">
        <f>Scale!AP29</f>
        <v>7.7</v>
      </c>
      <c r="BF88" s="57">
        <f>Scale!AQ29</f>
        <v>7.7</v>
      </c>
      <c r="BG88" s="57">
        <f>Scale!AR29</f>
        <v>7.7</v>
      </c>
      <c r="BH88" s="57">
        <f>Scale!AS29</f>
        <v>7.7</v>
      </c>
      <c r="BI88" s="57">
        <f>Scale!AT29</f>
        <v>7.7</v>
      </c>
      <c r="BJ88" s="57">
        <f>Scale!AU29</f>
        <v>7.7</v>
      </c>
      <c r="BK88" s="57">
        <f>Scale!AV29</f>
        <v>7.7</v>
      </c>
      <c r="BL88" s="57">
        <f>Scale!AW29</f>
        <v>7.7</v>
      </c>
      <c r="BM88" s="57">
        <f>Scale!AX29</f>
        <v>7.7</v>
      </c>
      <c r="BN88" s="57">
        <f>Scale!AY29</f>
        <v>7.7</v>
      </c>
      <c r="BO88" s="57">
        <f>Scale!AZ29</f>
        <v>7.7</v>
      </c>
      <c r="BP88" s="57">
        <f>Scale!BA29</f>
        <v>7.7</v>
      </c>
      <c r="BQ88" s="57">
        <f>Scale!BB29</f>
        <v>7.7</v>
      </c>
      <c r="BR88" s="57">
        <f>Scale!BC29</f>
        <v>7.7</v>
      </c>
      <c r="BS88" s="57">
        <f>Scale!BD29</f>
        <v>7.7</v>
      </c>
      <c r="BT88" s="57">
        <f>Scale!BE29</f>
        <v>7.7</v>
      </c>
      <c r="BU88" s="54"/>
      <c r="BV88" s="54"/>
      <c r="BW88" s="54"/>
      <c r="BX88" s="54"/>
      <c r="BY88" s="54"/>
      <c r="BZ88" s="54"/>
    </row>
    <row r="89" spans="1:78" x14ac:dyDescent="0.35">
      <c r="A89" s="40">
        <v>17</v>
      </c>
      <c r="B89" s="41">
        <f t="shared" si="0"/>
        <v>4.2965776701549024E-2</v>
      </c>
      <c r="C89" s="28">
        <f t="shared" si="2"/>
        <v>0.59749351295329178</v>
      </c>
      <c r="D89" s="28"/>
      <c r="E89" s="42">
        <f t="shared" si="1"/>
        <v>2009</v>
      </c>
      <c r="K89" s="28"/>
      <c r="L89" s="29"/>
      <c r="P89" s="57" t="str">
        <f>Scale!A30</f>
        <v>0306</v>
      </c>
      <c r="Q89" s="57">
        <f>Scale!B30</f>
        <v>0</v>
      </c>
      <c r="R89" s="57">
        <f>Scale!C30</f>
        <v>0</v>
      </c>
      <c r="S89" s="57">
        <f>Scale!D30</f>
        <v>0</v>
      </c>
      <c r="T89" s="57">
        <f>Scale!E30</f>
        <v>0</v>
      </c>
      <c r="U89" s="57">
        <f>Scale!F30</f>
        <v>0</v>
      </c>
      <c r="V89" s="57">
        <f>Scale!G30</f>
        <v>5.62</v>
      </c>
      <c r="W89" s="57">
        <f>Scale!H30</f>
        <v>5.62</v>
      </c>
      <c r="X89" s="57">
        <f>Scale!I30</f>
        <v>5.62</v>
      </c>
      <c r="Y89" s="57">
        <f>Scale!J30</f>
        <v>5.62</v>
      </c>
      <c r="Z89" s="57">
        <f>Scale!K30</f>
        <v>5.62</v>
      </c>
      <c r="AA89" s="57">
        <f>Scale!L30</f>
        <v>5.62</v>
      </c>
      <c r="AB89" s="57">
        <f>Scale!M30</f>
        <v>5.62</v>
      </c>
      <c r="AC89" s="57">
        <f>Scale!N30</f>
        <v>5.62</v>
      </c>
      <c r="AD89" s="57">
        <f>Scale!O30</f>
        <v>5.62</v>
      </c>
      <c r="AE89" s="57">
        <f>Scale!P30</f>
        <v>5.62</v>
      </c>
      <c r="AF89" s="57">
        <f>Scale!Q30</f>
        <v>5.62</v>
      </c>
      <c r="AG89" s="57">
        <f>Scale!R30</f>
        <v>5.62</v>
      </c>
      <c r="AH89" s="57">
        <f>Scale!S30</f>
        <v>5.62</v>
      </c>
      <c r="AI89" s="57">
        <f>Scale!T30</f>
        <v>5.62</v>
      </c>
      <c r="AJ89" s="57">
        <f>Scale!U30</f>
        <v>5.62</v>
      </c>
      <c r="AK89" s="57">
        <f>Scale!V30</f>
        <v>5.62</v>
      </c>
      <c r="AL89" s="57">
        <f>Scale!W30</f>
        <v>5.62</v>
      </c>
      <c r="AM89" s="57">
        <f>Scale!X30</f>
        <v>5.62</v>
      </c>
      <c r="AN89" s="57">
        <f>Scale!Y30</f>
        <v>5.62</v>
      </c>
      <c r="AO89" s="57">
        <f>Scale!Z30</f>
        <v>5.62</v>
      </c>
      <c r="AP89" s="57">
        <f>Scale!AA30</f>
        <v>5.62</v>
      </c>
      <c r="AQ89" s="57">
        <f>Scale!AB30</f>
        <v>5.62</v>
      </c>
      <c r="AR89" s="57">
        <f>Scale!AC30</f>
        <v>5.62</v>
      </c>
      <c r="AS89" s="57">
        <f>Scale!AD30</f>
        <v>5.62</v>
      </c>
      <c r="AT89" s="57">
        <f>Scale!AE30</f>
        <v>5.62</v>
      </c>
      <c r="AU89" s="57">
        <f>Scale!AF30</f>
        <v>5.62</v>
      </c>
      <c r="AV89" s="57">
        <f>Scale!AG30</f>
        <v>5.62</v>
      </c>
      <c r="AW89" s="57">
        <f>Scale!AH30</f>
        <v>5.62</v>
      </c>
      <c r="AX89" s="57">
        <f>Scale!AI30</f>
        <v>5.62</v>
      </c>
      <c r="AY89" s="57">
        <f>Scale!AJ30</f>
        <v>5.62</v>
      </c>
      <c r="AZ89" s="57">
        <f>Scale!AK30</f>
        <v>5.62</v>
      </c>
      <c r="BA89" s="57">
        <f>Scale!AL30</f>
        <v>5.62</v>
      </c>
      <c r="BB89" s="57">
        <f>Scale!AM30</f>
        <v>5.62</v>
      </c>
      <c r="BC89" s="57">
        <f>Scale!AN30</f>
        <v>5.62</v>
      </c>
      <c r="BD89" s="57">
        <f>Scale!AO30</f>
        <v>5.62</v>
      </c>
      <c r="BE89" s="57">
        <f>Scale!AP30</f>
        <v>5.62</v>
      </c>
      <c r="BF89" s="57">
        <f>Scale!AQ30</f>
        <v>5.62</v>
      </c>
      <c r="BG89" s="57">
        <f>Scale!AR30</f>
        <v>5.62</v>
      </c>
      <c r="BH89" s="57">
        <f>Scale!AS30</f>
        <v>5.62</v>
      </c>
      <c r="BI89" s="57">
        <f>Scale!AT30</f>
        <v>5.62</v>
      </c>
      <c r="BJ89" s="57">
        <f>Scale!AU30</f>
        <v>5.62</v>
      </c>
      <c r="BK89" s="57">
        <f>Scale!AV30</f>
        <v>5.62</v>
      </c>
      <c r="BL89" s="57">
        <f>Scale!AW30</f>
        <v>5.62</v>
      </c>
      <c r="BM89" s="57">
        <f>Scale!AX30</f>
        <v>5.62</v>
      </c>
      <c r="BN89" s="57">
        <f>Scale!AY30</f>
        <v>5.62</v>
      </c>
      <c r="BO89" s="57">
        <f>Scale!AZ30</f>
        <v>5.62</v>
      </c>
      <c r="BP89" s="57">
        <f>Scale!BA30</f>
        <v>5.62</v>
      </c>
      <c r="BQ89" s="57">
        <f>Scale!BB30</f>
        <v>5.62</v>
      </c>
      <c r="BR89" s="57">
        <f>Scale!BC30</f>
        <v>5.62</v>
      </c>
      <c r="BS89" s="57">
        <f>Scale!BD30</f>
        <v>5.62</v>
      </c>
      <c r="BT89" s="57">
        <f>Scale!BE30</f>
        <v>5.62</v>
      </c>
      <c r="BU89" s="54"/>
      <c r="BV89" s="54"/>
      <c r="BW89" s="54"/>
      <c r="BX89" s="54"/>
      <c r="BY89" s="54"/>
      <c r="BZ89" s="54"/>
    </row>
    <row r="90" spans="1:78" x14ac:dyDescent="0.35">
      <c r="A90" s="40">
        <v>17.5</v>
      </c>
      <c r="B90" s="41">
        <f t="shared" si="0"/>
        <v>4.1955973516999791E-2</v>
      </c>
      <c r="C90" s="28">
        <f t="shared" si="2"/>
        <v>0.61847149971179172</v>
      </c>
      <c r="D90" s="28"/>
      <c r="E90" s="42">
        <f t="shared" si="1"/>
        <v>2009.5</v>
      </c>
      <c r="K90" s="28"/>
      <c r="L90" s="29"/>
      <c r="P90" s="57" t="str">
        <f>Scale!A31</f>
        <v>0307</v>
      </c>
      <c r="Q90" s="57">
        <f>Scale!B31</f>
        <v>0</v>
      </c>
      <c r="R90" s="57">
        <f>Scale!C31</f>
        <v>0</v>
      </c>
      <c r="S90" s="57">
        <f>Scale!D31</f>
        <v>0</v>
      </c>
      <c r="T90" s="57">
        <f>Scale!E31</f>
        <v>0</v>
      </c>
      <c r="U90" s="57">
        <f>Scale!F31</f>
        <v>0</v>
      </c>
      <c r="V90" s="57">
        <f>Scale!G31</f>
        <v>7.78</v>
      </c>
      <c r="W90" s="57">
        <f>Scale!H31</f>
        <v>7.78</v>
      </c>
      <c r="X90" s="57">
        <f>Scale!I31</f>
        <v>7.78</v>
      </c>
      <c r="Y90" s="57">
        <f>Scale!J31</f>
        <v>7.78</v>
      </c>
      <c r="Z90" s="57">
        <f>Scale!K31</f>
        <v>7.78</v>
      </c>
      <c r="AA90" s="57">
        <f>Scale!L31</f>
        <v>7.78</v>
      </c>
      <c r="AB90" s="57">
        <f>Scale!M31</f>
        <v>7.78</v>
      </c>
      <c r="AC90" s="57">
        <f>Scale!N31</f>
        <v>7.78</v>
      </c>
      <c r="AD90" s="57">
        <f>Scale!O31</f>
        <v>7.78</v>
      </c>
      <c r="AE90" s="57">
        <f>Scale!P31</f>
        <v>7.78</v>
      </c>
      <c r="AF90" s="57">
        <f>Scale!Q31</f>
        <v>7.78</v>
      </c>
      <c r="AG90" s="57">
        <f>Scale!R31</f>
        <v>7.78</v>
      </c>
      <c r="AH90" s="57">
        <f>Scale!S31</f>
        <v>7.78</v>
      </c>
      <c r="AI90" s="57">
        <f>Scale!T31</f>
        <v>7.78</v>
      </c>
      <c r="AJ90" s="57">
        <f>Scale!U31</f>
        <v>7.78</v>
      </c>
      <c r="AK90" s="57">
        <f>Scale!V31</f>
        <v>7.78</v>
      </c>
      <c r="AL90" s="57">
        <f>Scale!W31</f>
        <v>7.78</v>
      </c>
      <c r="AM90" s="57">
        <f>Scale!X31</f>
        <v>7.78</v>
      </c>
      <c r="AN90" s="57">
        <f>Scale!Y31</f>
        <v>7.78</v>
      </c>
      <c r="AO90" s="57">
        <f>Scale!Z31</f>
        <v>7.78</v>
      </c>
      <c r="AP90" s="57">
        <f>Scale!AA31</f>
        <v>7.78</v>
      </c>
      <c r="AQ90" s="57">
        <f>Scale!AB31</f>
        <v>7.78</v>
      </c>
      <c r="AR90" s="57">
        <f>Scale!AC31</f>
        <v>7.78</v>
      </c>
      <c r="AS90" s="57">
        <f>Scale!AD31</f>
        <v>7.78</v>
      </c>
      <c r="AT90" s="57">
        <f>Scale!AE31</f>
        <v>7.78</v>
      </c>
      <c r="AU90" s="57">
        <f>Scale!AF31</f>
        <v>7.78</v>
      </c>
      <c r="AV90" s="57">
        <f>Scale!AG31</f>
        <v>7.78</v>
      </c>
      <c r="AW90" s="57">
        <f>Scale!AH31</f>
        <v>7.78</v>
      </c>
      <c r="AX90" s="57">
        <f>Scale!AI31</f>
        <v>7.78</v>
      </c>
      <c r="AY90" s="57">
        <f>Scale!AJ31</f>
        <v>7.78</v>
      </c>
      <c r="AZ90" s="57">
        <f>Scale!AK31</f>
        <v>7.78</v>
      </c>
      <c r="BA90" s="57">
        <f>Scale!AL31</f>
        <v>7.78</v>
      </c>
      <c r="BB90" s="57">
        <f>Scale!AM31</f>
        <v>7.78</v>
      </c>
      <c r="BC90" s="57">
        <f>Scale!AN31</f>
        <v>7.78</v>
      </c>
      <c r="BD90" s="57">
        <f>Scale!AO31</f>
        <v>7.78</v>
      </c>
      <c r="BE90" s="57">
        <f>Scale!AP31</f>
        <v>7.78</v>
      </c>
      <c r="BF90" s="57">
        <f>Scale!AQ31</f>
        <v>7.78</v>
      </c>
      <c r="BG90" s="57">
        <f>Scale!AR31</f>
        <v>7.78</v>
      </c>
      <c r="BH90" s="57">
        <f>Scale!AS31</f>
        <v>7.78</v>
      </c>
      <c r="BI90" s="57">
        <f>Scale!AT31</f>
        <v>7.78</v>
      </c>
      <c r="BJ90" s="57">
        <f>Scale!AU31</f>
        <v>7.78</v>
      </c>
      <c r="BK90" s="57">
        <f>Scale!AV31</f>
        <v>7.78</v>
      </c>
      <c r="BL90" s="57">
        <f>Scale!AW31</f>
        <v>7.78</v>
      </c>
      <c r="BM90" s="57">
        <f>Scale!AX31</f>
        <v>7.78</v>
      </c>
      <c r="BN90" s="57">
        <f>Scale!AY31</f>
        <v>7.78</v>
      </c>
      <c r="BO90" s="57">
        <f>Scale!AZ31</f>
        <v>7.78</v>
      </c>
      <c r="BP90" s="57">
        <f>Scale!BA31</f>
        <v>7.78</v>
      </c>
      <c r="BQ90" s="57">
        <f>Scale!BB31</f>
        <v>7.78</v>
      </c>
      <c r="BR90" s="57">
        <f>Scale!BC31</f>
        <v>7.78</v>
      </c>
      <c r="BS90" s="57">
        <f>Scale!BD31</f>
        <v>7.78</v>
      </c>
      <c r="BT90" s="57">
        <f>Scale!BE31</f>
        <v>7.78</v>
      </c>
      <c r="BU90" s="54"/>
      <c r="BV90" s="54"/>
      <c r="BW90" s="54"/>
      <c r="BX90" s="54"/>
      <c r="BY90" s="54"/>
      <c r="BZ90" s="54"/>
    </row>
    <row r="91" spans="1:78" x14ac:dyDescent="0.35">
      <c r="A91" s="40">
        <v>18</v>
      </c>
      <c r="B91" s="41">
        <f t="shared" si="0"/>
        <v>4.0873890550973541E-2</v>
      </c>
      <c r="C91" s="28">
        <f t="shared" si="2"/>
        <v>0.6389084449872785</v>
      </c>
      <c r="D91" s="28"/>
      <c r="E91" s="42">
        <f t="shared" si="1"/>
        <v>2010</v>
      </c>
      <c r="K91" s="28"/>
      <c r="L91" s="29"/>
      <c r="P91" s="57" t="str">
        <f>Scale!A32</f>
        <v>0308</v>
      </c>
      <c r="Q91" s="57">
        <f>Scale!B32</f>
        <v>0</v>
      </c>
      <c r="R91" s="57">
        <f>Scale!C32</f>
        <v>0</v>
      </c>
      <c r="S91" s="57">
        <f>Scale!D32</f>
        <v>0</v>
      </c>
      <c r="T91" s="57">
        <f>Scale!E32</f>
        <v>0</v>
      </c>
      <c r="U91" s="57">
        <f>Scale!F32</f>
        <v>0</v>
      </c>
      <c r="V91" s="57">
        <f>Scale!G32</f>
        <v>15.94</v>
      </c>
      <c r="W91" s="57">
        <f>Scale!H32</f>
        <v>15.94</v>
      </c>
      <c r="X91" s="57">
        <f>Scale!I32</f>
        <v>15.94</v>
      </c>
      <c r="Y91" s="57">
        <f>Scale!J32</f>
        <v>15.94</v>
      </c>
      <c r="Z91" s="57">
        <f>Scale!K32</f>
        <v>15.94</v>
      </c>
      <c r="AA91" s="57">
        <f>Scale!L32</f>
        <v>15.94</v>
      </c>
      <c r="AB91" s="57">
        <f>Scale!M32</f>
        <v>15.94</v>
      </c>
      <c r="AC91" s="57">
        <f>Scale!N32</f>
        <v>15.94</v>
      </c>
      <c r="AD91" s="57">
        <f>Scale!O32</f>
        <v>15.94</v>
      </c>
      <c r="AE91" s="57">
        <f>Scale!P32</f>
        <v>15.94</v>
      </c>
      <c r="AF91" s="57">
        <f>Scale!Q32</f>
        <v>15.94</v>
      </c>
      <c r="AG91" s="57">
        <f>Scale!R32</f>
        <v>15.94</v>
      </c>
      <c r="AH91" s="57">
        <f>Scale!S32</f>
        <v>15.94</v>
      </c>
      <c r="AI91" s="57">
        <f>Scale!T32</f>
        <v>15.94</v>
      </c>
      <c r="AJ91" s="57">
        <f>Scale!U32</f>
        <v>15.94</v>
      </c>
      <c r="AK91" s="57">
        <f>Scale!V32</f>
        <v>15.94</v>
      </c>
      <c r="AL91" s="57">
        <f>Scale!W32</f>
        <v>15.94</v>
      </c>
      <c r="AM91" s="57">
        <f>Scale!X32</f>
        <v>15.94</v>
      </c>
      <c r="AN91" s="57">
        <f>Scale!Y32</f>
        <v>15.94</v>
      </c>
      <c r="AO91" s="57">
        <f>Scale!Z32</f>
        <v>15.94</v>
      </c>
      <c r="AP91" s="57">
        <f>Scale!AA32</f>
        <v>15.94</v>
      </c>
      <c r="AQ91" s="57">
        <f>Scale!AB32</f>
        <v>15.94</v>
      </c>
      <c r="AR91" s="57">
        <f>Scale!AC32</f>
        <v>15.94</v>
      </c>
      <c r="AS91" s="57">
        <f>Scale!AD32</f>
        <v>15.94</v>
      </c>
      <c r="AT91" s="57">
        <f>Scale!AE32</f>
        <v>15.94</v>
      </c>
      <c r="AU91" s="57">
        <f>Scale!AF32</f>
        <v>15.94</v>
      </c>
      <c r="AV91" s="57">
        <f>Scale!AG32</f>
        <v>15.94</v>
      </c>
      <c r="AW91" s="57">
        <f>Scale!AH32</f>
        <v>15.94</v>
      </c>
      <c r="AX91" s="57">
        <f>Scale!AI32</f>
        <v>15.94</v>
      </c>
      <c r="AY91" s="57">
        <f>Scale!AJ32</f>
        <v>15.94</v>
      </c>
      <c r="AZ91" s="57">
        <f>Scale!AK32</f>
        <v>15.94</v>
      </c>
      <c r="BA91" s="57">
        <f>Scale!AL32</f>
        <v>15.94</v>
      </c>
      <c r="BB91" s="57">
        <f>Scale!AM32</f>
        <v>15.94</v>
      </c>
      <c r="BC91" s="57">
        <f>Scale!AN32</f>
        <v>15.94</v>
      </c>
      <c r="BD91" s="57">
        <f>Scale!AO32</f>
        <v>15.94</v>
      </c>
      <c r="BE91" s="57">
        <f>Scale!AP32</f>
        <v>15.94</v>
      </c>
      <c r="BF91" s="57">
        <f>Scale!AQ32</f>
        <v>15.94</v>
      </c>
      <c r="BG91" s="57">
        <f>Scale!AR32</f>
        <v>15.94</v>
      </c>
      <c r="BH91" s="57">
        <f>Scale!AS32</f>
        <v>15.94</v>
      </c>
      <c r="BI91" s="57">
        <f>Scale!AT32</f>
        <v>15.94</v>
      </c>
      <c r="BJ91" s="57">
        <f>Scale!AU32</f>
        <v>15.94</v>
      </c>
      <c r="BK91" s="57">
        <f>Scale!AV32</f>
        <v>15.94</v>
      </c>
      <c r="BL91" s="57">
        <f>Scale!AW32</f>
        <v>15.94</v>
      </c>
      <c r="BM91" s="57">
        <f>Scale!AX32</f>
        <v>15.94</v>
      </c>
      <c r="BN91" s="57">
        <f>Scale!AY32</f>
        <v>15.94</v>
      </c>
      <c r="BO91" s="57">
        <f>Scale!AZ32</f>
        <v>15.94</v>
      </c>
      <c r="BP91" s="57">
        <f>Scale!BA32</f>
        <v>15.94</v>
      </c>
      <c r="BQ91" s="57">
        <f>Scale!BB32</f>
        <v>15.94</v>
      </c>
      <c r="BR91" s="57">
        <f>Scale!BC32</f>
        <v>15.94</v>
      </c>
      <c r="BS91" s="57">
        <f>Scale!BD32</f>
        <v>15.94</v>
      </c>
      <c r="BT91" s="57">
        <f>Scale!BE32</f>
        <v>15.94</v>
      </c>
      <c r="BU91" s="54"/>
      <c r="BV91" s="54"/>
      <c r="BW91" s="54"/>
      <c r="BX91" s="54"/>
      <c r="BY91" s="54"/>
      <c r="BZ91" s="54"/>
    </row>
    <row r="92" spans="1:78" x14ac:dyDescent="0.35">
      <c r="A92" s="40">
        <v>18.5</v>
      </c>
      <c r="B92" s="41">
        <f t="shared" si="0"/>
        <v>3.9728176350195571E-2</v>
      </c>
      <c r="C92" s="28">
        <f t="shared" si="2"/>
        <v>0.65877253316237627</v>
      </c>
      <c r="D92" s="28"/>
      <c r="E92" s="42">
        <f t="shared" si="1"/>
        <v>2010.5</v>
      </c>
      <c r="K92" s="28"/>
      <c r="L92" s="29"/>
      <c r="P92" s="57" t="str">
        <f>Scale!A33</f>
        <v>0309</v>
      </c>
      <c r="Q92" s="57">
        <f>Scale!B33</f>
        <v>0</v>
      </c>
      <c r="R92" s="57">
        <f>Scale!C33</f>
        <v>0</v>
      </c>
      <c r="S92" s="57">
        <f>Scale!D33</f>
        <v>0</v>
      </c>
      <c r="T92" s="57">
        <f>Scale!E33</f>
        <v>0</v>
      </c>
      <c r="U92" s="57">
        <f>Scale!F33</f>
        <v>0</v>
      </c>
      <c r="V92" s="57">
        <f>Scale!G33</f>
        <v>12.18</v>
      </c>
      <c r="W92" s="57">
        <f>Scale!H33</f>
        <v>12.18</v>
      </c>
      <c r="X92" s="57">
        <f>Scale!I33</f>
        <v>12.18</v>
      </c>
      <c r="Y92" s="57">
        <f>Scale!J33</f>
        <v>12.18</v>
      </c>
      <c r="Z92" s="57">
        <f>Scale!K33</f>
        <v>12.18</v>
      </c>
      <c r="AA92" s="57">
        <f>Scale!L33</f>
        <v>12.18</v>
      </c>
      <c r="AB92" s="57">
        <f>Scale!M33</f>
        <v>12.18</v>
      </c>
      <c r="AC92" s="57">
        <f>Scale!N33</f>
        <v>12.18</v>
      </c>
      <c r="AD92" s="57">
        <f>Scale!O33</f>
        <v>12.18</v>
      </c>
      <c r="AE92" s="57">
        <f>Scale!P33</f>
        <v>12.18</v>
      </c>
      <c r="AF92" s="57">
        <f>Scale!Q33</f>
        <v>12.18</v>
      </c>
      <c r="AG92" s="57">
        <f>Scale!R33</f>
        <v>12.18</v>
      </c>
      <c r="AH92" s="57">
        <f>Scale!S33</f>
        <v>12.18</v>
      </c>
      <c r="AI92" s="57">
        <f>Scale!T33</f>
        <v>12.18</v>
      </c>
      <c r="AJ92" s="57">
        <f>Scale!U33</f>
        <v>12.18</v>
      </c>
      <c r="AK92" s="57">
        <f>Scale!V33</f>
        <v>12.18</v>
      </c>
      <c r="AL92" s="57">
        <f>Scale!W33</f>
        <v>12.18</v>
      </c>
      <c r="AM92" s="57">
        <f>Scale!X33</f>
        <v>12.18</v>
      </c>
      <c r="AN92" s="57">
        <f>Scale!Y33</f>
        <v>12.18</v>
      </c>
      <c r="AO92" s="57">
        <f>Scale!Z33</f>
        <v>12.18</v>
      </c>
      <c r="AP92" s="57">
        <f>Scale!AA33</f>
        <v>12.18</v>
      </c>
      <c r="AQ92" s="57">
        <f>Scale!AB33</f>
        <v>12.18</v>
      </c>
      <c r="AR92" s="57">
        <f>Scale!AC33</f>
        <v>12.18</v>
      </c>
      <c r="AS92" s="57">
        <f>Scale!AD33</f>
        <v>12.18</v>
      </c>
      <c r="AT92" s="57">
        <f>Scale!AE33</f>
        <v>12.18</v>
      </c>
      <c r="AU92" s="57">
        <f>Scale!AF33</f>
        <v>12.18</v>
      </c>
      <c r="AV92" s="57">
        <f>Scale!AG33</f>
        <v>12.18</v>
      </c>
      <c r="AW92" s="57">
        <f>Scale!AH33</f>
        <v>12.18</v>
      </c>
      <c r="AX92" s="57">
        <f>Scale!AI33</f>
        <v>12.18</v>
      </c>
      <c r="AY92" s="57">
        <f>Scale!AJ33</f>
        <v>12.18</v>
      </c>
      <c r="AZ92" s="57">
        <f>Scale!AK33</f>
        <v>12.18</v>
      </c>
      <c r="BA92" s="57">
        <f>Scale!AL33</f>
        <v>12.18</v>
      </c>
      <c r="BB92" s="57">
        <f>Scale!AM33</f>
        <v>12.18</v>
      </c>
      <c r="BC92" s="57">
        <f>Scale!AN33</f>
        <v>12.18</v>
      </c>
      <c r="BD92" s="57">
        <f>Scale!AO33</f>
        <v>12.18</v>
      </c>
      <c r="BE92" s="57">
        <f>Scale!AP33</f>
        <v>12.18</v>
      </c>
      <c r="BF92" s="57">
        <f>Scale!AQ33</f>
        <v>12.18</v>
      </c>
      <c r="BG92" s="57">
        <f>Scale!AR33</f>
        <v>12.18</v>
      </c>
      <c r="BH92" s="57">
        <f>Scale!AS33</f>
        <v>12.18</v>
      </c>
      <c r="BI92" s="57">
        <f>Scale!AT33</f>
        <v>12.18</v>
      </c>
      <c r="BJ92" s="57">
        <f>Scale!AU33</f>
        <v>12.18</v>
      </c>
      <c r="BK92" s="57">
        <f>Scale!AV33</f>
        <v>12.18</v>
      </c>
      <c r="BL92" s="57">
        <f>Scale!AW33</f>
        <v>12.18</v>
      </c>
      <c r="BM92" s="57">
        <f>Scale!AX33</f>
        <v>12.18</v>
      </c>
      <c r="BN92" s="57">
        <f>Scale!AY33</f>
        <v>12.18</v>
      </c>
      <c r="BO92" s="57">
        <f>Scale!AZ33</f>
        <v>12.18</v>
      </c>
      <c r="BP92" s="57">
        <f>Scale!BA33</f>
        <v>12.18</v>
      </c>
      <c r="BQ92" s="57">
        <f>Scale!BB33</f>
        <v>12.18</v>
      </c>
      <c r="BR92" s="57">
        <f>Scale!BC33</f>
        <v>12.18</v>
      </c>
      <c r="BS92" s="57">
        <f>Scale!BD33</f>
        <v>12.18</v>
      </c>
      <c r="BT92" s="57">
        <f>Scale!BE33</f>
        <v>12.18</v>
      </c>
      <c r="BU92" s="54"/>
      <c r="BV92" s="54"/>
      <c r="BW92" s="54"/>
      <c r="BX92" s="54"/>
      <c r="BY92" s="54"/>
      <c r="BZ92" s="54"/>
    </row>
    <row r="93" spans="1:78" x14ac:dyDescent="0.35">
      <c r="A93" s="40">
        <v>19</v>
      </c>
      <c r="B93" s="41">
        <f t="shared" si="0"/>
        <v>3.8527394686252811E-2</v>
      </c>
      <c r="C93" s="28">
        <f t="shared" si="2"/>
        <v>0.67803623050550266</v>
      </c>
      <c r="D93" s="28"/>
      <c r="E93" s="42">
        <f t="shared" si="1"/>
        <v>2011</v>
      </c>
      <c r="K93" s="28"/>
      <c r="L93" s="29"/>
      <c r="P93" s="57" t="str">
        <f>Scale!A34</f>
        <v>0401</v>
      </c>
      <c r="Q93" s="57">
        <f>Scale!B34</f>
        <v>0</v>
      </c>
      <c r="R93" s="57">
        <f>Scale!C34</f>
        <v>0</v>
      </c>
      <c r="S93" s="57">
        <f>Scale!D34</f>
        <v>0</v>
      </c>
      <c r="T93" s="57">
        <f>Scale!E34</f>
        <v>0</v>
      </c>
      <c r="U93" s="57">
        <f>Scale!F34</f>
        <v>0</v>
      </c>
      <c r="V93" s="57">
        <f>Scale!G34</f>
        <v>9.8699999999999992</v>
      </c>
      <c r="W93" s="57">
        <f>Scale!H34</f>
        <v>9.8699999999999992</v>
      </c>
      <c r="X93" s="57">
        <f>Scale!I34</f>
        <v>9.8699999999999992</v>
      </c>
      <c r="Y93" s="57">
        <f>Scale!J34</f>
        <v>9.8699999999999992</v>
      </c>
      <c r="Z93" s="57">
        <f>Scale!K34</f>
        <v>9.8699999999999992</v>
      </c>
      <c r="AA93" s="57">
        <f>Scale!L34</f>
        <v>9.8699999999999992</v>
      </c>
      <c r="AB93" s="57">
        <f>Scale!M34</f>
        <v>9.8699999999999992</v>
      </c>
      <c r="AC93" s="57">
        <f>Scale!N34</f>
        <v>9.8699999999999992</v>
      </c>
      <c r="AD93" s="57">
        <f>Scale!O34</f>
        <v>9.8699999999999992</v>
      </c>
      <c r="AE93" s="57">
        <f>Scale!P34</f>
        <v>9.8699999999999992</v>
      </c>
      <c r="AF93" s="57">
        <f>Scale!Q34</f>
        <v>9.8699999999999992</v>
      </c>
      <c r="AG93" s="57">
        <f>Scale!R34</f>
        <v>9.8699999999999992</v>
      </c>
      <c r="AH93" s="57">
        <f>Scale!S34</f>
        <v>9.8699999999999992</v>
      </c>
      <c r="AI93" s="57">
        <f>Scale!T34</f>
        <v>9.8699999999999992</v>
      </c>
      <c r="AJ93" s="57">
        <f>Scale!U34</f>
        <v>9.8699999999999992</v>
      </c>
      <c r="AK93" s="57">
        <f>Scale!V34</f>
        <v>9.8699999999999992</v>
      </c>
      <c r="AL93" s="57">
        <f>Scale!W34</f>
        <v>9.8699999999999992</v>
      </c>
      <c r="AM93" s="57">
        <f>Scale!X34</f>
        <v>9.8699999999999992</v>
      </c>
      <c r="AN93" s="57">
        <f>Scale!Y34</f>
        <v>9.8699999999999992</v>
      </c>
      <c r="AO93" s="57">
        <f>Scale!Z34</f>
        <v>9.8699999999999992</v>
      </c>
      <c r="AP93" s="57">
        <f>Scale!AA34</f>
        <v>9.8699999999999992</v>
      </c>
      <c r="AQ93" s="57">
        <f>Scale!AB34</f>
        <v>9.8699999999999992</v>
      </c>
      <c r="AR93" s="57">
        <f>Scale!AC34</f>
        <v>9.8699999999999992</v>
      </c>
      <c r="AS93" s="57">
        <f>Scale!AD34</f>
        <v>9.8699999999999992</v>
      </c>
      <c r="AT93" s="57">
        <f>Scale!AE34</f>
        <v>9.8699999999999992</v>
      </c>
      <c r="AU93" s="57">
        <f>Scale!AF34</f>
        <v>9.8699999999999992</v>
      </c>
      <c r="AV93" s="57">
        <f>Scale!AG34</f>
        <v>9.8699999999999992</v>
      </c>
      <c r="AW93" s="57">
        <f>Scale!AH34</f>
        <v>9.8699999999999992</v>
      </c>
      <c r="AX93" s="57">
        <f>Scale!AI34</f>
        <v>9.8699999999999992</v>
      </c>
      <c r="AY93" s="57">
        <f>Scale!AJ34</f>
        <v>9.8699999999999992</v>
      </c>
      <c r="AZ93" s="57">
        <f>Scale!AK34</f>
        <v>9.8699999999999992</v>
      </c>
      <c r="BA93" s="57">
        <f>Scale!AL34</f>
        <v>9.8699999999999992</v>
      </c>
      <c r="BB93" s="57">
        <f>Scale!AM34</f>
        <v>9.8699999999999992</v>
      </c>
      <c r="BC93" s="57">
        <f>Scale!AN34</f>
        <v>9.8699999999999992</v>
      </c>
      <c r="BD93" s="57">
        <f>Scale!AO34</f>
        <v>9.8699999999999992</v>
      </c>
      <c r="BE93" s="57">
        <f>Scale!AP34</f>
        <v>9.8699999999999992</v>
      </c>
      <c r="BF93" s="57">
        <f>Scale!AQ34</f>
        <v>9.8699999999999992</v>
      </c>
      <c r="BG93" s="57">
        <f>Scale!AR34</f>
        <v>9.8699999999999992</v>
      </c>
      <c r="BH93" s="57">
        <f>Scale!AS34</f>
        <v>9.8699999999999992</v>
      </c>
      <c r="BI93" s="57">
        <f>Scale!AT34</f>
        <v>9.8699999999999992</v>
      </c>
      <c r="BJ93" s="57">
        <f>Scale!AU34</f>
        <v>9.8699999999999992</v>
      </c>
      <c r="BK93" s="57">
        <f>Scale!AV34</f>
        <v>9.8699999999999992</v>
      </c>
      <c r="BL93" s="57">
        <f>Scale!AW34</f>
        <v>9.8699999999999992</v>
      </c>
      <c r="BM93" s="57">
        <f>Scale!AX34</f>
        <v>9.8699999999999992</v>
      </c>
      <c r="BN93" s="57">
        <f>Scale!AY34</f>
        <v>9.8699999999999992</v>
      </c>
      <c r="BO93" s="57">
        <f>Scale!AZ34</f>
        <v>9.8699999999999992</v>
      </c>
      <c r="BP93" s="57">
        <f>Scale!BA34</f>
        <v>9.8699999999999992</v>
      </c>
      <c r="BQ93" s="57">
        <f>Scale!BB34</f>
        <v>9.8699999999999992</v>
      </c>
      <c r="BR93" s="57">
        <f>Scale!BC34</f>
        <v>9.8699999999999992</v>
      </c>
      <c r="BS93" s="57">
        <f>Scale!BD34</f>
        <v>9.8699999999999992</v>
      </c>
      <c r="BT93" s="57">
        <f>Scale!BE34</f>
        <v>9.8699999999999992</v>
      </c>
      <c r="BU93" s="54"/>
      <c r="BV93" s="54"/>
      <c r="BW93" s="54"/>
      <c r="BX93" s="54"/>
      <c r="BY93" s="54"/>
      <c r="BZ93" s="54"/>
    </row>
    <row r="94" spans="1:78" x14ac:dyDescent="0.35">
      <c r="A94" s="40">
        <v>19.5</v>
      </c>
      <c r="B94" s="41">
        <f t="shared" si="0"/>
        <v>3.7279965536533788E-2</v>
      </c>
      <c r="C94" s="28">
        <f t="shared" si="2"/>
        <v>0.69667621327376961</v>
      </c>
      <c r="D94" s="28"/>
      <c r="E94" s="42">
        <f t="shared" si="1"/>
        <v>2011.5</v>
      </c>
      <c r="K94" s="28"/>
      <c r="L94" s="29"/>
      <c r="P94" s="57" t="str">
        <f>Scale!A35</f>
        <v>0402</v>
      </c>
      <c r="Q94" s="57">
        <f>Scale!B35</f>
        <v>0</v>
      </c>
      <c r="R94" s="57">
        <f>Scale!C35</f>
        <v>0</v>
      </c>
      <c r="S94" s="57">
        <f>Scale!D35</f>
        <v>0</v>
      </c>
      <c r="T94" s="57">
        <f>Scale!E35</f>
        <v>0</v>
      </c>
      <c r="U94" s="57">
        <f>Scale!F35</f>
        <v>0</v>
      </c>
      <c r="V94" s="57">
        <f>Scale!G35</f>
        <v>10.01</v>
      </c>
      <c r="W94" s="57">
        <f>Scale!H35</f>
        <v>10.01</v>
      </c>
      <c r="X94" s="57">
        <f>Scale!I35</f>
        <v>10.01</v>
      </c>
      <c r="Y94" s="57">
        <f>Scale!J35</f>
        <v>10.01</v>
      </c>
      <c r="Z94" s="57">
        <f>Scale!K35</f>
        <v>10.01</v>
      </c>
      <c r="AA94" s="57">
        <f>Scale!L35</f>
        <v>10.01</v>
      </c>
      <c r="AB94" s="57">
        <f>Scale!M35</f>
        <v>10.01</v>
      </c>
      <c r="AC94" s="57">
        <f>Scale!N35</f>
        <v>10.01</v>
      </c>
      <c r="AD94" s="57">
        <f>Scale!O35</f>
        <v>10.01</v>
      </c>
      <c r="AE94" s="57">
        <f>Scale!P35</f>
        <v>10.01</v>
      </c>
      <c r="AF94" s="57">
        <f>Scale!Q35</f>
        <v>10.01</v>
      </c>
      <c r="AG94" s="57">
        <f>Scale!R35</f>
        <v>10.01</v>
      </c>
      <c r="AH94" s="57">
        <f>Scale!S35</f>
        <v>10.01</v>
      </c>
      <c r="AI94" s="57">
        <f>Scale!T35</f>
        <v>10.01</v>
      </c>
      <c r="AJ94" s="57">
        <f>Scale!U35</f>
        <v>10.01</v>
      </c>
      <c r="AK94" s="57">
        <f>Scale!V35</f>
        <v>10.01</v>
      </c>
      <c r="AL94" s="57">
        <f>Scale!W35</f>
        <v>10.01</v>
      </c>
      <c r="AM94" s="57">
        <f>Scale!X35</f>
        <v>10.01</v>
      </c>
      <c r="AN94" s="57">
        <f>Scale!Y35</f>
        <v>10.01</v>
      </c>
      <c r="AO94" s="57">
        <f>Scale!Z35</f>
        <v>10.01</v>
      </c>
      <c r="AP94" s="57">
        <f>Scale!AA35</f>
        <v>10.01</v>
      </c>
      <c r="AQ94" s="57">
        <f>Scale!AB35</f>
        <v>10.01</v>
      </c>
      <c r="AR94" s="57">
        <f>Scale!AC35</f>
        <v>10.01</v>
      </c>
      <c r="AS94" s="57">
        <f>Scale!AD35</f>
        <v>10.01</v>
      </c>
      <c r="AT94" s="57">
        <f>Scale!AE35</f>
        <v>10.01</v>
      </c>
      <c r="AU94" s="57">
        <f>Scale!AF35</f>
        <v>10.01</v>
      </c>
      <c r="AV94" s="57">
        <f>Scale!AG35</f>
        <v>10.01</v>
      </c>
      <c r="AW94" s="57">
        <f>Scale!AH35</f>
        <v>10.01</v>
      </c>
      <c r="AX94" s="57">
        <f>Scale!AI35</f>
        <v>10.01</v>
      </c>
      <c r="AY94" s="57">
        <f>Scale!AJ35</f>
        <v>10.01</v>
      </c>
      <c r="AZ94" s="57">
        <f>Scale!AK35</f>
        <v>10.01</v>
      </c>
      <c r="BA94" s="57">
        <f>Scale!AL35</f>
        <v>10.01</v>
      </c>
      <c r="BB94" s="57">
        <f>Scale!AM35</f>
        <v>10.01</v>
      </c>
      <c r="BC94" s="57">
        <f>Scale!AN35</f>
        <v>10.01</v>
      </c>
      <c r="BD94" s="57">
        <f>Scale!AO35</f>
        <v>10.01</v>
      </c>
      <c r="BE94" s="57">
        <f>Scale!AP35</f>
        <v>10.01</v>
      </c>
      <c r="BF94" s="57">
        <f>Scale!AQ35</f>
        <v>10.01</v>
      </c>
      <c r="BG94" s="57">
        <f>Scale!AR35</f>
        <v>10.01</v>
      </c>
      <c r="BH94" s="57">
        <f>Scale!AS35</f>
        <v>10.01</v>
      </c>
      <c r="BI94" s="57">
        <f>Scale!AT35</f>
        <v>10.01</v>
      </c>
      <c r="BJ94" s="57">
        <f>Scale!AU35</f>
        <v>10.01</v>
      </c>
      <c r="BK94" s="57">
        <f>Scale!AV35</f>
        <v>10.01</v>
      </c>
      <c r="BL94" s="57">
        <f>Scale!AW35</f>
        <v>10.01</v>
      </c>
      <c r="BM94" s="57">
        <f>Scale!AX35</f>
        <v>10.01</v>
      </c>
      <c r="BN94" s="57">
        <f>Scale!AY35</f>
        <v>10.01</v>
      </c>
      <c r="BO94" s="57">
        <f>Scale!AZ35</f>
        <v>10.01</v>
      </c>
      <c r="BP94" s="57">
        <f>Scale!BA35</f>
        <v>10.01</v>
      </c>
      <c r="BQ94" s="57">
        <f>Scale!BB35</f>
        <v>10.01</v>
      </c>
      <c r="BR94" s="57">
        <f>Scale!BC35</f>
        <v>10.01</v>
      </c>
      <c r="BS94" s="57">
        <f>Scale!BD35</f>
        <v>10.01</v>
      </c>
      <c r="BT94" s="57">
        <f>Scale!BE35</f>
        <v>10.01</v>
      </c>
      <c r="BU94" s="54"/>
      <c r="BV94" s="54"/>
      <c r="BW94" s="54"/>
      <c r="BX94" s="54"/>
      <c r="BY94" s="54"/>
      <c r="BZ94" s="54"/>
    </row>
    <row r="95" spans="1:78" x14ac:dyDescent="0.35">
      <c r="A95" s="40">
        <v>20</v>
      </c>
      <c r="B95" s="41">
        <f t="shared" si="0"/>
        <v>3.5994110591642946E-2</v>
      </c>
      <c r="C95" s="28">
        <f t="shared" si="2"/>
        <v>0.71467326856959112</v>
      </c>
      <c r="D95" s="28"/>
      <c r="E95" s="42">
        <f t="shared" si="1"/>
        <v>2012</v>
      </c>
      <c r="K95" s="28"/>
      <c r="L95" s="29"/>
      <c r="P95" s="57" t="str">
        <f>Scale!A36</f>
        <v>0403</v>
      </c>
      <c r="Q95" s="57">
        <f>Scale!B36</f>
        <v>0</v>
      </c>
      <c r="R95" s="57">
        <f>Scale!C36</f>
        <v>0</v>
      </c>
      <c r="S95" s="57">
        <f>Scale!D36</f>
        <v>0</v>
      </c>
      <c r="T95" s="57">
        <f>Scale!E36</f>
        <v>0</v>
      </c>
      <c r="U95" s="57">
        <f>Scale!F36</f>
        <v>0</v>
      </c>
      <c r="V95" s="57">
        <f>Scale!G36</f>
        <v>10</v>
      </c>
      <c r="W95" s="57">
        <f>Scale!H36</f>
        <v>10</v>
      </c>
      <c r="X95" s="57">
        <f>Scale!I36</f>
        <v>10</v>
      </c>
      <c r="Y95" s="57">
        <f>Scale!J36</f>
        <v>10</v>
      </c>
      <c r="Z95" s="57">
        <f>Scale!K36</f>
        <v>10</v>
      </c>
      <c r="AA95" s="57">
        <f>Scale!L36</f>
        <v>10</v>
      </c>
      <c r="AB95" s="57">
        <f>Scale!M36</f>
        <v>10</v>
      </c>
      <c r="AC95" s="57">
        <f>Scale!N36</f>
        <v>10</v>
      </c>
      <c r="AD95" s="57">
        <f>Scale!O36</f>
        <v>10</v>
      </c>
      <c r="AE95" s="57">
        <f>Scale!P36</f>
        <v>10</v>
      </c>
      <c r="AF95" s="57">
        <f>Scale!Q36</f>
        <v>10</v>
      </c>
      <c r="AG95" s="57">
        <f>Scale!R36</f>
        <v>10</v>
      </c>
      <c r="AH95" s="57">
        <f>Scale!S36</f>
        <v>10</v>
      </c>
      <c r="AI95" s="57">
        <f>Scale!T36</f>
        <v>10</v>
      </c>
      <c r="AJ95" s="57">
        <f>Scale!U36</f>
        <v>10</v>
      </c>
      <c r="AK95" s="57">
        <f>Scale!V36</f>
        <v>10</v>
      </c>
      <c r="AL95" s="57">
        <f>Scale!W36</f>
        <v>10</v>
      </c>
      <c r="AM95" s="57">
        <f>Scale!X36</f>
        <v>10</v>
      </c>
      <c r="AN95" s="57">
        <f>Scale!Y36</f>
        <v>10</v>
      </c>
      <c r="AO95" s="57">
        <f>Scale!Z36</f>
        <v>10</v>
      </c>
      <c r="AP95" s="57">
        <f>Scale!AA36</f>
        <v>10</v>
      </c>
      <c r="AQ95" s="57">
        <f>Scale!AB36</f>
        <v>10</v>
      </c>
      <c r="AR95" s="57">
        <f>Scale!AC36</f>
        <v>10</v>
      </c>
      <c r="AS95" s="57">
        <f>Scale!AD36</f>
        <v>10</v>
      </c>
      <c r="AT95" s="57">
        <f>Scale!AE36</f>
        <v>10</v>
      </c>
      <c r="AU95" s="57">
        <f>Scale!AF36</f>
        <v>10</v>
      </c>
      <c r="AV95" s="57">
        <f>Scale!AG36</f>
        <v>10</v>
      </c>
      <c r="AW95" s="57">
        <f>Scale!AH36</f>
        <v>10</v>
      </c>
      <c r="AX95" s="57">
        <f>Scale!AI36</f>
        <v>10</v>
      </c>
      <c r="AY95" s="57">
        <f>Scale!AJ36</f>
        <v>10</v>
      </c>
      <c r="AZ95" s="57">
        <f>Scale!AK36</f>
        <v>10</v>
      </c>
      <c r="BA95" s="57">
        <f>Scale!AL36</f>
        <v>10</v>
      </c>
      <c r="BB95" s="57">
        <f>Scale!AM36</f>
        <v>10</v>
      </c>
      <c r="BC95" s="57">
        <f>Scale!AN36</f>
        <v>10</v>
      </c>
      <c r="BD95" s="57">
        <f>Scale!AO36</f>
        <v>10</v>
      </c>
      <c r="BE95" s="57">
        <f>Scale!AP36</f>
        <v>10</v>
      </c>
      <c r="BF95" s="57">
        <f>Scale!AQ36</f>
        <v>10</v>
      </c>
      <c r="BG95" s="57">
        <f>Scale!AR36</f>
        <v>10</v>
      </c>
      <c r="BH95" s="57">
        <f>Scale!AS36</f>
        <v>10</v>
      </c>
      <c r="BI95" s="57">
        <f>Scale!AT36</f>
        <v>10</v>
      </c>
      <c r="BJ95" s="57">
        <f>Scale!AU36</f>
        <v>10</v>
      </c>
      <c r="BK95" s="57">
        <f>Scale!AV36</f>
        <v>10</v>
      </c>
      <c r="BL95" s="57">
        <f>Scale!AW36</f>
        <v>10</v>
      </c>
      <c r="BM95" s="57">
        <f>Scale!AX36</f>
        <v>10</v>
      </c>
      <c r="BN95" s="57">
        <f>Scale!AY36</f>
        <v>10</v>
      </c>
      <c r="BO95" s="57">
        <f>Scale!AZ36</f>
        <v>10</v>
      </c>
      <c r="BP95" s="57">
        <f>Scale!BA36</f>
        <v>10</v>
      </c>
      <c r="BQ95" s="57">
        <f>Scale!BB36</f>
        <v>10</v>
      </c>
      <c r="BR95" s="57">
        <f>Scale!BC36</f>
        <v>10</v>
      </c>
      <c r="BS95" s="57">
        <f>Scale!BD36</f>
        <v>10</v>
      </c>
      <c r="BT95" s="57">
        <f>Scale!BE36</f>
        <v>10</v>
      </c>
      <c r="BU95" s="54"/>
      <c r="BV95" s="54"/>
      <c r="BW95" s="54"/>
      <c r="BX95" s="54"/>
      <c r="BY95" s="54"/>
      <c r="BZ95" s="54"/>
    </row>
    <row r="96" spans="1:78" x14ac:dyDescent="0.35">
      <c r="A96" s="40">
        <v>20.5</v>
      </c>
      <c r="B96" s="41">
        <f t="shared" si="0"/>
        <v>3.4677803603186917E-2</v>
      </c>
      <c r="C96" s="28">
        <f t="shared" si="2"/>
        <v>0.7320121703711846</v>
      </c>
      <c r="D96" s="28"/>
      <c r="E96" s="42">
        <f t="shared" si="1"/>
        <v>2012.5</v>
      </c>
      <c r="K96" s="28"/>
      <c r="L96" s="29"/>
      <c r="P96" s="57" t="str">
        <f>Scale!A37</f>
        <v>0404</v>
      </c>
      <c r="Q96" s="57">
        <f>Scale!B37</f>
        <v>0</v>
      </c>
      <c r="R96" s="57">
        <f>Scale!C37</f>
        <v>0</v>
      </c>
      <c r="S96" s="57">
        <f>Scale!D37</f>
        <v>0</v>
      </c>
      <c r="T96" s="57">
        <f>Scale!E37</f>
        <v>0</v>
      </c>
      <c r="U96" s="57">
        <f>Scale!F37</f>
        <v>0</v>
      </c>
      <c r="V96" s="57">
        <f>Scale!G37</f>
        <v>8.33</v>
      </c>
      <c r="W96" s="57">
        <f>Scale!H37</f>
        <v>8.33</v>
      </c>
      <c r="X96" s="57">
        <f>Scale!I37</f>
        <v>8.33</v>
      </c>
      <c r="Y96" s="57">
        <f>Scale!J37</f>
        <v>8.33</v>
      </c>
      <c r="Z96" s="57">
        <f>Scale!K37</f>
        <v>8.33</v>
      </c>
      <c r="AA96" s="57">
        <f>Scale!L37</f>
        <v>8.33</v>
      </c>
      <c r="AB96" s="57">
        <f>Scale!M37</f>
        <v>8.33</v>
      </c>
      <c r="AC96" s="57">
        <f>Scale!N37</f>
        <v>8.33</v>
      </c>
      <c r="AD96" s="57">
        <f>Scale!O37</f>
        <v>8.33</v>
      </c>
      <c r="AE96" s="57">
        <f>Scale!P37</f>
        <v>8.33</v>
      </c>
      <c r="AF96" s="57">
        <f>Scale!Q37</f>
        <v>8.33</v>
      </c>
      <c r="AG96" s="57">
        <f>Scale!R37</f>
        <v>8.33</v>
      </c>
      <c r="AH96" s="57">
        <f>Scale!S37</f>
        <v>8.33</v>
      </c>
      <c r="AI96" s="57">
        <f>Scale!T37</f>
        <v>8.33</v>
      </c>
      <c r="AJ96" s="57">
        <f>Scale!U37</f>
        <v>8.33</v>
      </c>
      <c r="AK96" s="57">
        <f>Scale!V37</f>
        <v>8.33</v>
      </c>
      <c r="AL96" s="57">
        <f>Scale!W37</f>
        <v>8.33</v>
      </c>
      <c r="AM96" s="57">
        <f>Scale!X37</f>
        <v>8.33</v>
      </c>
      <c r="AN96" s="57">
        <f>Scale!Y37</f>
        <v>8.33</v>
      </c>
      <c r="AO96" s="57">
        <f>Scale!Z37</f>
        <v>8.33</v>
      </c>
      <c r="AP96" s="57">
        <f>Scale!AA37</f>
        <v>8.33</v>
      </c>
      <c r="AQ96" s="57">
        <f>Scale!AB37</f>
        <v>8.33</v>
      </c>
      <c r="AR96" s="57">
        <f>Scale!AC37</f>
        <v>8.33</v>
      </c>
      <c r="AS96" s="57">
        <f>Scale!AD37</f>
        <v>8.33</v>
      </c>
      <c r="AT96" s="57">
        <f>Scale!AE37</f>
        <v>8.33</v>
      </c>
      <c r="AU96" s="57">
        <f>Scale!AF37</f>
        <v>8.33</v>
      </c>
      <c r="AV96" s="57">
        <f>Scale!AG37</f>
        <v>8.33</v>
      </c>
      <c r="AW96" s="57">
        <f>Scale!AH37</f>
        <v>8.33</v>
      </c>
      <c r="AX96" s="57">
        <f>Scale!AI37</f>
        <v>8.33</v>
      </c>
      <c r="AY96" s="57">
        <f>Scale!AJ37</f>
        <v>8.33</v>
      </c>
      <c r="AZ96" s="57">
        <f>Scale!AK37</f>
        <v>8.33</v>
      </c>
      <c r="BA96" s="57">
        <f>Scale!AL37</f>
        <v>8.33</v>
      </c>
      <c r="BB96" s="57">
        <f>Scale!AM37</f>
        <v>8.33</v>
      </c>
      <c r="BC96" s="57">
        <f>Scale!AN37</f>
        <v>8.33</v>
      </c>
      <c r="BD96" s="57">
        <f>Scale!AO37</f>
        <v>8.33</v>
      </c>
      <c r="BE96" s="57">
        <f>Scale!AP37</f>
        <v>8.33</v>
      </c>
      <c r="BF96" s="57">
        <f>Scale!AQ37</f>
        <v>8.33</v>
      </c>
      <c r="BG96" s="57">
        <f>Scale!AR37</f>
        <v>8.33</v>
      </c>
      <c r="BH96" s="57">
        <f>Scale!AS37</f>
        <v>8.33</v>
      </c>
      <c r="BI96" s="57">
        <f>Scale!AT37</f>
        <v>8.33</v>
      </c>
      <c r="BJ96" s="57">
        <f>Scale!AU37</f>
        <v>8.33</v>
      </c>
      <c r="BK96" s="57">
        <f>Scale!AV37</f>
        <v>8.33</v>
      </c>
      <c r="BL96" s="57">
        <f>Scale!AW37</f>
        <v>8.33</v>
      </c>
      <c r="BM96" s="57">
        <f>Scale!AX37</f>
        <v>8.33</v>
      </c>
      <c r="BN96" s="57">
        <f>Scale!AY37</f>
        <v>8.33</v>
      </c>
      <c r="BO96" s="57">
        <f>Scale!AZ37</f>
        <v>8.33</v>
      </c>
      <c r="BP96" s="57">
        <f>Scale!BA37</f>
        <v>8.33</v>
      </c>
      <c r="BQ96" s="57">
        <f>Scale!BB37</f>
        <v>8.33</v>
      </c>
      <c r="BR96" s="57">
        <f>Scale!BC37</f>
        <v>8.33</v>
      </c>
      <c r="BS96" s="57">
        <f>Scale!BD37</f>
        <v>8.33</v>
      </c>
      <c r="BT96" s="57">
        <f>Scale!BE37</f>
        <v>8.33</v>
      </c>
      <c r="BU96" s="54"/>
      <c r="BV96" s="54"/>
      <c r="BW96" s="54"/>
      <c r="BX96" s="54"/>
      <c r="BY96" s="54"/>
      <c r="BZ96" s="54"/>
    </row>
    <row r="97" spans="1:78" x14ac:dyDescent="0.35">
      <c r="A97" s="40">
        <v>21</v>
      </c>
      <c r="B97" s="41">
        <f t="shared" si="0"/>
        <v>3.3338725810695892E-2</v>
      </c>
      <c r="C97" s="28">
        <f t="shared" si="2"/>
        <v>0.74868153327653253</v>
      </c>
      <c r="D97" s="28"/>
      <c r="E97" s="42">
        <f t="shared" si="1"/>
        <v>2013</v>
      </c>
      <c r="K97" s="28"/>
      <c r="L97" s="29"/>
      <c r="P97" s="57" t="str">
        <f>Scale!A38</f>
        <v>0405</v>
      </c>
      <c r="Q97" s="57">
        <f>Scale!B38</f>
        <v>0</v>
      </c>
      <c r="R97" s="57">
        <f>Scale!C38</f>
        <v>0</v>
      </c>
      <c r="S97" s="57">
        <f>Scale!D38</f>
        <v>0</v>
      </c>
      <c r="T97" s="57">
        <f>Scale!E38</f>
        <v>0</v>
      </c>
      <c r="U97" s="57">
        <f>Scale!F38</f>
        <v>0</v>
      </c>
      <c r="V97" s="57">
        <f>Scale!G38</f>
        <v>12.54</v>
      </c>
      <c r="W97" s="57">
        <f>Scale!H38</f>
        <v>12.54</v>
      </c>
      <c r="X97" s="57">
        <f>Scale!I38</f>
        <v>12.54</v>
      </c>
      <c r="Y97" s="57">
        <f>Scale!J38</f>
        <v>12.54</v>
      </c>
      <c r="Z97" s="57">
        <f>Scale!K38</f>
        <v>12.54</v>
      </c>
      <c r="AA97" s="57">
        <f>Scale!L38</f>
        <v>12.54</v>
      </c>
      <c r="AB97" s="57">
        <f>Scale!M38</f>
        <v>12.54</v>
      </c>
      <c r="AC97" s="57">
        <f>Scale!N38</f>
        <v>12.54</v>
      </c>
      <c r="AD97" s="57">
        <f>Scale!O38</f>
        <v>12.54</v>
      </c>
      <c r="AE97" s="57">
        <f>Scale!P38</f>
        <v>12.54</v>
      </c>
      <c r="AF97" s="57">
        <f>Scale!Q38</f>
        <v>12.54</v>
      </c>
      <c r="AG97" s="57">
        <f>Scale!R38</f>
        <v>12.54</v>
      </c>
      <c r="AH97" s="57">
        <f>Scale!S38</f>
        <v>12.54</v>
      </c>
      <c r="AI97" s="57">
        <f>Scale!T38</f>
        <v>12.54</v>
      </c>
      <c r="AJ97" s="57">
        <f>Scale!U38</f>
        <v>12.54</v>
      </c>
      <c r="AK97" s="57">
        <f>Scale!V38</f>
        <v>12.54</v>
      </c>
      <c r="AL97" s="57">
        <f>Scale!W38</f>
        <v>12.54</v>
      </c>
      <c r="AM97" s="57">
        <f>Scale!X38</f>
        <v>12.54</v>
      </c>
      <c r="AN97" s="57">
        <f>Scale!Y38</f>
        <v>12.54</v>
      </c>
      <c r="AO97" s="57">
        <f>Scale!Z38</f>
        <v>12.54</v>
      </c>
      <c r="AP97" s="57">
        <f>Scale!AA38</f>
        <v>12.54</v>
      </c>
      <c r="AQ97" s="57">
        <f>Scale!AB38</f>
        <v>12.54</v>
      </c>
      <c r="AR97" s="57">
        <f>Scale!AC38</f>
        <v>12.54</v>
      </c>
      <c r="AS97" s="57">
        <f>Scale!AD38</f>
        <v>12.54</v>
      </c>
      <c r="AT97" s="57">
        <f>Scale!AE38</f>
        <v>12.54</v>
      </c>
      <c r="AU97" s="57">
        <f>Scale!AF38</f>
        <v>12.54</v>
      </c>
      <c r="AV97" s="57">
        <f>Scale!AG38</f>
        <v>12.54</v>
      </c>
      <c r="AW97" s="57">
        <f>Scale!AH38</f>
        <v>12.54</v>
      </c>
      <c r="AX97" s="57">
        <f>Scale!AI38</f>
        <v>12.54</v>
      </c>
      <c r="AY97" s="57">
        <f>Scale!AJ38</f>
        <v>12.54</v>
      </c>
      <c r="AZ97" s="57">
        <f>Scale!AK38</f>
        <v>12.54</v>
      </c>
      <c r="BA97" s="57">
        <f>Scale!AL38</f>
        <v>12.54</v>
      </c>
      <c r="BB97" s="57">
        <f>Scale!AM38</f>
        <v>12.54</v>
      </c>
      <c r="BC97" s="57">
        <f>Scale!AN38</f>
        <v>12.54</v>
      </c>
      <c r="BD97" s="57">
        <f>Scale!AO38</f>
        <v>12.54</v>
      </c>
      <c r="BE97" s="57">
        <f>Scale!AP38</f>
        <v>12.54</v>
      </c>
      <c r="BF97" s="57">
        <f>Scale!AQ38</f>
        <v>12.54</v>
      </c>
      <c r="BG97" s="57">
        <f>Scale!AR38</f>
        <v>12.54</v>
      </c>
      <c r="BH97" s="57">
        <f>Scale!AS38</f>
        <v>12.54</v>
      </c>
      <c r="BI97" s="57">
        <f>Scale!AT38</f>
        <v>12.54</v>
      </c>
      <c r="BJ97" s="57">
        <f>Scale!AU38</f>
        <v>12.54</v>
      </c>
      <c r="BK97" s="57">
        <f>Scale!AV38</f>
        <v>12.54</v>
      </c>
      <c r="BL97" s="57">
        <f>Scale!AW38</f>
        <v>12.54</v>
      </c>
      <c r="BM97" s="57">
        <f>Scale!AX38</f>
        <v>12.54</v>
      </c>
      <c r="BN97" s="57">
        <f>Scale!AY38</f>
        <v>12.54</v>
      </c>
      <c r="BO97" s="57">
        <f>Scale!AZ38</f>
        <v>12.54</v>
      </c>
      <c r="BP97" s="57">
        <f>Scale!BA38</f>
        <v>12.54</v>
      </c>
      <c r="BQ97" s="57">
        <f>Scale!BB38</f>
        <v>12.54</v>
      </c>
      <c r="BR97" s="57">
        <f>Scale!BC38</f>
        <v>12.54</v>
      </c>
      <c r="BS97" s="57">
        <f>Scale!BD38</f>
        <v>12.54</v>
      </c>
      <c r="BT97" s="57">
        <f>Scale!BE38</f>
        <v>12.54</v>
      </c>
      <c r="BU97" s="54"/>
      <c r="BV97" s="54"/>
      <c r="BW97" s="54"/>
      <c r="BX97" s="54"/>
      <c r="BY97" s="54"/>
      <c r="BZ97" s="54"/>
    </row>
    <row r="98" spans="1:78" x14ac:dyDescent="0.35">
      <c r="A98" s="40">
        <v>21.5</v>
      </c>
      <c r="B98" s="41">
        <f t="shared" si="0"/>
        <v>3.1984226612415179E-2</v>
      </c>
      <c r="C98" s="28">
        <f t="shared" si="2"/>
        <v>0.76467364658274017</v>
      </c>
      <c r="D98" s="28"/>
      <c r="E98" s="42">
        <f t="shared" si="1"/>
        <v>2013.5</v>
      </c>
      <c r="K98" s="28"/>
      <c r="L98" s="29"/>
      <c r="P98" s="57" t="str">
        <f>Scale!A39</f>
        <v>0406</v>
      </c>
      <c r="Q98" s="57">
        <f>Scale!B39</f>
        <v>0</v>
      </c>
      <c r="R98" s="57">
        <f>Scale!C39</f>
        <v>0</v>
      </c>
      <c r="S98" s="57">
        <f>Scale!D39</f>
        <v>0</v>
      </c>
      <c r="T98" s="57">
        <f>Scale!E39</f>
        <v>0</v>
      </c>
      <c r="U98" s="57">
        <f>Scale!F39</f>
        <v>0</v>
      </c>
      <c r="V98" s="57">
        <f>Scale!G39</f>
        <v>6.75</v>
      </c>
      <c r="W98" s="57">
        <f>Scale!H39</f>
        <v>6.75</v>
      </c>
      <c r="X98" s="57">
        <f>Scale!I39</f>
        <v>6.75</v>
      </c>
      <c r="Y98" s="57">
        <f>Scale!J39</f>
        <v>6.75</v>
      </c>
      <c r="Z98" s="57">
        <f>Scale!K39</f>
        <v>6.75</v>
      </c>
      <c r="AA98" s="57">
        <f>Scale!L39</f>
        <v>6.75</v>
      </c>
      <c r="AB98" s="57">
        <f>Scale!M39</f>
        <v>6.75</v>
      </c>
      <c r="AC98" s="57">
        <f>Scale!N39</f>
        <v>6.75</v>
      </c>
      <c r="AD98" s="57">
        <f>Scale!O39</f>
        <v>6.75</v>
      </c>
      <c r="AE98" s="57">
        <f>Scale!P39</f>
        <v>6.75</v>
      </c>
      <c r="AF98" s="57">
        <f>Scale!Q39</f>
        <v>6.75</v>
      </c>
      <c r="AG98" s="57">
        <f>Scale!R39</f>
        <v>6.75</v>
      </c>
      <c r="AH98" s="57">
        <f>Scale!S39</f>
        <v>6.75</v>
      </c>
      <c r="AI98" s="57">
        <f>Scale!T39</f>
        <v>6.75</v>
      </c>
      <c r="AJ98" s="57">
        <f>Scale!U39</f>
        <v>6.75</v>
      </c>
      <c r="AK98" s="57">
        <f>Scale!V39</f>
        <v>6.75</v>
      </c>
      <c r="AL98" s="57">
        <f>Scale!W39</f>
        <v>6.75</v>
      </c>
      <c r="AM98" s="57">
        <f>Scale!X39</f>
        <v>6.75</v>
      </c>
      <c r="AN98" s="57">
        <f>Scale!Y39</f>
        <v>6.75</v>
      </c>
      <c r="AO98" s="57">
        <f>Scale!Z39</f>
        <v>6.75</v>
      </c>
      <c r="AP98" s="57">
        <f>Scale!AA39</f>
        <v>6.75</v>
      </c>
      <c r="AQ98" s="57">
        <f>Scale!AB39</f>
        <v>6.75</v>
      </c>
      <c r="AR98" s="57">
        <f>Scale!AC39</f>
        <v>6.75</v>
      </c>
      <c r="AS98" s="57">
        <f>Scale!AD39</f>
        <v>6.75</v>
      </c>
      <c r="AT98" s="57">
        <f>Scale!AE39</f>
        <v>6.75</v>
      </c>
      <c r="AU98" s="57">
        <f>Scale!AF39</f>
        <v>6.75</v>
      </c>
      <c r="AV98" s="57">
        <f>Scale!AG39</f>
        <v>6.75</v>
      </c>
      <c r="AW98" s="57">
        <f>Scale!AH39</f>
        <v>6.75</v>
      </c>
      <c r="AX98" s="57">
        <f>Scale!AI39</f>
        <v>6.75</v>
      </c>
      <c r="AY98" s="57">
        <f>Scale!AJ39</f>
        <v>6.75</v>
      </c>
      <c r="AZ98" s="57">
        <f>Scale!AK39</f>
        <v>6.75</v>
      </c>
      <c r="BA98" s="57">
        <f>Scale!AL39</f>
        <v>6.75</v>
      </c>
      <c r="BB98" s="57">
        <f>Scale!AM39</f>
        <v>6.75</v>
      </c>
      <c r="BC98" s="57">
        <f>Scale!AN39</f>
        <v>6.75</v>
      </c>
      <c r="BD98" s="57">
        <f>Scale!AO39</f>
        <v>6.75</v>
      </c>
      <c r="BE98" s="57">
        <f>Scale!AP39</f>
        <v>6.75</v>
      </c>
      <c r="BF98" s="57">
        <f>Scale!AQ39</f>
        <v>6.75</v>
      </c>
      <c r="BG98" s="57">
        <f>Scale!AR39</f>
        <v>6.75</v>
      </c>
      <c r="BH98" s="57">
        <f>Scale!AS39</f>
        <v>6.75</v>
      </c>
      <c r="BI98" s="57">
        <f>Scale!AT39</f>
        <v>6.75</v>
      </c>
      <c r="BJ98" s="57">
        <f>Scale!AU39</f>
        <v>6.75</v>
      </c>
      <c r="BK98" s="57">
        <f>Scale!AV39</f>
        <v>6.75</v>
      </c>
      <c r="BL98" s="57">
        <f>Scale!AW39</f>
        <v>6.75</v>
      </c>
      <c r="BM98" s="57">
        <f>Scale!AX39</f>
        <v>6.75</v>
      </c>
      <c r="BN98" s="57">
        <f>Scale!AY39</f>
        <v>6.75</v>
      </c>
      <c r="BO98" s="57">
        <f>Scale!AZ39</f>
        <v>6.75</v>
      </c>
      <c r="BP98" s="57">
        <f>Scale!BA39</f>
        <v>6.75</v>
      </c>
      <c r="BQ98" s="57">
        <f>Scale!BB39</f>
        <v>6.75</v>
      </c>
      <c r="BR98" s="57">
        <f>Scale!BC39</f>
        <v>6.75</v>
      </c>
      <c r="BS98" s="57">
        <f>Scale!BD39</f>
        <v>6.75</v>
      </c>
      <c r="BT98" s="57">
        <f>Scale!BE39</f>
        <v>6.75</v>
      </c>
      <c r="BU98" s="54"/>
      <c r="BV98" s="54"/>
      <c r="BW98" s="54"/>
      <c r="BX98" s="54"/>
      <c r="BY98" s="54"/>
      <c r="BZ98" s="54"/>
    </row>
    <row r="99" spans="1:78" x14ac:dyDescent="0.35">
      <c r="A99" s="40">
        <v>22</v>
      </c>
      <c r="B99" s="41">
        <f t="shared" si="0"/>
        <v>3.0621289572814504E-2</v>
      </c>
      <c r="C99" s="28">
        <f t="shared" si="2"/>
        <v>0.77998429136914738</v>
      </c>
      <c r="D99" s="28"/>
      <c r="E99" s="42">
        <f t="shared" si="1"/>
        <v>2014</v>
      </c>
      <c r="K99" s="28"/>
      <c r="L99" s="29"/>
      <c r="P99" s="57" t="str">
        <f>Scale!A40</f>
        <v>0407</v>
      </c>
      <c r="Q99" s="57">
        <f>Scale!B40</f>
        <v>0</v>
      </c>
      <c r="R99" s="57">
        <f>Scale!C40</f>
        <v>0</v>
      </c>
      <c r="S99" s="57">
        <f>Scale!D40</f>
        <v>0</v>
      </c>
      <c r="T99" s="57">
        <f>Scale!E40</f>
        <v>0</v>
      </c>
      <c r="U99" s="57">
        <f>Scale!F40</f>
        <v>0</v>
      </c>
      <c r="V99" s="57">
        <f>Scale!G40</f>
        <v>12.08</v>
      </c>
      <c r="W99" s="57">
        <f>Scale!H40</f>
        <v>12.08</v>
      </c>
      <c r="X99" s="57">
        <f>Scale!I40</f>
        <v>12.08</v>
      </c>
      <c r="Y99" s="57">
        <f>Scale!J40</f>
        <v>12.08</v>
      </c>
      <c r="Z99" s="57">
        <f>Scale!K40</f>
        <v>12.08</v>
      </c>
      <c r="AA99" s="57">
        <f>Scale!L40</f>
        <v>12.08</v>
      </c>
      <c r="AB99" s="57">
        <f>Scale!M40</f>
        <v>12.08</v>
      </c>
      <c r="AC99" s="57">
        <f>Scale!N40</f>
        <v>12.08</v>
      </c>
      <c r="AD99" s="57">
        <f>Scale!O40</f>
        <v>12.08</v>
      </c>
      <c r="AE99" s="57">
        <f>Scale!P40</f>
        <v>12.08</v>
      </c>
      <c r="AF99" s="57">
        <f>Scale!Q40</f>
        <v>12.08</v>
      </c>
      <c r="AG99" s="57">
        <f>Scale!R40</f>
        <v>12.08</v>
      </c>
      <c r="AH99" s="57">
        <f>Scale!S40</f>
        <v>12.08</v>
      </c>
      <c r="AI99" s="57">
        <f>Scale!T40</f>
        <v>12.08</v>
      </c>
      <c r="AJ99" s="57">
        <f>Scale!U40</f>
        <v>12.08</v>
      </c>
      <c r="AK99" s="57">
        <f>Scale!V40</f>
        <v>12.08</v>
      </c>
      <c r="AL99" s="57">
        <f>Scale!W40</f>
        <v>12.08</v>
      </c>
      <c r="AM99" s="57">
        <f>Scale!X40</f>
        <v>12.08</v>
      </c>
      <c r="AN99" s="57">
        <f>Scale!Y40</f>
        <v>12.08</v>
      </c>
      <c r="AO99" s="57">
        <f>Scale!Z40</f>
        <v>12.08</v>
      </c>
      <c r="AP99" s="57">
        <f>Scale!AA40</f>
        <v>12.08</v>
      </c>
      <c r="AQ99" s="57">
        <f>Scale!AB40</f>
        <v>12.08</v>
      </c>
      <c r="AR99" s="57">
        <f>Scale!AC40</f>
        <v>12.08</v>
      </c>
      <c r="AS99" s="57">
        <f>Scale!AD40</f>
        <v>12.08</v>
      </c>
      <c r="AT99" s="57">
        <f>Scale!AE40</f>
        <v>12.08</v>
      </c>
      <c r="AU99" s="57">
        <f>Scale!AF40</f>
        <v>12.08</v>
      </c>
      <c r="AV99" s="57">
        <f>Scale!AG40</f>
        <v>12.08</v>
      </c>
      <c r="AW99" s="57">
        <f>Scale!AH40</f>
        <v>12.08</v>
      </c>
      <c r="AX99" s="57">
        <f>Scale!AI40</f>
        <v>12.08</v>
      </c>
      <c r="AY99" s="57">
        <f>Scale!AJ40</f>
        <v>12.08</v>
      </c>
      <c r="AZ99" s="57">
        <f>Scale!AK40</f>
        <v>12.08</v>
      </c>
      <c r="BA99" s="57">
        <f>Scale!AL40</f>
        <v>12.08</v>
      </c>
      <c r="BB99" s="57">
        <f>Scale!AM40</f>
        <v>12.08</v>
      </c>
      <c r="BC99" s="57">
        <f>Scale!AN40</f>
        <v>12.08</v>
      </c>
      <c r="BD99" s="57">
        <f>Scale!AO40</f>
        <v>12.08</v>
      </c>
      <c r="BE99" s="57">
        <f>Scale!AP40</f>
        <v>12.08</v>
      </c>
      <c r="BF99" s="57">
        <f>Scale!AQ40</f>
        <v>12.08</v>
      </c>
      <c r="BG99" s="57">
        <f>Scale!AR40</f>
        <v>12.08</v>
      </c>
      <c r="BH99" s="57">
        <f>Scale!AS40</f>
        <v>12.08</v>
      </c>
      <c r="BI99" s="57">
        <f>Scale!AT40</f>
        <v>12.08</v>
      </c>
      <c r="BJ99" s="57">
        <f>Scale!AU40</f>
        <v>12.08</v>
      </c>
      <c r="BK99" s="57">
        <f>Scale!AV40</f>
        <v>12.08</v>
      </c>
      <c r="BL99" s="57">
        <f>Scale!AW40</f>
        <v>12.08</v>
      </c>
      <c r="BM99" s="57">
        <f>Scale!AX40</f>
        <v>12.08</v>
      </c>
      <c r="BN99" s="57">
        <f>Scale!AY40</f>
        <v>12.08</v>
      </c>
      <c r="BO99" s="57">
        <f>Scale!AZ40</f>
        <v>12.08</v>
      </c>
      <c r="BP99" s="57">
        <f>Scale!BA40</f>
        <v>12.08</v>
      </c>
      <c r="BQ99" s="57">
        <f>Scale!BB40</f>
        <v>12.08</v>
      </c>
      <c r="BR99" s="57">
        <f>Scale!BC40</f>
        <v>12.08</v>
      </c>
      <c r="BS99" s="57">
        <f>Scale!BD40</f>
        <v>12.08</v>
      </c>
      <c r="BT99" s="57">
        <f>Scale!BE40</f>
        <v>12.08</v>
      </c>
      <c r="BU99" s="54"/>
      <c r="BV99" s="54"/>
      <c r="BW99" s="54"/>
      <c r="BX99" s="54"/>
      <c r="BY99" s="54"/>
      <c r="BZ99" s="54"/>
    </row>
    <row r="100" spans="1:78" x14ac:dyDescent="0.35">
      <c r="A100" s="40">
        <v>22.5</v>
      </c>
      <c r="B100" s="41">
        <f t="shared" si="0"/>
        <v>2.9256503790852959E-2</v>
      </c>
      <c r="C100" s="28">
        <f t="shared" si="2"/>
        <v>0.79461254326457387</v>
      </c>
      <c r="D100" s="28"/>
      <c r="E100" s="42">
        <f t="shared" si="1"/>
        <v>2014.5</v>
      </c>
      <c r="K100" s="28"/>
      <c r="L100" s="29"/>
      <c r="P100" s="57" t="str">
        <f>Scale!A41</f>
        <v>0408</v>
      </c>
      <c r="Q100" s="57">
        <f>Scale!B41</f>
        <v>0</v>
      </c>
      <c r="R100" s="57">
        <f>Scale!C41</f>
        <v>0</v>
      </c>
      <c r="S100" s="57">
        <f>Scale!D41</f>
        <v>0</v>
      </c>
      <c r="T100" s="57">
        <f>Scale!E41</f>
        <v>0</v>
      </c>
      <c r="U100" s="57">
        <f>Scale!F41</f>
        <v>0</v>
      </c>
      <c r="V100" s="57">
        <f>Scale!G41</f>
        <v>10.95</v>
      </c>
      <c r="W100" s="57">
        <f>Scale!H41</f>
        <v>10.95</v>
      </c>
      <c r="X100" s="57">
        <f>Scale!I41</f>
        <v>10.95</v>
      </c>
      <c r="Y100" s="57">
        <f>Scale!J41</f>
        <v>10.95</v>
      </c>
      <c r="Z100" s="57">
        <f>Scale!K41</f>
        <v>10.95</v>
      </c>
      <c r="AA100" s="57">
        <f>Scale!L41</f>
        <v>10.95</v>
      </c>
      <c r="AB100" s="57">
        <f>Scale!M41</f>
        <v>10.95</v>
      </c>
      <c r="AC100" s="57">
        <f>Scale!N41</f>
        <v>10.95</v>
      </c>
      <c r="AD100" s="57">
        <f>Scale!O41</f>
        <v>10.95</v>
      </c>
      <c r="AE100" s="57">
        <f>Scale!P41</f>
        <v>10.95</v>
      </c>
      <c r="AF100" s="57">
        <f>Scale!Q41</f>
        <v>10.95</v>
      </c>
      <c r="AG100" s="57">
        <f>Scale!R41</f>
        <v>10.95</v>
      </c>
      <c r="AH100" s="57">
        <f>Scale!S41</f>
        <v>10.95</v>
      </c>
      <c r="AI100" s="57">
        <f>Scale!T41</f>
        <v>10.95</v>
      </c>
      <c r="AJ100" s="57">
        <f>Scale!U41</f>
        <v>10.95</v>
      </c>
      <c r="AK100" s="57">
        <f>Scale!V41</f>
        <v>10.95</v>
      </c>
      <c r="AL100" s="57">
        <f>Scale!W41</f>
        <v>10.95</v>
      </c>
      <c r="AM100" s="57">
        <f>Scale!X41</f>
        <v>10.95</v>
      </c>
      <c r="AN100" s="57">
        <f>Scale!Y41</f>
        <v>10.95</v>
      </c>
      <c r="AO100" s="57">
        <f>Scale!Z41</f>
        <v>10.95</v>
      </c>
      <c r="AP100" s="57">
        <f>Scale!AA41</f>
        <v>10.95</v>
      </c>
      <c r="AQ100" s="57">
        <f>Scale!AB41</f>
        <v>10.95</v>
      </c>
      <c r="AR100" s="57">
        <f>Scale!AC41</f>
        <v>10.95</v>
      </c>
      <c r="AS100" s="57">
        <f>Scale!AD41</f>
        <v>10.95</v>
      </c>
      <c r="AT100" s="57">
        <f>Scale!AE41</f>
        <v>10.95</v>
      </c>
      <c r="AU100" s="57">
        <f>Scale!AF41</f>
        <v>10.95</v>
      </c>
      <c r="AV100" s="57">
        <f>Scale!AG41</f>
        <v>10.95</v>
      </c>
      <c r="AW100" s="57">
        <f>Scale!AH41</f>
        <v>10.95</v>
      </c>
      <c r="AX100" s="57">
        <f>Scale!AI41</f>
        <v>10.95</v>
      </c>
      <c r="AY100" s="57">
        <f>Scale!AJ41</f>
        <v>10.95</v>
      </c>
      <c r="AZ100" s="57">
        <f>Scale!AK41</f>
        <v>10.95</v>
      </c>
      <c r="BA100" s="57">
        <f>Scale!AL41</f>
        <v>10.95</v>
      </c>
      <c r="BB100" s="57">
        <f>Scale!AM41</f>
        <v>10.95</v>
      </c>
      <c r="BC100" s="57">
        <f>Scale!AN41</f>
        <v>10.95</v>
      </c>
      <c r="BD100" s="57">
        <f>Scale!AO41</f>
        <v>10.95</v>
      </c>
      <c r="BE100" s="57">
        <f>Scale!AP41</f>
        <v>10.95</v>
      </c>
      <c r="BF100" s="57">
        <f>Scale!AQ41</f>
        <v>10.95</v>
      </c>
      <c r="BG100" s="57">
        <f>Scale!AR41</f>
        <v>10.95</v>
      </c>
      <c r="BH100" s="57">
        <f>Scale!AS41</f>
        <v>10.95</v>
      </c>
      <c r="BI100" s="57">
        <f>Scale!AT41</f>
        <v>10.95</v>
      </c>
      <c r="BJ100" s="57">
        <f>Scale!AU41</f>
        <v>10.95</v>
      </c>
      <c r="BK100" s="57">
        <f>Scale!AV41</f>
        <v>10.95</v>
      </c>
      <c r="BL100" s="57">
        <f>Scale!AW41</f>
        <v>10.95</v>
      </c>
      <c r="BM100" s="57">
        <f>Scale!AX41</f>
        <v>10.95</v>
      </c>
      <c r="BN100" s="57">
        <f>Scale!AY41</f>
        <v>10.95</v>
      </c>
      <c r="BO100" s="57">
        <f>Scale!AZ41</f>
        <v>10.95</v>
      </c>
      <c r="BP100" s="57">
        <f>Scale!BA41</f>
        <v>10.95</v>
      </c>
      <c r="BQ100" s="57">
        <f>Scale!BB41</f>
        <v>10.95</v>
      </c>
      <c r="BR100" s="57">
        <f>Scale!BC41</f>
        <v>10.95</v>
      </c>
      <c r="BS100" s="57">
        <f>Scale!BD41</f>
        <v>10.95</v>
      </c>
      <c r="BT100" s="57">
        <f>Scale!BE41</f>
        <v>10.95</v>
      </c>
      <c r="BU100" s="54"/>
      <c r="BV100" s="54"/>
      <c r="BW100" s="54"/>
      <c r="BX100" s="54"/>
      <c r="BY100" s="54"/>
      <c r="BZ100" s="54"/>
    </row>
    <row r="101" spans="1:78" x14ac:dyDescent="0.35">
      <c r="A101" s="40">
        <v>23</v>
      </c>
      <c r="B101" s="41">
        <f t="shared" si="0"/>
        <v>2.789604058813594E-2</v>
      </c>
      <c r="C101" s="28">
        <f t="shared" si="2"/>
        <v>0.80856056355864181</v>
      </c>
      <c r="D101" s="28"/>
      <c r="E101" s="42">
        <f t="shared" si="1"/>
        <v>2015</v>
      </c>
      <c r="K101" s="28"/>
      <c r="L101" s="29"/>
      <c r="P101" s="57" t="str">
        <f>Scale!A42</f>
        <v>0501</v>
      </c>
      <c r="Q101" s="57">
        <f>Scale!B42</f>
        <v>0</v>
      </c>
      <c r="R101" s="57">
        <f>Scale!C42</f>
        <v>0</v>
      </c>
      <c r="S101" s="57">
        <f>Scale!D42</f>
        <v>0</v>
      </c>
      <c r="T101" s="57">
        <f>Scale!E42</f>
        <v>0</v>
      </c>
      <c r="U101" s="57">
        <f>Scale!F42</f>
        <v>0</v>
      </c>
      <c r="V101" s="57">
        <f>Scale!G42</f>
        <v>8.7200000000000006</v>
      </c>
      <c r="W101" s="57">
        <f>Scale!H42</f>
        <v>8.7200000000000006</v>
      </c>
      <c r="X101" s="57">
        <f>Scale!I42</f>
        <v>8.7200000000000006</v>
      </c>
      <c r="Y101" s="57">
        <f>Scale!J42</f>
        <v>8.7200000000000006</v>
      </c>
      <c r="Z101" s="57">
        <f>Scale!K42</f>
        <v>8.7200000000000006</v>
      </c>
      <c r="AA101" s="57">
        <f>Scale!L42</f>
        <v>8.7200000000000006</v>
      </c>
      <c r="AB101" s="57">
        <f>Scale!M42</f>
        <v>8.7200000000000006</v>
      </c>
      <c r="AC101" s="57">
        <f>Scale!N42</f>
        <v>8.7200000000000006</v>
      </c>
      <c r="AD101" s="57">
        <f>Scale!O42</f>
        <v>8.7200000000000006</v>
      </c>
      <c r="AE101" s="57">
        <f>Scale!P42</f>
        <v>8.7200000000000006</v>
      </c>
      <c r="AF101" s="57">
        <f>Scale!Q42</f>
        <v>8.7200000000000006</v>
      </c>
      <c r="AG101" s="57">
        <f>Scale!R42</f>
        <v>8.7200000000000006</v>
      </c>
      <c r="AH101" s="57">
        <f>Scale!S42</f>
        <v>8.7200000000000006</v>
      </c>
      <c r="AI101" s="57">
        <f>Scale!T42</f>
        <v>8.7200000000000006</v>
      </c>
      <c r="AJ101" s="57">
        <f>Scale!U42</f>
        <v>8.7200000000000006</v>
      </c>
      <c r="AK101" s="57">
        <f>Scale!V42</f>
        <v>8.7200000000000006</v>
      </c>
      <c r="AL101" s="57">
        <f>Scale!W42</f>
        <v>8.7200000000000006</v>
      </c>
      <c r="AM101" s="57">
        <f>Scale!X42</f>
        <v>8.7200000000000006</v>
      </c>
      <c r="AN101" s="57">
        <f>Scale!Y42</f>
        <v>8.7200000000000006</v>
      </c>
      <c r="AO101" s="57">
        <f>Scale!Z42</f>
        <v>8.7200000000000006</v>
      </c>
      <c r="AP101" s="57">
        <f>Scale!AA42</f>
        <v>8.7200000000000006</v>
      </c>
      <c r="AQ101" s="57">
        <f>Scale!AB42</f>
        <v>8.7200000000000006</v>
      </c>
      <c r="AR101" s="57">
        <f>Scale!AC42</f>
        <v>8.7200000000000006</v>
      </c>
      <c r="AS101" s="57">
        <f>Scale!AD42</f>
        <v>8.7200000000000006</v>
      </c>
      <c r="AT101" s="57">
        <f>Scale!AE42</f>
        <v>8.7200000000000006</v>
      </c>
      <c r="AU101" s="57">
        <f>Scale!AF42</f>
        <v>8.7200000000000006</v>
      </c>
      <c r="AV101" s="57">
        <f>Scale!AG42</f>
        <v>8.7200000000000006</v>
      </c>
      <c r="AW101" s="57">
        <f>Scale!AH42</f>
        <v>8.7200000000000006</v>
      </c>
      <c r="AX101" s="57">
        <f>Scale!AI42</f>
        <v>8.7200000000000006</v>
      </c>
      <c r="AY101" s="57">
        <f>Scale!AJ42</f>
        <v>8.7200000000000006</v>
      </c>
      <c r="AZ101" s="57">
        <f>Scale!AK42</f>
        <v>8.7200000000000006</v>
      </c>
      <c r="BA101" s="57">
        <f>Scale!AL42</f>
        <v>8.7200000000000006</v>
      </c>
      <c r="BB101" s="57">
        <f>Scale!AM42</f>
        <v>8.7200000000000006</v>
      </c>
      <c r="BC101" s="57">
        <f>Scale!AN42</f>
        <v>8.7200000000000006</v>
      </c>
      <c r="BD101" s="57">
        <f>Scale!AO42</f>
        <v>8.7200000000000006</v>
      </c>
      <c r="BE101" s="57">
        <f>Scale!AP42</f>
        <v>8.7200000000000006</v>
      </c>
      <c r="BF101" s="57">
        <f>Scale!AQ42</f>
        <v>8.7200000000000006</v>
      </c>
      <c r="BG101" s="57">
        <f>Scale!AR42</f>
        <v>8.7200000000000006</v>
      </c>
      <c r="BH101" s="57">
        <f>Scale!AS42</f>
        <v>8.7200000000000006</v>
      </c>
      <c r="BI101" s="57">
        <f>Scale!AT42</f>
        <v>8.7200000000000006</v>
      </c>
      <c r="BJ101" s="57">
        <f>Scale!AU42</f>
        <v>8.7200000000000006</v>
      </c>
      <c r="BK101" s="57">
        <f>Scale!AV42</f>
        <v>8.7200000000000006</v>
      </c>
      <c r="BL101" s="57">
        <f>Scale!AW42</f>
        <v>8.7200000000000006</v>
      </c>
      <c r="BM101" s="57">
        <f>Scale!AX42</f>
        <v>8.7200000000000006</v>
      </c>
      <c r="BN101" s="57">
        <f>Scale!AY42</f>
        <v>8.7200000000000006</v>
      </c>
      <c r="BO101" s="57">
        <f>Scale!AZ42</f>
        <v>8.7200000000000006</v>
      </c>
      <c r="BP101" s="57">
        <f>Scale!BA42</f>
        <v>8.7200000000000006</v>
      </c>
      <c r="BQ101" s="57">
        <f>Scale!BB42</f>
        <v>8.7200000000000006</v>
      </c>
      <c r="BR101" s="57">
        <f>Scale!BC42</f>
        <v>8.7200000000000006</v>
      </c>
      <c r="BS101" s="57">
        <f>Scale!BD42</f>
        <v>8.7200000000000006</v>
      </c>
      <c r="BT101" s="57">
        <f>Scale!BE42</f>
        <v>8.7200000000000006</v>
      </c>
      <c r="BU101" s="54"/>
      <c r="BV101" s="54"/>
      <c r="BW101" s="54"/>
      <c r="BX101" s="54"/>
      <c r="BY101" s="54"/>
      <c r="BZ101" s="54"/>
    </row>
    <row r="102" spans="1:78" x14ac:dyDescent="0.35">
      <c r="A102" s="40">
        <v>23.5</v>
      </c>
      <c r="B102" s="41">
        <f t="shared" si="0"/>
        <v>2.6545635415821306E-2</v>
      </c>
      <c r="C102" s="28">
        <f t="shared" si="2"/>
        <v>0.82183338126655248</v>
      </c>
      <c r="D102" s="28"/>
      <c r="E102" s="42">
        <f t="shared" si="1"/>
        <v>2015.5</v>
      </c>
      <c r="K102" s="28"/>
      <c r="L102" s="29"/>
      <c r="P102" s="57" t="str">
        <f>Scale!A43</f>
        <v>0502</v>
      </c>
      <c r="Q102" s="57">
        <f>Scale!B43</f>
        <v>0</v>
      </c>
      <c r="R102" s="57">
        <f>Scale!C43</f>
        <v>0</v>
      </c>
      <c r="S102" s="57">
        <f>Scale!D43</f>
        <v>0</v>
      </c>
      <c r="T102" s="57">
        <f>Scale!E43</f>
        <v>0</v>
      </c>
      <c r="U102" s="57">
        <f>Scale!F43</f>
        <v>0</v>
      </c>
      <c r="V102" s="57">
        <f>Scale!G43</f>
        <v>7.11</v>
      </c>
      <c r="W102" s="57">
        <f>Scale!H43</f>
        <v>7.11</v>
      </c>
      <c r="X102" s="57">
        <f>Scale!I43</f>
        <v>7.11</v>
      </c>
      <c r="Y102" s="57">
        <f>Scale!J43</f>
        <v>7.11</v>
      </c>
      <c r="Z102" s="57">
        <f>Scale!K43</f>
        <v>7.11</v>
      </c>
      <c r="AA102" s="57">
        <f>Scale!L43</f>
        <v>7.11</v>
      </c>
      <c r="AB102" s="57">
        <f>Scale!M43</f>
        <v>7.11</v>
      </c>
      <c r="AC102" s="57">
        <f>Scale!N43</f>
        <v>7.11</v>
      </c>
      <c r="AD102" s="57">
        <f>Scale!O43</f>
        <v>7.11</v>
      </c>
      <c r="AE102" s="57">
        <f>Scale!P43</f>
        <v>7.11</v>
      </c>
      <c r="AF102" s="57">
        <f>Scale!Q43</f>
        <v>7.11</v>
      </c>
      <c r="AG102" s="57">
        <f>Scale!R43</f>
        <v>7.11</v>
      </c>
      <c r="AH102" s="57">
        <f>Scale!S43</f>
        <v>7.11</v>
      </c>
      <c r="AI102" s="57">
        <f>Scale!T43</f>
        <v>7.11</v>
      </c>
      <c r="AJ102" s="57">
        <f>Scale!U43</f>
        <v>7.11</v>
      </c>
      <c r="AK102" s="57">
        <f>Scale!V43</f>
        <v>7.11</v>
      </c>
      <c r="AL102" s="57">
        <f>Scale!W43</f>
        <v>7.11</v>
      </c>
      <c r="AM102" s="57">
        <f>Scale!X43</f>
        <v>7.11</v>
      </c>
      <c r="AN102" s="57">
        <f>Scale!Y43</f>
        <v>7.11</v>
      </c>
      <c r="AO102" s="57">
        <f>Scale!Z43</f>
        <v>7.11</v>
      </c>
      <c r="AP102" s="57">
        <f>Scale!AA43</f>
        <v>7.11</v>
      </c>
      <c r="AQ102" s="57">
        <f>Scale!AB43</f>
        <v>7.11</v>
      </c>
      <c r="AR102" s="57">
        <f>Scale!AC43</f>
        <v>7.11</v>
      </c>
      <c r="AS102" s="57">
        <f>Scale!AD43</f>
        <v>7.11</v>
      </c>
      <c r="AT102" s="57">
        <f>Scale!AE43</f>
        <v>7.11</v>
      </c>
      <c r="AU102" s="57">
        <f>Scale!AF43</f>
        <v>7.11</v>
      </c>
      <c r="AV102" s="57">
        <f>Scale!AG43</f>
        <v>7.11</v>
      </c>
      <c r="AW102" s="57">
        <f>Scale!AH43</f>
        <v>7.11</v>
      </c>
      <c r="AX102" s="57">
        <f>Scale!AI43</f>
        <v>7.11</v>
      </c>
      <c r="AY102" s="57">
        <f>Scale!AJ43</f>
        <v>7.11</v>
      </c>
      <c r="AZ102" s="57">
        <f>Scale!AK43</f>
        <v>7.11</v>
      </c>
      <c r="BA102" s="57">
        <f>Scale!AL43</f>
        <v>7.11</v>
      </c>
      <c r="BB102" s="57">
        <f>Scale!AM43</f>
        <v>7.11</v>
      </c>
      <c r="BC102" s="57">
        <f>Scale!AN43</f>
        <v>7.11</v>
      </c>
      <c r="BD102" s="57">
        <f>Scale!AO43</f>
        <v>7.11</v>
      </c>
      <c r="BE102" s="57">
        <f>Scale!AP43</f>
        <v>7.11</v>
      </c>
      <c r="BF102" s="57">
        <f>Scale!AQ43</f>
        <v>7.11</v>
      </c>
      <c r="BG102" s="57">
        <f>Scale!AR43</f>
        <v>7.11</v>
      </c>
      <c r="BH102" s="57">
        <f>Scale!AS43</f>
        <v>7.11</v>
      </c>
      <c r="BI102" s="57">
        <f>Scale!AT43</f>
        <v>7.11</v>
      </c>
      <c r="BJ102" s="57">
        <f>Scale!AU43</f>
        <v>7.11</v>
      </c>
      <c r="BK102" s="57">
        <f>Scale!AV43</f>
        <v>7.11</v>
      </c>
      <c r="BL102" s="57">
        <f>Scale!AW43</f>
        <v>7.11</v>
      </c>
      <c r="BM102" s="57">
        <f>Scale!AX43</f>
        <v>7.11</v>
      </c>
      <c r="BN102" s="57">
        <f>Scale!AY43</f>
        <v>7.11</v>
      </c>
      <c r="BO102" s="57">
        <f>Scale!AZ43</f>
        <v>7.11</v>
      </c>
      <c r="BP102" s="57">
        <f>Scale!BA43</f>
        <v>7.11</v>
      </c>
      <c r="BQ102" s="57">
        <f>Scale!BB43</f>
        <v>7.11</v>
      </c>
      <c r="BR102" s="57">
        <f>Scale!BC43</f>
        <v>7.11</v>
      </c>
      <c r="BS102" s="57">
        <f>Scale!BD43</f>
        <v>7.11</v>
      </c>
      <c r="BT102" s="57">
        <f>Scale!BE43</f>
        <v>7.11</v>
      </c>
      <c r="BU102" s="54"/>
      <c r="BV102" s="54"/>
      <c r="BW102" s="54"/>
      <c r="BX102" s="54"/>
      <c r="BY102" s="54"/>
      <c r="BZ102" s="54"/>
    </row>
    <row r="103" spans="1:78" x14ac:dyDescent="0.35">
      <c r="A103" s="40">
        <v>24</v>
      </c>
      <c r="B103" s="41">
        <f t="shared" si="0"/>
        <v>2.5210574824076699E-2</v>
      </c>
      <c r="C103" s="28">
        <f t="shared" si="2"/>
        <v>0.83443866867859084</v>
      </c>
      <c r="D103" s="28"/>
      <c r="E103" s="42">
        <f t="shared" si="1"/>
        <v>2016</v>
      </c>
      <c r="K103" s="28"/>
      <c r="L103" s="29"/>
      <c r="P103" s="57" t="str">
        <f>Scale!A44</f>
        <v>0503</v>
      </c>
      <c r="Q103" s="57">
        <f>Scale!B44</f>
        <v>0</v>
      </c>
      <c r="R103" s="57">
        <f>Scale!C44</f>
        <v>0</v>
      </c>
      <c r="S103" s="57">
        <f>Scale!D44</f>
        <v>0</v>
      </c>
      <c r="T103" s="57">
        <f>Scale!E44</f>
        <v>0</v>
      </c>
      <c r="U103" s="57">
        <f>Scale!F44</f>
        <v>0</v>
      </c>
      <c r="V103" s="57">
        <f>Scale!G44</f>
        <v>8.6999999999999993</v>
      </c>
      <c r="W103" s="57">
        <f>Scale!H44</f>
        <v>8.6999999999999993</v>
      </c>
      <c r="X103" s="57">
        <f>Scale!I44</f>
        <v>8.6999999999999993</v>
      </c>
      <c r="Y103" s="57">
        <f>Scale!J44</f>
        <v>8.6999999999999993</v>
      </c>
      <c r="Z103" s="57">
        <f>Scale!K44</f>
        <v>8.6999999999999993</v>
      </c>
      <c r="AA103" s="57">
        <f>Scale!L44</f>
        <v>8.6999999999999993</v>
      </c>
      <c r="AB103" s="57">
        <f>Scale!M44</f>
        <v>8.6999999999999993</v>
      </c>
      <c r="AC103" s="57">
        <f>Scale!N44</f>
        <v>8.6999999999999993</v>
      </c>
      <c r="AD103" s="57">
        <f>Scale!O44</f>
        <v>8.6999999999999993</v>
      </c>
      <c r="AE103" s="57">
        <f>Scale!P44</f>
        <v>8.6999999999999993</v>
      </c>
      <c r="AF103" s="57">
        <f>Scale!Q44</f>
        <v>8.6999999999999993</v>
      </c>
      <c r="AG103" s="57">
        <f>Scale!R44</f>
        <v>8.6999999999999993</v>
      </c>
      <c r="AH103" s="57">
        <f>Scale!S44</f>
        <v>8.6999999999999993</v>
      </c>
      <c r="AI103" s="57">
        <f>Scale!T44</f>
        <v>8.6999999999999993</v>
      </c>
      <c r="AJ103" s="57">
        <f>Scale!U44</f>
        <v>8.6999999999999993</v>
      </c>
      <c r="AK103" s="57">
        <f>Scale!V44</f>
        <v>8.6999999999999993</v>
      </c>
      <c r="AL103" s="57">
        <f>Scale!W44</f>
        <v>8.6999999999999993</v>
      </c>
      <c r="AM103" s="57">
        <f>Scale!X44</f>
        <v>8.6999999999999993</v>
      </c>
      <c r="AN103" s="57">
        <f>Scale!Y44</f>
        <v>8.6999999999999993</v>
      </c>
      <c r="AO103" s="57">
        <f>Scale!Z44</f>
        <v>8.6999999999999993</v>
      </c>
      <c r="AP103" s="57">
        <f>Scale!AA44</f>
        <v>8.6999999999999993</v>
      </c>
      <c r="AQ103" s="57">
        <f>Scale!AB44</f>
        <v>8.6999999999999993</v>
      </c>
      <c r="AR103" s="57">
        <f>Scale!AC44</f>
        <v>8.6999999999999993</v>
      </c>
      <c r="AS103" s="57">
        <f>Scale!AD44</f>
        <v>8.6999999999999993</v>
      </c>
      <c r="AT103" s="57">
        <f>Scale!AE44</f>
        <v>8.6999999999999993</v>
      </c>
      <c r="AU103" s="57">
        <f>Scale!AF44</f>
        <v>8.6999999999999993</v>
      </c>
      <c r="AV103" s="57">
        <f>Scale!AG44</f>
        <v>8.6999999999999993</v>
      </c>
      <c r="AW103" s="57">
        <f>Scale!AH44</f>
        <v>8.6999999999999993</v>
      </c>
      <c r="AX103" s="57">
        <f>Scale!AI44</f>
        <v>8.6999999999999993</v>
      </c>
      <c r="AY103" s="57">
        <f>Scale!AJ44</f>
        <v>8.6999999999999993</v>
      </c>
      <c r="AZ103" s="57">
        <f>Scale!AK44</f>
        <v>8.6999999999999993</v>
      </c>
      <c r="BA103" s="57">
        <f>Scale!AL44</f>
        <v>8.6999999999999993</v>
      </c>
      <c r="BB103" s="57">
        <f>Scale!AM44</f>
        <v>8.6999999999999993</v>
      </c>
      <c r="BC103" s="57">
        <f>Scale!AN44</f>
        <v>8.6999999999999993</v>
      </c>
      <c r="BD103" s="57">
        <f>Scale!AO44</f>
        <v>8.6999999999999993</v>
      </c>
      <c r="BE103" s="57">
        <f>Scale!AP44</f>
        <v>8.6999999999999993</v>
      </c>
      <c r="BF103" s="57">
        <f>Scale!AQ44</f>
        <v>8.6999999999999993</v>
      </c>
      <c r="BG103" s="57">
        <f>Scale!AR44</f>
        <v>8.6999999999999993</v>
      </c>
      <c r="BH103" s="57">
        <f>Scale!AS44</f>
        <v>8.6999999999999993</v>
      </c>
      <c r="BI103" s="57">
        <f>Scale!AT44</f>
        <v>8.6999999999999993</v>
      </c>
      <c r="BJ103" s="57">
        <f>Scale!AU44</f>
        <v>8.6999999999999993</v>
      </c>
      <c r="BK103" s="57">
        <f>Scale!AV44</f>
        <v>8.6999999999999993</v>
      </c>
      <c r="BL103" s="57">
        <f>Scale!AW44</f>
        <v>8.6999999999999993</v>
      </c>
      <c r="BM103" s="57">
        <f>Scale!AX44</f>
        <v>8.6999999999999993</v>
      </c>
      <c r="BN103" s="57">
        <f>Scale!AY44</f>
        <v>8.6999999999999993</v>
      </c>
      <c r="BO103" s="57">
        <f>Scale!AZ44</f>
        <v>8.6999999999999993</v>
      </c>
      <c r="BP103" s="57">
        <f>Scale!BA44</f>
        <v>8.6999999999999993</v>
      </c>
      <c r="BQ103" s="57">
        <f>Scale!BB44</f>
        <v>8.6999999999999993</v>
      </c>
      <c r="BR103" s="57">
        <f>Scale!BC44</f>
        <v>8.6999999999999993</v>
      </c>
      <c r="BS103" s="57">
        <f>Scale!BD44</f>
        <v>8.6999999999999993</v>
      </c>
      <c r="BT103" s="57">
        <f>Scale!BE44</f>
        <v>8.6999999999999993</v>
      </c>
      <c r="BU103" s="54"/>
      <c r="BV103" s="54"/>
      <c r="BW103" s="54"/>
      <c r="BX103" s="54"/>
      <c r="BY103" s="54"/>
      <c r="BZ103" s="54"/>
    </row>
    <row r="104" spans="1:78" x14ac:dyDescent="0.35">
      <c r="A104" s="40">
        <v>24.5</v>
      </c>
      <c r="B104" s="41">
        <f t="shared" si="0"/>
        <v>2.3895688288524255E-2</v>
      </c>
      <c r="C104" s="28">
        <f t="shared" si="2"/>
        <v>0.84638651282285293</v>
      </c>
      <c r="D104" s="28"/>
      <c r="E104" s="42">
        <f t="shared" si="1"/>
        <v>2016.5</v>
      </c>
      <c r="K104" s="28"/>
      <c r="L104" s="29"/>
      <c r="P104" s="57" t="str">
        <f>Scale!A45</f>
        <v>0504</v>
      </c>
      <c r="Q104" s="57">
        <f>Scale!B45</f>
        <v>0</v>
      </c>
      <c r="R104" s="57">
        <f>Scale!C45</f>
        <v>0</v>
      </c>
      <c r="S104" s="57">
        <f>Scale!D45</f>
        <v>0</v>
      </c>
      <c r="T104" s="57">
        <f>Scale!E45</f>
        <v>0</v>
      </c>
      <c r="U104" s="57">
        <f>Scale!F45</f>
        <v>0</v>
      </c>
      <c r="V104" s="57">
        <f>Scale!G45</f>
        <v>7.3</v>
      </c>
      <c r="W104" s="57">
        <f>Scale!H45</f>
        <v>7.3</v>
      </c>
      <c r="X104" s="57">
        <f>Scale!I45</f>
        <v>7.3</v>
      </c>
      <c r="Y104" s="57">
        <f>Scale!J45</f>
        <v>7.3</v>
      </c>
      <c r="Z104" s="57">
        <f>Scale!K45</f>
        <v>7.3</v>
      </c>
      <c r="AA104" s="57">
        <f>Scale!L45</f>
        <v>7.3</v>
      </c>
      <c r="AB104" s="57">
        <f>Scale!M45</f>
        <v>7.3</v>
      </c>
      <c r="AC104" s="57">
        <f>Scale!N45</f>
        <v>7.3</v>
      </c>
      <c r="AD104" s="57">
        <f>Scale!O45</f>
        <v>7.3</v>
      </c>
      <c r="AE104" s="57">
        <f>Scale!P45</f>
        <v>7.3</v>
      </c>
      <c r="AF104" s="57">
        <f>Scale!Q45</f>
        <v>7.3</v>
      </c>
      <c r="AG104" s="57">
        <f>Scale!R45</f>
        <v>7.3</v>
      </c>
      <c r="AH104" s="57">
        <f>Scale!S45</f>
        <v>7.3</v>
      </c>
      <c r="AI104" s="57">
        <f>Scale!T45</f>
        <v>7.3</v>
      </c>
      <c r="AJ104" s="57">
        <f>Scale!U45</f>
        <v>7.3</v>
      </c>
      <c r="AK104" s="57">
        <f>Scale!V45</f>
        <v>7.3</v>
      </c>
      <c r="AL104" s="57">
        <f>Scale!W45</f>
        <v>7.3</v>
      </c>
      <c r="AM104" s="57">
        <f>Scale!X45</f>
        <v>7.3</v>
      </c>
      <c r="AN104" s="57">
        <f>Scale!Y45</f>
        <v>7.3</v>
      </c>
      <c r="AO104" s="57">
        <f>Scale!Z45</f>
        <v>7.3</v>
      </c>
      <c r="AP104" s="57">
        <f>Scale!AA45</f>
        <v>7.3</v>
      </c>
      <c r="AQ104" s="57">
        <f>Scale!AB45</f>
        <v>7.3</v>
      </c>
      <c r="AR104" s="57">
        <f>Scale!AC45</f>
        <v>7.3</v>
      </c>
      <c r="AS104" s="57">
        <f>Scale!AD45</f>
        <v>7.3</v>
      </c>
      <c r="AT104" s="57">
        <f>Scale!AE45</f>
        <v>7.3</v>
      </c>
      <c r="AU104" s="57">
        <f>Scale!AF45</f>
        <v>7.3</v>
      </c>
      <c r="AV104" s="57">
        <f>Scale!AG45</f>
        <v>7.3</v>
      </c>
      <c r="AW104" s="57">
        <f>Scale!AH45</f>
        <v>7.3</v>
      </c>
      <c r="AX104" s="57">
        <f>Scale!AI45</f>
        <v>7.3</v>
      </c>
      <c r="AY104" s="57">
        <f>Scale!AJ45</f>
        <v>7.3</v>
      </c>
      <c r="AZ104" s="57">
        <f>Scale!AK45</f>
        <v>7.3</v>
      </c>
      <c r="BA104" s="57">
        <f>Scale!AL45</f>
        <v>7.3</v>
      </c>
      <c r="BB104" s="57">
        <f>Scale!AM45</f>
        <v>7.3</v>
      </c>
      <c r="BC104" s="57">
        <f>Scale!AN45</f>
        <v>7.3</v>
      </c>
      <c r="BD104" s="57">
        <f>Scale!AO45</f>
        <v>7.3</v>
      </c>
      <c r="BE104" s="57">
        <f>Scale!AP45</f>
        <v>7.3</v>
      </c>
      <c r="BF104" s="57">
        <f>Scale!AQ45</f>
        <v>7.3</v>
      </c>
      <c r="BG104" s="57">
        <f>Scale!AR45</f>
        <v>7.3</v>
      </c>
      <c r="BH104" s="57">
        <f>Scale!AS45</f>
        <v>7.3</v>
      </c>
      <c r="BI104" s="57">
        <f>Scale!AT45</f>
        <v>7.3</v>
      </c>
      <c r="BJ104" s="57">
        <f>Scale!AU45</f>
        <v>7.3</v>
      </c>
      <c r="BK104" s="57">
        <f>Scale!AV45</f>
        <v>7.3</v>
      </c>
      <c r="BL104" s="57">
        <f>Scale!AW45</f>
        <v>7.3</v>
      </c>
      <c r="BM104" s="57">
        <f>Scale!AX45</f>
        <v>7.3</v>
      </c>
      <c r="BN104" s="57">
        <f>Scale!AY45</f>
        <v>7.3</v>
      </c>
      <c r="BO104" s="57">
        <f>Scale!AZ45</f>
        <v>7.3</v>
      </c>
      <c r="BP104" s="57">
        <f>Scale!BA45</f>
        <v>7.3</v>
      </c>
      <c r="BQ104" s="57">
        <f>Scale!BB45</f>
        <v>7.3</v>
      </c>
      <c r="BR104" s="57">
        <f>Scale!BC45</f>
        <v>7.3</v>
      </c>
      <c r="BS104" s="57">
        <f>Scale!BD45</f>
        <v>7.3</v>
      </c>
      <c r="BT104" s="57">
        <f>Scale!BE45</f>
        <v>7.3</v>
      </c>
      <c r="BU104" s="54"/>
      <c r="BV104" s="54"/>
      <c r="BW104" s="54"/>
      <c r="BX104" s="54"/>
      <c r="BY104" s="54"/>
      <c r="BZ104" s="54"/>
    </row>
    <row r="105" spans="1:78" x14ac:dyDescent="0.35">
      <c r="A105" s="40">
        <v>25</v>
      </c>
      <c r="B105" s="41">
        <f t="shared" si="0"/>
        <v>2.2605344644788868E-2</v>
      </c>
      <c r="C105" s="28">
        <f t="shared" si="2"/>
        <v>0.85768918514524739</v>
      </c>
      <c r="D105" s="28"/>
      <c r="E105" s="42">
        <f t="shared" si="1"/>
        <v>2017</v>
      </c>
      <c r="K105" s="28"/>
      <c r="L105" s="29"/>
      <c r="P105" s="57" t="str">
        <f>Scale!A46</f>
        <v>0505</v>
      </c>
      <c r="Q105" s="57">
        <f>Scale!B46</f>
        <v>0</v>
      </c>
      <c r="R105" s="57">
        <f>Scale!C46</f>
        <v>0</v>
      </c>
      <c r="S105" s="57">
        <f>Scale!D46</f>
        <v>0</v>
      </c>
      <c r="T105" s="57">
        <f>Scale!E46</f>
        <v>0</v>
      </c>
      <c r="U105" s="57">
        <f>Scale!F46</f>
        <v>0</v>
      </c>
      <c r="V105" s="57">
        <f>Scale!G46</f>
        <v>12.914999999999999</v>
      </c>
      <c r="W105" s="57">
        <f>Scale!H46</f>
        <v>12.914999999999999</v>
      </c>
      <c r="X105" s="57">
        <f>Scale!I46</f>
        <v>12.914999999999999</v>
      </c>
      <c r="Y105" s="57">
        <f>Scale!J46</f>
        <v>12.914999999999999</v>
      </c>
      <c r="Z105" s="57">
        <f>Scale!K46</f>
        <v>12.914999999999999</v>
      </c>
      <c r="AA105" s="57">
        <f>Scale!L46</f>
        <v>12.914999999999999</v>
      </c>
      <c r="AB105" s="57">
        <f>Scale!M46</f>
        <v>12.914999999999999</v>
      </c>
      <c r="AC105" s="57">
        <f>Scale!N46</f>
        <v>12.914999999999999</v>
      </c>
      <c r="AD105" s="57">
        <f>Scale!O46</f>
        <v>12.914999999999999</v>
      </c>
      <c r="AE105" s="57">
        <f>Scale!P46</f>
        <v>12.914999999999999</v>
      </c>
      <c r="AF105" s="57">
        <f>Scale!Q46</f>
        <v>12.914999999999999</v>
      </c>
      <c r="AG105" s="57">
        <f>Scale!R46</f>
        <v>12.914999999999999</v>
      </c>
      <c r="AH105" s="57">
        <f>Scale!S46</f>
        <v>12.914999999999999</v>
      </c>
      <c r="AI105" s="57">
        <f>Scale!T46</f>
        <v>12.914999999999999</v>
      </c>
      <c r="AJ105" s="57">
        <f>Scale!U46</f>
        <v>12.914999999999999</v>
      </c>
      <c r="AK105" s="57">
        <f>Scale!V46</f>
        <v>12.914999999999999</v>
      </c>
      <c r="AL105" s="57">
        <f>Scale!W46</f>
        <v>12.914999999999999</v>
      </c>
      <c r="AM105" s="57">
        <f>Scale!X46</f>
        <v>12.914999999999999</v>
      </c>
      <c r="AN105" s="57">
        <f>Scale!Y46</f>
        <v>12.914999999999999</v>
      </c>
      <c r="AO105" s="57">
        <f>Scale!Z46</f>
        <v>12.914999999999999</v>
      </c>
      <c r="AP105" s="57">
        <f>Scale!AA46</f>
        <v>12.914999999999999</v>
      </c>
      <c r="AQ105" s="57">
        <f>Scale!AB46</f>
        <v>12.914999999999999</v>
      </c>
      <c r="AR105" s="57">
        <f>Scale!AC46</f>
        <v>12.914999999999999</v>
      </c>
      <c r="AS105" s="57">
        <f>Scale!AD46</f>
        <v>12.914999999999999</v>
      </c>
      <c r="AT105" s="57">
        <f>Scale!AE46</f>
        <v>12.914999999999999</v>
      </c>
      <c r="AU105" s="57">
        <f>Scale!AF46</f>
        <v>12.914999999999999</v>
      </c>
      <c r="AV105" s="57">
        <f>Scale!AG46</f>
        <v>12.914999999999999</v>
      </c>
      <c r="AW105" s="57">
        <f>Scale!AH46</f>
        <v>12.914999999999999</v>
      </c>
      <c r="AX105" s="57">
        <f>Scale!AI46</f>
        <v>12.914999999999999</v>
      </c>
      <c r="AY105" s="57">
        <f>Scale!AJ46</f>
        <v>12.914999999999999</v>
      </c>
      <c r="AZ105" s="57">
        <f>Scale!AK46</f>
        <v>12.914999999999999</v>
      </c>
      <c r="BA105" s="57">
        <f>Scale!AL46</f>
        <v>12.914999999999999</v>
      </c>
      <c r="BB105" s="57">
        <f>Scale!AM46</f>
        <v>12.914999999999999</v>
      </c>
      <c r="BC105" s="57">
        <f>Scale!AN46</f>
        <v>12.914999999999999</v>
      </c>
      <c r="BD105" s="57">
        <f>Scale!AO46</f>
        <v>12.914999999999999</v>
      </c>
      <c r="BE105" s="57">
        <f>Scale!AP46</f>
        <v>12.914999999999999</v>
      </c>
      <c r="BF105" s="57">
        <f>Scale!AQ46</f>
        <v>12.914999999999999</v>
      </c>
      <c r="BG105" s="57">
        <f>Scale!AR46</f>
        <v>12.914999999999999</v>
      </c>
      <c r="BH105" s="57">
        <f>Scale!AS46</f>
        <v>12.914999999999999</v>
      </c>
      <c r="BI105" s="57">
        <f>Scale!AT46</f>
        <v>12.914999999999999</v>
      </c>
      <c r="BJ105" s="57">
        <f>Scale!AU46</f>
        <v>12.914999999999999</v>
      </c>
      <c r="BK105" s="57">
        <f>Scale!AV46</f>
        <v>12.914999999999999</v>
      </c>
      <c r="BL105" s="57">
        <f>Scale!AW46</f>
        <v>12.914999999999999</v>
      </c>
      <c r="BM105" s="57">
        <f>Scale!AX46</f>
        <v>12.914999999999999</v>
      </c>
      <c r="BN105" s="57">
        <f>Scale!AY46</f>
        <v>12.914999999999999</v>
      </c>
      <c r="BO105" s="57">
        <f>Scale!AZ46</f>
        <v>12.914999999999999</v>
      </c>
      <c r="BP105" s="57">
        <f>Scale!BA46</f>
        <v>12.914999999999999</v>
      </c>
      <c r="BQ105" s="57">
        <f>Scale!BB46</f>
        <v>12.914999999999999</v>
      </c>
      <c r="BR105" s="57">
        <f>Scale!BC46</f>
        <v>12.914999999999999</v>
      </c>
      <c r="BS105" s="57">
        <f>Scale!BD46</f>
        <v>12.914999999999999</v>
      </c>
      <c r="BT105" s="57">
        <f>Scale!BE46</f>
        <v>12.914999999999999</v>
      </c>
      <c r="BU105" s="54"/>
      <c r="BV105" s="54"/>
      <c r="BW105" s="54"/>
      <c r="BX105" s="54"/>
      <c r="BY105" s="54"/>
      <c r="BZ105" s="54"/>
    </row>
    <row r="106" spans="1:78" x14ac:dyDescent="0.35">
      <c r="A106" s="40">
        <v>25.5</v>
      </c>
      <c r="B106" s="41">
        <f t="shared" si="0"/>
        <v>2.1343452845215584E-2</v>
      </c>
      <c r="C106" s="28">
        <f t="shared" si="2"/>
        <v>0.86836091156785522</v>
      </c>
      <c r="D106" s="28"/>
      <c r="E106" s="42">
        <f t="shared" si="1"/>
        <v>2017.5</v>
      </c>
      <c r="K106" s="28"/>
      <c r="L106" s="29"/>
      <c r="P106" s="57" t="str">
        <f>Scale!A47</f>
        <v>0506</v>
      </c>
      <c r="Q106" s="57">
        <f>Scale!B47</f>
        <v>0</v>
      </c>
      <c r="R106" s="57">
        <f>Scale!C47</f>
        <v>0</v>
      </c>
      <c r="S106" s="57">
        <f>Scale!D47</f>
        <v>0</v>
      </c>
      <c r="T106" s="57">
        <f>Scale!E47</f>
        <v>0</v>
      </c>
      <c r="U106" s="57">
        <f>Scale!F47</f>
        <v>0</v>
      </c>
      <c r="V106" s="57">
        <f>Scale!G47</f>
        <v>16.59</v>
      </c>
      <c r="W106" s="57">
        <f>Scale!H47</f>
        <v>16.59</v>
      </c>
      <c r="X106" s="57">
        <f>Scale!I47</f>
        <v>16.59</v>
      </c>
      <c r="Y106" s="57">
        <f>Scale!J47</f>
        <v>16.59</v>
      </c>
      <c r="Z106" s="57">
        <f>Scale!K47</f>
        <v>16.59</v>
      </c>
      <c r="AA106" s="57">
        <f>Scale!L47</f>
        <v>16.59</v>
      </c>
      <c r="AB106" s="57">
        <f>Scale!M47</f>
        <v>16.59</v>
      </c>
      <c r="AC106" s="57">
        <f>Scale!N47</f>
        <v>16.59</v>
      </c>
      <c r="AD106" s="57">
        <f>Scale!O47</f>
        <v>16.59</v>
      </c>
      <c r="AE106" s="57">
        <f>Scale!P47</f>
        <v>16.59</v>
      </c>
      <c r="AF106" s="57">
        <f>Scale!Q47</f>
        <v>16.59</v>
      </c>
      <c r="AG106" s="57">
        <f>Scale!R47</f>
        <v>16.59</v>
      </c>
      <c r="AH106" s="57">
        <f>Scale!S47</f>
        <v>16.59</v>
      </c>
      <c r="AI106" s="57">
        <f>Scale!T47</f>
        <v>16.59</v>
      </c>
      <c r="AJ106" s="57">
        <f>Scale!U47</f>
        <v>16.59</v>
      </c>
      <c r="AK106" s="57">
        <f>Scale!V47</f>
        <v>16.59</v>
      </c>
      <c r="AL106" s="57">
        <f>Scale!W47</f>
        <v>16.59</v>
      </c>
      <c r="AM106" s="57">
        <f>Scale!X47</f>
        <v>16.59</v>
      </c>
      <c r="AN106" s="57">
        <f>Scale!Y47</f>
        <v>16.59</v>
      </c>
      <c r="AO106" s="57">
        <f>Scale!Z47</f>
        <v>16.59</v>
      </c>
      <c r="AP106" s="57">
        <f>Scale!AA47</f>
        <v>16.59</v>
      </c>
      <c r="AQ106" s="57">
        <f>Scale!AB47</f>
        <v>16.59</v>
      </c>
      <c r="AR106" s="57">
        <f>Scale!AC47</f>
        <v>16.59</v>
      </c>
      <c r="AS106" s="57">
        <f>Scale!AD47</f>
        <v>16.59</v>
      </c>
      <c r="AT106" s="57">
        <f>Scale!AE47</f>
        <v>16.59</v>
      </c>
      <c r="AU106" s="57">
        <f>Scale!AF47</f>
        <v>16.59</v>
      </c>
      <c r="AV106" s="57">
        <f>Scale!AG47</f>
        <v>16.59</v>
      </c>
      <c r="AW106" s="57">
        <f>Scale!AH47</f>
        <v>16.59</v>
      </c>
      <c r="AX106" s="57">
        <f>Scale!AI47</f>
        <v>16.59</v>
      </c>
      <c r="AY106" s="57">
        <f>Scale!AJ47</f>
        <v>16.59</v>
      </c>
      <c r="AZ106" s="57">
        <f>Scale!AK47</f>
        <v>16.59</v>
      </c>
      <c r="BA106" s="57">
        <f>Scale!AL47</f>
        <v>16.59</v>
      </c>
      <c r="BB106" s="57">
        <f>Scale!AM47</f>
        <v>16.59</v>
      </c>
      <c r="BC106" s="57">
        <f>Scale!AN47</f>
        <v>16.59</v>
      </c>
      <c r="BD106" s="57">
        <f>Scale!AO47</f>
        <v>16.59</v>
      </c>
      <c r="BE106" s="57">
        <f>Scale!AP47</f>
        <v>16.59</v>
      </c>
      <c r="BF106" s="57">
        <f>Scale!AQ47</f>
        <v>16.59</v>
      </c>
      <c r="BG106" s="57">
        <f>Scale!AR47</f>
        <v>16.59</v>
      </c>
      <c r="BH106" s="57">
        <f>Scale!AS47</f>
        <v>16.59</v>
      </c>
      <c r="BI106" s="57">
        <f>Scale!AT47</f>
        <v>16.59</v>
      </c>
      <c r="BJ106" s="57">
        <f>Scale!AU47</f>
        <v>16.59</v>
      </c>
      <c r="BK106" s="57">
        <f>Scale!AV47</f>
        <v>16.59</v>
      </c>
      <c r="BL106" s="57">
        <f>Scale!AW47</f>
        <v>16.59</v>
      </c>
      <c r="BM106" s="57">
        <f>Scale!AX47</f>
        <v>16.59</v>
      </c>
      <c r="BN106" s="57">
        <f>Scale!AY47</f>
        <v>16.59</v>
      </c>
      <c r="BO106" s="57">
        <f>Scale!AZ47</f>
        <v>16.59</v>
      </c>
      <c r="BP106" s="57">
        <f>Scale!BA47</f>
        <v>16.59</v>
      </c>
      <c r="BQ106" s="57">
        <f>Scale!BB47</f>
        <v>16.59</v>
      </c>
      <c r="BR106" s="57">
        <f>Scale!BC47</f>
        <v>16.59</v>
      </c>
      <c r="BS106" s="57">
        <f>Scale!BD47</f>
        <v>16.59</v>
      </c>
      <c r="BT106" s="57">
        <f>Scale!BE47</f>
        <v>16.59</v>
      </c>
      <c r="BU106" s="54"/>
      <c r="BV106" s="54"/>
      <c r="BW106" s="54"/>
      <c r="BX106" s="54"/>
      <c r="BY106" s="54"/>
      <c r="BZ106" s="54"/>
    </row>
    <row r="107" spans="1:78" x14ac:dyDescent="0.35">
      <c r="A107" s="40">
        <v>26</v>
      </c>
      <c r="B107" s="41">
        <f t="shared" si="0"/>
        <v>2.011346672115373E-2</v>
      </c>
      <c r="C107" s="28">
        <f t="shared" si="2"/>
        <v>0.87841764492843211</v>
      </c>
      <c r="D107" s="28"/>
      <c r="E107" s="42">
        <f t="shared" si="1"/>
        <v>2018</v>
      </c>
      <c r="K107" s="28"/>
      <c r="L107" s="29"/>
      <c r="P107" s="57" t="str">
        <f>Scale!A48</f>
        <v>0507</v>
      </c>
      <c r="Q107" s="57">
        <f>Scale!B48</f>
        <v>0</v>
      </c>
      <c r="R107" s="57">
        <f>Scale!C48</f>
        <v>0</v>
      </c>
      <c r="S107" s="57">
        <f>Scale!D48</f>
        <v>0</v>
      </c>
      <c r="T107" s="57">
        <f>Scale!E48</f>
        <v>0</v>
      </c>
      <c r="U107" s="57">
        <f>Scale!F48</f>
        <v>0</v>
      </c>
      <c r="V107" s="57">
        <f>Scale!G48</f>
        <v>20.5</v>
      </c>
      <c r="W107" s="57">
        <f>Scale!H48</f>
        <v>20.5</v>
      </c>
      <c r="X107" s="57">
        <f>Scale!I48</f>
        <v>20.5</v>
      </c>
      <c r="Y107" s="57">
        <f>Scale!J48</f>
        <v>20.5</v>
      </c>
      <c r="Z107" s="57">
        <f>Scale!K48</f>
        <v>20.5</v>
      </c>
      <c r="AA107" s="57">
        <f>Scale!L48</f>
        <v>20.5</v>
      </c>
      <c r="AB107" s="57">
        <f>Scale!M48</f>
        <v>20.5</v>
      </c>
      <c r="AC107" s="57">
        <f>Scale!N48</f>
        <v>20.5</v>
      </c>
      <c r="AD107" s="57">
        <f>Scale!O48</f>
        <v>20.5</v>
      </c>
      <c r="AE107" s="57">
        <f>Scale!P48</f>
        <v>20.5</v>
      </c>
      <c r="AF107" s="57">
        <f>Scale!Q48</f>
        <v>20.5</v>
      </c>
      <c r="AG107" s="57">
        <f>Scale!R48</f>
        <v>20.5</v>
      </c>
      <c r="AH107" s="57">
        <f>Scale!S48</f>
        <v>20.5</v>
      </c>
      <c r="AI107" s="57">
        <f>Scale!T48</f>
        <v>20.5</v>
      </c>
      <c r="AJ107" s="57">
        <f>Scale!U48</f>
        <v>20.5</v>
      </c>
      <c r="AK107" s="57">
        <f>Scale!V48</f>
        <v>20.5</v>
      </c>
      <c r="AL107" s="57">
        <f>Scale!W48</f>
        <v>20.5</v>
      </c>
      <c r="AM107" s="57">
        <f>Scale!X48</f>
        <v>20.5</v>
      </c>
      <c r="AN107" s="57">
        <f>Scale!Y48</f>
        <v>20.5</v>
      </c>
      <c r="AO107" s="57">
        <f>Scale!Z48</f>
        <v>20.5</v>
      </c>
      <c r="AP107" s="57">
        <f>Scale!AA48</f>
        <v>20.5</v>
      </c>
      <c r="AQ107" s="57">
        <f>Scale!AB48</f>
        <v>20.5</v>
      </c>
      <c r="AR107" s="57">
        <f>Scale!AC48</f>
        <v>20.5</v>
      </c>
      <c r="AS107" s="57">
        <f>Scale!AD48</f>
        <v>20.5</v>
      </c>
      <c r="AT107" s="57">
        <f>Scale!AE48</f>
        <v>20.5</v>
      </c>
      <c r="AU107" s="57">
        <f>Scale!AF48</f>
        <v>20.5</v>
      </c>
      <c r="AV107" s="57">
        <f>Scale!AG48</f>
        <v>20.5</v>
      </c>
      <c r="AW107" s="57">
        <f>Scale!AH48</f>
        <v>20.5</v>
      </c>
      <c r="AX107" s="57">
        <f>Scale!AI48</f>
        <v>20.5</v>
      </c>
      <c r="AY107" s="57">
        <f>Scale!AJ48</f>
        <v>20.5</v>
      </c>
      <c r="AZ107" s="57">
        <f>Scale!AK48</f>
        <v>20.5</v>
      </c>
      <c r="BA107" s="57">
        <f>Scale!AL48</f>
        <v>20.5</v>
      </c>
      <c r="BB107" s="57">
        <f>Scale!AM48</f>
        <v>20.5</v>
      </c>
      <c r="BC107" s="57">
        <f>Scale!AN48</f>
        <v>20.5</v>
      </c>
      <c r="BD107" s="57">
        <f>Scale!AO48</f>
        <v>20.5</v>
      </c>
      <c r="BE107" s="57">
        <f>Scale!AP48</f>
        <v>20.5</v>
      </c>
      <c r="BF107" s="57">
        <f>Scale!AQ48</f>
        <v>20.5</v>
      </c>
      <c r="BG107" s="57">
        <f>Scale!AR48</f>
        <v>20.5</v>
      </c>
      <c r="BH107" s="57">
        <f>Scale!AS48</f>
        <v>20.5</v>
      </c>
      <c r="BI107" s="57">
        <f>Scale!AT48</f>
        <v>20.5</v>
      </c>
      <c r="BJ107" s="57">
        <f>Scale!AU48</f>
        <v>20.5</v>
      </c>
      <c r="BK107" s="57">
        <f>Scale!AV48</f>
        <v>20.5</v>
      </c>
      <c r="BL107" s="57">
        <f>Scale!AW48</f>
        <v>20.5</v>
      </c>
      <c r="BM107" s="57">
        <f>Scale!AX48</f>
        <v>20.5</v>
      </c>
      <c r="BN107" s="57">
        <f>Scale!AY48</f>
        <v>20.5</v>
      </c>
      <c r="BO107" s="57">
        <f>Scale!AZ48</f>
        <v>20.5</v>
      </c>
      <c r="BP107" s="57">
        <f>Scale!BA48</f>
        <v>20.5</v>
      </c>
      <c r="BQ107" s="57">
        <f>Scale!BB48</f>
        <v>20.5</v>
      </c>
      <c r="BR107" s="57">
        <f>Scale!BC48</f>
        <v>20.5</v>
      </c>
      <c r="BS107" s="57">
        <f>Scale!BD48</f>
        <v>20.5</v>
      </c>
      <c r="BT107" s="57">
        <f>Scale!BE48</f>
        <v>20.5</v>
      </c>
      <c r="BU107" s="54"/>
      <c r="BV107" s="54"/>
      <c r="BW107" s="54"/>
      <c r="BX107" s="54"/>
      <c r="BY107" s="54"/>
      <c r="BZ107" s="54"/>
    </row>
    <row r="108" spans="1:78" x14ac:dyDescent="0.35">
      <c r="A108" s="40">
        <v>26.5</v>
      </c>
      <c r="B108" s="41">
        <f t="shared" si="0"/>
        <v>1.8918393409919403E-2</v>
      </c>
      <c r="C108" s="28">
        <f t="shared" si="2"/>
        <v>0.88787684163339176</v>
      </c>
      <c r="D108" s="28"/>
      <c r="E108" s="42">
        <f t="shared" si="1"/>
        <v>2018.5</v>
      </c>
      <c r="K108" s="28"/>
      <c r="L108" s="29"/>
      <c r="P108" s="57" t="str">
        <f>Scale!A49</f>
        <v>0601</v>
      </c>
      <c r="Q108" s="57">
        <f>Scale!B49</f>
        <v>0</v>
      </c>
      <c r="R108" s="57">
        <f>Scale!C49</f>
        <v>0</v>
      </c>
      <c r="S108" s="57">
        <f>Scale!D49</f>
        <v>0</v>
      </c>
      <c r="T108" s="57">
        <f>Scale!E49</f>
        <v>0</v>
      </c>
      <c r="U108" s="57">
        <f>Scale!F49</f>
        <v>0</v>
      </c>
      <c r="V108" s="57">
        <f>Scale!G49</f>
        <v>14.98</v>
      </c>
      <c r="W108" s="57">
        <f>Scale!H49</f>
        <v>14.98</v>
      </c>
      <c r="X108" s="57">
        <f>Scale!I49</f>
        <v>14.98</v>
      </c>
      <c r="Y108" s="57">
        <f>Scale!J49</f>
        <v>14.98</v>
      </c>
      <c r="Z108" s="57">
        <f>Scale!K49</f>
        <v>14.98</v>
      </c>
      <c r="AA108" s="57">
        <f>Scale!L49</f>
        <v>14.98</v>
      </c>
      <c r="AB108" s="57">
        <f>Scale!M49</f>
        <v>14.98</v>
      </c>
      <c r="AC108" s="57">
        <f>Scale!N49</f>
        <v>14.98</v>
      </c>
      <c r="AD108" s="57">
        <f>Scale!O49</f>
        <v>14.98</v>
      </c>
      <c r="AE108" s="57">
        <f>Scale!P49</f>
        <v>14.98</v>
      </c>
      <c r="AF108" s="57">
        <f>Scale!Q49</f>
        <v>14.98</v>
      </c>
      <c r="AG108" s="57">
        <f>Scale!R49</f>
        <v>14.98</v>
      </c>
      <c r="AH108" s="57">
        <f>Scale!S49</f>
        <v>14.98</v>
      </c>
      <c r="AI108" s="57">
        <f>Scale!T49</f>
        <v>14.98</v>
      </c>
      <c r="AJ108" s="57">
        <f>Scale!U49</f>
        <v>14.98</v>
      </c>
      <c r="AK108" s="57">
        <f>Scale!V49</f>
        <v>14.98</v>
      </c>
      <c r="AL108" s="57">
        <f>Scale!W49</f>
        <v>14.98</v>
      </c>
      <c r="AM108" s="57">
        <f>Scale!X49</f>
        <v>14.98</v>
      </c>
      <c r="AN108" s="57">
        <f>Scale!Y49</f>
        <v>14.98</v>
      </c>
      <c r="AO108" s="57">
        <f>Scale!Z49</f>
        <v>14.98</v>
      </c>
      <c r="AP108" s="57">
        <f>Scale!AA49</f>
        <v>14.98</v>
      </c>
      <c r="AQ108" s="57">
        <f>Scale!AB49</f>
        <v>14.98</v>
      </c>
      <c r="AR108" s="57">
        <f>Scale!AC49</f>
        <v>14.98</v>
      </c>
      <c r="AS108" s="57">
        <f>Scale!AD49</f>
        <v>14.98</v>
      </c>
      <c r="AT108" s="57">
        <f>Scale!AE49</f>
        <v>14.98</v>
      </c>
      <c r="AU108" s="57">
        <f>Scale!AF49</f>
        <v>14.98</v>
      </c>
      <c r="AV108" s="57">
        <f>Scale!AG49</f>
        <v>14.98</v>
      </c>
      <c r="AW108" s="57">
        <f>Scale!AH49</f>
        <v>14.98</v>
      </c>
      <c r="AX108" s="57">
        <f>Scale!AI49</f>
        <v>14.98</v>
      </c>
      <c r="AY108" s="57">
        <f>Scale!AJ49</f>
        <v>14.98</v>
      </c>
      <c r="AZ108" s="57">
        <f>Scale!AK49</f>
        <v>14.98</v>
      </c>
      <c r="BA108" s="57">
        <f>Scale!AL49</f>
        <v>14.98</v>
      </c>
      <c r="BB108" s="57">
        <f>Scale!AM49</f>
        <v>14.98</v>
      </c>
      <c r="BC108" s="57">
        <f>Scale!AN49</f>
        <v>14.98</v>
      </c>
      <c r="BD108" s="57">
        <f>Scale!AO49</f>
        <v>14.98</v>
      </c>
      <c r="BE108" s="57">
        <f>Scale!AP49</f>
        <v>14.98</v>
      </c>
      <c r="BF108" s="57">
        <f>Scale!AQ49</f>
        <v>14.98</v>
      </c>
      <c r="BG108" s="57">
        <f>Scale!AR49</f>
        <v>14.98</v>
      </c>
      <c r="BH108" s="57">
        <f>Scale!AS49</f>
        <v>14.98</v>
      </c>
      <c r="BI108" s="57">
        <f>Scale!AT49</f>
        <v>14.98</v>
      </c>
      <c r="BJ108" s="57">
        <f>Scale!AU49</f>
        <v>14.98</v>
      </c>
      <c r="BK108" s="57">
        <f>Scale!AV49</f>
        <v>14.98</v>
      </c>
      <c r="BL108" s="57">
        <f>Scale!AW49</f>
        <v>14.98</v>
      </c>
      <c r="BM108" s="57">
        <f>Scale!AX49</f>
        <v>14.98</v>
      </c>
      <c r="BN108" s="57">
        <f>Scale!AY49</f>
        <v>14.98</v>
      </c>
      <c r="BO108" s="57">
        <f>Scale!AZ49</f>
        <v>14.98</v>
      </c>
      <c r="BP108" s="57">
        <f>Scale!BA49</f>
        <v>14.98</v>
      </c>
      <c r="BQ108" s="57">
        <f>Scale!BB49</f>
        <v>14.98</v>
      </c>
      <c r="BR108" s="57">
        <f>Scale!BC49</f>
        <v>14.98</v>
      </c>
      <c r="BS108" s="57">
        <f>Scale!BD49</f>
        <v>14.98</v>
      </c>
      <c r="BT108" s="57">
        <f>Scale!BE49</f>
        <v>14.98</v>
      </c>
      <c r="BU108" s="54"/>
      <c r="BV108" s="54"/>
      <c r="BW108" s="54"/>
      <c r="BX108" s="54"/>
      <c r="BY108" s="54"/>
      <c r="BZ108" s="54"/>
    </row>
    <row r="109" spans="1:78" x14ac:dyDescent="0.35">
      <c r="A109" s="40">
        <v>27</v>
      </c>
      <c r="B109" s="41">
        <f t="shared" si="0"/>
        <v>1.7760805087539591E-2</v>
      </c>
      <c r="C109" s="28">
        <f t="shared" si="2"/>
        <v>0.89675724417716152</v>
      </c>
      <c r="D109" s="28"/>
      <c r="E109" s="42">
        <f t="shared" si="1"/>
        <v>2019</v>
      </c>
      <c r="K109" s="28"/>
      <c r="L109" s="29"/>
      <c r="P109" s="57" t="str">
        <f>Scale!A50</f>
        <v>0602</v>
      </c>
      <c r="Q109" s="57">
        <f>Scale!B50</f>
        <v>0</v>
      </c>
      <c r="R109" s="57">
        <f>Scale!C50</f>
        <v>0</v>
      </c>
      <c r="S109" s="57">
        <f>Scale!D50</f>
        <v>0</v>
      </c>
      <c r="T109" s="57">
        <f>Scale!E50</f>
        <v>0</v>
      </c>
      <c r="U109" s="57">
        <f>Scale!F50</f>
        <v>0</v>
      </c>
      <c r="V109" s="57">
        <f>Scale!G50</f>
        <v>15.5</v>
      </c>
      <c r="W109" s="57">
        <f>Scale!H50</f>
        <v>15.5</v>
      </c>
      <c r="X109" s="57">
        <f>Scale!I50</f>
        <v>15.5</v>
      </c>
      <c r="Y109" s="57">
        <f>Scale!J50</f>
        <v>15.5</v>
      </c>
      <c r="Z109" s="57">
        <f>Scale!K50</f>
        <v>15.5</v>
      </c>
      <c r="AA109" s="57">
        <f>Scale!L50</f>
        <v>15.5</v>
      </c>
      <c r="AB109" s="57">
        <f>Scale!M50</f>
        <v>15.5</v>
      </c>
      <c r="AC109" s="57">
        <f>Scale!N50</f>
        <v>15.5</v>
      </c>
      <c r="AD109" s="57">
        <f>Scale!O50</f>
        <v>15.5</v>
      </c>
      <c r="AE109" s="57">
        <f>Scale!P50</f>
        <v>15.5</v>
      </c>
      <c r="AF109" s="57">
        <f>Scale!Q50</f>
        <v>15.5</v>
      </c>
      <c r="AG109" s="57">
        <f>Scale!R50</f>
        <v>15.5</v>
      </c>
      <c r="AH109" s="57">
        <f>Scale!S50</f>
        <v>15.5</v>
      </c>
      <c r="AI109" s="57">
        <f>Scale!T50</f>
        <v>15.5</v>
      </c>
      <c r="AJ109" s="57">
        <f>Scale!U50</f>
        <v>15.5</v>
      </c>
      <c r="AK109" s="57">
        <f>Scale!V50</f>
        <v>15.5</v>
      </c>
      <c r="AL109" s="57">
        <f>Scale!W50</f>
        <v>15.5</v>
      </c>
      <c r="AM109" s="57">
        <f>Scale!X50</f>
        <v>15.5</v>
      </c>
      <c r="AN109" s="57">
        <f>Scale!Y50</f>
        <v>15.5</v>
      </c>
      <c r="AO109" s="57">
        <f>Scale!Z50</f>
        <v>15.5</v>
      </c>
      <c r="AP109" s="57">
        <f>Scale!AA50</f>
        <v>15.5</v>
      </c>
      <c r="AQ109" s="57">
        <f>Scale!AB50</f>
        <v>15.5</v>
      </c>
      <c r="AR109" s="57">
        <f>Scale!AC50</f>
        <v>15.5</v>
      </c>
      <c r="AS109" s="57">
        <f>Scale!AD50</f>
        <v>15.5</v>
      </c>
      <c r="AT109" s="57">
        <f>Scale!AE50</f>
        <v>15.5</v>
      </c>
      <c r="AU109" s="57">
        <f>Scale!AF50</f>
        <v>15.5</v>
      </c>
      <c r="AV109" s="57">
        <f>Scale!AG50</f>
        <v>15.5</v>
      </c>
      <c r="AW109" s="57">
        <f>Scale!AH50</f>
        <v>15.5</v>
      </c>
      <c r="AX109" s="57">
        <f>Scale!AI50</f>
        <v>15.5</v>
      </c>
      <c r="AY109" s="57">
        <f>Scale!AJ50</f>
        <v>15.5</v>
      </c>
      <c r="AZ109" s="57">
        <f>Scale!AK50</f>
        <v>15.5</v>
      </c>
      <c r="BA109" s="57">
        <f>Scale!AL50</f>
        <v>15.5</v>
      </c>
      <c r="BB109" s="57">
        <f>Scale!AM50</f>
        <v>15.5</v>
      </c>
      <c r="BC109" s="57">
        <f>Scale!AN50</f>
        <v>15.5</v>
      </c>
      <c r="BD109" s="57">
        <f>Scale!AO50</f>
        <v>15.5</v>
      </c>
      <c r="BE109" s="57">
        <f>Scale!AP50</f>
        <v>15.5</v>
      </c>
      <c r="BF109" s="57">
        <f>Scale!AQ50</f>
        <v>15.5</v>
      </c>
      <c r="BG109" s="57">
        <f>Scale!AR50</f>
        <v>15.5</v>
      </c>
      <c r="BH109" s="57">
        <f>Scale!AS50</f>
        <v>15.5</v>
      </c>
      <c r="BI109" s="57">
        <f>Scale!AT50</f>
        <v>15.5</v>
      </c>
      <c r="BJ109" s="57">
        <f>Scale!AU50</f>
        <v>15.5</v>
      </c>
      <c r="BK109" s="57">
        <f>Scale!AV50</f>
        <v>15.5</v>
      </c>
      <c r="BL109" s="57">
        <f>Scale!AW50</f>
        <v>15.5</v>
      </c>
      <c r="BM109" s="57">
        <f>Scale!AX50</f>
        <v>15.5</v>
      </c>
      <c r="BN109" s="57">
        <f>Scale!AY50</f>
        <v>15.5</v>
      </c>
      <c r="BO109" s="57">
        <f>Scale!AZ50</f>
        <v>15.5</v>
      </c>
      <c r="BP109" s="57">
        <f>Scale!BA50</f>
        <v>15.5</v>
      </c>
      <c r="BQ109" s="57">
        <f>Scale!BB50</f>
        <v>15.5</v>
      </c>
      <c r="BR109" s="57">
        <f>Scale!BC50</f>
        <v>15.5</v>
      </c>
      <c r="BS109" s="57">
        <f>Scale!BD50</f>
        <v>15.5</v>
      </c>
      <c r="BT109" s="57">
        <f>Scale!BE50</f>
        <v>15.5</v>
      </c>
      <c r="BU109" s="54"/>
      <c r="BV109" s="54"/>
      <c r="BW109" s="54"/>
      <c r="BX109" s="54"/>
      <c r="BY109" s="54"/>
      <c r="BZ109" s="54"/>
    </row>
    <row r="110" spans="1:78" x14ac:dyDescent="0.35">
      <c r="A110" s="40">
        <v>27.5</v>
      </c>
      <c r="B110" s="41">
        <f t="shared" si="0"/>
        <v>1.6642853636455193E-2</v>
      </c>
      <c r="C110" s="28">
        <f t="shared" si="2"/>
        <v>0.90507867099538908</v>
      </c>
      <c r="D110" s="28"/>
      <c r="E110" s="42">
        <f t="shared" si="1"/>
        <v>2019.5</v>
      </c>
      <c r="K110" s="28"/>
      <c r="L110" s="29"/>
      <c r="P110" s="57" t="str">
        <f>Scale!A51</f>
        <v>0701</v>
      </c>
      <c r="Q110" s="57">
        <f>Scale!B51</f>
        <v>0</v>
      </c>
      <c r="R110" s="57">
        <f>Scale!C51</f>
        <v>0</v>
      </c>
      <c r="S110" s="57">
        <f>Scale!D51</f>
        <v>0</v>
      </c>
      <c r="T110" s="57">
        <f>Scale!E51</f>
        <v>0</v>
      </c>
      <c r="U110" s="57">
        <f>Scale!F51</f>
        <v>0</v>
      </c>
      <c r="V110" s="57">
        <f>Scale!G51</f>
        <v>4.5599999999999996</v>
      </c>
      <c r="W110" s="57">
        <f>Scale!H51</f>
        <v>4.5599999999999996</v>
      </c>
      <c r="X110" s="57">
        <f>Scale!I51</f>
        <v>4.5599999999999996</v>
      </c>
      <c r="Y110" s="57">
        <f>Scale!J51</f>
        <v>4.5599999999999996</v>
      </c>
      <c r="Z110" s="57">
        <f>Scale!K51</f>
        <v>4.5599999999999996</v>
      </c>
      <c r="AA110" s="57">
        <f>Scale!L51</f>
        <v>4.5599999999999996</v>
      </c>
      <c r="AB110" s="57">
        <f>Scale!M51</f>
        <v>4.5599999999999996</v>
      </c>
      <c r="AC110" s="57">
        <f>Scale!N51</f>
        <v>4.5599999999999996</v>
      </c>
      <c r="AD110" s="57">
        <f>Scale!O51</f>
        <v>4.5599999999999996</v>
      </c>
      <c r="AE110" s="57">
        <f>Scale!P51</f>
        <v>4.5599999999999996</v>
      </c>
      <c r="AF110" s="57">
        <f>Scale!Q51</f>
        <v>4.5599999999999996</v>
      </c>
      <c r="AG110" s="57">
        <f>Scale!R51</f>
        <v>4.5599999999999996</v>
      </c>
      <c r="AH110" s="57">
        <f>Scale!S51</f>
        <v>4.5599999999999996</v>
      </c>
      <c r="AI110" s="57">
        <f>Scale!T51</f>
        <v>4.5599999999999996</v>
      </c>
      <c r="AJ110" s="57">
        <f>Scale!U51</f>
        <v>4.5599999999999996</v>
      </c>
      <c r="AK110" s="57">
        <f>Scale!V51</f>
        <v>4.5599999999999996</v>
      </c>
      <c r="AL110" s="57">
        <f>Scale!W51</f>
        <v>4.5599999999999996</v>
      </c>
      <c r="AM110" s="57">
        <f>Scale!X51</f>
        <v>4.5599999999999996</v>
      </c>
      <c r="AN110" s="57">
        <f>Scale!Y51</f>
        <v>4.5599999999999996</v>
      </c>
      <c r="AO110" s="57">
        <f>Scale!Z51</f>
        <v>4.5599999999999996</v>
      </c>
      <c r="AP110" s="57">
        <f>Scale!AA51</f>
        <v>4.5599999999999996</v>
      </c>
      <c r="AQ110" s="57">
        <f>Scale!AB51</f>
        <v>4.5599999999999996</v>
      </c>
      <c r="AR110" s="57">
        <f>Scale!AC51</f>
        <v>4.5599999999999996</v>
      </c>
      <c r="AS110" s="57">
        <f>Scale!AD51</f>
        <v>4.5599999999999996</v>
      </c>
      <c r="AT110" s="57">
        <f>Scale!AE51</f>
        <v>4.5599999999999996</v>
      </c>
      <c r="AU110" s="57">
        <f>Scale!AF51</f>
        <v>4.5599999999999996</v>
      </c>
      <c r="AV110" s="57">
        <f>Scale!AG51</f>
        <v>4.5599999999999996</v>
      </c>
      <c r="AW110" s="57">
        <f>Scale!AH51</f>
        <v>4.5599999999999996</v>
      </c>
      <c r="AX110" s="57">
        <f>Scale!AI51</f>
        <v>4.5599999999999996</v>
      </c>
      <c r="AY110" s="57">
        <f>Scale!AJ51</f>
        <v>4.5599999999999996</v>
      </c>
      <c r="AZ110" s="57">
        <f>Scale!AK51</f>
        <v>4.5599999999999996</v>
      </c>
      <c r="BA110" s="57">
        <f>Scale!AL51</f>
        <v>4.5599999999999996</v>
      </c>
      <c r="BB110" s="57">
        <f>Scale!AM51</f>
        <v>4.5599999999999996</v>
      </c>
      <c r="BC110" s="57">
        <f>Scale!AN51</f>
        <v>4.5599999999999996</v>
      </c>
      <c r="BD110" s="57">
        <f>Scale!AO51</f>
        <v>4.5599999999999996</v>
      </c>
      <c r="BE110" s="57">
        <f>Scale!AP51</f>
        <v>4.5599999999999996</v>
      </c>
      <c r="BF110" s="57">
        <f>Scale!AQ51</f>
        <v>4.5599999999999996</v>
      </c>
      <c r="BG110" s="57">
        <f>Scale!AR51</f>
        <v>4.5599999999999996</v>
      </c>
      <c r="BH110" s="57">
        <f>Scale!AS51</f>
        <v>4.5599999999999996</v>
      </c>
      <c r="BI110" s="57">
        <f>Scale!AT51</f>
        <v>4.5599999999999996</v>
      </c>
      <c r="BJ110" s="57">
        <f>Scale!AU51</f>
        <v>4.5599999999999996</v>
      </c>
      <c r="BK110" s="57">
        <f>Scale!AV51</f>
        <v>4.5599999999999996</v>
      </c>
      <c r="BL110" s="57">
        <f>Scale!AW51</f>
        <v>4.5599999999999996</v>
      </c>
      <c r="BM110" s="57">
        <f>Scale!AX51</f>
        <v>4.5599999999999996</v>
      </c>
      <c r="BN110" s="57">
        <f>Scale!AY51</f>
        <v>4.5599999999999996</v>
      </c>
      <c r="BO110" s="57">
        <f>Scale!AZ51</f>
        <v>4.5599999999999996</v>
      </c>
      <c r="BP110" s="57">
        <f>Scale!BA51</f>
        <v>4.5599999999999996</v>
      </c>
      <c r="BQ110" s="57">
        <f>Scale!BB51</f>
        <v>4.5599999999999996</v>
      </c>
      <c r="BR110" s="57">
        <f>Scale!BC51</f>
        <v>4.5599999999999996</v>
      </c>
      <c r="BS110" s="57">
        <f>Scale!BD51</f>
        <v>4.5599999999999996</v>
      </c>
      <c r="BT110" s="57">
        <f>Scale!BE51</f>
        <v>4.5599999999999996</v>
      </c>
      <c r="BU110" s="54"/>
      <c r="BV110" s="54"/>
      <c r="BW110" s="54"/>
      <c r="BX110" s="54"/>
      <c r="BY110" s="54"/>
      <c r="BZ110" s="54"/>
    </row>
    <row r="111" spans="1:78" x14ac:dyDescent="0.35">
      <c r="A111" s="40">
        <v>28</v>
      </c>
      <c r="B111" s="41">
        <f t="shared" si="0"/>
        <v>1.5566287871234132E-2</v>
      </c>
      <c r="C111" s="28">
        <f t="shared" si="2"/>
        <v>0.91286181493100615</v>
      </c>
      <c r="D111" s="28"/>
      <c r="E111" s="42">
        <f t="shared" si="1"/>
        <v>2020</v>
      </c>
      <c r="K111" s="28"/>
      <c r="L111" s="29"/>
      <c r="P111" s="57" t="str">
        <f>Scale!A52</f>
        <v>0702</v>
      </c>
      <c r="Q111" s="57">
        <f>Scale!B52</f>
        <v>0</v>
      </c>
      <c r="R111" s="57">
        <f>Scale!C52</f>
        <v>0</v>
      </c>
      <c r="S111" s="57">
        <f>Scale!D52</f>
        <v>0</v>
      </c>
      <c r="T111" s="57">
        <f>Scale!E52</f>
        <v>0</v>
      </c>
      <c r="U111" s="57">
        <f>Scale!F52</f>
        <v>0</v>
      </c>
      <c r="V111" s="57">
        <f>Scale!G52</f>
        <v>4.78</v>
      </c>
      <c r="W111" s="57">
        <f>Scale!H52</f>
        <v>4.78</v>
      </c>
      <c r="X111" s="57">
        <f>Scale!I52</f>
        <v>4.78</v>
      </c>
      <c r="Y111" s="57">
        <f>Scale!J52</f>
        <v>4.78</v>
      </c>
      <c r="Z111" s="57">
        <f>Scale!K52</f>
        <v>4.78</v>
      </c>
      <c r="AA111" s="57">
        <f>Scale!L52</f>
        <v>4.78</v>
      </c>
      <c r="AB111" s="57">
        <f>Scale!M52</f>
        <v>4.78</v>
      </c>
      <c r="AC111" s="57">
        <f>Scale!N52</f>
        <v>4.78</v>
      </c>
      <c r="AD111" s="57">
        <f>Scale!O52</f>
        <v>4.78</v>
      </c>
      <c r="AE111" s="57">
        <f>Scale!P52</f>
        <v>4.78</v>
      </c>
      <c r="AF111" s="57">
        <f>Scale!Q52</f>
        <v>4.78</v>
      </c>
      <c r="AG111" s="57">
        <f>Scale!R52</f>
        <v>4.78</v>
      </c>
      <c r="AH111" s="57">
        <f>Scale!S52</f>
        <v>4.78</v>
      </c>
      <c r="AI111" s="57">
        <f>Scale!T52</f>
        <v>4.78</v>
      </c>
      <c r="AJ111" s="57">
        <f>Scale!U52</f>
        <v>4.78</v>
      </c>
      <c r="AK111" s="57">
        <f>Scale!V52</f>
        <v>4.78</v>
      </c>
      <c r="AL111" s="57">
        <f>Scale!W52</f>
        <v>4.78</v>
      </c>
      <c r="AM111" s="57">
        <f>Scale!X52</f>
        <v>4.78</v>
      </c>
      <c r="AN111" s="57">
        <f>Scale!Y52</f>
        <v>4.78</v>
      </c>
      <c r="AO111" s="57">
        <f>Scale!Z52</f>
        <v>4.78</v>
      </c>
      <c r="AP111" s="57">
        <f>Scale!AA52</f>
        <v>4.78</v>
      </c>
      <c r="AQ111" s="57">
        <f>Scale!AB52</f>
        <v>4.78</v>
      </c>
      <c r="AR111" s="57">
        <f>Scale!AC52</f>
        <v>4.78</v>
      </c>
      <c r="AS111" s="57">
        <f>Scale!AD52</f>
        <v>4.78</v>
      </c>
      <c r="AT111" s="57">
        <f>Scale!AE52</f>
        <v>4.78</v>
      </c>
      <c r="AU111" s="57">
        <f>Scale!AF52</f>
        <v>4.78</v>
      </c>
      <c r="AV111" s="57">
        <f>Scale!AG52</f>
        <v>4.78</v>
      </c>
      <c r="AW111" s="57">
        <f>Scale!AH52</f>
        <v>4.78</v>
      </c>
      <c r="AX111" s="57">
        <f>Scale!AI52</f>
        <v>4.78</v>
      </c>
      <c r="AY111" s="57">
        <f>Scale!AJ52</f>
        <v>4.78</v>
      </c>
      <c r="AZ111" s="57">
        <f>Scale!AK52</f>
        <v>4.78</v>
      </c>
      <c r="BA111" s="57">
        <f>Scale!AL52</f>
        <v>4.78</v>
      </c>
      <c r="BB111" s="57">
        <f>Scale!AM52</f>
        <v>4.78</v>
      </c>
      <c r="BC111" s="57">
        <f>Scale!AN52</f>
        <v>4.78</v>
      </c>
      <c r="BD111" s="57">
        <f>Scale!AO52</f>
        <v>4.78</v>
      </c>
      <c r="BE111" s="57">
        <f>Scale!AP52</f>
        <v>4.78</v>
      </c>
      <c r="BF111" s="57">
        <f>Scale!AQ52</f>
        <v>4.78</v>
      </c>
      <c r="BG111" s="57">
        <f>Scale!AR52</f>
        <v>4.78</v>
      </c>
      <c r="BH111" s="57">
        <f>Scale!AS52</f>
        <v>4.78</v>
      </c>
      <c r="BI111" s="57">
        <f>Scale!AT52</f>
        <v>4.78</v>
      </c>
      <c r="BJ111" s="57">
        <f>Scale!AU52</f>
        <v>4.78</v>
      </c>
      <c r="BK111" s="57">
        <f>Scale!AV52</f>
        <v>4.78</v>
      </c>
      <c r="BL111" s="57">
        <f>Scale!AW52</f>
        <v>4.78</v>
      </c>
      <c r="BM111" s="57">
        <f>Scale!AX52</f>
        <v>4.78</v>
      </c>
      <c r="BN111" s="57">
        <f>Scale!AY52</f>
        <v>4.78</v>
      </c>
      <c r="BO111" s="57">
        <f>Scale!AZ52</f>
        <v>4.78</v>
      </c>
      <c r="BP111" s="57">
        <f>Scale!BA52</f>
        <v>4.78</v>
      </c>
      <c r="BQ111" s="57">
        <f>Scale!BB52</f>
        <v>4.78</v>
      </c>
      <c r="BR111" s="57">
        <f>Scale!BC52</f>
        <v>4.78</v>
      </c>
      <c r="BS111" s="57">
        <f>Scale!BD52</f>
        <v>4.78</v>
      </c>
      <c r="BT111" s="57">
        <f>Scale!BE52</f>
        <v>4.78</v>
      </c>
      <c r="BU111" s="54"/>
      <c r="BV111" s="54"/>
      <c r="BW111" s="54"/>
      <c r="BX111" s="54"/>
      <c r="BY111" s="54"/>
      <c r="BZ111" s="54"/>
    </row>
    <row r="112" spans="1:78" x14ac:dyDescent="0.35">
      <c r="A112" s="40">
        <v>28.5</v>
      </c>
      <c r="B112" s="41">
        <f t="shared" si="0"/>
        <v>1.4532472944666719E-2</v>
      </c>
      <c r="C112" s="28">
        <f t="shared" si="2"/>
        <v>0.92012805140333953</v>
      </c>
      <c r="D112" s="28"/>
      <c r="E112" s="42">
        <f t="shared" si="1"/>
        <v>2020.5</v>
      </c>
      <c r="K112" s="28"/>
      <c r="L112" s="29"/>
      <c r="P112" s="57" t="str">
        <f>Scale!A53</f>
        <v>0703</v>
      </c>
      <c r="Q112" s="57">
        <f>Scale!B53</f>
        <v>0</v>
      </c>
      <c r="R112" s="57">
        <f>Scale!C53</f>
        <v>0</v>
      </c>
      <c r="S112" s="57">
        <f>Scale!D53</f>
        <v>0</v>
      </c>
      <c r="T112" s="57">
        <f>Scale!E53</f>
        <v>0</v>
      </c>
      <c r="U112" s="57">
        <f>Scale!F53</f>
        <v>0</v>
      </c>
      <c r="V112" s="57">
        <f>Scale!G53</f>
        <v>11.56</v>
      </c>
      <c r="W112" s="57">
        <f>Scale!H53</f>
        <v>11.56</v>
      </c>
      <c r="X112" s="57">
        <f>Scale!I53</f>
        <v>11.56</v>
      </c>
      <c r="Y112" s="57">
        <f>Scale!J53</f>
        <v>11.56</v>
      </c>
      <c r="Z112" s="57">
        <f>Scale!K53</f>
        <v>11.56</v>
      </c>
      <c r="AA112" s="57">
        <f>Scale!L53</f>
        <v>11.56</v>
      </c>
      <c r="AB112" s="57">
        <f>Scale!M53</f>
        <v>11.56</v>
      </c>
      <c r="AC112" s="57">
        <f>Scale!N53</f>
        <v>11.56</v>
      </c>
      <c r="AD112" s="57">
        <f>Scale!O53</f>
        <v>11.56</v>
      </c>
      <c r="AE112" s="57">
        <f>Scale!P53</f>
        <v>11.56</v>
      </c>
      <c r="AF112" s="57">
        <f>Scale!Q53</f>
        <v>11.56</v>
      </c>
      <c r="AG112" s="57">
        <f>Scale!R53</f>
        <v>11.56</v>
      </c>
      <c r="AH112" s="57">
        <f>Scale!S53</f>
        <v>11.56</v>
      </c>
      <c r="AI112" s="57">
        <f>Scale!T53</f>
        <v>11.56</v>
      </c>
      <c r="AJ112" s="57">
        <f>Scale!U53</f>
        <v>11.56</v>
      </c>
      <c r="AK112" s="57">
        <f>Scale!V53</f>
        <v>11.56</v>
      </c>
      <c r="AL112" s="57">
        <f>Scale!W53</f>
        <v>11.56</v>
      </c>
      <c r="AM112" s="57">
        <f>Scale!X53</f>
        <v>11.56</v>
      </c>
      <c r="AN112" s="57">
        <f>Scale!Y53</f>
        <v>11.56</v>
      </c>
      <c r="AO112" s="57">
        <f>Scale!Z53</f>
        <v>11.56</v>
      </c>
      <c r="AP112" s="57">
        <f>Scale!AA53</f>
        <v>11.56</v>
      </c>
      <c r="AQ112" s="57">
        <f>Scale!AB53</f>
        <v>11.56</v>
      </c>
      <c r="AR112" s="57">
        <f>Scale!AC53</f>
        <v>11.56</v>
      </c>
      <c r="AS112" s="57">
        <f>Scale!AD53</f>
        <v>11.56</v>
      </c>
      <c r="AT112" s="57">
        <f>Scale!AE53</f>
        <v>11.56</v>
      </c>
      <c r="AU112" s="57">
        <f>Scale!AF53</f>
        <v>11.56</v>
      </c>
      <c r="AV112" s="57">
        <f>Scale!AG53</f>
        <v>11.56</v>
      </c>
      <c r="AW112" s="57">
        <f>Scale!AH53</f>
        <v>11.56</v>
      </c>
      <c r="AX112" s="57">
        <f>Scale!AI53</f>
        <v>11.56</v>
      </c>
      <c r="AY112" s="57">
        <f>Scale!AJ53</f>
        <v>11.56</v>
      </c>
      <c r="AZ112" s="57">
        <f>Scale!AK53</f>
        <v>11.56</v>
      </c>
      <c r="BA112" s="57">
        <f>Scale!AL53</f>
        <v>11.56</v>
      </c>
      <c r="BB112" s="57">
        <f>Scale!AM53</f>
        <v>11.56</v>
      </c>
      <c r="BC112" s="57">
        <f>Scale!AN53</f>
        <v>11.56</v>
      </c>
      <c r="BD112" s="57">
        <f>Scale!AO53</f>
        <v>11.56</v>
      </c>
      <c r="BE112" s="57">
        <f>Scale!AP53</f>
        <v>11.56</v>
      </c>
      <c r="BF112" s="57">
        <f>Scale!AQ53</f>
        <v>11.56</v>
      </c>
      <c r="BG112" s="57">
        <f>Scale!AR53</f>
        <v>11.56</v>
      </c>
      <c r="BH112" s="57">
        <f>Scale!AS53</f>
        <v>11.56</v>
      </c>
      <c r="BI112" s="57">
        <f>Scale!AT53</f>
        <v>11.56</v>
      </c>
      <c r="BJ112" s="57">
        <f>Scale!AU53</f>
        <v>11.56</v>
      </c>
      <c r="BK112" s="57">
        <f>Scale!AV53</f>
        <v>11.56</v>
      </c>
      <c r="BL112" s="57">
        <f>Scale!AW53</f>
        <v>11.56</v>
      </c>
      <c r="BM112" s="57">
        <f>Scale!AX53</f>
        <v>11.56</v>
      </c>
      <c r="BN112" s="57">
        <f>Scale!AY53</f>
        <v>11.56</v>
      </c>
      <c r="BO112" s="57">
        <f>Scale!AZ53</f>
        <v>11.56</v>
      </c>
      <c r="BP112" s="57">
        <f>Scale!BA53</f>
        <v>11.56</v>
      </c>
      <c r="BQ112" s="57">
        <f>Scale!BB53</f>
        <v>11.56</v>
      </c>
      <c r="BR112" s="57">
        <f>Scale!BC53</f>
        <v>11.56</v>
      </c>
      <c r="BS112" s="57">
        <f>Scale!BD53</f>
        <v>11.56</v>
      </c>
      <c r="BT112" s="57">
        <f>Scale!BE53</f>
        <v>11.56</v>
      </c>
      <c r="BU112" s="54"/>
      <c r="BV112" s="54"/>
      <c r="BW112" s="54"/>
      <c r="BX112" s="54"/>
      <c r="BY112" s="54"/>
      <c r="BZ112" s="54"/>
    </row>
    <row r="113" spans="1:78" x14ac:dyDescent="0.35">
      <c r="A113" s="40">
        <v>29</v>
      </c>
      <c r="B113" s="41">
        <f t="shared" si="0"/>
        <v>1.3542411560970616E-2</v>
      </c>
      <c r="C113" s="28">
        <f t="shared" si="2"/>
        <v>0.92689925718382482</v>
      </c>
      <c r="D113" s="28"/>
      <c r="E113" s="42">
        <f t="shared" si="1"/>
        <v>2021</v>
      </c>
      <c r="K113" s="28"/>
      <c r="L113" s="29"/>
      <c r="P113" s="57" t="str">
        <f>Scale!A54</f>
        <v>0801</v>
      </c>
      <c r="Q113" s="57">
        <f>Scale!B54</f>
        <v>0</v>
      </c>
      <c r="R113" s="57">
        <f>Scale!C54</f>
        <v>0</v>
      </c>
      <c r="S113" s="57">
        <f>Scale!D54</f>
        <v>0</v>
      </c>
      <c r="T113" s="57">
        <f>Scale!E54</f>
        <v>0</v>
      </c>
      <c r="U113" s="57">
        <f>Scale!F54</f>
        <v>0</v>
      </c>
      <c r="V113" s="57">
        <f>Scale!G54</f>
        <v>13.46</v>
      </c>
      <c r="W113" s="57">
        <f>Scale!H54</f>
        <v>13.46</v>
      </c>
      <c r="X113" s="57">
        <f>Scale!I54</f>
        <v>13.46</v>
      </c>
      <c r="Y113" s="57">
        <f>Scale!J54</f>
        <v>13.46</v>
      </c>
      <c r="Z113" s="57">
        <f>Scale!K54</f>
        <v>13.46</v>
      </c>
      <c r="AA113" s="57">
        <f>Scale!L54</f>
        <v>13.46</v>
      </c>
      <c r="AB113" s="57">
        <f>Scale!M54</f>
        <v>13.46</v>
      </c>
      <c r="AC113" s="57">
        <f>Scale!N54</f>
        <v>13.46</v>
      </c>
      <c r="AD113" s="57">
        <f>Scale!O54</f>
        <v>13.46</v>
      </c>
      <c r="AE113" s="57">
        <f>Scale!P54</f>
        <v>13.46</v>
      </c>
      <c r="AF113" s="57">
        <f>Scale!Q54</f>
        <v>13.46</v>
      </c>
      <c r="AG113" s="57">
        <f>Scale!R54</f>
        <v>13.46</v>
      </c>
      <c r="AH113" s="57">
        <f>Scale!S54</f>
        <v>13.46</v>
      </c>
      <c r="AI113" s="57">
        <f>Scale!T54</f>
        <v>13.46</v>
      </c>
      <c r="AJ113" s="57">
        <f>Scale!U54</f>
        <v>13.46</v>
      </c>
      <c r="AK113" s="57">
        <f>Scale!V54</f>
        <v>13.46</v>
      </c>
      <c r="AL113" s="57">
        <f>Scale!W54</f>
        <v>13.46</v>
      </c>
      <c r="AM113" s="57">
        <f>Scale!X54</f>
        <v>13.46</v>
      </c>
      <c r="AN113" s="57">
        <f>Scale!Y54</f>
        <v>13.46</v>
      </c>
      <c r="AO113" s="57">
        <f>Scale!Z54</f>
        <v>13.46</v>
      </c>
      <c r="AP113" s="57">
        <f>Scale!AA54</f>
        <v>13.46</v>
      </c>
      <c r="AQ113" s="57">
        <f>Scale!AB54</f>
        <v>13.46</v>
      </c>
      <c r="AR113" s="57">
        <f>Scale!AC54</f>
        <v>13.46</v>
      </c>
      <c r="AS113" s="57">
        <f>Scale!AD54</f>
        <v>13.46</v>
      </c>
      <c r="AT113" s="57">
        <f>Scale!AE54</f>
        <v>13.46</v>
      </c>
      <c r="AU113" s="57">
        <f>Scale!AF54</f>
        <v>13.46</v>
      </c>
      <c r="AV113" s="57">
        <f>Scale!AG54</f>
        <v>13.46</v>
      </c>
      <c r="AW113" s="57">
        <f>Scale!AH54</f>
        <v>13.46</v>
      </c>
      <c r="AX113" s="57">
        <f>Scale!AI54</f>
        <v>13.46</v>
      </c>
      <c r="AY113" s="57">
        <f>Scale!AJ54</f>
        <v>13.46</v>
      </c>
      <c r="AZ113" s="57">
        <f>Scale!AK54</f>
        <v>13.46</v>
      </c>
      <c r="BA113" s="57">
        <f>Scale!AL54</f>
        <v>13.46</v>
      </c>
      <c r="BB113" s="57">
        <f>Scale!AM54</f>
        <v>13.46</v>
      </c>
      <c r="BC113" s="57">
        <f>Scale!AN54</f>
        <v>13.46</v>
      </c>
      <c r="BD113" s="57">
        <f>Scale!AO54</f>
        <v>13.46</v>
      </c>
      <c r="BE113" s="57">
        <f>Scale!AP54</f>
        <v>13.46</v>
      </c>
      <c r="BF113" s="57">
        <f>Scale!AQ54</f>
        <v>13.46</v>
      </c>
      <c r="BG113" s="57">
        <f>Scale!AR54</f>
        <v>13.46</v>
      </c>
      <c r="BH113" s="57">
        <f>Scale!AS54</f>
        <v>13.46</v>
      </c>
      <c r="BI113" s="57">
        <f>Scale!AT54</f>
        <v>13.46</v>
      </c>
      <c r="BJ113" s="57">
        <f>Scale!AU54</f>
        <v>13.46</v>
      </c>
      <c r="BK113" s="57">
        <f>Scale!AV54</f>
        <v>13.46</v>
      </c>
      <c r="BL113" s="57">
        <f>Scale!AW54</f>
        <v>13.46</v>
      </c>
      <c r="BM113" s="57">
        <f>Scale!AX54</f>
        <v>13.46</v>
      </c>
      <c r="BN113" s="57">
        <f>Scale!AY54</f>
        <v>13.46</v>
      </c>
      <c r="BO113" s="57">
        <f>Scale!AZ54</f>
        <v>13.46</v>
      </c>
      <c r="BP113" s="57">
        <f>Scale!BA54</f>
        <v>13.46</v>
      </c>
      <c r="BQ113" s="57">
        <f>Scale!BB54</f>
        <v>13.46</v>
      </c>
      <c r="BR113" s="57">
        <f>Scale!BC54</f>
        <v>13.46</v>
      </c>
      <c r="BS113" s="57">
        <f>Scale!BD54</f>
        <v>13.46</v>
      </c>
      <c r="BT113" s="57">
        <f>Scale!BE54</f>
        <v>13.46</v>
      </c>
      <c r="BU113" s="54"/>
      <c r="BV113" s="54"/>
      <c r="BW113" s="54"/>
      <c r="BX113" s="54"/>
      <c r="BY113" s="54"/>
      <c r="BZ113" s="54"/>
    </row>
    <row r="114" spans="1:78" x14ac:dyDescent="0.35">
      <c r="A114" s="40">
        <v>29.5</v>
      </c>
      <c r="B114" s="41">
        <f t="shared" si="0"/>
        <v>1.2596766631758561E-2</v>
      </c>
      <c r="C114" s="28">
        <f t="shared" si="2"/>
        <v>0.93319764049970411</v>
      </c>
      <c r="D114" s="28"/>
      <c r="E114" s="42">
        <f t="shared" si="1"/>
        <v>2021.5</v>
      </c>
      <c r="K114" s="28"/>
      <c r="L114" s="29"/>
      <c r="P114" s="57" t="str">
        <f>Scale!A55</f>
        <v>0802</v>
      </c>
      <c r="Q114" s="57">
        <f>Scale!B55</f>
        <v>0</v>
      </c>
      <c r="R114" s="57">
        <f>Scale!C55</f>
        <v>0</v>
      </c>
      <c r="S114" s="57">
        <f>Scale!D55</f>
        <v>0</v>
      </c>
      <c r="T114" s="57">
        <f>Scale!E55</f>
        <v>0</v>
      </c>
      <c r="U114" s="57">
        <f>Scale!F55</f>
        <v>0</v>
      </c>
      <c r="V114" s="57">
        <f>Scale!G55</f>
        <v>13.52</v>
      </c>
      <c r="W114" s="57">
        <f>Scale!H55</f>
        <v>13.52</v>
      </c>
      <c r="X114" s="57">
        <f>Scale!I55</f>
        <v>13.52</v>
      </c>
      <c r="Y114" s="57">
        <f>Scale!J55</f>
        <v>13.52</v>
      </c>
      <c r="Z114" s="57">
        <f>Scale!K55</f>
        <v>13.52</v>
      </c>
      <c r="AA114" s="57">
        <f>Scale!L55</f>
        <v>13.52</v>
      </c>
      <c r="AB114" s="57">
        <f>Scale!M55</f>
        <v>13.52</v>
      </c>
      <c r="AC114" s="57">
        <f>Scale!N55</f>
        <v>13.52</v>
      </c>
      <c r="AD114" s="57">
        <f>Scale!O55</f>
        <v>13.52</v>
      </c>
      <c r="AE114" s="57">
        <f>Scale!P55</f>
        <v>13.52</v>
      </c>
      <c r="AF114" s="57">
        <f>Scale!Q55</f>
        <v>13.52</v>
      </c>
      <c r="AG114" s="57">
        <f>Scale!R55</f>
        <v>13.52</v>
      </c>
      <c r="AH114" s="57">
        <f>Scale!S55</f>
        <v>13.52</v>
      </c>
      <c r="AI114" s="57">
        <f>Scale!T55</f>
        <v>13.52</v>
      </c>
      <c r="AJ114" s="57">
        <f>Scale!U55</f>
        <v>13.52</v>
      </c>
      <c r="AK114" s="57">
        <f>Scale!V55</f>
        <v>13.52</v>
      </c>
      <c r="AL114" s="57">
        <f>Scale!W55</f>
        <v>13.52</v>
      </c>
      <c r="AM114" s="57">
        <f>Scale!X55</f>
        <v>13.52</v>
      </c>
      <c r="AN114" s="57">
        <f>Scale!Y55</f>
        <v>13.52</v>
      </c>
      <c r="AO114" s="57">
        <f>Scale!Z55</f>
        <v>13.52</v>
      </c>
      <c r="AP114" s="57">
        <f>Scale!AA55</f>
        <v>13.52</v>
      </c>
      <c r="AQ114" s="57">
        <f>Scale!AB55</f>
        <v>13.52</v>
      </c>
      <c r="AR114" s="57">
        <f>Scale!AC55</f>
        <v>13.52</v>
      </c>
      <c r="AS114" s="57">
        <f>Scale!AD55</f>
        <v>13.52</v>
      </c>
      <c r="AT114" s="57">
        <f>Scale!AE55</f>
        <v>13.52</v>
      </c>
      <c r="AU114" s="57">
        <f>Scale!AF55</f>
        <v>13.52</v>
      </c>
      <c r="AV114" s="57">
        <f>Scale!AG55</f>
        <v>13.52</v>
      </c>
      <c r="AW114" s="57">
        <f>Scale!AH55</f>
        <v>13.52</v>
      </c>
      <c r="AX114" s="57">
        <f>Scale!AI55</f>
        <v>13.52</v>
      </c>
      <c r="AY114" s="57">
        <f>Scale!AJ55</f>
        <v>13.52</v>
      </c>
      <c r="AZ114" s="57">
        <f>Scale!AK55</f>
        <v>13.52</v>
      </c>
      <c r="BA114" s="57">
        <f>Scale!AL55</f>
        <v>13.52</v>
      </c>
      <c r="BB114" s="57">
        <f>Scale!AM55</f>
        <v>13.52</v>
      </c>
      <c r="BC114" s="57">
        <f>Scale!AN55</f>
        <v>13.52</v>
      </c>
      <c r="BD114" s="57">
        <f>Scale!AO55</f>
        <v>13.52</v>
      </c>
      <c r="BE114" s="57">
        <f>Scale!AP55</f>
        <v>13.52</v>
      </c>
      <c r="BF114" s="57">
        <f>Scale!AQ55</f>
        <v>13.52</v>
      </c>
      <c r="BG114" s="57">
        <f>Scale!AR55</f>
        <v>13.52</v>
      </c>
      <c r="BH114" s="57">
        <f>Scale!AS55</f>
        <v>13.52</v>
      </c>
      <c r="BI114" s="57">
        <f>Scale!AT55</f>
        <v>13.52</v>
      </c>
      <c r="BJ114" s="57">
        <f>Scale!AU55</f>
        <v>13.52</v>
      </c>
      <c r="BK114" s="57">
        <f>Scale!AV55</f>
        <v>13.52</v>
      </c>
      <c r="BL114" s="57">
        <f>Scale!AW55</f>
        <v>13.52</v>
      </c>
      <c r="BM114" s="57">
        <f>Scale!AX55</f>
        <v>13.52</v>
      </c>
      <c r="BN114" s="57">
        <f>Scale!AY55</f>
        <v>13.52</v>
      </c>
      <c r="BO114" s="57">
        <f>Scale!AZ55</f>
        <v>13.52</v>
      </c>
      <c r="BP114" s="57">
        <f>Scale!BA55</f>
        <v>13.52</v>
      </c>
      <c r="BQ114" s="57">
        <f>Scale!BB55</f>
        <v>13.52</v>
      </c>
      <c r="BR114" s="57">
        <f>Scale!BC55</f>
        <v>13.52</v>
      </c>
      <c r="BS114" s="57">
        <f>Scale!BD55</f>
        <v>13.52</v>
      </c>
      <c r="BT114" s="57">
        <f>Scale!BE55</f>
        <v>13.52</v>
      </c>
      <c r="BU114" s="54"/>
      <c r="BV114" s="54"/>
      <c r="BW114" s="54"/>
      <c r="BX114" s="54"/>
      <c r="BY114" s="54"/>
      <c r="BZ114" s="54"/>
    </row>
    <row r="115" spans="1:78" x14ac:dyDescent="0.35">
      <c r="A115" s="40">
        <v>30</v>
      </c>
      <c r="B115" s="41">
        <f t="shared" si="0"/>
        <v>1.1695885023420212E-2</v>
      </c>
      <c r="C115" s="28">
        <f t="shared" si="2"/>
        <v>0.93904558301141416</v>
      </c>
      <c r="D115" s="28"/>
      <c r="E115" s="42">
        <f t="shared" si="1"/>
        <v>2022</v>
      </c>
      <c r="K115" s="28"/>
      <c r="L115" s="29"/>
      <c r="P115" s="57" t="str">
        <f>Scale!A56</f>
        <v>0901</v>
      </c>
      <c r="Q115" s="57">
        <f>Scale!B56</f>
        <v>0</v>
      </c>
      <c r="R115" s="57">
        <f>Scale!C56</f>
        <v>0</v>
      </c>
      <c r="S115" s="57">
        <f>Scale!D56</f>
        <v>0</v>
      </c>
      <c r="T115" s="57">
        <f>Scale!E56</f>
        <v>0</v>
      </c>
      <c r="U115" s="57">
        <f>Scale!F56</f>
        <v>0</v>
      </c>
      <c r="V115" s="57">
        <f>Scale!G56</f>
        <v>5.89</v>
      </c>
      <c r="W115" s="57">
        <f>Scale!H56</f>
        <v>5.89</v>
      </c>
      <c r="X115" s="57">
        <f>Scale!I56</f>
        <v>5.89</v>
      </c>
      <c r="Y115" s="57">
        <f>Scale!J56</f>
        <v>5.89</v>
      </c>
      <c r="Z115" s="57">
        <f>Scale!K56</f>
        <v>5.89</v>
      </c>
      <c r="AA115" s="57">
        <f>Scale!L56</f>
        <v>5.89</v>
      </c>
      <c r="AB115" s="57">
        <f>Scale!M56</f>
        <v>5.89</v>
      </c>
      <c r="AC115" s="57">
        <f>Scale!N56</f>
        <v>5.89</v>
      </c>
      <c r="AD115" s="57">
        <f>Scale!O56</f>
        <v>5.89</v>
      </c>
      <c r="AE115" s="57">
        <f>Scale!P56</f>
        <v>5.89</v>
      </c>
      <c r="AF115" s="57">
        <f>Scale!Q56</f>
        <v>5.89</v>
      </c>
      <c r="AG115" s="57">
        <f>Scale!R56</f>
        <v>5.89</v>
      </c>
      <c r="AH115" s="57">
        <f>Scale!S56</f>
        <v>5.89</v>
      </c>
      <c r="AI115" s="57">
        <f>Scale!T56</f>
        <v>5.89</v>
      </c>
      <c r="AJ115" s="57">
        <f>Scale!U56</f>
        <v>5.89</v>
      </c>
      <c r="AK115" s="57">
        <f>Scale!V56</f>
        <v>5.89</v>
      </c>
      <c r="AL115" s="57">
        <f>Scale!W56</f>
        <v>5.89</v>
      </c>
      <c r="AM115" s="57">
        <f>Scale!X56</f>
        <v>5.89</v>
      </c>
      <c r="AN115" s="57">
        <f>Scale!Y56</f>
        <v>5.89</v>
      </c>
      <c r="AO115" s="57">
        <f>Scale!Z56</f>
        <v>5.89</v>
      </c>
      <c r="AP115" s="57">
        <f>Scale!AA56</f>
        <v>5.89</v>
      </c>
      <c r="AQ115" s="57">
        <f>Scale!AB56</f>
        <v>5.89</v>
      </c>
      <c r="AR115" s="57">
        <f>Scale!AC56</f>
        <v>5.89</v>
      </c>
      <c r="AS115" s="57">
        <f>Scale!AD56</f>
        <v>5.89</v>
      </c>
      <c r="AT115" s="57">
        <f>Scale!AE56</f>
        <v>5.89</v>
      </c>
      <c r="AU115" s="57">
        <f>Scale!AF56</f>
        <v>5.89</v>
      </c>
      <c r="AV115" s="57">
        <f>Scale!AG56</f>
        <v>5.89</v>
      </c>
      <c r="AW115" s="57">
        <f>Scale!AH56</f>
        <v>5.89</v>
      </c>
      <c r="AX115" s="57">
        <f>Scale!AI56</f>
        <v>5.89</v>
      </c>
      <c r="AY115" s="57">
        <f>Scale!AJ56</f>
        <v>5.89</v>
      </c>
      <c r="AZ115" s="57">
        <f>Scale!AK56</f>
        <v>5.89</v>
      </c>
      <c r="BA115" s="57">
        <f>Scale!AL56</f>
        <v>5.89</v>
      </c>
      <c r="BB115" s="57">
        <f>Scale!AM56</f>
        <v>5.89</v>
      </c>
      <c r="BC115" s="57">
        <f>Scale!AN56</f>
        <v>5.89</v>
      </c>
      <c r="BD115" s="57">
        <f>Scale!AO56</f>
        <v>5.89</v>
      </c>
      <c r="BE115" s="57">
        <f>Scale!AP56</f>
        <v>5.89</v>
      </c>
      <c r="BF115" s="57">
        <f>Scale!AQ56</f>
        <v>5.89</v>
      </c>
      <c r="BG115" s="57">
        <f>Scale!AR56</f>
        <v>5.89</v>
      </c>
      <c r="BH115" s="57">
        <f>Scale!AS56</f>
        <v>5.89</v>
      </c>
      <c r="BI115" s="57">
        <f>Scale!AT56</f>
        <v>5.89</v>
      </c>
      <c r="BJ115" s="57">
        <f>Scale!AU56</f>
        <v>5.89</v>
      </c>
      <c r="BK115" s="57">
        <f>Scale!AV56</f>
        <v>5.89</v>
      </c>
      <c r="BL115" s="57">
        <f>Scale!AW56</f>
        <v>5.89</v>
      </c>
      <c r="BM115" s="57">
        <f>Scale!AX56</f>
        <v>5.89</v>
      </c>
      <c r="BN115" s="57">
        <f>Scale!AY56</f>
        <v>5.89</v>
      </c>
      <c r="BO115" s="57">
        <f>Scale!AZ56</f>
        <v>5.89</v>
      </c>
      <c r="BP115" s="57">
        <f>Scale!BA56</f>
        <v>5.89</v>
      </c>
      <c r="BQ115" s="57">
        <f>Scale!BB56</f>
        <v>5.89</v>
      </c>
      <c r="BR115" s="57">
        <f>Scale!BC56</f>
        <v>5.89</v>
      </c>
      <c r="BS115" s="57">
        <f>Scale!BD56</f>
        <v>5.89</v>
      </c>
      <c r="BT115" s="57">
        <f>Scale!BE56</f>
        <v>5.89</v>
      </c>
      <c r="BU115" s="54"/>
      <c r="BV115" s="54"/>
      <c r="BW115" s="54"/>
      <c r="BX115" s="54"/>
      <c r="BY115" s="54"/>
      <c r="BZ115" s="54"/>
    </row>
    <row r="116" spans="1:78" x14ac:dyDescent="0.35">
      <c r="A116" s="40">
        <v>30.5</v>
      </c>
      <c r="B116" s="41">
        <f t="shared" si="0"/>
        <v>1.0839822061115613E-2</v>
      </c>
      <c r="C116" s="28">
        <f t="shared" si="2"/>
        <v>0.944465494041972</v>
      </c>
      <c r="D116" s="28"/>
      <c r="E116" s="42">
        <f t="shared" si="1"/>
        <v>2022.5</v>
      </c>
      <c r="K116" s="28"/>
      <c r="L116" s="29"/>
      <c r="P116" s="57" t="str">
        <f>Scale!A57</f>
        <v>0902</v>
      </c>
      <c r="Q116" s="57">
        <f>Scale!B57</f>
        <v>0</v>
      </c>
      <c r="R116" s="57">
        <f>Scale!C57</f>
        <v>0</v>
      </c>
      <c r="S116" s="57">
        <f>Scale!D57</f>
        <v>0</v>
      </c>
      <c r="T116" s="57">
        <f>Scale!E57</f>
        <v>0</v>
      </c>
      <c r="U116" s="57">
        <f>Scale!F57</f>
        <v>0</v>
      </c>
      <c r="V116" s="57">
        <f>Scale!G57</f>
        <v>11.56</v>
      </c>
      <c r="W116" s="57">
        <f>Scale!H57</f>
        <v>11.56</v>
      </c>
      <c r="X116" s="57">
        <f>Scale!I57</f>
        <v>11.56</v>
      </c>
      <c r="Y116" s="57">
        <f>Scale!J57</f>
        <v>11.56</v>
      </c>
      <c r="Z116" s="57">
        <f>Scale!K57</f>
        <v>11.56</v>
      </c>
      <c r="AA116" s="57">
        <f>Scale!L57</f>
        <v>11.56</v>
      </c>
      <c r="AB116" s="57">
        <f>Scale!M57</f>
        <v>11.56</v>
      </c>
      <c r="AC116" s="57">
        <f>Scale!N57</f>
        <v>11.56</v>
      </c>
      <c r="AD116" s="57">
        <f>Scale!O57</f>
        <v>11.56</v>
      </c>
      <c r="AE116" s="57">
        <f>Scale!P57</f>
        <v>11.56</v>
      </c>
      <c r="AF116" s="57">
        <f>Scale!Q57</f>
        <v>11.56</v>
      </c>
      <c r="AG116" s="57">
        <f>Scale!R57</f>
        <v>11.56</v>
      </c>
      <c r="AH116" s="57">
        <f>Scale!S57</f>
        <v>11.56</v>
      </c>
      <c r="AI116" s="57">
        <f>Scale!T57</f>
        <v>11.56</v>
      </c>
      <c r="AJ116" s="57">
        <f>Scale!U57</f>
        <v>11.56</v>
      </c>
      <c r="AK116" s="57">
        <f>Scale!V57</f>
        <v>11.56</v>
      </c>
      <c r="AL116" s="57">
        <f>Scale!W57</f>
        <v>11.56</v>
      </c>
      <c r="AM116" s="57">
        <f>Scale!X57</f>
        <v>11.56</v>
      </c>
      <c r="AN116" s="57">
        <f>Scale!Y57</f>
        <v>11.56</v>
      </c>
      <c r="AO116" s="57">
        <f>Scale!Z57</f>
        <v>11.56</v>
      </c>
      <c r="AP116" s="57">
        <f>Scale!AA57</f>
        <v>11.56</v>
      </c>
      <c r="AQ116" s="57">
        <f>Scale!AB57</f>
        <v>11.56</v>
      </c>
      <c r="AR116" s="57">
        <f>Scale!AC57</f>
        <v>11.56</v>
      </c>
      <c r="AS116" s="57">
        <f>Scale!AD57</f>
        <v>11.56</v>
      </c>
      <c r="AT116" s="57">
        <f>Scale!AE57</f>
        <v>11.56</v>
      </c>
      <c r="AU116" s="57">
        <f>Scale!AF57</f>
        <v>11.56</v>
      </c>
      <c r="AV116" s="57">
        <f>Scale!AG57</f>
        <v>11.56</v>
      </c>
      <c r="AW116" s="57">
        <f>Scale!AH57</f>
        <v>11.56</v>
      </c>
      <c r="AX116" s="57">
        <f>Scale!AI57</f>
        <v>11.56</v>
      </c>
      <c r="AY116" s="57">
        <f>Scale!AJ57</f>
        <v>11.56</v>
      </c>
      <c r="AZ116" s="57">
        <f>Scale!AK57</f>
        <v>11.56</v>
      </c>
      <c r="BA116" s="57">
        <f>Scale!AL57</f>
        <v>11.56</v>
      </c>
      <c r="BB116" s="57">
        <f>Scale!AM57</f>
        <v>11.56</v>
      </c>
      <c r="BC116" s="57">
        <f>Scale!AN57</f>
        <v>11.56</v>
      </c>
      <c r="BD116" s="57">
        <f>Scale!AO57</f>
        <v>11.56</v>
      </c>
      <c r="BE116" s="57">
        <f>Scale!AP57</f>
        <v>11.56</v>
      </c>
      <c r="BF116" s="57">
        <f>Scale!AQ57</f>
        <v>11.56</v>
      </c>
      <c r="BG116" s="57">
        <f>Scale!AR57</f>
        <v>11.56</v>
      </c>
      <c r="BH116" s="57">
        <f>Scale!AS57</f>
        <v>11.56</v>
      </c>
      <c r="BI116" s="57">
        <f>Scale!AT57</f>
        <v>11.56</v>
      </c>
      <c r="BJ116" s="57">
        <f>Scale!AU57</f>
        <v>11.56</v>
      </c>
      <c r="BK116" s="57">
        <f>Scale!AV57</f>
        <v>11.56</v>
      </c>
      <c r="BL116" s="57">
        <f>Scale!AW57</f>
        <v>11.56</v>
      </c>
      <c r="BM116" s="57">
        <f>Scale!AX57</f>
        <v>11.56</v>
      </c>
      <c r="BN116" s="57">
        <f>Scale!AY57</f>
        <v>11.56</v>
      </c>
      <c r="BO116" s="57">
        <f>Scale!AZ57</f>
        <v>11.56</v>
      </c>
      <c r="BP116" s="57">
        <f>Scale!BA57</f>
        <v>11.56</v>
      </c>
      <c r="BQ116" s="57">
        <f>Scale!BB57</f>
        <v>11.56</v>
      </c>
      <c r="BR116" s="57">
        <f>Scale!BC57</f>
        <v>11.56</v>
      </c>
      <c r="BS116" s="57">
        <f>Scale!BD57</f>
        <v>11.56</v>
      </c>
      <c r="BT116" s="57">
        <f>Scale!BE57</f>
        <v>11.56</v>
      </c>
      <c r="BU116" s="54"/>
      <c r="BV116" s="54"/>
      <c r="BW116" s="54"/>
      <c r="BX116" s="54"/>
      <c r="BY116" s="54"/>
      <c r="BZ116" s="54"/>
    </row>
    <row r="117" spans="1:78" x14ac:dyDescent="0.35">
      <c r="A117" s="40">
        <v>31</v>
      </c>
      <c r="B117" s="41">
        <f t="shared" si="0"/>
        <v>1.0028366474134571E-2</v>
      </c>
      <c r="C117" s="28">
        <f t="shared" si="2"/>
        <v>0.94947967727903926</v>
      </c>
      <c r="D117" s="28"/>
      <c r="E117" s="42">
        <f t="shared" si="1"/>
        <v>2023</v>
      </c>
      <c r="K117" s="28"/>
      <c r="L117" s="29"/>
      <c r="P117" s="57" t="str">
        <f>Scale!A58</f>
        <v>1001</v>
      </c>
      <c r="Q117" s="57">
        <f>Scale!B58</f>
        <v>0</v>
      </c>
      <c r="R117" s="57">
        <f>Scale!C58</f>
        <v>0</v>
      </c>
      <c r="S117" s="57">
        <f>Scale!D58</f>
        <v>0</v>
      </c>
      <c r="T117" s="57">
        <f>Scale!E58</f>
        <v>0</v>
      </c>
      <c r="U117" s="57">
        <f>Scale!F58</f>
        <v>0</v>
      </c>
      <c r="V117" s="57">
        <f>Scale!G58</f>
        <v>10.06</v>
      </c>
      <c r="W117" s="57">
        <f>Scale!H58</f>
        <v>10.06</v>
      </c>
      <c r="X117" s="57">
        <f>Scale!I58</f>
        <v>10.06</v>
      </c>
      <c r="Y117" s="57">
        <f>Scale!J58</f>
        <v>10.06</v>
      </c>
      <c r="Z117" s="57">
        <f>Scale!K58</f>
        <v>10.06</v>
      </c>
      <c r="AA117" s="57">
        <f>Scale!L58</f>
        <v>10.06</v>
      </c>
      <c r="AB117" s="57">
        <f>Scale!M58</f>
        <v>10.06</v>
      </c>
      <c r="AC117" s="57">
        <f>Scale!N58</f>
        <v>10.06</v>
      </c>
      <c r="AD117" s="57">
        <f>Scale!O58</f>
        <v>10.06</v>
      </c>
      <c r="AE117" s="57">
        <f>Scale!P58</f>
        <v>10.06</v>
      </c>
      <c r="AF117" s="57">
        <f>Scale!Q58</f>
        <v>10.06</v>
      </c>
      <c r="AG117" s="57">
        <f>Scale!R58</f>
        <v>10.06</v>
      </c>
      <c r="AH117" s="57">
        <f>Scale!S58</f>
        <v>10.06</v>
      </c>
      <c r="AI117" s="57">
        <f>Scale!T58</f>
        <v>10.06</v>
      </c>
      <c r="AJ117" s="57">
        <f>Scale!U58</f>
        <v>10.06</v>
      </c>
      <c r="AK117" s="57">
        <f>Scale!V58</f>
        <v>10.06</v>
      </c>
      <c r="AL117" s="57">
        <f>Scale!W58</f>
        <v>10.06</v>
      </c>
      <c r="AM117" s="57">
        <f>Scale!X58</f>
        <v>10.06</v>
      </c>
      <c r="AN117" s="57">
        <f>Scale!Y58</f>
        <v>10.06</v>
      </c>
      <c r="AO117" s="57">
        <f>Scale!Z58</f>
        <v>10.06</v>
      </c>
      <c r="AP117" s="57">
        <f>Scale!AA58</f>
        <v>10.06</v>
      </c>
      <c r="AQ117" s="57">
        <f>Scale!AB58</f>
        <v>10.06</v>
      </c>
      <c r="AR117" s="57">
        <f>Scale!AC58</f>
        <v>10.06</v>
      </c>
      <c r="AS117" s="57">
        <f>Scale!AD58</f>
        <v>10.06</v>
      </c>
      <c r="AT117" s="57">
        <f>Scale!AE58</f>
        <v>10.06</v>
      </c>
      <c r="AU117" s="57">
        <f>Scale!AF58</f>
        <v>10.06</v>
      </c>
      <c r="AV117" s="57">
        <f>Scale!AG58</f>
        <v>10.06</v>
      </c>
      <c r="AW117" s="57">
        <f>Scale!AH58</f>
        <v>10.06</v>
      </c>
      <c r="AX117" s="57">
        <f>Scale!AI58</f>
        <v>10.06</v>
      </c>
      <c r="AY117" s="57">
        <f>Scale!AJ58</f>
        <v>10.06</v>
      </c>
      <c r="AZ117" s="57">
        <f>Scale!AK58</f>
        <v>10.06</v>
      </c>
      <c r="BA117" s="57">
        <f>Scale!AL58</f>
        <v>10.06</v>
      </c>
      <c r="BB117" s="57">
        <f>Scale!AM58</f>
        <v>10.06</v>
      </c>
      <c r="BC117" s="57">
        <f>Scale!AN58</f>
        <v>10.06</v>
      </c>
      <c r="BD117" s="57">
        <f>Scale!AO58</f>
        <v>10.06</v>
      </c>
      <c r="BE117" s="57">
        <f>Scale!AP58</f>
        <v>10.06</v>
      </c>
      <c r="BF117" s="57">
        <f>Scale!AQ58</f>
        <v>10.06</v>
      </c>
      <c r="BG117" s="57">
        <f>Scale!AR58</f>
        <v>10.06</v>
      </c>
      <c r="BH117" s="57">
        <f>Scale!AS58</f>
        <v>10.06</v>
      </c>
      <c r="BI117" s="57">
        <f>Scale!AT58</f>
        <v>10.06</v>
      </c>
      <c r="BJ117" s="57">
        <f>Scale!AU58</f>
        <v>10.06</v>
      </c>
      <c r="BK117" s="57">
        <f>Scale!AV58</f>
        <v>10.06</v>
      </c>
      <c r="BL117" s="57">
        <f>Scale!AW58</f>
        <v>10.06</v>
      </c>
      <c r="BM117" s="57">
        <f>Scale!AX58</f>
        <v>10.06</v>
      </c>
      <c r="BN117" s="57">
        <f>Scale!AY58</f>
        <v>10.06</v>
      </c>
      <c r="BO117" s="57">
        <f>Scale!AZ58</f>
        <v>10.06</v>
      </c>
      <c r="BP117" s="57">
        <f>Scale!BA58</f>
        <v>10.06</v>
      </c>
      <c r="BQ117" s="57">
        <f>Scale!BB58</f>
        <v>10.06</v>
      </c>
      <c r="BR117" s="57">
        <f>Scale!BC58</f>
        <v>10.06</v>
      </c>
      <c r="BS117" s="57">
        <f>Scale!BD58</f>
        <v>10.06</v>
      </c>
      <c r="BT117" s="57">
        <f>Scale!BE58</f>
        <v>10.06</v>
      </c>
      <c r="BU117" s="54"/>
      <c r="BV117" s="54"/>
      <c r="BW117" s="54"/>
      <c r="BX117" s="54"/>
      <c r="BY117" s="54"/>
      <c r="BZ117" s="54"/>
    </row>
    <row r="118" spans="1:78" x14ac:dyDescent="0.35">
      <c r="A118" s="40">
        <v>31.5</v>
      </c>
      <c r="B118" s="41">
        <f t="shared" si="0"/>
        <v>9.2610654894026388E-3</v>
      </c>
      <c r="C118" s="28">
        <f t="shared" si="2"/>
        <v>0.95411021002374052</v>
      </c>
      <c r="D118" s="28"/>
      <c r="E118" s="42">
        <f t="shared" si="1"/>
        <v>2023.5</v>
      </c>
      <c r="K118" s="28"/>
      <c r="L118" s="29"/>
      <c r="P118" s="57" t="str">
        <f>Scale!A59</f>
        <v>1002</v>
      </c>
      <c r="Q118" s="57">
        <f>Scale!B59</f>
        <v>0</v>
      </c>
      <c r="R118" s="57">
        <f>Scale!C59</f>
        <v>0</v>
      </c>
      <c r="S118" s="57">
        <f>Scale!D59</f>
        <v>0</v>
      </c>
      <c r="T118" s="57">
        <f>Scale!E59</f>
        <v>0</v>
      </c>
      <c r="U118" s="57">
        <f>Scale!F59</f>
        <v>0</v>
      </c>
      <c r="V118" s="57">
        <f>Scale!G59</f>
        <v>15</v>
      </c>
      <c r="W118" s="57">
        <f>Scale!H59</f>
        <v>15</v>
      </c>
      <c r="X118" s="57">
        <f>Scale!I59</f>
        <v>15</v>
      </c>
      <c r="Y118" s="57">
        <f>Scale!J59</f>
        <v>15</v>
      </c>
      <c r="Z118" s="57">
        <f>Scale!K59</f>
        <v>15</v>
      </c>
      <c r="AA118" s="57">
        <f>Scale!L59</f>
        <v>15</v>
      </c>
      <c r="AB118" s="57">
        <f>Scale!M59</f>
        <v>15</v>
      </c>
      <c r="AC118" s="57">
        <f>Scale!N59</f>
        <v>15</v>
      </c>
      <c r="AD118" s="57">
        <f>Scale!O59</f>
        <v>15</v>
      </c>
      <c r="AE118" s="57">
        <f>Scale!P59</f>
        <v>15</v>
      </c>
      <c r="AF118" s="57">
        <f>Scale!Q59</f>
        <v>15</v>
      </c>
      <c r="AG118" s="57">
        <f>Scale!R59</f>
        <v>15</v>
      </c>
      <c r="AH118" s="57">
        <f>Scale!S59</f>
        <v>15</v>
      </c>
      <c r="AI118" s="57">
        <f>Scale!T59</f>
        <v>15</v>
      </c>
      <c r="AJ118" s="57">
        <f>Scale!U59</f>
        <v>15</v>
      </c>
      <c r="AK118" s="57">
        <f>Scale!V59</f>
        <v>15</v>
      </c>
      <c r="AL118" s="57">
        <f>Scale!W59</f>
        <v>15</v>
      </c>
      <c r="AM118" s="57">
        <f>Scale!X59</f>
        <v>15</v>
      </c>
      <c r="AN118" s="57">
        <f>Scale!Y59</f>
        <v>15</v>
      </c>
      <c r="AO118" s="57">
        <f>Scale!Z59</f>
        <v>15</v>
      </c>
      <c r="AP118" s="57">
        <f>Scale!AA59</f>
        <v>15</v>
      </c>
      <c r="AQ118" s="57">
        <f>Scale!AB59</f>
        <v>15</v>
      </c>
      <c r="AR118" s="57">
        <f>Scale!AC59</f>
        <v>15</v>
      </c>
      <c r="AS118" s="57">
        <f>Scale!AD59</f>
        <v>15</v>
      </c>
      <c r="AT118" s="57">
        <f>Scale!AE59</f>
        <v>15</v>
      </c>
      <c r="AU118" s="57">
        <f>Scale!AF59</f>
        <v>15</v>
      </c>
      <c r="AV118" s="57">
        <f>Scale!AG59</f>
        <v>15</v>
      </c>
      <c r="AW118" s="57">
        <f>Scale!AH59</f>
        <v>15</v>
      </c>
      <c r="AX118" s="57">
        <f>Scale!AI59</f>
        <v>15</v>
      </c>
      <c r="AY118" s="57">
        <f>Scale!AJ59</f>
        <v>15</v>
      </c>
      <c r="AZ118" s="57">
        <f>Scale!AK59</f>
        <v>15</v>
      </c>
      <c r="BA118" s="57">
        <f>Scale!AL59</f>
        <v>15</v>
      </c>
      <c r="BB118" s="57">
        <f>Scale!AM59</f>
        <v>15</v>
      </c>
      <c r="BC118" s="57">
        <f>Scale!AN59</f>
        <v>15</v>
      </c>
      <c r="BD118" s="57">
        <f>Scale!AO59</f>
        <v>15</v>
      </c>
      <c r="BE118" s="57">
        <f>Scale!AP59</f>
        <v>15</v>
      </c>
      <c r="BF118" s="57">
        <f>Scale!AQ59</f>
        <v>15</v>
      </c>
      <c r="BG118" s="57">
        <f>Scale!AR59</f>
        <v>15</v>
      </c>
      <c r="BH118" s="57">
        <f>Scale!AS59</f>
        <v>15</v>
      </c>
      <c r="BI118" s="57">
        <f>Scale!AT59</f>
        <v>15</v>
      </c>
      <c r="BJ118" s="57">
        <f>Scale!AU59</f>
        <v>15</v>
      </c>
      <c r="BK118" s="57">
        <f>Scale!AV59</f>
        <v>15</v>
      </c>
      <c r="BL118" s="57">
        <f>Scale!AW59</f>
        <v>15</v>
      </c>
      <c r="BM118" s="57">
        <f>Scale!AX59</f>
        <v>15</v>
      </c>
      <c r="BN118" s="57">
        <f>Scale!AY59</f>
        <v>15</v>
      </c>
      <c r="BO118" s="57">
        <f>Scale!AZ59</f>
        <v>15</v>
      </c>
      <c r="BP118" s="57">
        <f>Scale!BA59</f>
        <v>15</v>
      </c>
      <c r="BQ118" s="57">
        <f>Scale!BB59</f>
        <v>15</v>
      </c>
      <c r="BR118" s="57">
        <f>Scale!BC59</f>
        <v>15</v>
      </c>
      <c r="BS118" s="57">
        <f>Scale!BD59</f>
        <v>15</v>
      </c>
      <c r="BT118" s="57">
        <f>Scale!BE59</f>
        <v>15</v>
      </c>
      <c r="BU118" s="54"/>
      <c r="BV118" s="54"/>
      <c r="BW118" s="54"/>
      <c r="BX118" s="54"/>
      <c r="BY118" s="54"/>
      <c r="BZ118" s="54"/>
    </row>
    <row r="119" spans="1:78" x14ac:dyDescent="0.35">
      <c r="A119" s="40">
        <v>32</v>
      </c>
      <c r="B119" s="41">
        <f t="shared" ref="B119:B175" si="3">_xlfn.WEIBULL.DIST($A119,$A$52,$B$52,FALSE)</f>
        <v>8.5372498038760285E-3</v>
      </c>
      <c r="C119" s="28">
        <f t="shared" si="2"/>
        <v>0.95837883492567855</v>
      </c>
      <c r="D119" s="28"/>
      <c r="E119" s="42">
        <f t="shared" si="1"/>
        <v>2024</v>
      </c>
      <c r="K119" s="28"/>
      <c r="L119" s="29"/>
      <c r="P119" s="57">
        <f>Scale!A60</f>
        <v>0</v>
      </c>
      <c r="Q119" s="57">
        <f>Scale!B60</f>
        <v>0</v>
      </c>
      <c r="R119" s="57">
        <f>Scale!C60</f>
        <v>0</v>
      </c>
      <c r="S119" s="57">
        <f>Scale!D60</f>
        <v>0</v>
      </c>
      <c r="T119" s="57">
        <f>Scale!E60</f>
        <v>0</v>
      </c>
      <c r="U119" s="57">
        <f>Scale!F60</f>
        <v>0</v>
      </c>
      <c r="V119" s="57">
        <f>Scale!G60</f>
        <v>0</v>
      </c>
      <c r="W119" s="57">
        <f>Scale!H60</f>
        <v>0</v>
      </c>
      <c r="X119" s="57">
        <f>Scale!I60</f>
        <v>0</v>
      </c>
      <c r="Y119" s="57">
        <f>Scale!J60</f>
        <v>0</v>
      </c>
      <c r="Z119" s="57">
        <f>Scale!K60</f>
        <v>0</v>
      </c>
      <c r="AA119" s="57">
        <f>Scale!L60</f>
        <v>0</v>
      </c>
      <c r="AB119" s="57">
        <f>Scale!M60</f>
        <v>0</v>
      </c>
      <c r="AC119" s="57">
        <f>Scale!N60</f>
        <v>0</v>
      </c>
      <c r="AD119" s="57">
        <f>Scale!O60</f>
        <v>0</v>
      </c>
      <c r="AE119" s="57">
        <f>Scale!P60</f>
        <v>0</v>
      </c>
      <c r="AF119" s="57">
        <f>Scale!Q60</f>
        <v>0</v>
      </c>
      <c r="AG119" s="57">
        <f>Scale!R60</f>
        <v>0</v>
      </c>
      <c r="AH119" s="57">
        <f>Scale!S60</f>
        <v>0</v>
      </c>
      <c r="AI119" s="57">
        <f>Scale!T60</f>
        <v>0</v>
      </c>
      <c r="AJ119" s="57">
        <f>Scale!U60</f>
        <v>0</v>
      </c>
      <c r="AK119" s="57">
        <f>Scale!V60</f>
        <v>0</v>
      </c>
      <c r="AL119" s="57">
        <f>Scale!W60</f>
        <v>0</v>
      </c>
      <c r="AM119" s="57">
        <f>Scale!X60</f>
        <v>0</v>
      </c>
      <c r="AN119" s="57">
        <f>Scale!Y60</f>
        <v>0</v>
      </c>
      <c r="AO119" s="57">
        <f>Scale!Z60</f>
        <v>0</v>
      </c>
      <c r="AP119" s="57">
        <f>Scale!AA60</f>
        <v>0</v>
      </c>
      <c r="AQ119" s="57">
        <f>Scale!AB60</f>
        <v>0</v>
      </c>
      <c r="AR119" s="57">
        <f>Scale!AC60</f>
        <v>0</v>
      </c>
      <c r="AS119" s="57">
        <f>Scale!AD60</f>
        <v>0</v>
      </c>
      <c r="AT119" s="57">
        <f>Scale!AE60</f>
        <v>0</v>
      </c>
      <c r="AU119" s="57">
        <f>Scale!AF60</f>
        <v>0</v>
      </c>
      <c r="AV119" s="57">
        <f>Scale!AG60</f>
        <v>0</v>
      </c>
      <c r="AW119" s="57">
        <f>Scale!AH60</f>
        <v>0</v>
      </c>
      <c r="AX119" s="57">
        <f>Scale!AI60</f>
        <v>0</v>
      </c>
      <c r="AY119" s="57">
        <f>Scale!AJ60</f>
        <v>0</v>
      </c>
      <c r="AZ119" s="57">
        <f>Scale!AK60</f>
        <v>0</v>
      </c>
      <c r="BA119" s="57">
        <f>Scale!AL60</f>
        <v>0</v>
      </c>
      <c r="BB119" s="57">
        <f>Scale!AM60</f>
        <v>0</v>
      </c>
      <c r="BC119" s="57">
        <f>Scale!AN60</f>
        <v>0</v>
      </c>
      <c r="BD119" s="57">
        <f>Scale!AO60</f>
        <v>0</v>
      </c>
      <c r="BE119" s="57">
        <f>Scale!AP60</f>
        <v>0</v>
      </c>
      <c r="BF119" s="57">
        <f>Scale!AQ60</f>
        <v>0</v>
      </c>
      <c r="BG119" s="57">
        <f>Scale!AR60</f>
        <v>0</v>
      </c>
      <c r="BH119" s="57">
        <f>Scale!AS60</f>
        <v>0</v>
      </c>
      <c r="BI119" s="57">
        <f>Scale!AT60</f>
        <v>0</v>
      </c>
      <c r="BJ119" s="57">
        <f>Scale!AU60</f>
        <v>0</v>
      </c>
      <c r="BK119" s="57">
        <f>Scale!AV60</f>
        <v>0</v>
      </c>
      <c r="BL119" s="57">
        <f>Scale!AW60</f>
        <v>0</v>
      </c>
      <c r="BM119" s="57">
        <f>Scale!AX60</f>
        <v>0</v>
      </c>
      <c r="BN119" s="57">
        <f>Scale!AY60</f>
        <v>0</v>
      </c>
      <c r="BO119" s="57">
        <f>Scale!AZ60</f>
        <v>0</v>
      </c>
      <c r="BP119" s="57">
        <f>Scale!BA60</f>
        <v>0</v>
      </c>
      <c r="BQ119" s="57">
        <f>Scale!BB60</f>
        <v>0</v>
      </c>
      <c r="BR119" s="57">
        <f>Scale!BC60</f>
        <v>0</v>
      </c>
      <c r="BS119" s="57">
        <f>Scale!BD60</f>
        <v>0</v>
      </c>
      <c r="BT119" s="57">
        <f>Scale!BE60</f>
        <v>0</v>
      </c>
      <c r="BU119" s="54"/>
      <c r="BV119" s="54"/>
      <c r="BW119" s="54"/>
      <c r="BX119" s="54"/>
      <c r="BY119" s="54"/>
      <c r="BZ119" s="54"/>
    </row>
    <row r="120" spans="1:78" x14ac:dyDescent="0.35">
      <c r="A120" s="40">
        <v>32.5</v>
      </c>
      <c r="B120" s="41">
        <f t="shared" si="3"/>
        <v>7.8560581919459218E-3</v>
      </c>
      <c r="C120" s="28">
        <f t="shared" si="2"/>
        <v>0.96230686402165155</v>
      </c>
      <c r="D120" s="28"/>
      <c r="E120" s="42">
        <f t="shared" ref="E120:E175" si="4">+B$6+A120</f>
        <v>2024.5</v>
      </c>
      <c r="K120" s="28"/>
      <c r="L120" s="29"/>
      <c r="P120" s="57" t="str">
        <f>Scale!A61</f>
        <v>Reference ID for Lifespan graph</v>
      </c>
      <c r="Q120" s="57">
        <f>Scale!B61</f>
        <v>0</v>
      </c>
      <c r="R120" s="57">
        <f>Scale!C61</f>
        <v>0</v>
      </c>
      <c r="S120" s="57">
        <f>Scale!D61</f>
        <v>0</v>
      </c>
      <c r="T120" s="57">
        <f>Scale!E61</f>
        <v>0</v>
      </c>
      <c r="U120" s="57">
        <f>Scale!F61</f>
        <v>0</v>
      </c>
      <c r="V120" s="57">
        <f>Scale!G61</f>
        <v>7</v>
      </c>
      <c r="W120" s="57">
        <f>Scale!H61</f>
        <v>8</v>
      </c>
      <c r="X120" s="57">
        <f>Scale!I61</f>
        <v>9</v>
      </c>
      <c r="Y120" s="57">
        <f>Scale!J61</f>
        <v>10</v>
      </c>
      <c r="Z120" s="57">
        <f>Scale!K61</f>
        <v>11</v>
      </c>
      <c r="AA120" s="57">
        <f>Scale!L61</f>
        <v>12</v>
      </c>
      <c r="AB120" s="57">
        <f>Scale!M61</f>
        <v>13</v>
      </c>
      <c r="AC120" s="57">
        <f>Scale!N61</f>
        <v>14</v>
      </c>
      <c r="AD120" s="57">
        <f>Scale!O61</f>
        <v>15</v>
      </c>
      <c r="AE120" s="57">
        <f>Scale!P61</f>
        <v>16</v>
      </c>
      <c r="AF120" s="57">
        <f>Scale!Q61</f>
        <v>17</v>
      </c>
      <c r="AG120" s="57">
        <f>Scale!R61</f>
        <v>18</v>
      </c>
      <c r="AH120" s="57">
        <f>Scale!S61</f>
        <v>19</v>
      </c>
      <c r="AI120" s="57">
        <f>Scale!T61</f>
        <v>20</v>
      </c>
      <c r="AJ120" s="57">
        <f>Scale!U61</f>
        <v>21</v>
      </c>
      <c r="AK120" s="57">
        <f>Scale!V61</f>
        <v>22</v>
      </c>
      <c r="AL120" s="57">
        <f>Scale!W61</f>
        <v>23</v>
      </c>
      <c r="AM120" s="57">
        <f>Scale!X61</f>
        <v>24</v>
      </c>
      <c r="AN120" s="57">
        <f>Scale!Y61</f>
        <v>25</v>
      </c>
      <c r="AO120" s="57">
        <f>Scale!Z61</f>
        <v>26</v>
      </c>
      <c r="AP120" s="57">
        <f>Scale!AA61</f>
        <v>27</v>
      </c>
      <c r="AQ120" s="57">
        <f>Scale!AB61</f>
        <v>28</v>
      </c>
      <c r="AR120" s="57">
        <f>Scale!AC61</f>
        <v>29</v>
      </c>
      <c r="AS120" s="57">
        <f>Scale!AD61</f>
        <v>30</v>
      </c>
      <c r="AT120" s="57">
        <f>Scale!AE61</f>
        <v>31</v>
      </c>
      <c r="AU120" s="57">
        <f>Scale!AF61</f>
        <v>32</v>
      </c>
      <c r="AV120" s="57">
        <f>Scale!AG61</f>
        <v>33</v>
      </c>
      <c r="AW120" s="57">
        <f>Scale!AH61</f>
        <v>34</v>
      </c>
      <c r="AX120" s="57">
        <f>Scale!AI61</f>
        <v>35</v>
      </c>
      <c r="AY120" s="57">
        <f>Scale!AJ61</f>
        <v>36</v>
      </c>
      <c r="AZ120" s="57">
        <f>Scale!AK61</f>
        <v>37</v>
      </c>
      <c r="BA120" s="57">
        <f>Scale!AL61</f>
        <v>38</v>
      </c>
      <c r="BB120" s="57">
        <f>Scale!AM61</f>
        <v>39</v>
      </c>
      <c r="BC120" s="57">
        <f>Scale!AN61</f>
        <v>40</v>
      </c>
      <c r="BD120" s="57">
        <f>Scale!AO61</f>
        <v>41</v>
      </c>
      <c r="BE120" s="57">
        <f>Scale!AP61</f>
        <v>42</v>
      </c>
      <c r="BF120" s="57">
        <f>Scale!AQ61</f>
        <v>43</v>
      </c>
      <c r="BG120" s="57">
        <f>Scale!AR61</f>
        <v>44</v>
      </c>
      <c r="BH120" s="57">
        <f>Scale!AS61</f>
        <v>45</v>
      </c>
      <c r="BI120" s="57">
        <f>Scale!AT61</f>
        <v>46</v>
      </c>
      <c r="BJ120" s="57">
        <f>Scale!AU61</f>
        <v>47</v>
      </c>
      <c r="BK120" s="57">
        <f>Scale!AV61</f>
        <v>48</v>
      </c>
      <c r="BL120" s="57">
        <f>Scale!AW61</f>
        <v>49</v>
      </c>
      <c r="BM120" s="57">
        <f>Scale!AX61</f>
        <v>50</v>
      </c>
      <c r="BN120" s="57">
        <f>Scale!AY61</f>
        <v>51</v>
      </c>
      <c r="BO120" s="57">
        <f>Scale!AZ61</f>
        <v>52</v>
      </c>
      <c r="BP120" s="57">
        <f>Scale!BA61</f>
        <v>53</v>
      </c>
      <c r="BQ120" s="57">
        <f>Scale!BB61</f>
        <v>54</v>
      </c>
      <c r="BR120" s="57">
        <f>Scale!BC61</f>
        <v>55</v>
      </c>
      <c r="BS120" s="57">
        <f>Scale!BD61</f>
        <v>56</v>
      </c>
      <c r="BT120" s="57">
        <f>Scale!BE61</f>
        <v>57</v>
      </c>
      <c r="BU120" s="54"/>
      <c r="BV120" s="54"/>
      <c r="BW120" s="54"/>
      <c r="BX120" s="54"/>
      <c r="BY120" s="54"/>
      <c r="BZ120" s="54"/>
    </row>
    <row r="121" spans="1:78" x14ac:dyDescent="0.35">
      <c r="A121" s="40">
        <v>33</v>
      </c>
      <c r="B121" s="41">
        <f t="shared" si="3"/>
        <v>7.2164615302721825E-3</v>
      </c>
      <c r="C121" s="28">
        <f t="shared" ref="C121:C175" si="5">+B121/2+C120</f>
        <v>0.96591509478678761</v>
      </c>
      <c r="D121" s="28"/>
      <c r="E121" s="42">
        <f t="shared" si="4"/>
        <v>2025</v>
      </c>
      <c r="K121" s="28"/>
      <c r="L121" s="29"/>
    </row>
    <row r="122" spans="1:78" x14ac:dyDescent="0.35">
      <c r="A122" s="40">
        <v>33.5</v>
      </c>
      <c r="B122" s="41">
        <f t="shared" si="3"/>
        <v>6.6172860492196197E-3</v>
      </c>
      <c r="C122" s="28">
        <f t="shared" si="5"/>
        <v>0.96922373781139737</v>
      </c>
      <c r="D122" s="28"/>
      <c r="E122" s="42">
        <f t="shared" si="4"/>
        <v>2025.5</v>
      </c>
      <c r="K122" s="28"/>
      <c r="L122" s="29"/>
    </row>
    <row r="123" spans="1:78" x14ac:dyDescent="0.35">
      <c r="A123" s="40">
        <v>34</v>
      </c>
      <c r="B123" s="41">
        <f t="shared" si="3"/>
        <v>6.0572356468481699E-3</v>
      </c>
      <c r="C123" s="28">
        <f t="shared" si="5"/>
        <v>0.97225235563482149</v>
      </c>
      <c r="D123" s="28"/>
      <c r="E123" s="42">
        <f t="shared" si="4"/>
        <v>2026</v>
      </c>
      <c r="K123" s="28"/>
      <c r="L123" s="29"/>
    </row>
    <row r="124" spans="1:78" x14ac:dyDescent="0.35">
      <c r="A124" s="40">
        <v>34.5</v>
      </c>
      <c r="B124" s="41">
        <f t="shared" si="3"/>
        <v>5.5349131278182263E-3</v>
      </c>
      <c r="C124" s="28">
        <f t="shared" si="5"/>
        <v>0.97501981219873057</v>
      </c>
      <c r="D124" s="28"/>
      <c r="E124" s="42">
        <f t="shared" si="4"/>
        <v>2026.5</v>
      </c>
      <c r="K124" s="28"/>
      <c r="L124" s="29"/>
    </row>
    <row r="125" spans="1:78" x14ac:dyDescent="0.35">
      <c r="A125" s="40">
        <v>35</v>
      </c>
      <c r="B125" s="41">
        <f t="shared" si="3"/>
        <v>5.0488402552660286E-3</v>
      </c>
      <c r="C125" s="28">
        <f t="shared" si="5"/>
        <v>0.97754423232636356</v>
      </c>
      <c r="D125" s="28"/>
      <c r="E125" s="42">
        <f t="shared" si="4"/>
        <v>2027</v>
      </c>
      <c r="K125" s="28"/>
      <c r="L125" s="29"/>
    </row>
    <row r="126" spans="1:78" x14ac:dyDescent="0.35">
      <c r="A126" s="40">
        <v>35.5</v>
      </c>
      <c r="B126" s="41">
        <f t="shared" si="3"/>
        <v>4.5974765283772756E-3</v>
      </c>
      <c r="C126" s="28">
        <f t="shared" si="5"/>
        <v>0.97984297059055225</v>
      </c>
      <c r="D126" s="28"/>
      <c r="E126" s="42">
        <f t="shared" si="4"/>
        <v>2027.5</v>
      </c>
    </row>
    <row r="127" spans="1:78" x14ac:dyDescent="0.35">
      <c r="A127" s="40">
        <v>36</v>
      </c>
      <c r="B127" s="41">
        <f t="shared" si="3"/>
        <v>4.1792366217811355E-3</v>
      </c>
      <c r="C127" s="28">
        <f t="shared" si="5"/>
        <v>0.98193258890144286</v>
      </c>
      <c r="D127" s="28"/>
      <c r="E127" s="42">
        <f t="shared" si="4"/>
        <v>2028</v>
      </c>
    </row>
    <row r="128" spans="1:78" x14ac:dyDescent="0.35">
      <c r="A128" s="40">
        <v>36.5</v>
      </c>
      <c r="B128" s="41">
        <f t="shared" si="3"/>
        <v>3.792506444789033E-3</v>
      </c>
      <c r="C128" s="28">
        <f t="shared" si="5"/>
        <v>0.98382884212383737</v>
      </c>
      <c r="D128" s="28"/>
      <c r="E128" s="42">
        <f t="shared" si="4"/>
        <v>2028.5</v>
      </c>
    </row>
    <row r="129" spans="1:5" x14ac:dyDescent="0.35">
      <c r="A129" s="40">
        <v>37</v>
      </c>
      <c r="B129" s="41">
        <f t="shared" si="3"/>
        <v>3.4356577987450518E-3</v>
      </c>
      <c r="C129" s="28">
        <f t="shared" si="5"/>
        <v>0.98554667102320992</v>
      </c>
      <c r="D129" s="28"/>
      <c r="E129" s="42">
        <f t="shared" si="4"/>
        <v>2029</v>
      </c>
    </row>
    <row r="130" spans="1:5" x14ac:dyDescent="0.35">
      <c r="A130" s="40">
        <v>37.5</v>
      </c>
      <c r="B130" s="41">
        <f t="shared" si="3"/>
        <v>3.1070616292129222E-3</v>
      </c>
      <c r="C130" s="28">
        <f t="shared" si="5"/>
        <v>0.98710020183781633</v>
      </c>
      <c r="D130" s="28"/>
      <c r="E130" s="42">
        <f t="shared" si="4"/>
        <v>2029.5</v>
      </c>
    </row>
    <row r="131" spans="1:5" x14ac:dyDescent="0.35">
      <c r="A131" s="40">
        <v>38</v>
      </c>
      <c r="B131" s="41">
        <f t="shared" si="3"/>
        <v>2.8050998863149452E-3</v>
      </c>
      <c r="C131" s="28">
        <f t="shared" si="5"/>
        <v>0.9885027517809738</v>
      </c>
      <c r="D131" s="28"/>
      <c r="E131" s="42">
        <f t="shared" si="4"/>
        <v>2030</v>
      </c>
    </row>
    <row r="132" spans="1:5" x14ac:dyDescent="0.35">
      <c r="A132" s="40">
        <v>38.5</v>
      </c>
      <c r="B132" s="41">
        <f t="shared" si="3"/>
        <v>2.5281760212158577E-3</v>
      </c>
      <c r="C132" s="28">
        <f t="shared" si="5"/>
        <v>0.98976683979158175</v>
      </c>
      <c r="D132" s="28"/>
      <c r="E132" s="42">
        <f t="shared" si="4"/>
        <v>2030.5</v>
      </c>
    </row>
    <row r="133" spans="1:5" x14ac:dyDescent="0.35">
      <c r="A133" s="40">
        <v>39</v>
      </c>
      <c r="B133" s="41">
        <f t="shared" si="3"/>
        <v>2.2747241594989606E-3</v>
      </c>
      <c r="C133" s="28">
        <f t="shared" si="5"/>
        <v>0.99090420187133121</v>
      </c>
      <c r="D133" s="28"/>
      <c r="E133" s="42">
        <f t="shared" si="4"/>
        <v>2031</v>
      </c>
    </row>
    <row r="134" spans="1:5" x14ac:dyDescent="0.35">
      <c r="A134" s="40">
        <v>39.5</v>
      </c>
      <c r="B134" s="41">
        <f t="shared" si="3"/>
        <v>2.0432170030354265E-3</v>
      </c>
      <c r="C134" s="28">
        <f t="shared" si="5"/>
        <v>0.99192581037284888</v>
      </c>
      <c r="D134" s="28"/>
      <c r="E134" s="42">
        <f t="shared" si="4"/>
        <v>2031.5</v>
      </c>
    </row>
    <row r="135" spans="1:5" x14ac:dyDescent="0.35">
      <c r="A135" s="40">
        <v>40</v>
      </c>
      <c r="B135" s="41">
        <f t="shared" si="3"/>
        <v>1.8321725209488121E-3</v>
      </c>
      <c r="C135" s="28">
        <f t="shared" si="5"/>
        <v>0.99284189663332334</v>
      </c>
      <c r="D135" s="28"/>
      <c r="E135" s="42">
        <f t="shared" si="4"/>
        <v>2032</v>
      </c>
    </row>
    <row r="136" spans="1:5" x14ac:dyDescent="0.35">
      <c r="A136" s="40">
        <v>40.5</v>
      </c>
      <c r="B136" s="41">
        <f t="shared" si="3"/>
        <v>1.6401594974996597E-3</v>
      </c>
      <c r="C136" s="28">
        <f t="shared" si="5"/>
        <v>0.99366197638207321</v>
      </c>
      <c r="D136" s="28"/>
      <c r="E136" s="42">
        <f t="shared" si="4"/>
        <v>2032.5</v>
      </c>
    </row>
    <row r="137" spans="1:5" x14ac:dyDescent="0.35">
      <c r="A137" s="40">
        <v>41</v>
      </c>
      <c r="B137" s="41">
        <f t="shared" si="3"/>
        <v>1.4658020102526381E-3</v>
      </c>
      <c r="C137" s="28">
        <f t="shared" si="5"/>
        <v>0.99439487738719956</v>
      </c>
      <c r="D137" s="28"/>
      <c r="E137" s="42">
        <f t="shared" si="4"/>
        <v>2033</v>
      </c>
    </row>
    <row r="138" spans="1:5" x14ac:dyDescent="0.35">
      <c r="A138" s="40">
        <v>41.5</v>
      </c>
      <c r="B138" s="41">
        <f t="shared" si="3"/>
        <v>1.3077829158508237E-3</v>
      </c>
      <c r="C138" s="28">
        <f t="shared" si="5"/>
        <v>0.99504876884512494</v>
      </c>
      <c r="D138" s="28"/>
      <c r="E138" s="42">
        <f t="shared" si="4"/>
        <v>2033.5</v>
      </c>
    </row>
    <row r="139" spans="1:5" x14ac:dyDescent="0.35">
      <c r="A139" s="40">
        <v>42</v>
      </c>
      <c r="B139" s="41">
        <f t="shared" si="3"/>
        <v>1.1648464232306564E-3</v>
      </c>
      <c r="C139" s="28">
        <f t="shared" si="5"/>
        <v>0.99563119205674022</v>
      </c>
      <c r="D139" s="28"/>
      <c r="E139" s="42">
        <f t="shared" si="4"/>
        <v>2034</v>
      </c>
    </row>
    <row r="140" spans="1:5" x14ac:dyDescent="0.35">
      <c r="A140" s="40">
        <v>42.5</v>
      </c>
      <c r="B140" s="41">
        <f t="shared" si="3"/>
        <v>1.0357998352976423E-3</v>
      </c>
      <c r="C140" s="28">
        <f t="shared" si="5"/>
        <v>0.99614909197438906</v>
      </c>
      <c r="D140" s="28"/>
      <c r="E140" s="42">
        <f t="shared" si="4"/>
        <v>2034.5</v>
      </c>
    </row>
    <row r="141" spans="1:5" x14ac:dyDescent="0.35">
      <c r="A141" s="40">
        <v>43</v>
      </c>
      <c r="B141" s="41">
        <f t="shared" si="3"/>
        <v>9.1951454008462586E-4</v>
      </c>
      <c r="C141" s="28">
        <f t="shared" si="5"/>
        <v>0.99660884924443138</v>
      </c>
      <c r="D141" s="28"/>
      <c r="E141" s="42">
        <f t="shared" si="4"/>
        <v>2035</v>
      </c>
    </row>
    <row r="142" spans="1:5" x14ac:dyDescent="0.35">
      <c r="A142" s="40">
        <v>43.5</v>
      </c>
      <c r="B142" s="41">
        <f t="shared" si="3"/>
        <v>8.149263313700436E-4</v>
      </c>
      <c r="C142" s="28">
        <f t="shared" si="5"/>
        <v>0.99701631241011646</v>
      </c>
      <c r="D142" s="28"/>
      <c r="E142" s="42">
        <f t="shared" si="4"/>
        <v>2035.5</v>
      </c>
    </row>
    <row r="143" spans="1:5" x14ac:dyDescent="0.35">
      <c r="A143" s="40">
        <v>44</v>
      </c>
      <c r="B143" s="41">
        <f t="shared" si="3"/>
        <v>7.2103513678325494E-4</v>
      </c>
      <c r="C143" s="28">
        <f t="shared" si="5"/>
        <v>0.99737682997850807</v>
      </c>
      <c r="D143" s="28"/>
      <c r="E143" s="42">
        <f t="shared" si="4"/>
        <v>2036</v>
      </c>
    </row>
    <row r="144" spans="1:5" x14ac:dyDescent="0.35">
      <c r="A144" s="40">
        <v>44.5</v>
      </c>
      <c r="B144" s="41">
        <f t="shared" si="3"/>
        <v>6.3690422870448589E-4</v>
      </c>
      <c r="C144" s="28">
        <f t="shared" si="5"/>
        <v>0.99769528209286029</v>
      </c>
      <c r="D144" s="28"/>
      <c r="E144" s="42">
        <f t="shared" si="4"/>
        <v>2036.5</v>
      </c>
    </row>
    <row r="145" spans="1:5" x14ac:dyDescent="0.35">
      <c r="A145" s="40">
        <v>45</v>
      </c>
      <c r="B145" s="41">
        <f t="shared" si="3"/>
        <v>5.6165898991087206E-4</v>
      </c>
      <c r="C145" s="28">
        <f t="shared" si="5"/>
        <v>0.99797611158781574</v>
      </c>
      <c r="D145" s="28"/>
      <c r="E145" s="42">
        <f t="shared" si="4"/>
        <v>2037</v>
      </c>
    </row>
    <row r="146" spans="1:5" x14ac:dyDescent="0.35">
      <c r="A146" s="40">
        <v>45.5</v>
      </c>
      <c r="B146" s="41">
        <f t="shared" si="3"/>
        <v>4.9448530205376212E-4</v>
      </c>
      <c r="C146" s="28">
        <f t="shared" si="5"/>
        <v>0.99822335423884268</v>
      </c>
      <c r="D146" s="28"/>
      <c r="E146" s="42">
        <f t="shared" si="4"/>
        <v>2037.5</v>
      </c>
    </row>
    <row r="147" spans="1:5" x14ac:dyDescent="0.35">
      <c r="A147" s="40">
        <v>46</v>
      </c>
      <c r="B147" s="41">
        <f t="shared" si="3"/>
        <v>4.3462762079478064E-4</v>
      </c>
      <c r="C147" s="28">
        <f t="shared" si="5"/>
        <v>0.99844066804924003</v>
      </c>
      <c r="D147" s="28"/>
      <c r="E147" s="42">
        <f t="shared" si="4"/>
        <v>2038</v>
      </c>
    </row>
    <row r="148" spans="1:5" x14ac:dyDescent="0.35">
      <c r="A148" s="40">
        <v>46.5</v>
      </c>
      <c r="B148" s="41">
        <f t="shared" si="3"/>
        <v>3.8138679688897315E-4</v>
      </c>
      <c r="C148" s="28">
        <f t="shared" si="5"/>
        <v>0.9986313614476845</v>
      </c>
      <c r="D148" s="28"/>
      <c r="E148" s="42">
        <f t="shared" si="4"/>
        <v>2038.5</v>
      </c>
    </row>
    <row r="149" spans="1:5" x14ac:dyDescent="0.35">
      <c r="A149" s="40">
        <v>47</v>
      </c>
      <c r="B149" s="41">
        <f t="shared" si="3"/>
        <v>3.3411769778333761E-4</v>
      </c>
      <c r="C149" s="28">
        <f t="shared" si="5"/>
        <v>0.99879842029657617</v>
      </c>
      <c r="D149" s="28"/>
      <c r="E149" s="42">
        <f t="shared" si="4"/>
        <v>2039</v>
      </c>
    </row>
    <row r="150" spans="1:5" x14ac:dyDescent="0.35">
      <c r="A150" s="40">
        <v>47.5</v>
      </c>
      <c r="B150" s="41">
        <f t="shared" si="3"/>
        <v>2.9222667948863412E-4</v>
      </c>
      <c r="C150" s="28">
        <f t="shared" si="5"/>
        <v>0.99894453363632052</v>
      </c>
      <c r="D150" s="28"/>
      <c r="E150" s="42">
        <f t="shared" si="4"/>
        <v>2039.5</v>
      </c>
    </row>
    <row r="151" spans="1:5" x14ac:dyDescent="0.35">
      <c r="A151" s="40">
        <v>48</v>
      </c>
      <c r="B151" s="41">
        <f t="shared" si="3"/>
        <v>2.5516895366181608E-4</v>
      </c>
      <c r="C151" s="28">
        <f t="shared" si="5"/>
        <v>0.99907211811315144</v>
      </c>
      <c r="D151" s="28"/>
      <c r="E151" s="42">
        <f t="shared" si="4"/>
        <v>2040</v>
      </c>
    </row>
    <row r="152" spans="1:5" x14ac:dyDescent="0.35">
      <c r="A152" s="40">
        <v>48.5</v>
      </c>
      <c r="B152" s="41">
        <f t="shared" si="3"/>
        <v>2.2244589007575018E-4</v>
      </c>
      <c r="C152" s="28">
        <f t="shared" si="5"/>
        <v>0.99918334105818929</v>
      </c>
      <c r="D152" s="28"/>
      <c r="E152" s="42">
        <f t="shared" si="4"/>
        <v>2040.5</v>
      </c>
    </row>
    <row r="153" spans="1:5" x14ac:dyDescent="0.35">
      <c r="A153" s="40">
        <v>49</v>
      </c>
      <c r="B153" s="41">
        <f t="shared" si="3"/>
        <v>1.9360229001173248E-4</v>
      </c>
      <c r="C153" s="28">
        <f t="shared" si="5"/>
        <v>0.99928014220319517</v>
      </c>
      <c r="D153" s="28"/>
      <c r="E153" s="42">
        <f t="shared" si="4"/>
        <v>2041</v>
      </c>
    </row>
    <row r="154" spans="1:5" x14ac:dyDescent="0.35">
      <c r="A154" s="40">
        <v>49.5</v>
      </c>
      <c r="B154" s="41">
        <f t="shared" si="3"/>
        <v>1.682236616387927E-4</v>
      </c>
      <c r="C154" s="28">
        <f t="shared" si="5"/>
        <v>0.99936425403401452</v>
      </c>
      <c r="D154" s="28"/>
      <c r="E154" s="42">
        <f t="shared" si="4"/>
        <v>2041.5</v>
      </c>
    </row>
    <row r="155" spans="1:5" x14ac:dyDescent="0.35">
      <c r="A155" s="40">
        <v>50</v>
      </c>
      <c r="B155" s="41">
        <f t="shared" si="3"/>
        <v>1.459335241823606E-4</v>
      </c>
      <c r="C155" s="28">
        <f t="shared" si="5"/>
        <v>0.99943722079610575</v>
      </c>
      <c r="D155" s="28"/>
      <c r="E155" s="42">
        <f t="shared" si="4"/>
        <v>2042</v>
      </c>
    </row>
    <row r="156" spans="1:5" x14ac:dyDescent="0.35">
      <c r="A156" s="40">
        <v>50.5</v>
      </c>
      <c r="B156" s="41">
        <f t="shared" si="3"/>
        <v>1.2639076366544727E-4</v>
      </c>
      <c r="C156" s="28">
        <f t="shared" si="5"/>
        <v>0.9995004161779385</v>
      </c>
      <c r="D156" s="28"/>
      <c r="E156" s="42">
        <f t="shared" si="4"/>
        <v>2042.5</v>
      </c>
    </row>
    <row r="157" spans="1:5" x14ac:dyDescent="0.35">
      <c r="A157" s="40">
        <v>51</v>
      </c>
      <c r="B157" s="41">
        <f t="shared" si="3"/>
        <v>1.0928705925166145E-4</v>
      </c>
      <c r="C157" s="28">
        <f t="shared" si="5"/>
        <v>0.99955505970756431</v>
      </c>
      <c r="D157" s="28"/>
      <c r="E157" s="42">
        <f t="shared" si="4"/>
        <v>2043</v>
      </c>
    </row>
    <row r="158" spans="1:5" x14ac:dyDescent="0.35">
      <c r="A158" s="40">
        <v>51.5</v>
      </c>
      <c r="B158" s="41">
        <f t="shared" si="3"/>
        <v>9.4344395747472936E-5</v>
      </c>
      <c r="C158" s="28">
        <f t="shared" si="5"/>
        <v>0.99960223190543807</v>
      </c>
      <c r="D158" s="28"/>
      <c r="E158" s="42">
        <f t="shared" si="4"/>
        <v>2043.5</v>
      </c>
    </row>
    <row r="159" spans="1:5" x14ac:dyDescent="0.35">
      <c r="A159" s="40">
        <v>52</v>
      </c>
      <c r="B159" s="41">
        <f t="shared" si="3"/>
        <v>8.1312674640665974E-5</v>
      </c>
      <c r="C159" s="28">
        <f t="shared" si="5"/>
        <v>0.99964288824275838</v>
      </c>
      <c r="D159" s="28"/>
      <c r="E159" s="42">
        <f t="shared" si="4"/>
        <v>2044</v>
      </c>
    </row>
    <row r="160" spans="1:5" x14ac:dyDescent="0.35">
      <c r="A160" s="40">
        <v>52.5</v>
      </c>
      <c r="B160" s="41">
        <f t="shared" si="3"/>
        <v>6.9967433166631161E-5</v>
      </c>
      <c r="C160" s="28">
        <f t="shared" si="5"/>
        <v>0.99967787195934166</v>
      </c>
      <c r="D160" s="28"/>
      <c r="E160" s="42">
        <f t="shared" si="4"/>
        <v>2044.5</v>
      </c>
    </row>
    <row r="161" spans="1:5" x14ac:dyDescent="0.35">
      <c r="A161" s="40">
        <v>53</v>
      </c>
      <c r="B161" s="41">
        <f t="shared" si="3"/>
        <v>6.0107678302637215E-5</v>
      </c>
      <c r="C161" s="28">
        <f t="shared" si="5"/>
        <v>0.99970792579849299</v>
      </c>
      <c r="D161" s="28"/>
      <c r="E161" s="42">
        <f t="shared" si="4"/>
        <v>2045</v>
      </c>
    </row>
    <row r="162" spans="1:5" x14ac:dyDescent="0.35">
      <c r="A162" s="40">
        <v>53.5</v>
      </c>
      <c r="B162" s="41">
        <f t="shared" si="3"/>
        <v>5.1553840286656655E-5</v>
      </c>
      <c r="C162" s="28">
        <f t="shared" si="5"/>
        <v>0.99973370271863637</v>
      </c>
      <c r="D162" s="28"/>
      <c r="E162" s="42">
        <f t="shared" si="4"/>
        <v>2045.5</v>
      </c>
    </row>
    <row r="163" spans="1:5" x14ac:dyDescent="0.35">
      <c r="A163" s="40">
        <v>54</v>
      </c>
      <c r="B163" s="41">
        <f t="shared" si="3"/>
        <v>4.4145848232350697E-5</v>
      </c>
      <c r="C163" s="28">
        <f t="shared" si="5"/>
        <v>0.99975577564275253</v>
      </c>
      <c r="D163" s="28"/>
      <c r="E163" s="42">
        <f t="shared" si="4"/>
        <v>2046</v>
      </c>
    </row>
    <row r="164" spans="1:5" x14ac:dyDescent="0.35">
      <c r="A164" s="40">
        <v>54.5</v>
      </c>
      <c r="B164" s="41">
        <f t="shared" si="3"/>
        <v>3.7741328653036152E-5</v>
      </c>
      <c r="C164" s="28">
        <f t="shared" si="5"/>
        <v>0.99977464630707902</v>
      </c>
      <c r="D164" s="28"/>
      <c r="E164" s="42">
        <f t="shared" si="4"/>
        <v>2046.5</v>
      </c>
    </row>
    <row r="165" spans="1:5" x14ac:dyDescent="0.35">
      <c r="A165" s="40">
        <v>55</v>
      </c>
      <c r="B165" s="41">
        <f t="shared" si="3"/>
        <v>3.2213926200234575E-5</v>
      </c>
      <c r="C165" s="28">
        <f t="shared" si="5"/>
        <v>0.99979075327017919</v>
      </c>
      <c r="D165" s="28"/>
      <c r="E165" s="42">
        <f t="shared" si="4"/>
        <v>2047</v>
      </c>
    </row>
    <row r="166" spans="1:5" x14ac:dyDescent="0.35">
      <c r="A166" s="40">
        <v>55.5</v>
      </c>
      <c r="B166" s="41">
        <f t="shared" si="3"/>
        <v>2.7451744650320493E-5</v>
      </c>
      <c r="C166" s="28">
        <f t="shared" si="5"/>
        <v>0.99980447914250437</v>
      </c>
      <c r="D166" s="28"/>
      <c r="E166" s="42">
        <f t="shared" si="4"/>
        <v>2047.5</v>
      </c>
    </row>
    <row r="167" spans="1:5" x14ac:dyDescent="0.35">
      <c r="A167" s="40">
        <v>56</v>
      </c>
      <c r="B167" s="41">
        <f t="shared" si="3"/>
        <v>2.335590511833497E-5</v>
      </c>
      <c r="C167" s="28">
        <f t="shared" si="5"/>
        <v>0.99981615709506355</v>
      </c>
      <c r="D167" s="28"/>
      <c r="E167" s="42">
        <f t="shared" si="4"/>
        <v>2048</v>
      </c>
    </row>
    <row r="168" spans="1:5" x14ac:dyDescent="0.35">
      <c r="A168" s="40">
        <v>56.5</v>
      </c>
      <c r="B168" s="41">
        <f t="shared" si="3"/>
        <v>1.9839217622880455E-5</v>
      </c>
      <c r="C168" s="28">
        <f t="shared" si="5"/>
        <v>0.99982607670387502</v>
      </c>
      <c r="D168" s="28"/>
      <c r="E168" s="42">
        <f t="shared" si="4"/>
        <v>2048.5</v>
      </c>
    </row>
    <row r="169" spans="1:5" x14ac:dyDescent="0.35">
      <c r="A169" s="40">
        <v>57</v>
      </c>
      <c r="B169" s="41">
        <f t="shared" si="3"/>
        <v>1.6824961451663283E-5</v>
      </c>
      <c r="C169" s="28">
        <f t="shared" si="5"/>
        <v>0.99983448918460083</v>
      </c>
      <c r="D169" s="28"/>
      <c r="E169" s="42">
        <f t="shared" si="4"/>
        <v>2049</v>
      </c>
    </row>
    <row r="170" spans="1:5" x14ac:dyDescent="0.35">
      <c r="A170" s="40">
        <v>57.5</v>
      </c>
      <c r="B170" s="41">
        <f t="shared" si="3"/>
        <v>1.4245769265153498E-5</v>
      </c>
      <c r="C170" s="28">
        <f t="shared" si="5"/>
        <v>0.99984161206923339</v>
      </c>
      <c r="D170" s="28"/>
      <c r="E170" s="42">
        <f t="shared" si="4"/>
        <v>2049.5</v>
      </c>
    </row>
    <row r="171" spans="1:5" x14ac:dyDescent="0.35">
      <c r="A171" s="40">
        <v>58</v>
      </c>
      <c r="B171" s="41">
        <f t="shared" si="3"/>
        <v>1.2042609507906505E-5</v>
      </c>
      <c r="C171" s="28">
        <f t="shared" si="5"/>
        <v>0.9998476333739873</v>
      </c>
      <c r="D171" s="28"/>
      <c r="E171" s="42">
        <f t="shared" si="4"/>
        <v>2050</v>
      </c>
    </row>
    <row r="172" spans="1:5" x14ac:dyDescent="0.35">
      <c r="A172" s="40">
        <v>58.5</v>
      </c>
      <c r="B172" s="41">
        <f t="shared" si="3"/>
        <v>1.0163861455789604E-5</v>
      </c>
      <c r="C172" s="28">
        <f t="shared" si="5"/>
        <v>0.9998527153047152</v>
      </c>
      <c r="D172" s="28"/>
      <c r="E172" s="42">
        <f t="shared" si="4"/>
        <v>2050.5</v>
      </c>
    </row>
    <row r="173" spans="1:5" x14ac:dyDescent="0.35">
      <c r="A173" s="40">
        <v>59</v>
      </c>
      <c r="B173" s="41">
        <f t="shared" si="3"/>
        <v>8.5644770960011806E-6</v>
      </c>
      <c r="C173" s="28">
        <f t="shared" si="5"/>
        <v>0.99985699754326318</v>
      </c>
      <c r="D173" s="28"/>
      <c r="E173" s="42">
        <f t="shared" si="4"/>
        <v>2051</v>
      </c>
    </row>
    <row r="174" spans="1:5" x14ac:dyDescent="0.35">
      <c r="A174" s="40">
        <v>59.5</v>
      </c>
      <c r="B174" s="41">
        <f t="shared" si="3"/>
        <v>7.2052239996188672E-6</v>
      </c>
      <c r="C174" s="28">
        <f t="shared" si="5"/>
        <v>0.99986060015526301</v>
      </c>
      <c r="D174" s="28"/>
      <c r="E174" s="42">
        <f t="shared" si="4"/>
        <v>2051.5</v>
      </c>
    </row>
    <row r="175" spans="1:5" x14ac:dyDescent="0.35">
      <c r="A175" s="40">
        <v>60</v>
      </c>
      <c r="B175" s="41">
        <f t="shared" si="3"/>
        <v>6.0520033888070867E-6</v>
      </c>
      <c r="C175" s="28">
        <f t="shared" si="5"/>
        <v>0.99986362615695745</v>
      </c>
      <c r="D175" s="28"/>
      <c r="E175" s="42">
        <f t="shared" si="4"/>
        <v>2052</v>
      </c>
    </row>
  </sheetData>
  <dataConsolidate/>
  <dataValidations count="2">
    <dataValidation type="list" allowBlank="1" showInputMessage="1" showErrorMessage="1" sqref="B3" xr:uid="{00000000-0002-0000-0500-000000000000}">
      <formula1>$P$7:$P$61</formula1>
    </dataValidation>
    <dataValidation type="list" allowBlank="1" showInputMessage="1" showErrorMessage="1" sqref="B6" xr:uid="{00000000-0002-0000-0500-000001000000}">
      <formula1>$V$7:$BT$7</formula1>
    </dataValidation>
  </dataValidations>
  <pageMargins left="0.75" right="0.75" top="1" bottom="1" header="0.5" footer="0.5"/>
  <pageSetup paperSize="9" orientation="portrait" horizontalDpi="4294967292" verticalDpi="429496729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5">
    <tabColor theme="4" tint="-0.249977111117893"/>
  </sheetPr>
  <dimension ref="A1:V74"/>
  <sheetViews>
    <sheetView workbookViewId="0">
      <selection activeCell="O6" sqref="O6:U59"/>
    </sheetView>
  </sheetViews>
  <sheetFormatPr defaultColWidth="8.81640625" defaultRowHeight="14.5" x14ac:dyDescent="0.35"/>
  <cols>
    <col min="1" max="2" width="8.81640625" style="18"/>
    <col min="3" max="3" width="54.81640625" style="18" customWidth="1"/>
    <col min="4" max="9" width="8.81640625" style="18"/>
    <col min="10" max="13" width="12.453125" style="18" customWidth="1"/>
    <col min="14" max="16384" width="8.81640625" style="18"/>
  </cols>
  <sheetData>
    <row r="1" spans="1:22" ht="26.5" thickBot="1" x14ac:dyDescent="0.65">
      <c r="A1" s="78" t="s">
        <v>125</v>
      </c>
      <c r="B1" s="78"/>
      <c r="C1" s="78"/>
    </row>
    <row r="2" spans="1:22" x14ac:dyDescent="0.35">
      <c r="A2" s="21" t="s">
        <v>124</v>
      </c>
    </row>
    <row r="4" spans="1:22" x14ac:dyDescent="0.35">
      <c r="D4" s="80" t="s">
        <v>72</v>
      </c>
      <c r="E4" s="80"/>
      <c r="F4" s="76"/>
      <c r="G4" s="76"/>
      <c r="H4" s="76"/>
      <c r="J4" s="80" t="s">
        <v>72</v>
      </c>
      <c r="K4" s="80"/>
      <c r="L4" s="76"/>
      <c r="M4" s="76"/>
      <c r="O4" s="80" t="s">
        <v>68</v>
      </c>
      <c r="P4" s="80"/>
      <c r="Q4" s="80"/>
      <c r="R4" s="80"/>
      <c r="S4" s="80"/>
      <c r="T4" s="80"/>
      <c r="U4" s="80"/>
      <c r="V4" s="21"/>
    </row>
    <row r="5" spans="1:22" ht="15.5" x14ac:dyDescent="0.35">
      <c r="A5" s="46" t="s">
        <v>241</v>
      </c>
      <c r="B5" s="46" t="s">
        <v>0</v>
      </c>
      <c r="C5" s="46" t="s">
        <v>1</v>
      </c>
      <c r="D5" s="108" t="s">
        <v>69</v>
      </c>
      <c r="E5" s="108" t="s">
        <v>117</v>
      </c>
      <c r="F5" s="108" t="s">
        <v>70</v>
      </c>
      <c r="G5" s="108" t="s">
        <v>118</v>
      </c>
      <c r="H5" s="108" t="s">
        <v>71</v>
      </c>
      <c r="I5" s="108"/>
      <c r="J5" s="108" t="s">
        <v>69</v>
      </c>
      <c r="K5" s="108" t="s">
        <v>117</v>
      </c>
      <c r="L5" s="108" t="s">
        <v>70</v>
      </c>
      <c r="M5" s="108" t="s">
        <v>118</v>
      </c>
      <c r="N5" s="108"/>
      <c r="O5" s="21">
        <v>2014</v>
      </c>
      <c r="P5" s="21">
        <f>+O5+1</f>
        <v>2015</v>
      </c>
      <c r="Q5" s="21">
        <f t="shared" ref="Q5:U5" si="0">+P5+1</f>
        <v>2016</v>
      </c>
      <c r="R5" s="21">
        <f t="shared" si="0"/>
        <v>2017</v>
      </c>
      <c r="S5" s="21">
        <f t="shared" si="0"/>
        <v>2018</v>
      </c>
      <c r="T5" s="21">
        <f t="shared" si="0"/>
        <v>2019</v>
      </c>
      <c r="U5" s="21">
        <f t="shared" si="0"/>
        <v>2020</v>
      </c>
      <c r="V5" s="21"/>
    </row>
    <row r="6" spans="1:22" x14ac:dyDescent="0.35">
      <c r="A6" s="110">
        <v>1</v>
      </c>
      <c r="B6" s="104" t="s">
        <v>2</v>
      </c>
      <c r="C6" s="112" t="s">
        <v>93</v>
      </c>
      <c r="D6" s="110">
        <v>4</v>
      </c>
      <c r="E6" s="110" t="s">
        <v>120</v>
      </c>
      <c r="F6" s="110">
        <v>1</v>
      </c>
      <c r="G6" s="110">
        <v>1</v>
      </c>
      <c r="H6" s="113"/>
      <c r="I6" s="43"/>
      <c r="J6" s="106">
        <f>VLOOKUP(D6,inputEU6!A$7:C$12,3)/VLOOKUP(D6,C$61:M$72,8)*O6</f>
        <v>0</v>
      </c>
      <c r="K6" s="106">
        <f>VLOOKUP(E6,inputEU6PV!A$7:C$13,3)/VLOOKUP(E6,C$61:M$72,9)*O6</f>
        <v>0.23647519563087052</v>
      </c>
      <c r="L6" s="106">
        <f>VLOOKUP(F6,inputEU10!A$7:C$16,3)/VLOOKUP(F6,C$61:M$72,10)*O6</f>
        <v>0</v>
      </c>
      <c r="M6" s="106">
        <f>VLOOKUP(G6,inputEU10PV!A$7:C$17,3)/VLOOKUP(G6,C$61:M$72,11)*O6</f>
        <v>0</v>
      </c>
      <c r="N6" s="43"/>
      <c r="O6" s="114">
        <f>+POM!AO6/POM!AO$2</f>
        <v>3.4672735195891251E-2</v>
      </c>
      <c r="P6" s="114">
        <f>+POM!AP6/POM!AP$2</f>
        <v>4.0271862107968022E-2</v>
      </c>
      <c r="Q6" s="114">
        <f>+POM!AQ6/POM!AQ$2</f>
        <v>4.0626592894928149E-2</v>
      </c>
      <c r="R6" s="114">
        <f>+POM!AR6/POM!AR$2</f>
        <v>3.7473865073111824E-2</v>
      </c>
      <c r="S6" s="114">
        <f>+POM!AS6/POM!AS$2</f>
        <v>3.5436668939257947E-2</v>
      </c>
      <c r="T6" s="114">
        <f>+POM!AT6/POM!AT$2</f>
        <v>3.3901700872050695E-2</v>
      </c>
      <c r="U6" s="114">
        <f>+POM!AU6/POM!AU$2</f>
        <v>2.4134691036248865E-2</v>
      </c>
    </row>
    <row r="7" spans="1:22" x14ac:dyDescent="0.35">
      <c r="A7" s="110">
        <v>2</v>
      </c>
      <c r="B7" s="104" t="s">
        <v>3</v>
      </c>
      <c r="C7" s="112" t="s">
        <v>131</v>
      </c>
      <c r="D7" s="110">
        <v>4</v>
      </c>
      <c r="E7" s="110" t="s">
        <v>121</v>
      </c>
      <c r="F7" s="110">
        <v>4</v>
      </c>
      <c r="G7" s="110" t="s">
        <v>121</v>
      </c>
      <c r="H7" s="113"/>
      <c r="I7" s="43"/>
      <c r="J7" s="106">
        <f>VLOOKUP(D7,inputEU6!A$7:C$12,3)/VLOOKUP(D7,C$61:M$72,8)*O7</f>
        <v>0</v>
      </c>
      <c r="K7" s="107">
        <f>+inputEU6PV!C11</f>
        <v>3</v>
      </c>
      <c r="L7" s="106">
        <f>VLOOKUP(F7,inputEU10!A$7:C$16,3)/VLOOKUP(F7,C$61:M$72,10)*O7</f>
        <v>0</v>
      </c>
      <c r="M7" s="106">
        <f>+inputEU10PV!C11</f>
        <v>0</v>
      </c>
      <c r="N7" s="43"/>
      <c r="O7" s="114">
        <f>+POM!AO7/POM!AO$2</f>
        <v>4.3706320865738338E-4</v>
      </c>
      <c r="P7" s="114">
        <f>+POM!AP7/POM!AP$2</f>
        <v>4.6990422404837132E-4</v>
      </c>
      <c r="Q7" s="114">
        <f>+POM!AQ7/POM!AQ$2</f>
        <v>2.0823766610431971E-3</v>
      </c>
      <c r="R7" s="114">
        <f>+POM!AR7/POM!AR$2</f>
        <v>5.8502583550616967E-3</v>
      </c>
      <c r="S7" s="114">
        <f>+POM!AS7/POM!AS$2</f>
        <v>7.5983895884691871E-3</v>
      </c>
      <c r="T7" s="114">
        <f>+POM!AT7/POM!AT$2</f>
        <v>1.3378585912254007E-2</v>
      </c>
      <c r="U7" s="114">
        <f>+POM!AU7/POM!AU$2</f>
        <v>1.8019033363761424E-2</v>
      </c>
    </row>
    <row r="8" spans="1:22" x14ac:dyDescent="0.35">
      <c r="A8" s="110">
        <v>3</v>
      </c>
      <c r="B8" s="104" t="s">
        <v>4</v>
      </c>
      <c r="C8" s="112" t="s">
        <v>94</v>
      </c>
      <c r="D8" s="110">
        <v>4</v>
      </c>
      <c r="E8" s="110" t="s">
        <v>120</v>
      </c>
      <c r="F8" s="110">
        <v>1</v>
      </c>
      <c r="G8" s="110">
        <v>1</v>
      </c>
      <c r="H8" s="113"/>
      <c r="I8" s="43"/>
      <c r="J8" s="106">
        <f>VLOOKUP(D8,inputEU6!A$7:C$12,3)/VLOOKUP(D8,C$61:M$72,8)*O8</f>
        <v>0</v>
      </c>
      <c r="K8" s="106">
        <f>VLOOKUP(E8,inputEU6PV!A$7:C$13,3)/VLOOKUP(E8,C$61:M$72,9)*O8</f>
        <v>1.0906039914677354E-2</v>
      </c>
      <c r="L8" s="106">
        <f>VLOOKUP(F8,inputEU10!A$7:C$16,3)/VLOOKUP(F8,C$61:M$72,10)*O8</f>
        <v>0</v>
      </c>
      <c r="M8" s="106">
        <f>VLOOKUP(G8,inputEU10PV!A$7:C$17,3)/VLOOKUP(G8,C$61:M$72,11)*O8</f>
        <v>0</v>
      </c>
      <c r="N8" s="43"/>
      <c r="O8" s="114">
        <f>+POM!AO8/POM!AO$2</f>
        <v>1.5990777932908238E-3</v>
      </c>
      <c r="P8" s="114">
        <f>+POM!AP8/POM!AP$2</f>
        <v>1.9185398650566664E-3</v>
      </c>
      <c r="Q8" s="114">
        <f>+POM!AQ8/POM!AQ$2</f>
        <v>2.2208731916356556E-3</v>
      </c>
      <c r="R8" s="114">
        <f>+POM!AR8/POM!AR$2</f>
        <v>3.712527536329949E-3</v>
      </c>
      <c r="S8" s="114">
        <f>+POM!AS8/POM!AS$2</f>
        <v>4.383321934468388E-3</v>
      </c>
      <c r="T8" s="114">
        <f>+POM!AT8/POM!AT$2</f>
        <v>5.1065372766390749E-3</v>
      </c>
      <c r="U8" s="114">
        <f>+POM!AU8/POM!AU$2</f>
        <v>5.3991333674670156E-3</v>
      </c>
    </row>
    <row r="9" spans="1:22" x14ac:dyDescent="0.35">
      <c r="A9" s="110">
        <v>4</v>
      </c>
      <c r="B9" s="104" t="s">
        <v>5</v>
      </c>
      <c r="C9" s="112" t="s">
        <v>95</v>
      </c>
      <c r="D9" s="110">
        <v>4</v>
      </c>
      <c r="E9" s="110" t="s">
        <v>120</v>
      </c>
      <c r="F9" s="110">
        <v>1</v>
      </c>
      <c r="G9" s="110">
        <v>1</v>
      </c>
      <c r="H9" s="113"/>
      <c r="I9" s="43"/>
      <c r="J9" s="106">
        <f>VLOOKUP(D9,inputEU6!A$7:C$12,3)/VLOOKUP(D9,C$61:M$72,8)*O9</f>
        <v>0</v>
      </c>
      <c r="K9" s="106">
        <f>VLOOKUP(E9,inputEU6PV!A$7:C$13,3)/VLOOKUP(E9,C$61:M$72,9)*O9</f>
        <v>0.31401484197758878</v>
      </c>
      <c r="L9" s="106">
        <f>VLOOKUP(F9,inputEU10!A$7:C$16,3)/VLOOKUP(F9,C$61:M$72,10)*O9</f>
        <v>0</v>
      </c>
      <c r="M9" s="106">
        <f>VLOOKUP(G9,inputEU10PV!A$7:C$17,3)/VLOOKUP(G9,C$61:M$72,11)*O9</f>
        <v>0</v>
      </c>
      <c r="N9" s="43"/>
      <c r="O9" s="114">
        <f>+POM!AO9/POM!AO$2</f>
        <v>4.604184144735405E-2</v>
      </c>
      <c r="P9" s="114">
        <f>+POM!AP9/POM!AP$2</f>
        <v>4.1432932804510665E-2</v>
      </c>
      <c r="Q9" s="114">
        <f>+POM!AQ9/POM!AQ$2</f>
        <v>4.1933290410610446E-2</v>
      </c>
      <c r="R9" s="114">
        <f>+POM!AR9/POM!AR$2</f>
        <v>4.1199191263936098E-2</v>
      </c>
      <c r="S9" s="114">
        <f>+POM!AS9/POM!AS$2</f>
        <v>4.4149394476621015E-2</v>
      </c>
      <c r="T9" s="114">
        <f>+POM!AT9/POM!AT$2</f>
        <v>4.276581313931109E-2</v>
      </c>
      <c r="U9" s="114">
        <f>+POM!AU9/POM!AU$2</f>
        <v>4.6808571673145317E-2</v>
      </c>
    </row>
    <row r="10" spans="1:22" ht="29" x14ac:dyDescent="0.35">
      <c r="A10" s="110">
        <v>5</v>
      </c>
      <c r="B10" s="104" t="s">
        <v>6</v>
      </c>
      <c r="C10" s="112" t="s">
        <v>133</v>
      </c>
      <c r="D10" s="110">
        <v>4</v>
      </c>
      <c r="E10" s="110" t="s">
        <v>120</v>
      </c>
      <c r="F10" s="110">
        <v>1</v>
      </c>
      <c r="G10" s="110">
        <v>1</v>
      </c>
      <c r="H10" s="113"/>
      <c r="I10" s="43"/>
      <c r="J10" s="106">
        <f>VLOOKUP(D10,inputEU6!A$7:C$12,3)/VLOOKUP(D10,C$61:M$72,8)*O10</f>
        <v>0</v>
      </c>
      <c r="K10" s="106">
        <f>VLOOKUP(E10,inputEU6PV!A$7:C$13,3)/VLOOKUP(E10,C$61:M$72,9)*O10</f>
        <v>0.35361688862806928</v>
      </c>
      <c r="L10" s="106">
        <f>VLOOKUP(F10,inputEU10!A$7:C$16,3)/VLOOKUP(F10,C$61:M$72,10)*O10</f>
        <v>0</v>
      </c>
      <c r="M10" s="106">
        <f>VLOOKUP(G10,inputEU10PV!A$7:C$17,3)/VLOOKUP(G10,C$61:M$72,11)*O10</f>
        <v>0</v>
      </c>
      <c r="N10" s="43"/>
      <c r="O10" s="114">
        <f>+POM!AO10/POM!AO$2</f>
        <v>5.1848417790654015E-2</v>
      </c>
      <c r="P10" s="114">
        <f>+POM!AP10/POM!AP$2</f>
        <v>4.5279514425893987E-2</v>
      </c>
      <c r="Q10" s="114">
        <f>+POM!AQ10/POM!AQ$2</f>
        <v>4.694341472654804E-2</v>
      </c>
      <c r="R10" s="114">
        <f>+POM!AR10/POM!AR$2</f>
        <v>4.6942132735705626E-2</v>
      </c>
      <c r="S10" s="114">
        <f>+POM!AS10/POM!AS$2</f>
        <v>4.7418530961431588E-2</v>
      </c>
      <c r="T10" s="114">
        <f>+POM!AT10/POM!AT$2</f>
        <v>4.7431374008834543E-2</v>
      </c>
      <c r="U10" s="114">
        <f>+POM!AU10/POM!AU$2</f>
        <v>4.8955483379905962E-2</v>
      </c>
    </row>
    <row r="11" spans="1:22" x14ac:dyDescent="0.35">
      <c r="A11" s="110">
        <v>6</v>
      </c>
      <c r="B11" s="104" t="s">
        <v>7</v>
      </c>
      <c r="C11" s="112" t="s">
        <v>96</v>
      </c>
      <c r="D11" s="110">
        <v>4</v>
      </c>
      <c r="E11" s="110" t="s">
        <v>120</v>
      </c>
      <c r="F11" s="110">
        <v>1</v>
      </c>
      <c r="G11" s="110">
        <v>1</v>
      </c>
      <c r="H11" s="113"/>
      <c r="I11" s="43"/>
      <c r="J11" s="106">
        <f>VLOOKUP(D11,inputEU6!A$7:C$12,3)/VLOOKUP(D11,C$61:M$72,8)*O11</f>
        <v>0</v>
      </c>
      <c r="K11" s="106">
        <f>VLOOKUP(E11,inputEU6PV!A$7:C$13,3)/VLOOKUP(E11,C$61:M$72,9)*O11</f>
        <v>1.0353368631132545</v>
      </c>
      <c r="L11" s="106">
        <f>VLOOKUP(F11,inputEU10!A$7:C$16,3)/VLOOKUP(F11,C$61:M$72,10)*O11</f>
        <v>0</v>
      </c>
      <c r="M11" s="106">
        <f>VLOOKUP(G11,inputEU10PV!A$7:C$17,3)/VLOOKUP(G11,C$61:M$72,11)*O11</f>
        <v>0</v>
      </c>
      <c r="N11" s="43"/>
      <c r="O11" s="114">
        <f>+POM!AO11/POM!AO$2</f>
        <v>0.15180433955240716</v>
      </c>
      <c r="P11" s="114">
        <f>+POM!AP11/POM!AP$2</f>
        <v>0.13287583893323968</v>
      </c>
      <c r="Q11" s="114">
        <f>+POM!AQ11/POM!AQ$2</f>
        <v>0.14541251234203031</v>
      </c>
      <c r="R11" s="114">
        <f>+POM!AR11/POM!AR$2</f>
        <v>0.13468005935070113</v>
      </c>
      <c r="S11" s="114">
        <f>+POM!AS11/POM!AS$2</f>
        <v>0.15131719149288339</v>
      </c>
      <c r="T11" s="114">
        <f>+POM!AT11/POM!AT$2</f>
        <v>0.15151954890718394</v>
      </c>
      <c r="U11" s="114">
        <f>+POM!AU11/POM!AU$2</f>
        <v>0.12895750718459914</v>
      </c>
    </row>
    <row r="12" spans="1:22" x14ac:dyDescent="0.35">
      <c r="A12" s="110">
        <v>7</v>
      </c>
      <c r="B12" s="104" t="s">
        <v>8</v>
      </c>
      <c r="C12" s="112" t="s">
        <v>97</v>
      </c>
      <c r="D12" s="110">
        <v>4</v>
      </c>
      <c r="E12" s="110" t="s">
        <v>120</v>
      </c>
      <c r="F12" s="110">
        <v>1</v>
      </c>
      <c r="G12" s="110">
        <v>1</v>
      </c>
      <c r="H12" s="113"/>
      <c r="I12" s="43"/>
      <c r="J12" s="106">
        <f>VLOOKUP(D12,inputEU6!A$7:C$12,3)/VLOOKUP(D12,C$61:M$72,8)*O12</f>
        <v>0</v>
      </c>
      <c r="K12" s="106">
        <f>VLOOKUP(E12,inputEU6PV!A$7:C$13,3)/VLOOKUP(E12,C$61:M$72,9)*O12</f>
        <v>0.19138963978077772</v>
      </c>
      <c r="L12" s="106">
        <f>VLOOKUP(F12,inputEU10!A$7:C$16,3)/VLOOKUP(F12,C$61:M$72,10)*O12</f>
        <v>0</v>
      </c>
      <c r="M12" s="106">
        <f>VLOOKUP(G12,inputEU10PV!A$7:C$17,3)/VLOOKUP(G12,C$61:M$72,11)*O12</f>
        <v>0</v>
      </c>
      <c r="N12" s="43"/>
      <c r="O12" s="114">
        <f>+POM!AO12/POM!AO$2</f>
        <v>2.8062149527574496E-2</v>
      </c>
      <c r="P12" s="114">
        <f>+POM!AP12/POM!AP$2</f>
        <v>2.4605321370348474E-2</v>
      </c>
      <c r="Q12" s="114">
        <f>+POM!AQ12/POM!AQ$2</f>
        <v>2.8561685615420562E-2</v>
      </c>
      <c r="R12" s="114">
        <f>+POM!AR12/POM!AR$2</f>
        <v>2.5009207507479075E-2</v>
      </c>
      <c r="S12" s="114">
        <f>+POM!AS12/POM!AS$2</f>
        <v>2.3959818985221995E-2</v>
      </c>
      <c r="T12" s="114">
        <f>+POM!AT12/POM!AT$2</f>
        <v>2.4375523586356859E-2</v>
      </c>
      <c r="U12" s="114">
        <f>+POM!AU12/POM!AU$2</f>
        <v>2.778279758131702E-2</v>
      </c>
    </row>
    <row r="13" spans="1:22" ht="29" x14ac:dyDescent="0.35">
      <c r="A13" s="110">
        <v>8</v>
      </c>
      <c r="B13" s="104" t="s">
        <v>9</v>
      </c>
      <c r="C13" s="112" t="s">
        <v>134</v>
      </c>
      <c r="D13" s="110">
        <v>4</v>
      </c>
      <c r="E13" s="110" t="s">
        <v>120</v>
      </c>
      <c r="F13" s="110">
        <v>1</v>
      </c>
      <c r="G13" s="110">
        <v>1</v>
      </c>
      <c r="H13" s="113"/>
      <c r="I13" s="43"/>
      <c r="J13" s="106">
        <f>VLOOKUP(D13,inputEU6!A$7:C$12,3)/VLOOKUP(D13,C$61:M$72,8)*O13</f>
        <v>0</v>
      </c>
      <c r="K13" s="106">
        <f>VLOOKUP(E13,inputEU6PV!A$7:C$13,3)/VLOOKUP(E13,C$61:M$72,9)*O13</f>
        <v>0.56102906801344499</v>
      </c>
      <c r="L13" s="106">
        <f>VLOOKUP(F13,inputEU10!A$7:C$16,3)/VLOOKUP(F13,C$61:M$72,10)*O13</f>
        <v>0</v>
      </c>
      <c r="M13" s="106">
        <f>VLOOKUP(G13,inputEU10PV!A$7:C$17,3)/VLOOKUP(G13,C$61:M$72,11)*O13</f>
        <v>0</v>
      </c>
      <c r="N13" s="43"/>
      <c r="O13" s="114">
        <f>+POM!AO13/POM!AO$2</f>
        <v>8.2259842350621726E-2</v>
      </c>
      <c r="P13" s="114">
        <f>+POM!AP13/POM!AP$2</f>
        <v>7.8166942371029433E-2</v>
      </c>
      <c r="Q13" s="114">
        <f>+POM!AQ13/POM!AQ$2</f>
        <v>7.3638806944734903E-2</v>
      </c>
      <c r="R13" s="114">
        <f>+POM!AR13/POM!AR$2</f>
        <v>6.5340628500252185E-2</v>
      </c>
      <c r="S13" s="114">
        <f>+POM!AS13/POM!AS$2</f>
        <v>5.0916291627851079E-2</v>
      </c>
      <c r="T13" s="114">
        <f>+POM!AT13/POM!AT$2</f>
        <v>4.0498642647400399E-2</v>
      </c>
      <c r="U13" s="114">
        <f>+POM!AU13/POM!AU$2</f>
        <v>3.25236235903043E-2</v>
      </c>
    </row>
    <row r="14" spans="1:22" x14ac:dyDescent="0.35">
      <c r="A14" s="110">
        <v>9</v>
      </c>
      <c r="B14" s="104" t="s">
        <v>10</v>
      </c>
      <c r="C14" s="112" t="s">
        <v>98</v>
      </c>
      <c r="D14" s="110">
        <v>1</v>
      </c>
      <c r="E14" s="110">
        <v>1</v>
      </c>
      <c r="F14" s="110">
        <v>1</v>
      </c>
      <c r="G14" s="110">
        <v>1</v>
      </c>
      <c r="H14" s="113"/>
      <c r="I14" s="43"/>
      <c r="J14" s="106">
        <f>VLOOKUP(D14,inputEU6!A$7:C$12,3)/VLOOKUP(D14,C$61:M$72,8)*O14</f>
        <v>0</v>
      </c>
      <c r="K14" s="106">
        <f>VLOOKUP(E14,inputEU6PV!A$7:C$13,3)/VLOOKUP(E14,C$61:M$72,9)*O14</f>
        <v>1.8403317973722033</v>
      </c>
      <c r="L14" s="106">
        <f>VLOOKUP(F14,inputEU10!A$7:C$16,3)/VLOOKUP(F14,C$61:M$72,10)*O14</f>
        <v>0</v>
      </c>
      <c r="M14" s="106">
        <f>VLOOKUP(G14,inputEU10PV!A$7:C$17,3)/VLOOKUP(G14,C$61:M$72,11)*O14</f>
        <v>0</v>
      </c>
      <c r="N14" s="43"/>
      <c r="O14" s="114">
        <f>+POM!AO14/POM!AO$2</f>
        <v>7.1864334185110693E-2</v>
      </c>
      <c r="P14" s="114">
        <f>+POM!AP14/POM!AP$2</f>
        <v>6.8071073048214956E-2</v>
      </c>
      <c r="Q14" s="114">
        <f>+POM!AQ14/POM!AQ$2</f>
        <v>7.1582561366396832E-2</v>
      </c>
      <c r="R14" s="114">
        <f>+POM!AR14/POM!AR$2</f>
        <v>7.1345107334824576E-2</v>
      </c>
      <c r="S14" s="114">
        <f>+POM!AS14/POM!AS$2</f>
        <v>6.7901651252270892E-2</v>
      </c>
      <c r="T14" s="114">
        <f>+POM!AT14/POM!AT$2</f>
        <v>7.678629467988228E-2</v>
      </c>
      <c r="U14" s="114">
        <f>+POM!AU14/POM!AU$2</f>
        <v>7.2954259835120397E-2</v>
      </c>
    </row>
    <row r="15" spans="1:22" x14ac:dyDescent="0.35">
      <c r="A15" s="110">
        <v>10</v>
      </c>
      <c r="B15" s="104" t="s">
        <v>11</v>
      </c>
      <c r="C15" s="112" t="s">
        <v>99</v>
      </c>
      <c r="D15" s="110">
        <v>1</v>
      </c>
      <c r="E15" s="110">
        <v>1</v>
      </c>
      <c r="F15" s="110">
        <v>1</v>
      </c>
      <c r="G15" s="110">
        <v>1</v>
      </c>
      <c r="H15" s="113"/>
      <c r="I15" s="43"/>
      <c r="J15" s="106">
        <f>VLOOKUP(D15,inputEU6!A$7:C$12,3)/VLOOKUP(D15,C$61:M$72,8)*O15</f>
        <v>0</v>
      </c>
      <c r="K15" s="106">
        <f>VLOOKUP(E15,inputEU6PV!A$7:C$13,3)/VLOOKUP(E15,C$61:M$72,9)*O15</f>
        <v>0.22016090302543859</v>
      </c>
      <c r="L15" s="106">
        <f>VLOOKUP(F15,inputEU10!A$7:C$16,3)/VLOOKUP(F15,C$61:M$72,10)*O15</f>
        <v>0</v>
      </c>
      <c r="M15" s="106">
        <f>VLOOKUP(G15,inputEU10PV!A$7:C$17,3)/VLOOKUP(G15,C$61:M$72,11)*O15</f>
        <v>0</v>
      </c>
      <c r="N15" s="43"/>
      <c r="O15" s="114">
        <f>+POM!AO15/POM!AO$2</f>
        <v>8.5972087925164278E-3</v>
      </c>
      <c r="P15" s="114">
        <f>+POM!AP15/POM!AP$2</f>
        <v>1.0014965936452118E-2</v>
      </c>
      <c r="Q15" s="114">
        <f>+POM!AQ15/POM!AQ$2</f>
        <v>1.0689109359593746E-2</v>
      </c>
      <c r="R15" s="114">
        <f>+POM!AR15/POM!AR$2</f>
        <v>1.1971537313691733E-2</v>
      </c>
      <c r="S15" s="114">
        <f>+POM!AS15/POM!AS$2</f>
        <v>1.6325800682867316E-2</v>
      </c>
      <c r="T15" s="114">
        <f>+POM!AT15/POM!AT$2</f>
        <v>1.984913415658782E-2</v>
      </c>
      <c r="U15" s="114">
        <f>+POM!AU15/POM!AU$2</f>
        <v>2.494223509707473E-2</v>
      </c>
    </row>
    <row r="16" spans="1:22" x14ac:dyDescent="0.35">
      <c r="A16" s="110">
        <v>11</v>
      </c>
      <c r="B16" s="104" t="s">
        <v>12</v>
      </c>
      <c r="C16" s="112" t="s">
        <v>100</v>
      </c>
      <c r="D16" s="110">
        <v>1</v>
      </c>
      <c r="E16" s="110">
        <v>1</v>
      </c>
      <c r="F16" s="110">
        <v>1</v>
      </c>
      <c r="G16" s="110">
        <v>1</v>
      </c>
      <c r="H16" s="113"/>
      <c r="I16" s="43"/>
      <c r="J16" s="106">
        <f>VLOOKUP(D16,inputEU6!A$7:C$12,3)/VLOOKUP(D16,C$61:M$72,8)*O16</f>
        <v>0</v>
      </c>
      <c r="K16" s="106">
        <f>VLOOKUP(E16,inputEU6PV!A$7:C$13,3)/VLOOKUP(E16,C$61:M$72,9)*O16</f>
        <v>0.10094504282413327</v>
      </c>
      <c r="L16" s="106">
        <f>VLOOKUP(F16,inputEU10!A$7:C$16,3)/VLOOKUP(F16,C$61:M$72,10)*O16</f>
        <v>0</v>
      </c>
      <c r="M16" s="106">
        <f>VLOOKUP(G16,inputEU10PV!A$7:C$17,3)/VLOOKUP(G16,C$61:M$72,11)*O16</f>
        <v>0</v>
      </c>
      <c r="N16" s="43"/>
      <c r="O16" s="114">
        <f>+POM!AO16/POM!AO$2</f>
        <v>3.9418697770707738E-3</v>
      </c>
      <c r="P16" s="114">
        <f>+POM!AP16/POM!AP$2</f>
        <v>7.6528305520772739E-3</v>
      </c>
      <c r="Q16" s="114">
        <f>+POM!AQ16/POM!AQ$2</f>
        <v>9.0026239782990871E-3</v>
      </c>
      <c r="R16" s="114">
        <f>+POM!AR16/POM!AR$2</f>
        <v>9.746497844146022E-3</v>
      </c>
      <c r="S16" s="114">
        <f>+POM!AS16/POM!AS$2</f>
        <v>9.4719704202781505E-3</v>
      </c>
      <c r="T16" s="114">
        <f>+POM!AT16/POM!AT$2</f>
        <v>1.0701198364624737E-2</v>
      </c>
      <c r="U16" s="114">
        <f>+POM!AU16/POM!AU$2</f>
        <v>1.2747790752905759E-2</v>
      </c>
    </row>
    <row r="17" spans="1:21" ht="29" x14ac:dyDescent="0.35">
      <c r="A17" s="110">
        <v>12</v>
      </c>
      <c r="B17" s="104" t="s">
        <v>13</v>
      </c>
      <c r="C17" s="112" t="s">
        <v>135</v>
      </c>
      <c r="D17" s="110">
        <v>1</v>
      </c>
      <c r="E17" s="110">
        <v>1</v>
      </c>
      <c r="F17" s="110">
        <v>1</v>
      </c>
      <c r="G17" s="110">
        <v>1</v>
      </c>
      <c r="H17" s="113"/>
      <c r="I17" s="43"/>
      <c r="J17" s="106">
        <f>VLOOKUP(D17,inputEU6!A$7:C$12,3)/VLOOKUP(D17,C$61:M$72,8)*O17</f>
        <v>0</v>
      </c>
      <c r="K17" s="106">
        <f>VLOOKUP(E17,inputEU6PV!A$7:C$13,3)/VLOOKUP(E17,C$61:M$72,9)*O17</f>
        <v>0.28095627237260312</v>
      </c>
      <c r="L17" s="106">
        <f>VLOOKUP(F17,inputEU10!A$7:C$16,3)/VLOOKUP(F17,C$61:M$72,10)*O17</f>
        <v>0</v>
      </c>
      <c r="M17" s="106">
        <f>VLOOKUP(G17,inputEU10PV!A$7:C$17,3)/VLOOKUP(G17,C$61:M$72,11)*O17</f>
        <v>0</v>
      </c>
      <c r="N17" s="43"/>
      <c r="O17" s="114">
        <f>+POM!AO17/POM!AO$2</f>
        <v>1.0971247401157737E-2</v>
      </c>
      <c r="P17" s="114">
        <f>+POM!AP17/POM!AP$2</f>
        <v>1.3995590133814637E-2</v>
      </c>
      <c r="Q17" s="114">
        <f>+POM!AQ17/POM!AQ$2</f>
        <v>1.6959807500307171E-2</v>
      </c>
      <c r="R17" s="114">
        <f>+POM!AR17/POM!AR$2</f>
        <v>1.909912288373463E-2</v>
      </c>
      <c r="S17" s="114">
        <f>+POM!AS17/POM!AS$2</f>
        <v>1.6649825538117152E-2</v>
      </c>
      <c r="T17" s="114">
        <f>+POM!AT17/POM!AT$2</f>
        <v>1.953315032904808E-2</v>
      </c>
      <c r="U17" s="114">
        <f>+POM!AU17/POM!AU$2</f>
        <v>1.3795350074756236E-2</v>
      </c>
    </row>
    <row r="18" spans="1:21" ht="29" x14ac:dyDescent="0.35">
      <c r="A18" s="110">
        <v>13</v>
      </c>
      <c r="B18" s="104" t="s">
        <v>14</v>
      </c>
      <c r="C18" s="112" t="s">
        <v>136</v>
      </c>
      <c r="D18" s="110">
        <v>1</v>
      </c>
      <c r="E18" s="110">
        <v>1</v>
      </c>
      <c r="F18" s="110">
        <v>1</v>
      </c>
      <c r="G18" s="110">
        <v>1</v>
      </c>
      <c r="H18" s="113"/>
      <c r="I18" s="43"/>
      <c r="J18" s="106">
        <f>VLOOKUP(D18,inputEU6!A$7:C$12,3)/VLOOKUP(D18,C$61:M$72,8)*O18</f>
        <v>0</v>
      </c>
      <c r="K18" s="106">
        <f>VLOOKUP(E18,inputEU6PV!A$7:C$13,3)/VLOOKUP(E18,C$61:M$72,9)*O18</f>
        <v>0.50996875772407524</v>
      </c>
      <c r="L18" s="106">
        <f>VLOOKUP(F18,inputEU10!A$7:C$16,3)/VLOOKUP(F18,C$61:M$72,10)*O18</f>
        <v>0</v>
      </c>
      <c r="M18" s="106">
        <f>VLOOKUP(G18,inputEU10PV!A$7:C$17,3)/VLOOKUP(G18,C$61:M$72,11)*O18</f>
        <v>0</v>
      </c>
      <c r="N18" s="43"/>
      <c r="O18" s="114">
        <f>+POM!AO18/POM!AO$2</f>
        <v>1.9914107489409746E-2</v>
      </c>
      <c r="P18" s="114">
        <f>+POM!AP18/POM!AP$2</f>
        <v>1.8541604323854842E-2</v>
      </c>
      <c r="Q18" s="114">
        <f>+POM!AQ18/POM!AQ$2</f>
        <v>1.8920445218089384E-2</v>
      </c>
      <c r="R18" s="114">
        <f>+POM!AR18/POM!AR$2</f>
        <v>2.7348616348872277E-2</v>
      </c>
      <c r="S18" s="114">
        <f>+POM!AS18/POM!AS$2</f>
        <v>3.0779462158186936E-2</v>
      </c>
      <c r="T18" s="114">
        <f>+POM!AT18/POM!AT$2</f>
        <v>1.7798449149834923E-2</v>
      </c>
      <c r="U18" s="114">
        <f>+POM!AU18/POM!AU$2</f>
        <v>5.5281175510538553E-3</v>
      </c>
    </row>
    <row r="19" spans="1:21" x14ac:dyDescent="0.35">
      <c r="A19" s="110">
        <v>14</v>
      </c>
      <c r="B19" s="104" t="s">
        <v>15</v>
      </c>
      <c r="C19" s="112" t="s">
        <v>101</v>
      </c>
      <c r="D19" s="110">
        <v>5</v>
      </c>
      <c r="E19" s="110">
        <v>5</v>
      </c>
      <c r="F19" s="110">
        <v>1</v>
      </c>
      <c r="G19" s="110">
        <v>1</v>
      </c>
      <c r="H19" s="113"/>
      <c r="I19" s="43"/>
      <c r="J19" s="106">
        <f>VLOOKUP(D19,inputEU6!A$7:C$12,3)/VLOOKUP(D19,C$61:M$72,8)*O19</f>
        <v>0</v>
      </c>
      <c r="K19" s="106">
        <f>VLOOKUP(E19,inputEU6PV!A$7:C$13,3)/VLOOKUP(E19,C$61:M$72,9)*O19</f>
        <v>0.35336102486787946</v>
      </c>
      <c r="L19" s="106">
        <f>VLOOKUP(F19,inputEU10!A$7:C$16,3)/VLOOKUP(F19,C$61:M$72,10)*O19</f>
        <v>0</v>
      </c>
      <c r="M19" s="106">
        <f>VLOOKUP(G19,inputEU10PV!A$7:C$17,3)/VLOOKUP(G19,C$61:M$72,11)*O19</f>
        <v>0</v>
      </c>
      <c r="N19" s="43"/>
      <c r="O19" s="114">
        <f>+POM!AO19/POM!AO$2</f>
        <v>3.5598549781906623E-2</v>
      </c>
      <c r="P19" s="114">
        <f>+POM!AP19/POM!AP$2</f>
        <v>3.7323328214090241E-2</v>
      </c>
      <c r="Q19" s="114">
        <f>+POM!AQ19/POM!AQ$2</f>
        <v>3.5770719033929935E-2</v>
      </c>
      <c r="R19" s="114">
        <f>+POM!AR19/POM!AR$2</f>
        <v>3.4098691218520709E-2</v>
      </c>
      <c r="S19" s="114">
        <f>+POM!AS19/POM!AS$2</f>
        <v>3.7105650020141559E-2</v>
      </c>
      <c r="T19" s="114">
        <f>+POM!AT19/POM!AT$2</f>
        <v>4.0678295425742673E-2</v>
      </c>
      <c r="U19" s="114">
        <f>+POM!AU19/POM!AU$2</f>
        <v>4.4876269130037588E-2</v>
      </c>
    </row>
    <row r="20" spans="1:21" ht="29" x14ac:dyDescent="0.35">
      <c r="A20" s="110">
        <v>15</v>
      </c>
      <c r="B20" s="104" t="s">
        <v>16</v>
      </c>
      <c r="C20" s="112" t="s">
        <v>137</v>
      </c>
      <c r="D20" s="110">
        <v>5</v>
      </c>
      <c r="E20" s="110">
        <v>5</v>
      </c>
      <c r="F20" s="110">
        <v>2</v>
      </c>
      <c r="G20" s="110">
        <v>2</v>
      </c>
      <c r="H20" s="113"/>
      <c r="I20" s="43"/>
      <c r="J20" s="106">
        <f>VLOOKUP(D20,inputEU6!A$7:C$12,3)/VLOOKUP(D20,C$61:M$72,8)*O20</f>
        <v>0</v>
      </c>
      <c r="K20" s="106">
        <f>VLOOKUP(E20,inputEU6PV!A$7:C$13,3)/VLOOKUP(E20,C$61:M$72,9)*O20</f>
        <v>0.28119376058502438</v>
      </c>
      <c r="L20" s="106">
        <f>VLOOKUP(F20,inputEU10!A$7:C$16,3)/VLOOKUP(F20,C$61:M$72,10)*O20</f>
        <v>0</v>
      </c>
      <c r="M20" s="106">
        <f>VLOOKUP(G20,inputEU10PV!A$7:C$17,3)/VLOOKUP(G20,C$61:M$72,11)*O20</f>
        <v>0</v>
      </c>
      <c r="N20" s="43"/>
      <c r="O20" s="114">
        <f>+POM!AO20/POM!AO$2</f>
        <v>2.8328223488400466E-2</v>
      </c>
      <c r="P20" s="114">
        <f>+POM!AP20/POM!AP$2</f>
        <v>3.2283325526464728E-2</v>
      </c>
      <c r="Q20" s="114">
        <f>+POM!AQ20/POM!AQ$2</f>
        <v>2.4203673401146722E-2</v>
      </c>
      <c r="R20" s="114">
        <f>+POM!AR20/POM!AR$2</f>
        <v>3.6262614632496644E-2</v>
      </c>
      <c r="S20" s="114">
        <f>+POM!AS20/POM!AS$2</f>
        <v>2.9437476312212354E-2</v>
      </c>
      <c r="T20" s="114">
        <f>+POM!AT20/POM!AT$2</f>
        <v>1.9443520227029255E-2</v>
      </c>
      <c r="U20" s="114">
        <f>+POM!AU20/POM!AU$2</f>
        <v>1.9076578246667496E-2</v>
      </c>
    </row>
    <row r="21" spans="1:21" ht="29" x14ac:dyDescent="0.35">
      <c r="A21" s="110">
        <v>16</v>
      </c>
      <c r="B21" s="104" t="s">
        <v>17</v>
      </c>
      <c r="C21" s="112" t="s">
        <v>158</v>
      </c>
      <c r="D21" s="110">
        <v>5</v>
      </c>
      <c r="E21" s="110">
        <v>5</v>
      </c>
      <c r="F21" s="110">
        <v>2</v>
      </c>
      <c r="G21" s="110">
        <v>2</v>
      </c>
      <c r="H21" s="113"/>
      <c r="I21" s="43"/>
      <c r="J21" s="106">
        <f>VLOOKUP(D21,inputEU6!A$7:C$12,3)/VLOOKUP(D21,C$61:M$72,8)*O21</f>
        <v>0</v>
      </c>
      <c r="K21" s="106">
        <f>VLOOKUP(E21,inputEU6PV!A$7:C$13,3)/VLOOKUP(E21,C$61:M$72,9)*O21</f>
        <v>0.21010741624688692</v>
      </c>
      <c r="L21" s="106">
        <f>VLOOKUP(F21,inputEU10!A$7:C$16,3)/VLOOKUP(F21,C$61:M$72,10)*O21</f>
        <v>0</v>
      </c>
      <c r="M21" s="106">
        <f>VLOOKUP(G21,inputEU10PV!A$7:C$17,3)/VLOOKUP(G21,C$61:M$72,11)*O21</f>
        <v>0</v>
      </c>
      <c r="N21" s="43"/>
      <c r="O21" s="114">
        <f>+POM!AO21/POM!AO$2</f>
        <v>2.1166792007152314E-2</v>
      </c>
      <c r="P21" s="114">
        <f>+POM!AP21/POM!AP$2</f>
        <v>2.8960171788335574E-2</v>
      </c>
      <c r="Q21" s="114">
        <f>+POM!AQ21/POM!AQ$2</f>
        <v>2.3385499881921741E-2</v>
      </c>
      <c r="R21" s="114">
        <f>+POM!AR21/POM!AR$2</f>
        <v>1.692876707105289E-2</v>
      </c>
      <c r="S21" s="114">
        <f>+POM!AS21/POM!AS$2</f>
        <v>1.5689632491004427E-2</v>
      </c>
      <c r="T21" s="114">
        <f>+POM!AT21/POM!AT$2</f>
        <v>1.7544184161009283E-2</v>
      </c>
      <c r="U21" s="114">
        <f>+POM!AU21/POM!AU$2</f>
        <v>2.5249053922359339E-2</v>
      </c>
    </row>
    <row r="22" spans="1:21" ht="29" x14ac:dyDescent="0.35">
      <c r="A22" s="110">
        <v>17</v>
      </c>
      <c r="B22" s="104" t="s">
        <v>18</v>
      </c>
      <c r="C22" s="112" t="s">
        <v>159</v>
      </c>
      <c r="D22" s="110">
        <v>5</v>
      </c>
      <c r="E22" s="110">
        <v>5</v>
      </c>
      <c r="F22" s="110">
        <v>2</v>
      </c>
      <c r="G22" s="110">
        <v>2</v>
      </c>
      <c r="H22" s="113"/>
      <c r="I22" s="43"/>
      <c r="J22" s="106">
        <f>VLOOKUP(D22,inputEU6!A$7:C$12,3)/VLOOKUP(D22,C$61:M$72,8)*O22</f>
        <v>0</v>
      </c>
      <c r="K22" s="106">
        <f>VLOOKUP(E22,inputEU6PV!A$7:C$13,3)/VLOOKUP(E22,C$61:M$72,9)*O22</f>
        <v>0.10073039659938776</v>
      </c>
      <c r="L22" s="106">
        <f>VLOOKUP(F22,inputEU10!A$7:C$16,3)/VLOOKUP(F22,C$61:M$72,10)*O22</f>
        <v>0</v>
      </c>
      <c r="M22" s="106">
        <f>VLOOKUP(G22,inputEU10PV!A$7:C$17,3)/VLOOKUP(G22,C$61:M$72,11)*O22</f>
        <v>0</v>
      </c>
      <c r="N22" s="43"/>
      <c r="O22" s="114">
        <f>+POM!AO22/POM!AO$2</f>
        <v>1.014785385353476E-2</v>
      </c>
      <c r="P22" s="114">
        <f>+POM!AP22/POM!AP$2</f>
        <v>1.1650728418829451E-2</v>
      </c>
      <c r="Q22" s="114">
        <f>+POM!AQ22/POM!AQ$2</f>
        <v>1.3056248508675544E-2</v>
      </c>
      <c r="R22" s="114">
        <f>+POM!AR22/POM!AR$2</f>
        <v>1.1378284952848452E-2</v>
      </c>
      <c r="S22" s="114">
        <f>+POM!AS22/POM!AS$2</f>
        <v>1.1217935820915671E-2</v>
      </c>
      <c r="T22" s="114">
        <f>+POM!AT22/POM!AT$2</f>
        <v>1.1183987783949762E-2</v>
      </c>
      <c r="U22" s="114">
        <f>+POM!AU22/POM!AU$2</f>
        <v>1.1947329847707893E-2</v>
      </c>
    </row>
    <row r="23" spans="1:21" x14ac:dyDescent="0.35">
      <c r="A23" s="110">
        <v>18</v>
      </c>
      <c r="B23" s="104" t="s">
        <v>19</v>
      </c>
      <c r="C23" s="112" t="s">
        <v>102</v>
      </c>
      <c r="D23" s="110">
        <v>5</v>
      </c>
      <c r="E23" s="110">
        <v>5</v>
      </c>
      <c r="F23" s="110">
        <v>2</v>
      </c>
      <c r="G23" s="110">
        <v>2</v>
      </c>
      <c r="H23" s="113"/>
      <c r="I23" s="43"/>
      <c r="J23" s="106">
        <f>VLOOKUP(D23,inputEU6!A$7:C$12,3)/VLOOKUP(D23,C$61:M$72,8)*O23</f>
        <v>0</v>
      </c>
      <c r="K23" s="106">
        <f>VLOOKUP(E23,inputEU6PV!A$7:C$13,3)/VLOOKUP(E23,C$61:M$72,9)*O23</f>
        <v>0.26209799923476657</v>
      </c>
      <c r="L23" s="106">
        <f>VLOOKUP(F23,inputEU10!A$7:C$16,3)/VLOOKUP(F23,C$61:M$72,10)*O23</f>
        <v>0</v>
      </c>
      <c r="M23" s="106">
        <f>VLOOKUP(G23,inputEU10PV!A$7:C$17,3)/VLOOKUP(G23,C$61:M$72,11)*O23</f>
        <v>0</v>
      </c>
      <c r="N23" s="43"/>
      <c r="O23" s="114">
        <f>+POM!AO23/POM!AO$2</f>
        <v>2.640446460382985E-2</v>
      </c>
      <c r="P23" s="114">
        <f>+POM!AP23/POM!AP$2</f>
        <v>3.1734257183242139E-2</v>
      </c>
      <c r="Q23" s="114">
        <f>+POM!AQ23/POM!AQ$2</f>
        <v>2.2858236286515784E-2</v>
      </c>
      <c r="R23" s="114">
        <f>+POM!AR23/POM!AR$2</f>
        <v>2.1593488044593295E-2</v>
      </c>
      <c r="S23" s="114">
        <f>+POM!AS23/POM!AS$2</f>
        <v>2.3913797903035532E-2</v>
      </c>
      <c r="T23" s="114">
        <f>+POM!AT23/POM!AT$2</f>
        <v>2.6052116070951318E-2</v>
      </c>
      <c r="U23" s="114">
        <f>+POM!AU23/POM!AU$2</f>
        <v>3.0143417982456629E-2</v>
      </c>
    </row>
    <row r="24" spans="1:21" ht="29" x14ac:dyDescent="0.35">
      <c r="A24" s="110">
        <v>19</v>
      </c>
      <c r="B24" s="104" t="s">
        <v>20</v>
      </c>
      <c r="C24" s="112" t="s">
        <v>138</v>
      </c>
      <c r="D24" s="110">
        <v>5</v>
      </c>
      <c r="E24" s="110">
        <v>5</v>
      </c>
      <c r="F24" s="110">
        <v>2</v>
      </c>
      <c r="G24" s="110">
        <v>2</v>
      </c>
      <c r="H24" s="113"/>
      <c r="I24" s="43"/>
      <c r="J24" s="106">
        <f>VLOOKUP(D24,inputEU6!A$7:C$12,3)/VLOOKUP(D24,C$61:M$72,8)*O24</f>
        <v>0</v>
      </c>
      <c r="K24" s="106">
        <f>VLOOKUP(E24,inputEU6PV!A$7:C$13,3)/VLOOKUP(E24,C$61:M$72,9)*O24</f>
        <v>6.7765330355870429E-2</v>
      </c>
      <c r="L24" s="106">
        <f>VLOOKUP(F24,inputEU10!A$7:C$16,3)/VLOOKUP(F24,C$61:M$72,10)*O24</f>
        <v>0</v>
      </c>
      <c r="M24" s="106">
        <f>VLOOKUP(G24,inputEU10PV!A$7:C$17,3)/VLOOKUP(G24,C$61:M$72,11)*O24</f>
        <v>0</v>
      </c>
      <c r="N24" s="43"/>
      <c r="O24" s="114">
        <f>+POM!AO24/POM!AO$2</f>
        <v>6.8268635089644382E-3</v>
      </c>
      <c r="P24" s="114">
        <f>+POM!AP24/POM!AP$2</f>
        <v>6.7957929140607014E-3</v>
      </c>
      <c r="Q24" s="114">
        <f>+POM!AQ24/POM!AQ$2</f>
        <v>6.7781931598342353E-3</v>
      </c>
      <c r="R24" s="114">
        <f>+POM!AR24/POM!AR$2</f>
        <v>6.66513909599201E-3</v>
      </c>
      <c r="S24" s="114">
        <f>+POM!AS24/POM!AS$2</f>
        <v>6.0724699129848288E-3</v>
      </c>
      <c r="T24" s="114">
        <f>+POM!AT24/POM!AT$2</f>
        <v>5.9913612715688002E-3</v>
      </c>
      <c r="U24" s="114">
        <f>+POM!AU24/POM!AU$2</f>
        <v>6.3346566238507741E-3</v>
      </c>
    </row>
    <row r="25" spans="1:21" ht="29" x14ac:dyDescent="0.35">
      <c r="A25" s="110">
        <v>20</v>
      </c>
      <c r="B25" s="104" t="s">
        <v>21</v>
      </c>
      <c r="C25" s="112" t="s">
        <v>139</v>
      </c>
      <c r="D25" s="110">
        <v>6</v>
      </c>
      <c r="E25" s="110">
        <v>6</v>
      </c>
      <c r="F25" s="110">
        <v>3</v>
      </c>
      <c r="G25" s="110">
        <v>3</v>
      </c>
      <c r="H25" s="113"/>
      <c r="I25" s="43"/>
      <c r="J25" s="106">
        <f>VLOOKUP(D25,inputEU6!A$7:C$12,3)/VLOOKUP(D25,C$61:M$72,8)*O25</f>
        <v>0</v>
      </c>
      <c r="K25" s="106">
        <f>VLOOKUP(E25,inputEU6PV!A$7:C$13,3)/VLOOKUP(E25,C$61:M$72,9)*O25</f>
        <v>0.44265413858062236</v>
      </c>
      <c r="L25" s="106">
        <f>VLOOKUP(F25,inputEU10!A$7:C$16,3)/VLOOKUP(F25,C$61:M$72,10)*O25</f>
        <v>0</v>
      </c>
      <c r="M25" s="106">
        <f>VLOOKUP(G25,inputEU10PV!A$7:C$17,3)/VLOOKUP(G25,C$61:M$72,11)*O25</f>
        <v>0</v>
      </c>
      <c r="N25" s="43"/>
      <c r="O25" s="114">
        <f>+POM!AO25/POM!AO$2</f>
        <v>1.3649386436024714E-2</v>
      </c>
      <c r="P25" s="114">
        <f>+POM!AP25/POM!AP$2</f>
        <v>1.1860218574622937E-2</v>
      </c>
      <c r="Q25" s="114">
        <f>+POM!AQ25/POM!AQ$2</f>
        <v>1.2217007028051476E-2</v>
      </c>
      <c r="R25" s="114">
        <f>+POM!AR25/POM!AR$2</f>
        <v>1.1585386694727142E-2</v>
      </c>
      <c r="S25" s="114">
        <f>+POM!AS25/POM!AS$2</f>
        <v>1.0670094838598602E-2</v>
      </c>
      <c r="T25" s="114">
        <f>+POM!AT25/POM!AT$2</f>
        <v>1.1377157434427465E-2</v>
      </c>
      <c r="U25" s="114">
        <f>+POM!AU25/POM!AU$2</f>
        <v>1.0012502774671451E-2</v>
      </c>
    </row>
    <row r="26" spans="1:21" x14ac:dyDescent="0.35">
      <c r="A26" s="110">
        <v>21</v>
      </c>
      <c r="B26" s="104" t="s">
        <v>22</v>
      </c>
      <c r="C26" s="112" t="s">
        <v>103</v>
      </c>
      <c r="D26" s="110">
        <v>6</v>
      </c>
      <c r="E26" s="110">
        <v>6</v>
      </c>
      <c r="F26" s="110">
        <v>3</v>
      </c>
      <c r="G26" s="110">
        <v>3</v>
      </c>
      <c r="H26" s="113"/>
      <c r="I26" s="43"/>
      <c r="J26" s="106">
        <f>VLOOKUP(D26,inputEU6!A$7:C$12,3)/VLOOKUP(D26,C$61:M$72,8)*O26</f>
        <v>0</v>
      </c>
      <c r="K26" s="106">
        <f>VLOOKUP(E26,inputEU6PV!A$7:C$13,3)/VLOOKUP(E26,C$61:M$72,9)*O26</f>
        <v>0.97756508621497784</v>
      </c>
      <c r="L26" s="106">
        <f>VLOOKUP(F26,inputEU10!A$7:C$16,3)/VLOOKUP(F26,C$61:M$72,10)*O26</f>
        <v>0</v>
      </c>
      <c r="M26" s="106">
        <f>VLOOKUP(G26,inputEU10PV!A$7:C$17,3)/VLOOKUP(G26,C$61:M$72,11)*O26</f>
        <v>0</v>
      </c>
      <c r="N26" s="43"/>
      <c r="O26" s="114">
        <f>+POM!AO26/POM!AO$2</f>
        <v>3.0143542023348339E-2</v>
      </c>
      <c r="P26" s="114">
        <f>+POM!AP26/POM!AP$2</f>
        <v>1.5858583297304562E-2</v>
      </c>
      <c r="Q26" s="114">
        <f>+POM!AQ26/POM!AQ$2</f>
        <v>2.9680088786178324E-2</v>
      </c>
      <c r="R26" s="114">
        <f>+POM!AR26/POM!AR$2</f>
        <v>2.7720083240199977E-2</v>
      </c>
      <c r="S26" s="114">
        <f>+POM!AS26/POM!AS$2</f>
        <v>2.6812563688900407E-2</v>
      </c>
      <c r="T26" s="114">
        <f>+POM!AT26/POM!AT$2</f>
        <v>2.6454450850436018E-2</v>
      </c>
      <c r="U26" s="114">
        <f>+POM!AU26/POM!AU$2</f>
        <v>2.7970255988379964E-2</v>
      </c>
    </row>
    <row r="27" spans="1:21" x14ac:dyDescent="0.35">
      <c r="A27" s="110">
        <v>22</v>
      </c>
      <c r="B27" s="104" t="s">
        <v>23</v>
      </c>
      <c r="C27" s="112" t="s">
        <v>104</v>
      </c>
      <c r="D27" s="110">
        <v>2</v>
      </c>
      <c r="E27" s="110">
        <v>2</v>
      </c>
      <c r="F27" s="110">
        <v>3</v>
      </c>
      <c r="G27" s="110">
        <v>3</v>
      </c>
      <c r="H27" s="113"/>
      <c r="I27" s="43"/>
      <c r="J27" s="106">
        <f>VLOOKUP(D27,inputEU6!A$7:C$12,3)/VLOOKUP(D27,C$61:M$72,8)*O27</f>
        <v>0</v>
      </c>
      <c r="K27" s="106">
        <f>VLOOKUP(E27,inputEU6PV!A$7:C$13,3)/VLOOKUP(E27,C$61:M$72,9)*O27</f>
        <v>0.53899838251291421</v>
      </c>
      <c r="L27" s="106">
        <f>VLOOKUP(F27,inputEU10!A$7:C$16,3)/VLOOKUP(F27,C$61:M$72,10)*O27</f>
        <v>0</v>
      </c>
      <c r="M27" s="106">
        <f>VLOOKUP(G27,inputEU10PV!A$7:C$17,3)/VLOOKUP(G27,C$61:M$72,11)*O27</f>
        <v>0</v>
      </c>
      <c r="N27" s="43"/>
      <c r="O27" s="114">
        <f>+POM!AO27/POM!AO$2</f>
        <v>7.0219392764648775E-3</v>
      </c>
      <c r="P27" s="114">
        <f>+POM!AP27/POM!AP$2</f>
        <v>6.825003448783752E-3</v>
      </c>
      <c r="Q27" s="114">
        <f>+POM!AQ27/POM!AQ$2</f>
        <v>6.1401054561243673E-3</v>
      </c>
      <c r="R27" s="114">
        <f>+POM!AR27/POM!AR$2</f>
        <v>6.8461309212731131E-3</v>
      </c>
      <c r="S27" s="114">
        <f>+POM!AS27/POM!AS$2</f>
        <v>6.3587036179572794E-3</v>
      </c>
      <c r="T27" s="114">
        <f>+POM!AT27/POM!AT$2</f>
        <v>6.334571281764032E-3</v>
      </c>
      <c r="U27" s="114">
        <f>+POM!AU27/POM!AU$2</f>
        <v>6.5369566941251645E-3</v>
      </c>
    </row>
    <row r="28" spans="1:21" x14ac:dyDescent="0.35">
      <c r="A28" s="110">
        <v>23</v>
      </c>
      <c r="B28" s="104" t="s">
        <v>24</v>
      </c>
      <c r="C28" s="112" t="s">
        <v>140</v>
      </c>
      <c r="D28" s="110">
        <v>6</v>
      </c>
      <c r="E28" s="110">
        <v>6</v>
      </c>
      <c r="F28" s="110">
        <v>3</v>
      </c>
      <c r="G28" s="110">
        <v>3</v>
      </c>
      <c r="H28" s="113"/>
      <c r="I28" s="43"/>
      <c r="J28" s="106">
        <f>VLOOKUP(D28,inputEU6!A$7:C$12,3)/VLOOKUP(D28,C$61:M$72,8)*O28</f>
        <v>0</v>
      </c>
      <c r="K28" s="106">
        <f>VLOOKUP(E28,inputEU6PV!A$7:C$13,3)/VLOOKUP(E28,C$61:M$72,9)*O28</f>
        <v>1.0254208883670413</v>
      </c>
      <c r="L28" s="106">
        <f>VLOOKUP(F28,inputEU10!A$7:C$16,3)/VLOOKUP(F28,C$61:M$72,10)*O28</f>
        <v>0</v>
      </c>
      <c r="M28" s="106">
        <f>VLOOKUP(G28,inputEU10PV!A$7:C$17,3)/VLOOKUP(G28,C$61:M$72,11)*O28</f>
        <v>0</v>
      </c>
      <c r="N28" s="43"/>
      <c r="O28" s="114">
        <f>+POM!AO28/POM!AO$2</f>
        <v>3.161919147480035E-2</v>
      </c>
      <c r="P28" s="114">
        <f>+POM!AP28/POM!AP$2</f>
        <v>3.131001329990156E-2</v>
      </c>
      <c r="Q28" s="114">
        <f>+POM!AQ28/POM!AQ$2</f>
        <v>2.8317679013576364E-2</v>
      </c>
      <c r="R28" s="114">
        <f>+POM!AR28/POM!AR$2</f>
        <v>2.5730504288318173E-2</v>
      </c>
      <c r="S28" s="114">
        <f>+POM!AS28/POM!AS$2</f>
        <v>2.2036042697678851E-2</v>
      </c>
      <c r="T28" s="114">
        <f>+POM!AT28/POM!AT$2</f>
        <v>1.8927746868581022E-2</v>
      </c>
      <c r="U28" s="114">
        <f>+POM!AU28/POM!AU$2</f>
        <v>2.3260817765512674E-2</v>
      </c>
    </row>
    <row r="29" spans="1:21" ht="29" x14ac:dyDescent="0.35">
      <c r="A29" s="110">
        <v>24</v>
      </c>
      <c r="B29" s="104" t="s">
        <v>25</v>
      </c>
      <c r="C29" s="112" t="s">
        <v>141</v>
      </c>
      <c r="D29" s="110">
        <v>6</v>
      </c>
      <c r="E29" s="110">
        <v>6</v>
      </c>
      <c r="F29" s="110">
        <v>3</v>
      </c>
      <c r="G29" s="110">
        <v>3</v>
      </c>
      <c r="H29" s="113"/>
      <c r="I29" s="43"/>
      <c r="J29" s="106">
        <f>VLOOKUP(D29,inputEU6!A$7:C$12,3)/VLOOKUP(D29,C$61:M$72,8)*O29</f>
        <v>0</v>
      </c>
      <c r="K29" s="106">
        <f>VLOOKUP(E29,inputEU6PV!A$7:C$13,3)/VLOOKUP(E29,C$61:M$72,9)*O29</f>
        <v>0.44723626907378744</v>
      </c>
      <c r="L29" s="106">
        <f>VLOOKUP(F29,inputEU10!A$7:C$16,3)/VLOOKUP(F29,C$61:M$72,10)*O29</f>
        <v>0</v>
      </c>
      <c r="M29" s="106">
        <f>VLOOKUP(G29,inputEU10PV!A$7:C$17,3)/VLOOKUP(G29,C$61:M$72,11)*O29</f>
        <v>0</v>
      </c>
      <c r="N29" s="43"/>
      <c r="O29" s="114">
        <f>+POM!AO29/POM!AO$2</f>
        <v>1.3790677941853732E-2</v>
      </c>
      <c r="P29" s="114">
        <f>+POM!AP29/POM!AP$2</f>
        <v>1.3727926067596525E-2</v>
      </c>
      <c r="Q29" s="114">
        <f>+POM!AQ29/POM!AQ$2</f>
        <v>1.3578646130861722E-2</v>
      </c>
      <c r="R29" s="114">
        <f>+POM!AR29/POM!AR$2</f>
        <v>1.2681945316773068E-2</v>
      </c>
      <c r="S29" s="114">
        <f>+POM!AS29/POM!AS$2</f>
        <v>1.2266749155033924E-2</v>
      </c>
      <c r="T29" s="114">
        <f>+POM!AT29/POM!AT$2</f>
        <v>1.2102911860633472E-2</v>
      </c>
      <c r="U29" s="114">
        <f>+POM!AU29/POM!AU$2</f>
        <v>1.2796391973985508E-2</v>
      </c>
    </row>
    <row r="30" spans="1:21" x14ac:dyDescent="0.35">
      <c r="A30" s="110">
        <v>25</v>
      </c>
      <c r="B30" s="104" t="s">
        <v>26</v>
      </c>
      <c r="C30" s="112" t="s">
        <v>105</v>
      </c>
      <c r="D30" s="110">
        <v>6</v>
      </c>
      <c r="E30" s="110">
        <v>6</v>
      </c>
      <c r="F30" s="110">
        <v>3</v>
      </c>
      <c r="G30" s="110">
        <v>3</v>
      </c>
      <c r="H30" s="113"/>
      <c r="I30" s="43"/>
      <c r="J30" s="106">
        <f>VLOOKUP(D30,inputEU6!A$7:C$12,3)/VLOOKUP(D30,C$61:M$72,8)*O30</f>
        <v>0</v>
      </c>
      <c r="K30" s="106">
        <f>VLOOKUP(E30,inputEU6PV!A$7:C$13,3)/VLOOKUP(E30,C$61:M$72,9)*O30</f>
        <v>3.3869686502747201E-2</v>
      </c>
      <c r="L30" s="106">
        <f>VLOOKUP(F30,inputEU10!A$7:C$16,3)/VLOOKUP(F30,C$61:M$72,10)*O30</f>
        <v>0</v>
      </c>
      <c r="M30" s="106">
        <f>VLOOKUP(G30,inputEU10PV!A$7:C$17,3)/VLOOKUP(G30,C$61:M$72,11)*O30</f>
        <v>0</v>
      </c>
      <c r="N30" s="43"/>
      <c r="O30" s="114">
        <f>+POM!AO30/POM!AO$2</f>
        <v>1.0443829600811614E-3</v>
      </c>
      <c r="P30" s="114">
        <f>+POM!AP30/POM!AP$2</f>
        <v>1.5311501380291591E-3</v>
      </c>
      <c r="Q30" s="114">
        <f>+POM!AQ30/POM!AQ$2</f>
        <v>1.3586549976865121E-3</v>
      </c>
      <c r="R30" s="114">
        <f>+POM!AR30/POM!AR$2</f>
        <v>9.2896900537935395E-4</v>
      </c>
      <c r="S30" s="114">
        <f>+POM!AS30/POM!AS$2</f>
        <v>1.0296682470881885E-3</v>
      </c>
      <c r="T30" s="114">
        <f>+POM!AT30/POM!AT$2</f>
        <v>8.5047759204343303E-4</v>
      </c>
      <c r="U30" s="114">
        <f>+POM!AU30/POM!AU$2</f>
        <v>8.9155302014138336E-4</v>
      </c>
    </row>
    <row r="31" spans="1:21" ht="29" x14ac:dyDescent="0.35">
      <c r="A31" s="110">
        <v>26</v>
      </c>
      <c r="B31" s="104" t="s">
        <v>27</v>
      </c>
      <c r="C31" s="112" t="s">
        <v>142</v>
      </c>
      <c r="D31" s="110">
        <v>4</v>
      </c>
      <c r="E31" s="110" t="s">
        <v>120</v>
      </c>
      <c r="F31" s="110">
        <v>3</v>
      </c>
      <c r="G31" s="110">
        <v>3</v>
      </c>
      <c r="H31" s="113"/>
      <c r="I31" s="43"/>
      <c r="J31" s="106">
        <f>VLOOKUP(D31,inputEU6!A$7:C$12,3)/VLOOKUP(D31,C$61:M$72,8)*O31</f>
        <v>0</v>
      </c>
      <c r="K31" s="106">
        <f>VLOOKUP(E31,inputEU6PV!A$7:C$13,3)/VLOOKUP(E31,C$61:M$72,9)*O31</f>
        <v>6.8075709638168183E-2</v>
      </c>
      <c r="L31" s="106">
        <f>VLOOKUP(F31,inputEU10!A$7:C$16,3)/VLOOKUP(F31,C$61:M$72,10)*O31</f>
        <v>0</v>
      </c>
      <c r="M31" s="106">
        <f>VLOOKUP(G31,inputEU10PV!A$7:C$17,3)/VLOOKUP(G31,C$61:M$72,11)*O31</f>
        <v>0</v>
      </c>
      <c r="N31" s="43"/>
      <c r="O31" s="114">
        <f>+POM!AO31/POM!AO$2</f>
        <v>9.9814741552896047E-3</v>
      </c>
      <c r="P31" s="114">
        <f>+POM!AP31/POM!AP$2</f>
        <v>9.6449963434195873E-3</v>
      </c>
      <c r="Q31" s="114">
        <f>+POM!AQ31/POM!AQ$2</f>
        <v>8.6063742474846352E-3</v>
      </c>
      <c r="R31" s="114">
        <f>+POM!AR31/POM!AR$2</f>
        <v>9.5806444790581362E-3</v>
      </c>
      <c r="S31" s="114">
        <f>+POM!AS31/POM!AS$2</f>
        <v>1.2879922647828434E-2</v>
      </c>
      <c r="T31" s="114">
        <f>+POM!AT31/POM!AT$2</f>
        <v>1.6272574408071842E-2</v>
      </c>
      <c r="U31" s="114">
        <f>+POM!AU31/POM!AU$2</f>
        <v>2.0973899166463736E-2</v>
      </c>
    </row>
    <row r="32" spans="1:21" x14ac:dyDescent="0.35">
      <c r="A32" s="110">
        <v>27</v>
      </c>
      <c r="B32" s="104" t="s">
        <v>28</v>
      </c>
      <c r="C32" s="112" t="s">
        <v>106</v>
      </c>
      <c r="D32" s="110">
        <v>2</v>
      </c>
      <c r="E32" s="110">
        <v>2</v>
      </c>
      <c r="F32" s="110">
        <v>3</v>
      </c>
      <c r="G32" s="110">
        <v>3</v>
      </c>
      <c r="H32" s="113"/>
      <c r="I32" s="43"/>
      <c r="J32" s="106">
        <f>VLOOKUP(D32,inputEU6!A$7:C$12,3)/VLOOKUP(D32,C$61:M$72,8)*O32</f>
        <v>0</v>
      </c>
      <c r="K32" s="106">
        <f>VLOOKUP(E32,inputEU6PV!A$7:C$13,3)/VLOOKUP(E32,C$61:M$72,9)*O32</f>
        <v>0</v>
      </c>
      <c r="L32" s="106">
        <f>VLOOKUP(F32,inputEU10!A$7:C$16,3)/VLOOKUP(F32,C$61:M$72,10)*O32</f>
        <v>0</v>
      </c>
      <c r="M32" s="106">
        <f>VLOOKUP(G32,inputEU10PV!A$7:C$17,3)/VLOOKUP(G32,C$61:M$72,11)*O32</f>
        <v>0</v>
      </c>
      <c r="N32" s="43"/>
      <c r="O32" s="114">
        <f>+POM!AO32/POM!AO$2</f>
        <v>0</v>
      </c>
      <c r="P32" s="114">
        <f>+POM!AP32/POM!AP$2</f>
        <v>0</v>
      </c>
      <c r="Q32" s="114">
        <f>+POM!AQ32/POM!AQ$2</f>
        <v>0</v>
      </c>
      <c r="R32" s="114">
        <f>+POM!AR32/POM!AR$2</f>
        <v>0</v>
      </c>
      <c r="S32" s="114">
        <f>+POM!AS32/POM!AS$2</f>
        <v>0</v>
      </c>
      <c r="T32" s="114">
        <f>+POM!AT32/POM!AT$2</f>
        <v>0</v>
      </c>
      <c r="U32" s="114">
        <f>+POM!AU32/POM!AU$2</f>
        <v>0</v>
      </c>
    </row>
    <row r="33" spans="1:21" x14ac:dyDescent="0.35">
      <c r="A33" s="110">
        <v>28</v>
      </c>
      <c r="B33" s="104" t="s">
        <v>29</v>
      </c>
      <c r="C33" s="112" t="s">
        <v>107</v>
      </c>
      <c r="D33" s="110">
        <v>2</v>
      </c>
      <c r="E33" s="110">
        <v>2</v>
      </c>
      <c r="F33" s="110">
        <v>3</v>
      </c>
      <c r="G33" s="110">
        <v>3</v>
      </c>
      <c r="H33" s="113"/>
      <c r="I33" s="43"/>
      <c r="J33" s="106">
        <f>VLOOKUP(D33,inputEU6!A$7:C$12,3)/VLOOKUP(D33,C$61:M$72,8)*O33</f>
        <v>0</v>
      </c>
      <c r="K33" s="106">
        <f>VLOOKUP(E33,inputEU6PV!A$7:C$13,3)/VLOOKUP(E33,C$61:M$72,9)*O33</f>
        <v>0.80087039599956722</v>
      </c>
      <c r="L33" s="106">
        <f>VLOOKUP(F33,inputEU10!A$7:C$16,3)/VLOOKUP(F33,C$61:M$72,10)*O33</f>
        <v>0</v>
      </c>
      <c r="M33" s="106">
        <f>VLOOKUP(G33,inputEU10PV!A$7:C$17,3)/VLOOKUP(G33,C$61:M$72,11)*O33</f>
        <v>0</v>
      </c>
      <c r="N33" s="43"/>
      <c r="O33" s="114">
        <f>+POM!AO33/POM!AO$2</f>
        <v>1.043354390565838E-2</v>
      </c>
      <c r="P33" s="114">
        <f>+POM!AP33/POM!AP$2</f>
        <v>1.1653419705952165E-2</v>
      </c>
      <c r="Q33" s="114">
        <f>+POM!AQ33/POM!AQ$2</f>
        <v>1.2780268071751831E-2</v>
      </c>
      <c r="R33" s="114">
        <f>+POM!AR33/POM!AR$2</f>
        <v>1.3107070649746849E-2</v>
      </c>
      <c r="S33" s="114">
        <f>+POM!AS33/POM!AS$2</f>
        <v>1.3810419819361633E-2</v>
      </c>
      <c r="T33" s="114">
        <f>+POM!AT33/POM!AT$2</f>
        <v>1.474328965813336E-2</v>
      </c>
      <c r="U33" s="114">
        <f>+POM!AU33/POM!AU$2</f>
        <v>1.6769415168763502E-2</v>
      </c>
    </row>
    <row r="34" spans="1:21" x14ac:dyDescent="0.35">
      <c r="A34" s="110">
        <v>29</v>
      </c>
      <c r="B34" s="104" t="s">
        <v>30</v>
      </c>
      <c r="C34" s="112" t="s">
        <v>143</v>
      </c>
      <c r="D34" s="110">
        <v>5</v>
      </c>
      <c r="E34" s="110">
        <v>5</v>
      </c>
      <c r="F34" s="110">
        <v>4</v>
      </c>
      <c r="G34" s="110" t="s">
        <v>120</v>
      </c>
      <c r="H34" s="113"/>
      <c r="I34" s="43"/>
      <c r="J34" s="106">
        <f>VLOOKUP(D34,inputEU6!A$7:C$12,3)/VLOOKUP(D34,C$61:M$72,8)*O34</f>
        <v>0</v>
      </c>
      <c r="K34" s="106">
        <f>VLOOKUP(E34,inputEU6PV!A$7:C$13,3)/VLOOKUP(E34,C$61:M$72,9)*O34</f>
        <v>0.11924330264174962</v>
      </c>
      <c r="L34" s="106">
        <f>VLOOKUP(F34,inputEU10!A$7:C$16,3)/VLOOKUP(F34,C$61:M$72,10)*O34</f>
        <v>0</v>
      </c>
      <c r="M34" s="106">
        <f>VLOOKUP(G34,inputEU10PV!A$7:C$17,3)/VLOOKUP(G34,C$61:M$72,11)*O34</f>
        <v>0</v>
      </c>
      <c r="N34" s="43"/>
      <c r="O34" s="114">
        <f>+POM!AO34/POM!AO$2</f>
        <v>1.2012894310679655E-2</v>
      </c>
      <c r="P34" s="114">
        <f>+POM!AP34/POM!AP$2</f>
        <v>1.1819794343555248E-2</v>
      </c>
      <c r="Q34" s="114">
        <f>+POM!AQ34/POM!AQ$2</f>
        <v>1.155432958121992E-2</v>
      </c>
      <c r="R34" s="114">
        <f>+POM!AR34/POM!AR$2</f>
        <v>1.0663420570715156E-2</v>
      </c>
      <c r="S34" s="114">
        <f>+POM!AS34/POM!AS$2</f>
        <v>1.0190612193505141E-2</v>
      </c>
      <c r="T34" s="114">
        <f>+POM!AT34/POM!AT$2</f>
        <v>8.7432686592568334E-3</v>
      </c>
      <c r="U34" s="114">
        <f>+POM!AU34/POM!AU$2</f>
        <v>7.8578807997527512E-3</v>
      </c>
    </row>
    <row r="35" spans="1:21" x14ac:dyDescent="0.35">
      <c r="A35" s="110">
        <v>30</v>
      </c>
      <c r="B35" s="104" t="s">
        <v>31</v>
      </c>
      <c r="C35" s="112" t="s">
        <v>144</v>
      </c>
      <c r="D35" s="110">
        <v>5</v>
      </c>
      <c r="E35" s="110">
        <v>5</v>
      </c>
      <c r="F35" s="110">
        <v>4</v>
      </c>
      <c r="G35" s="110" t="s">
        <v>120</v>
      </c>
      <c r="H35" s="113"/>
      <c r="I35" s="43"/>
      <c r="J35" s="106">
        <f>VLOOKUP(D35,inputEU6!A$7:C$12,3)/VLOOKUP(D35,C$61:M$72,8)*O35</f>
        <v>0</v>
      </c>
      <c r="K35" s="106">
        <f>VLOOKUP(E35,inputEU6PV!A$7:C$13,3)/VLOOKUP(E35,C$61:M$72,9)*O35</f>
        <v>5.8125339945225805E-3</v>
      </c>
      <c r="L35" s="106">
        <f>VLOOKUP(F35,inputEU10!A$7:C$16,3)/VLOOKUP(F35,C$61:M$72,10)*O35</f>
        <v>0</v>
      </c>
      <c r="M35" s="106">
        <f>VLOOKUP(G35,inputEU10PV!A$7:C$17,3)/VLOOKUP(G35,C$61:M$72,11)*O35</f>
        <v>0</v>
      </c>
      <c r="N35" s="43"/>
      <c r="O35" s="114">
        <f>+POM!AO35/POM!AO$2</f>
        <v>5.8557046816468377E-4</v>
      </c>
      <c r="P35" s="114">
        <f>+POM!AP35/POM!AP$2</f>
        <v>6.0161252038032093E-4</v>
      </c>
      <c r="Q35" s="114">
        <f>+POM!AQ35/POM!AQ$2</f>
        <v>6.1357861207801049E-4</v>
      </c>
      <c r="R35" s="114">
        <f>+POM!AR35/POM!AR$2</f>
        <v>6.4564581919631834E-4</v>
      </c>
      <c r="S35" s="114">
        <f>+POM!AS35/POM!AS$2</f>
        <v>6.8044665131595595E-4</v>
      </c>
      <c r="T35" s="114">
        <f>+POM!AT35/POM!AT$2</f>
        <v>5.7768463554694739E-4</v>
      </c>
      <c r="U35" s="114">
        <f>+POM!AU35/POM!AU$2</f>
        <v>6.7024661626359592E-4</v>
      </c>
    </row>
    <row r="36" spans="1:21" x14ac:dyDescent="0.35">
      <c r="A36" s="110">
        <v>31</v>
      </c>
      <c r="B36" s="104" t="s">
        <v>32</v>
      </c>
      <c r="C36" s="112" t="s">
        <v>145</v>
      </c>
      <c r="D36" s="110">
        <v>5</v>
      </c>
      <c r="E36" s="110">
        <v>5</v>
      </c>
      <c r="F36" s="110">
        <v>4</v>
      </c>
      <c r="G36" s="110" t="s">
        <v>120</v>
      </c>
      <c r="H36" s="113"/>
      <c r="I36" s="43"/>
      <c r="J36" s="106">
        <f>VLOOKUP(D36,inputEU6!A$7:C$12,3)/VLOOKUP(D36,C$61:M$72,8)*O36</f>
        <v>0</v>
      </c>
      <c r="K36" s="106">
        <f>VLOOKUP(E36,inputEU6PV!A$7:C$13,3)/VLOOKUP(E36,C$61:M$72,9)*O36</f>
        <v>6.4059582155992029E-2</v>
      </c>
      <c r="L36" s="106">
        <f>VLOOKUP(F36,inputEU10!A$7:C$16,3)/VLOOKUP(F36,C$61:M$72,10)*O36</f>
        <v>0</v>
      </c>
      <c r="M36" s="106">
        <f>VLOOKUP(G36,inputEU10PV!A$7:C$17,3)/VLOOKUP(G36,C$61:M$72,11)*O36</f>
        <v>0</v>
      </c>
      <c r="N36" s="43"/>
      <c r="O36" s="114">
        <f>+POM!AO36/POM!AO$2</f>
        <v>6.4535363662160082E-3</v>
      </c>
      <c r="P36" s="114">
        <f>+POM!AP36/POM!AP$2</f>
        <v>5.5172850661667581E-3</v>
      </c>
      <c r="Q36" s="114">
        <f>+POM!AQ36/POM!AQ$2</f>
        <v>4.5602682282157216E-3</v>
      </c>
      <c r="R36" s="114">
        <f>+POM!AR36/POM!AR$2</f>
        <v>5.4517720820237668E-3</v>
      </c>
      <c r="S36" s="114">
        <f>+POM!AS36/POM!AS$2</f>
        <v>5.2773111597369752E-3</v>
      </c>
      <c r="T36" s="114">
        <f>+POM!AT36/POM!AT$2</f>
        <v>5.2108003934241108E-3</v>
      </c>
      <c r="U36" s="114">
        <f>+POM!AU36/POM!AU$2</f>
        <v>5.5135733642989711E-3</v>
      </c>
    </row>
    <row r="37" spans="1:21" ht="29" x14ac:dyDescent="0.35">
      <c r="A37" s="110">
        <v>32</v>
      </c>
      <c r="B37" s="104" t="s">
        <v>33</v>
      </c>
      <c r="C37" s="112" t="s">
        <v>161</v>
      </c>
      <c r="D37" s="110">
        <v>5</v>
      </c>
      <c r="E37" s="110">
        <v>5</v>
      </c>
      <c r="F37" s="110">
        <v>4</v>
      </c>
      <c r="G37" s="110" t="s">
        <v>120</v>
      </c>
      <c r="H37" s="113"/>
      <c r="I37" s="43"/>
      <c r="J37" s="106">
        <f>VLOOKUP(D37,inputEU6!A$7:C$12,3)/VLOOKUP(D37,C$61:M$72,8)*O37</f>
        <v>0</v>
      </c>
      <c r="K37" s="106">
        <f>VLOOKUP(E37,inputEU6PV!A$7:C$13,3)/VLOOKUP(E37,C$61:M$72,9)*O37</f>
        <v>0.20857216192458808</v>
      </c>
      <c r="L37" s="106">
        <f>VLOOKUP(F37,inputEU10!A$7:C$16,3)/VLOOKUP(F37,C$61:M$72,10)*O37</f>
        <v>0</v>
      </c>
      <c r="M37" s="106">
        <f>VLOOKUP(G37,inputEU10PV!A$7:C$17,3)/VLOOKUP(G37,C$61:M$72,11)*O37</f>
        <v>0</v>
      </c>
      <c r="N37" s="43"/>
      <c r="O37" s="114">
        <f>+POM!AO37/POM!AO$2</f>
        <v>2.1012126315199792E-2</v>
      </c>
      <c r="P37" s="114">
        <f>+POM!AP37/POM!AP$2</f>
        <v>2.1853855602925663E-2</v>
      </c>
      <c r="Q37" s="114">
        <f>+POM!AQ37/POM!AQ$2</f>
        <v>2.3523342239318904E-2</v>
      </c>
      <c r="R37" s="114">
        <f>+POM!AR37/POM!AR$2</f>
        <v>2.3751094809968672E-2</v>
      </c>
      <c r="S37" s="114">
        <f>+POM!AS37/POM!AS$2</f>
        <v>2.2638142615103881E-2</v>
      </c>
      <c r="T37" s="114">
        <f>+POM!AT37/POM!AT$2</f>
        <v>2.2004882823805749E-2</v>
      </c>
      <c r="U37" s="114">
        <f>+POM!AU37/POM!AU$2</f>
        <v>2.2915889794170492E-2</v>
      </c>
    </row>
    <row r="38" spans="1:21" x14ac:dyDescent="0.35">
      <c r="A38" s="110">
        <v>33</v>
      </c>
      <c r="B38" s="104" t="s">
        <v>34</v>
      </c>
      <c r="C38" s="112" t="s">
        <v>88</v>
      </c>
      <c r="D38" s="110">
        <v>5</v>
      </c>
      <c r="E38" s="110">
        <v>5</v>
      </c>
      <c r="F38" s="110">
        <v>4</v>
      </c>
      <c r="G38" s="110" t="s">
        <v>120</v>
      </c>
      <c r="H38" s="113"/>
      <c r="I38" s="43"/>
      <c r="J38" s="106">
        <f>VLOOKUP(D38,inputEU6!A$7:C$12,3)/VLOOKUP(D38,C$61:M$72,8)*O38</f>
        <v>0</v>
      </c>
      <c r="K38" s="106">
        <f>VLOOKUP(E38,inputEU6PV!A$7:C$13,3)/VLOOKUP(E38,C$61:M$72,9)*O38</f>
        <v>9.3219103144859317E-2</v>
      </c>
      <c r="L38" s="106">
        <f>VLOOKUP(F38,inputEU10!A$7:C$16,3)/VLOOKUP(F38,C$61:M$72,10)*O38</f>
        <v>0</v>
      </c>
      <c r="M38" s="106">
        <f>VLOOKUP(G38,inputEU10PV!A$7:C$17,3)/VLOOKUP(G38,C$61:M$72,11)*O38</f>
        <v>0</v>
      </c>
      <c r="N38" s="43"/>
      <c r="O38" s="114">
        <f>+POM!AO38/POM!AO$2</f>
        <v>9.3911457415761287E-3</v>
      </c>
      <c r="P38" s="114">
        <f>+POM!AP38/POM!AP$2</f>
        <v>1.0016860822283417E-2</v>
      </c>
      <c r="Q38" s="114">
        <f>+POM!AQ38/POM!AQ$2</f>
        <v>9.9079369516477198E-3</v>
      </c>
      <c r="R38" s="114">
        <f>+POM!AR38/POM!AR$2</f>
        <v>9.2536338960094791E-3</v>
      </c>
      <c r="S38" s="114">
        <f>+POM!AS38/POM!AS$2</f>
        <v>8.9506806716080703E-3</v>
      </c>
      <c r="T38" s="114">
        <f>+POM!AT38/POM!AT$2</f>
        <v>8.8311360256725716E-3</v>
      </c>
      <c r="U38" s="114">
        <f>+POM!AU38/POM!AU$2</f>
        <v>9.6986088336630735E-3</v>
      </c>
    </row>
    <row r="39" spans="1:21" x14ac:dyDescent="0.35">
      <c r="A39" s="110">
        <v>34</v>
      </c>
      <c r="B39" s="104" t="s">
        <v>35</v>
      </c>
      <c r="C39" s="112" t="s">
        <v>147</v>
      </c>
      <c r="D39" s="110">
        <v>5</v>
      </c>
      <c r="E39" s="110">
        <v>5</v>
      </c>
      <c r="F39" s="110">
        <v>4</v>
      </c>
      <c r="G39" s="110" t="s">
        <v>120</v>
      </c>
      <c r="H39" s="113"/>
      <c r="I39" s="43"/>
      <c r="J39" s="106">
        <f>VLOOKUP(D39,inputEU6!A$7:C$12,3)/VLOOKUP(D39,C$61:M$72,8)*O39</f>
        <v>0</v>
      </c>
      <c r="K39" s="106">
        <f>VLOOKUP(E39,inputEU6PV!A$7:C$13,3)/VLOOKUP(E39,C$61:M$72,9)*O39</f>
        <v>5.6824479812455208E-3</v>
      </c>
      <c r="L39" s="106">
        <f>VLOOKUP(F39,inputEU10!A$7:C$16,3)/VLOOKUP(F39,C$61:M$72,10)*O39</f>
        <v>0</v>
      </c>
      <c r="M39" s="106">
        <f>VLOOKUP(G39,inputEU10PV!A$7:C$17,3)/VLOOKUP(G39,C$61:M$72,11)*O39</f>
        <v>0</v>
      </c>
      <c r="N39" s="43"/>
      <c r="O39" s="114">
        <f>+POM!AO39/POM!AO$2</f>
        <v>5.7246524972327632E-4</v>
      </c>
      <c r="P39" s="114">
        <f>+POM!AP39/POM!AP$2</f>
        <v>6.3383473355021677E-4</v>
      </c>
      <c r="Q39" s="114">
        <f>+POM!AQ39/POM!AQ$2</f>
        <v>5.854402034037743E-4</v>
      </c>
      <c r="R39" s="114">
        <f>+POM!AR39/POM!AR$2</f>
        <v>4.8767999699446591E-4</v>
      </c>
      <c r="S39" s="114">
        <f>+POM!AS39/POM!AS$2</f>
        <v>2.4851384380688679E-4</v>
      </c>
      <c r="T39" s="114">
        <f>+POM!AT39/POM!AT$2</f>
        <v>1.3797832176978776E-4</v>
      </c>
      <c r="U39" s="114">
        <f>+POM!AU39/POM!AU$2</f>
        <v>1.6739884600521E-4</v>
      </c>
    </row>
    <row r="40" spans="1:21" x14ac:dyDescent="0.35">
      <c r="A40" s="110">
        <v>35</v>
      </c>
      <c r="B40" s="104" t="s">
        <v>36</v>
      </c>
      <c r="C40" s="112" t="s">
        <v>108</v>
      </c>
      <c r="D40" s="110">
        <v>2</v>
      </c>
      <c r="E40" s="110">
        <v>2</v>
      </c>
      <c r="F40" s="110">
        <v>4</v>
      </c>
      <c r="G40" s="110" t="s">
        <v>120</v>
      </c>
      <c r="H40" s="113"/>
      <c r="I40" s="43"/>
      <c r="J40" s="106">
        <f>VLOOKUP(D40,inputEU6!A$7:C$12,3)/VLOOKUP(D40,C$61:M$72,8)*O40</f>
        <v>0</v>
      </c>
      <c r="K40" s="106">
        <f>VLOOKUP(E40,inputEU6PV!A$7:C$13,3)/VLOOKUP(E40,C$61:M$72,9)*O40</f>
        <v>0</v>
      </c>
      <c r="L40" s="106">
        <f>VLOOKUP(F40,inputEU10!A$7:C$16,3)/VLOOKUP(F40,C$61:M$72,10)*O40</f>
        <v>0</v>
      </c>
      <c r="M40" s="106">
        <f>VLOOKUP(G40,inputEU10PV!A$7:C$17,3)/VLOOKUP(G40,C$61:M$72,11)*O40</f>
        <v>0</v>
      </c>
      <c r="N40" s="43"/>
      <c r="O40" s="114">
        <f>+POM!AO40/POM!AO$2</f>
        <v>0</v>
      </c>
      <c r="P40" s="114">
        <f>+POM!AP40/POM!AP$2</f>
        <v>0</v>
      </c>
      <c r="Q40" s="114">
        <f>+POM!AQ40/POM!AQ$2</f>
        <v>0</v>
      </c>
      <c r="R40" s="114">
        <f>+POM!AR40/POM!AR$2</f>
        <v>0</v>
      </c>
      <c r="S40" s="114">
        <f>+POM!AS40/POM!AS$2</f>
        <v>0</v>
      </c>
      <c r="T40" s="114">
        <f>+POM!AT40/POM!AT$2</f>
        <v>0</v>
      </c>
      <c r="U40" s="114">
        <f>+POM!AU40/POM!AU$2</f>
        <v>0</v>
      </c>
    </row>
    <row r="41" spans="1:21" x14ac:dyDescent="0.35">
      <c r="A41" s="110">
        <v>36</v>
      </c>
      <c r="B41" s="104" t="s">
        <v>37</v>
      </c>
      <c r="C41" s="112" t="s">
        <v>109</v>
      </c>
      <c r="D41" s="110">
        <v>2</v>
      </c>
      <c r="E41" s="110">
        <v>2</v>
      </c>
      <c r="F41" s="110">
        <v>4</v>
      </c>
      <c r="G41" s="110" t="s">
        <v>120</v>
      </c>
      <c r="H41" s="113"/>
      <c r="I41" s="43"/>
      <c r="J41" s="106">
        <f>VLOOKUP(D41,inputEU6!A$7:C$12,3)/VLOOKUP(D41,C$61:M$72,8)*O41</f>
        <v>0</v>
      </c>
      <c r="K41" s="106">
        <f>VLOOKUP(E41,inputEU6PV!A$7:C$13,3)/VLOOKUP(E41,C$61:M$72,9)*O41</f>
        <v>1.6601312214875186</v>
      </c>
      <c r="L41" s="106">
        <f>VLOOKUP(F41,inputEU10!A$7:C$16,3)/VLOOKUP(F41,C$61:M$72,10)*O41</f>
        <v>0</v>
      </c>
      <c r="M41" s="106">
        <f>VLOOKUP(G41,inputEU10PV!A$7:C$17,3)/VLOOKUP(G41,C$61:M$72,11)*O41</f>
        <v>0</v>
      </c>
      <c r="N41" s="43"/>
      <c r="O41" s="114">
        <f>+POM!AO41/POM!AO$2</f>
        <v>2.1627784064768531E-2</v>
      </c>
      <c r="P41" s="114">
        <f>+POM!AP41/POM!AP$2</f>
        <v>1.9096558713403645E-2</v>
      </c>
      <c r="Q41" s="114">
        <f>+POM!AQ41/POM!AQ$2</f>
        <v>1.7563931965521706E-2</v>
      </c>
      <c r="R41" s="114">
        <f>+POM!AR41/POM!AR$2</f>
        <v>1.7991774698306862E-2</v>
      </c>
      <c r="S41" s="114">
        <f>+POM!AS41/POM!AS$2</f>
        <v>2.2324525970179865E-2</v>
      </c>
      <c r="T41" s="114">
        <f>+POM!AT41/POM!AT$2</f>
        <v>2.3248565918367693E-2</v>
      </c>
      <c r="U41" s="114">
        <f>+POM!AU41/POM!AU$2</f>
        <v>3.1603046515887002E-2</v>
      </c>
    </row>
    <row r="42" spans="1:21" x14ac:dyDescent="0.35">
      <c r="A42" s="110">
        <v>37</v>
      </c>
      <c r="B42" s="104" t="s">
        <v>38</v>
      </c>
      <c r="C42" s="112" t="s">
        <v>132</v>
      </c>
      <c r="D42" s="110">
        <v>3</v>
      </c>
      <c r="E42" s="110">
        <v>3</v>
      </c>
      <c r="F42" s="110">
        <v>5</v>
      </c>
      <c r="G42" s="110">
        <v>5</v>
      </c>
      <c r="H42" s="113"/>
      <c r="I42" s="43"/>
      <c r="J42" s="106">
        <f>VLOOKUP(D42,inputEU6!A$7:C$12,3)/VLOOKUP(D42,C$61:M$72,8)*O42</f>
        <v>0</v>
      </c>
      <c r="K42" s="106">
        <f>VLOOKUP(E42,inputEU6PV!A$7:C$13,3)/VLOOKUP(E42,C$61:M$72,9)*O42</f>
        <v>1.118529453024371</v>
      </c>
      <c r="L42" s="106">
        <f>VLOOKUP(F42,inputEU10!A$7:C$16,3)/VLOOKUP(F42,C$61:M$72,10)*O42</f>
        <v>0</v>
      </c>
      <c r="M42" s="106">
        <f>VLOOKUP(G42,inputEU10PV!A$7:C$17,3)/VLOOKUP(G42,C$61:M$72,11)*O42</f>
        <v>0</v>
      </c>
      <c r="N42" s="43"/>
      <c r="O42" s="114">
        <f>+POM!AO42/POM!AO$2</f>
        <v>3.2538504462707144E-3</v>
      </c>
      <c r="P42" s="114">
        <f>+POM!AP42/POM!AP$2</f>
        <v>3.7203199775616221E-3</v>
      </c>
      <c r="Q42" s="114">
        <f>+POM!AQ42/POM!AQ$2</f>
        <v>4.0871934726992879E-3</v>
      </c>
      <c r="R42" s="114">
        <f>+POM!AR42/POM!AR$2</f>
        <v>3.7717915902157899E-3</v>
      </c>
      <c r="S42" s="114">
        <f>+POM!AS42/POM!AS$2</f>
        <v>3.6043062045417068E-3</v>
      </c>
      <c r="T42" s="114">
        <f>+POM!AT42/POM!AT$2</f>
        <v>3.5127471801772569E-3</v>
      </c>
      <c r="U42" s="114">
        <f>+POM!AU42/POM!AU$2</f>
        <v>3.6681178667004946E-3</v>
      </c>
    </row>
    <row r="43" spans="1:21" x14ac:dyDescent="0.35">
      <c r="A43" s="110">
        <v>38</v>
      </c>
      <c r="B43" s="104" t="s">
        <v>39</v>
      </c>
      <c r="C43" s="112" t="s">
        <v>110</v>
      </c>
      <c r="D43" s="110">
        <v>3</v>
      </c>
      <c r="E43" s="110">
        <v>3</v>
      </c>
      <c r="F43" s="110">
        <v>5</v>
      </c>
      <c r="G43" s="110">
        <v>5</v>
      </c>
      <c r="H43" s="113"/>
      <c r="I43" s="43"/>
      <c r="J43" s="106">
        <f>VLOOKUP(D43,inputEU6!A$7:C$12,3)/VLOOKUP(D43,C$61:M$72,8)*O43</f>
        <v>0</v>
      </c>
      <c r="K43" s="106">
        <f>VLOOKUP(E43,inputEU6PV!A$7:C$13,3)/VLOOKUP(E43,C$61:M$72,9)*O43</f>
        <v>0.39210016196293979</v>
      </c>
      <c r="L43" s="106">
        <f>VLOOKUP(F43,inputEU10!A$7:C$16,3)/VLOOKUP(F43,C$61:M$72,10)*O43</f>
        <v>0</v>
      </c>
      <c r="M43" s="106">
        <f>VLOOKUP(G43,inputEU10PV!A$7:C$17,3)/VLOOKUP(G43,C$61:M$72,11)*O43</f>
        <v>0</v>
      </c>
      <c r="N43" s="43"/>
      <c r="O43" s="114">
        <f>+POM!AO43/POM!AO$2</f>
        <v>1.1406362912806845E-3</v>
      </c>
      <c r="P43" s="114">
        <f>+POM!AP43/POM!AP$2</f>
        <v>9.5965440211729215E-4</v>
      </c>
      <c r="Q43" s="114">
        <f>+POM!AQ43/POM!AQ$2</f>
        <v>7.7534757812492523E-4</v>
      </c>
      <c r="R43" s="114">
        <f>+POM!AR43/POM!AR$2</f>
        <v>5.6175179648710683E-4</v>
      </c>
      <c r="S43" s="114">
        <f>+POM!AS43/POM!AS$2</f>
        <v>4.5881672367788966E-4</v>
      </c>
      <c r="T43" s="114">
        <f>+POM!AT43/POM!AT$2</f>
        <v>2.744710192103387E-4</v>
      </c>
      <c r="U43" s="114">
        <f>+POM!AU43/POM!AU$2</f>
        <v>1.5363452996078756E-4</v>
      </c>
    </row>
    <row r="44" spans="1:21" x14ac:dyDescent="0.35">
      <c r="A44" s="110">
        <v>39</v>
      </c>
      <c r="B44" s="104" t="s">
        <v>40</v>
      </c>
      <c r="C44" s="112" t="s">
        <v>111</v>
      </c>
      <c r="D44" s="110">
        <v>3</v>
      </c>
      <c r="E44" s="110">
        <v>3</v>
      </c>
      <c r="F44" s="110">
        <v>5</v>
      </c>
      <c r="G44" s="110">
        <v>5</v>
      </c>
      <c r="H44" s="113"/>
      <c r="I44" s="43"/>
      <c r="J44" s="106">
        <f>VLOOKUP(D44,inputEU6!A$7:C$12,3)/VLOOKUP(D44,C$61:M$72,8)*O44</f>
        <v>0</v>
      </c>
      <c r="K44" s="106">
        <f>VLOOKUP(E44,inputEU6PV!A$7:C$13,3)/VLOOKUP(E44,C$61:M$72,9)*O44</f>
        <v>1.0451647048321069</v>
      </c>
      <c r="L44" s="106">
        <f>VLOOKUP(F44,inputEU10!A$7:C$16,3)/VLOOKUP(F44,C$61:M$72,10)*O44</f>
        <v>0</v>
      </c>
      <c r="M44" s="106">
        <f>VLOOKUP(G44,inputEU10PV!A$7:C$17,3)/VLOOKUP(G44,C$61:M$72,11)*O44</f>
        <v>0</v>
      </c>
      <c r="N44" s="43"/>
      <c r="O44" s="114">
        <f>+POM!AO44/POM!AO$2</f>
        <v>3.0404292279018353E-3</v>
      </c>
      <c r="P44" s="114">
        <f>+POM!AP44/POM!AP$2</f>
        <v>2.37517073424812E-3</v>
      </c>
      <c r="Q44" s="114">
        <f>+POM!AQ44/POM!AQ$2</f>
        <v>1.7220706108632558E-3</v>
      </c>
      <c r="R44" s="114">
        <f>+POM!AR44/POM!AR$2</f>
        <v>1.108580097262168E-3</v>
      </c>
      <c r="S44" s="114">
        <f>+POM!AS44/POM!AS$2</f>
        <v>1.3060561336169607E-3</v>
      </c>
      <c r="T44" s="114">
        <f>+POM!AT44/POM!AT$2</f>
        <v>1.0897323868690142E-3</v>
      </c>
      <c r="U44" s="114">
        <f>+POM!AU44/POM!AU$2</f>
        <v>1.0754497496297446E-3</v>
      </c>
    </row>
    <row r="45" spans="1:21" ht="29" x14ac:dyDescent="0.35">
      <c r="A45" s="110">
        <v>40</v>
      </c>
      <c r="B45" s="104" t="s">
        <v>41</v>
      </c>
      <c r="C45" s="112" t="s">
        <v>148</v>
      </c>
      <c r="D45" s="110">
        <v>3</v>
      </c>
      <c r="E45" s="110">
        <v>3</v>
      </c>
      <c r="F45" s="110">
        <v>5</v>
      </c>
      <c r="G45" s="110">
        <v>5</v>
      </c>
      <c r="H45" s="113"/>
      <c r="I45" s="43"/>
      <c r="J45" s="106">
        <f>VLOOKUP(D45,inputEU6!A$7:C$12,3)/VLOOKUP(D45,C$61:M$72,8)*O45</f>
        <v>0</v>
      </c>
      <c r="K45" s="106">
        <f>VLOOKUP(E45,inputEU6PV!A$7:C$13,3)/VLOOKUP(E45,C$61:M$72,9)*O45</f>
        <v>0.24200706515501255</v>
      </c>
      <c r="L45" s="106">
        <f>VLOOKUP(F45,inputEU10!A$7:C$16,3)/VLOOKUP(F45,C$61:M$72,10)*O45</f>
        <v>0</v>
      </c>
      <c r="M45" s="106">
        <f>VLOOKUP(G45,inputEU10PV!A$7:C$17,3)/VLOOKUP(G45,C$61:M$72,11)*O45</f>
        <v>0</v>
      </c>
      <c r="N45" s="43"/>
      <c r="O45" s="114">
        <f>+POM!AO45/POM!AO$2</f>
        <v>7.0400899576324887E-4</v>
      </c>
      <c r="P45" s="114">
        <f>+POM!AP45/POM!AP$2</f>
        <v>6.6636818400641284E-4</v>
      </c>
      <c r="Q45" s="114">
        <f>+POM!AQ45/POM!AQ$2</f>
        <v>6.2504904618725327E-4</v>
      </c>
      <c r="R45" s="114">
        <f>+POM!AR45/POM!AR$2</f>
        <v>5.5195437686451725E-4</v>
      </c>
      <c r="S45" s="114">
        <f>+POM!AS45/POM!AS$2</f>
        <v>3.3295975726469325E-4</v>
      </c>
      <c r="T45" s="114">
        <f>+POM!AT45/POM!AT$2</f>
        <v>3.1933995296744289E-4</v>
      </c>
      <c r="U45" s="114">
        <f>+POM!AU45/POM!AU$2</f>
        <v>1.2547878534188139E-4</v>
      </c>
    </row>
    <row r="46" spans="1:21" x14ac:dyDescent="0.35">
      <c r="A46" s="110">
        <v>41</v>
      </c>
      <c r="B46" s="104" t="s">
        <v>42</v>
      </c>
      <c r="C46" s="112" t="s">
        <v>129</v>
      </c>
      <c r="D46" s="110">
        <v>3</v>
      </c>
      <c r="E46" s="110">
        <v>3</v>
      </c>
      <c r="F46" s="110">
        <v>5</v>
      </c>
      <c r="G46" s="110">
        <v>5</v>
      </c>
      <c r="H46" s="113"/>
      <c r="I46" s="43"/>
      <c r="J46" s="106">
        <f>VLOOKUP(D46,inputEU6!A$7:C$12,3)/VLOOKUP(D46,C$61:M$72,8)*O46</f>
        <v>0</v>
      </c>
      <c r="K46" s="106">
        <f>VLOOKUP(E46,inputEU6PV!A$7:C$13,3)/VLOOKUP(E46,C$61:M$72,9)*O46</f>
        <v>0.20219861502556971</v>
      </c>
      <c r="L46" s="106">
        <f>VLOOKUP(F46,inputEU10!A$7:C$16,3)/VLOOKUP(F46,C$61:M$72,10)*O46</f>
        <v>0</v>
      </c>
      <c r="M46" s="106">
        <f>VLOOKUP(G46,inputEU10PV!A$7:C$17,3)/VLOOKUP(G46,C$61:M$72,11)*O46</f>
        <v>0</v>
      </c>
      <c r="N46" s="43"/>
      <c r="O46" s="114">
        <f>+POM!AO46/POM!AO$2</f>
        <v>5.8820449649968701E-4</v>
      </c>
      <c r="P46" s="114">
        <f>+POM!AP46/POM!AP$2</f>
        <v>1.1101193219677408E-3</v>
      </c>
      <c r="Q46" s="114">
        <f>+POM!AQ46/POM!AQ$2</f>
        <v>9.0118182481397757E-4</v>
      </c>
      <c r="R46" s="114">
        <f>+POM!AR46/POM!AR$2</f>
        <v>1.8533658816014995E-3</v>
      </c>
      <c r="S46" s="114">
        <f>+POM!AS46/POM!AS$2</f>
        <v>2.7866596970206416E-3</v>
      </c>
      <c r="T46" s="114">
        <f>+POM!AT46/POM!AT$2</f>
        <v>3.3152592123487671E-3</v>
      </c>
      <c r="U46" s="114">
        <f>+POM!AU46/POM!AU$2</f>
        <v>4.1516216273777586E-3</v>
      </c>
    </row>
    <row r="47" spans="1:21" ht="29" x14ac:dyDescent="0.35">
      <c r="A47" s="110">
        <v>42</v>
      </c>
      <c r="B47" s="104" t="s">
        <v>43</v>
      </c>
      <c r="C47" s="112" t="s">
        <v>130</v>
      </c>
      <c r="D47" s="110">
        <v>5</v>
      </c>
      <c r="E47" s="110">
        <v>5</v>
      </c>
      <c r="F47" s="110">
        <v>5</v>
      </c>
      <c r="G47" s="110">
        <v>5</v>
      </c>
      <c r="H47" s="113"/>
      <c r="I47" s="43"/>
      <c r="J47" s="106">
        <f>VLOOKUP(D47,inputEU6!A$7:C$12,3)/VLOOKUP(D47,C$61:M$72,8)*O47</f>
        <v>0</v>
      </c>
      <c r="K47" s="106">
        <f>VLOOKUP(E47,inputEU6PV!A$7:C$13,3)/VLOOKUP(E47,C$61:M$72,9)*O47</f>
        <v>0.6927357318751427</v>
      </c>
      <c r="L47" s="106">
        <f>VLOOKUP(F47,inputEU10!A$7:C$16,3)/VLOOKUP(F47,C$61:M$72,10)*O47</f>
        <v>0</v>
      </c>
      <c r="M47" s="106">
        <f>VLOOKUP(G47,inputEU10PV!A$7:C$17,3)/VLOOKUP(G47,C$61:M$72,11)*O47</f>
        <v>0</v>
      </c>
      <c r="N47" s="43"/>
      <c r="O47" s="114">
        <f>+POM!AO47/POM!AO$2</f>
        <v>6.978807989953964E-2</v>
      </c>
      <c r="P47" s="114">
        <f>+POM!AP47/POM!AP$2</f>
        <v>9.1408148247079546E-2</v>
      </c>
      <c r="Q47" s="114">
        <f>+POM!AQ47/POM!AQ$2</f>
        <v>8.5474278658227709E-2</v>
      </c>
      <c r="R47" s="114">
        <f>+POM!AR47/POM!AR$2</f>
        <v>0.10379927066520116</v>
      </c>
      <c r="S47" s="114">
        <f>+POM!AS47/POM!AS$2</f>
        <v>9.9864853270215354E-2</v>
      </c>
      <c r="T47" s="114">
        <f>+POM!AT47/POM!AT$2</f>
        <v>9.8002033873589439E-2</v>
      </c>
      <c r="U47" s="114">
        <f>+POM!AU47/POM!AU$2</f>
        <v>0.10083298955372832</v>
      </c>
    </row>
    <row r="48" spans="1:21" x14ac:dyDescent="0.35">
      <c r="A48" s="110">
        <v>43</v>
      </c>
      <c r="B48" s="104" t="s">
        <v>44</v>
      </c>
      <c r="C48" s="112" t="s">
        <v>112</v>
      </c>
      <c r="D48" s="110">
        <v>5</v>
      </c>
      <c r="E48" s="110">
        <v>5</v>
      </c>
      <c r="F48" s="110">
        <v>5</v>
      </c>
      <c r="G48" s="110">
        <v>5</v>
      </c>
      <c r="H48" s="113"/>
      <c r="I48" s="43"/>
      <c r="J48" s="106">
        <f>VLOOKUP(D48,inputEU6!A$7:C$12,3)/VLOOKUP(D48,C$61:M$72,8)*O48</f>
        <v>0</v>
      </c>
      <c r="K48" s="106">
        <f>VLOOKUP(E48,inputEU6PV!A$7:C$13,3)/VLOOKUP(E48,C$61:M$72,9)*O48</f>
        <v>1.8081311399585572E-2</v>
      </c>
      <c r="L48" s="106">
        <f>VLOOKUP(F48,inputEU10!A$7:C$16,3)/VLOOKUP(F48,C$61:M$72,10)*O48</f>
        <v>0</v>
      </c>
      <c r="M48" s="106">
        <f>VLOOKUP(G48,inputEU10PV!A$7:C$17,3)/VLOOKUP(G48,C$61:M$72,11)*O48</f>
        <v>0</v>
      </c>
      <c r="N48" s="43"/>
      <c r="O48" s="114">
        <f>+POM!AO48/POM!AO$2</f>
        <v>1.8215604401220205E-3</v>
      </c>
      <c r="P48" s="114">
        <f>+POM!AP48/POM!AP$2</f>
        <v>2.0178886376512346E-3</v>
      </c>
      <c r="Q48" s="114">
        <f>+POM!AQ48/POM!AQ$2</f>
        <v>2.1151570110210173E-3</v>
      </c>
      <c r="R48" s="114">
        <f>+POM!AR48/POM!AR$2</f>
        <v>2.4110085493523814E-3</v>
      </c>
      <c r="S48" s="114">
        <f>+POM!AS48/POM!AS$2</f>
        <v>2.2767128381424766E-3</v>
      </c>
      <c r="T48" s="114">
        <f>+POM!AT48/POM!AT$2</f>
        <v>2.5680055698134429E-3</v>
      </c>
      <c r="U48" s="114">
        <f>+POM!AU48/POM!AU$2</f>
        <v>2.08881535878342E-3</v>
      </c>
    </row>
    <row r="49" spans="1:21" ht="29" x14ac:dyDescent="0.35">
      <c r="A49" s="110">
        <v>44</v>
      </c>
      <c r="B49" s="104" t="s">
        <v>45</v>
      </c>
      <c r="C49" s="112" t="s">
        <v>149</v>
      </c>
      <c r="D49" s="110">
        <v>5</v>
      </c>
      <c r="E49" s="110">
        <v>5</v>
      </c>
      <c r="F49" s="110">
        <v>6</v>
      </c>
      <c r="G49" s="110">
        <v>6</v>
      </c>
      <c r="H49" s="113"/>
      <c r="I49" s="43"/>
      <c r="J49" s="106">
        <f>VLOOKUP(D49,inputEU6!A$7:C$12,3)/VLOOKUP(D49,C$61:M$72,8)*O49</f>
        <v>0</v>
      </c>
      <c r="K49" s="106">
        <f>VLOOKUP(E49,inputEU6PV!A$7:C$13,3)/VLOOKUP(E49,C$61:M$72,9)*O49</f>
        <v>0.30474807504002016</v>
      </c>
      <c r="L49" s="106">
        <f>VLOOKUP(F49,inputEU10!A$7:C$16,3)/VLOOKUP(F49,C$61:M$72,10)*O49</f>
        <v>0</v>
      </c>
      <c r="M49" s="106">
        <f>VLOOKUP(G49,inputEU10PV!A$7:C$17,3)/VLOOKUP(G49,C$61:M$72,11)*O49</f>
        <v>0</v>
      </c>
      <c r="N49" s="43"/>
      <c r="O49" s="114">
        <f>+POM!AO49/POM!AO$2</f>
        <v>3.070114912732276E-2</v>
      </c>
      <c r="P49" s="114">
        <f>+POM!AP49/POM!AP$2</f>
        <v>3.0413439372487042E-2</v>
      </c>
      <c r="Q49" s="114">
        <f>+POM!AQ49/POM!AQ$2</f>
        <v>2.5911809226822576E-2</v>
      </c>
      <c r="R49" s="114">
        <f>+POM!AR49/POM!AR$2</f>
        <v>2.6144112485819996E-2</v>
      </c>
      <c r="S49" s="114">
        <f>+POM!AS49/POM!AS$2</f>
        <v>2.7168027042463159E-2</v>
      </c>
      <c r="T49" s="114">
        <f>+POM!AT49/POM!AT$2</f>
        <v>3.2745015322406028E-2</v>
      </c>
      <c r="U49" s="114">
        <f>+POM!AU49/POM!AU$2</f>
        <v>3.4621266763933969E-2</v>
      </c>
    </row>
    <row r="50" spans="1:21" x14ac:dyDescent="0.35">
      <c r="A50" s="110">
        <v>45</v>
      </c>
      <c r="B50" s="104" t="s">
        <v>46</v>
      </c>
      <c r="C50" s="112" t="s">
        <v>150</v>
      </c>
      <c r="D50" s="110">
        <v>4</v>
      </c>
      <c r="E50" s="110" t="s">
        <v>120</v>
      </c>
      <c r="F50" s="110">
        <v>6</v>
      </c>
      <c r="G50" s="110">
        <v>6</v>
      </c>
      <c r="H50" s="113"/>
      <c r="I50" s="43"/>
      <c r="J50" s="106">
        <f>VLOOKUP(D50,inputEU6!A$7:C$12,3)/VLOOKUP(D50,C$61:M$72,8)*O50</f>
        <v>0</v>
      </c>
      <c r="K50" s="106">
        <f>VLOOKUP(E50,inputEU6PV!A$7:C$13,3)/VLOOKUP(E50,C$61:M$72,9)*O50</f>
        <v>0.11203145562052523</v>
      </c>
      <c r="L50" s="106">
        <f>VLOOKUP(F50,inputEU10!A$7:C$16,3)/VLOOKUP(F50,C$61:M$72,10)*O50</f>
        <v>0</v>
      </c>
      <c r="M50" s="106">
        <f>VLOOKUP(G50,inputEU10PV!A$7:C$17,3)/VLOOKUP(G50,C$61:M$72,11)*O50</f>
        <v>0</v>
      </c>
      <c r="N50" s="43"/>
      <c r="O50" s="114">
        <f>+POM!AO50/POM!AO$2</f>
        <v>1.6426403555678558E-2</v>
      </c>
      <c r="P50" s="114">
        <f>+POM!AP50/POM!AP$2</f>
        <v>2.2658385679935836E-2</v>
      </c>
      <c r="Q50" s="114">
        <f>+POM!AQ50/POM!AQ$2</f>
        <v>2.3241868539810067E-2</v>
      </c>
      <c r="R50" s="114">
        <f>+POM!AR50/POM!AR$2</f>
        <v>2.0898962609524611E-2</v>
      </c>
      <c r="S50" s="114">
        <f>+POM!AS50/POM!AS$2</f>
        <v>1.8649857412271147E-2</v>
      </c>
      <c r="T50" s="114">
        <f>+POM!AT50/POM!AT$2</f>
        <v>2.03023650400358E-2</v>
      </c>
      <c r="U50" s="114">
        <f>+POM!AU50/POM!AU$2</f>
        <v>1.8600125482001306E-2</v>
      </c>
    </row>
    <row r="51" spans="1:21" ht="29" x14ac:dyDescent="0.35">
      <c r="A51" s="110">
        <v>46</v>
      </c>
      <c r="B51" s="104" t="s">
        <v>47</v>
      </c>
      <c r="C51" s="112" t="s">
        <v>160</v>
      </c>
      <c r="D51" s="110">
        <v>5</v>
      </c>
      <c r="E51" s="110">
        <v>5</v>
      </c>
      <c r="F51" s="110">
        <v>7</v>
      </c>
      <c r="G51" s="110">
        <v>7</v>
      </c>
      <c r="H51" s="113"/>
      <c r="I51" s="43"/>
      <c r="J51" s="106">
        <f>VLOOKUP(D51,inputEU6!A$7:C$12,3)/VLOOKUP(D51,C$61:M$72,8)*O51</f>
        <v>0</v>
      </c>
      <c r="K51" s="106">
        <f>VLOOKUP(E51,inputEU6PV!A$7:C$13,3)/VLOOKUP(E51,C$61:M$72,9)*O51</f>
        <v>7.0564435202066969E-2</v>
      </c>
      <c r="L51" s="106">
        <f>VLOOKUP(F51,inputEU10!A$7:C$16,3)/VLOOKUP(F51,C$61:M$72,10)*O51</f>
        <v>0</v>
      </c>
      <c r="M51" s="106">
        <f>VLOOKUP(G51,inputEU10PV!A$7:C$17,3)/VLOOKUP(G51,C$61:M$72,11)*O51</f>
        <v>0</v>
      </c>
      <c r="N51" s="43"/>
      <c r="O51" s="114">
        <f>+POM!AO51/POM!AO$2</f>
        <v>7.1088529367723296E-3</v>
      </c>
      <c r="P51" s="114">
        <f>+POM!AP51/POM!AP$2</f>
        <v>7.4608154545057577E-3</v>
      </c>
      <c r="Q51" s="114">
        <f>+POM!AQ51/POM!AQ$2</f>
        <v>7.7791498388453308E-3</v>
      </c>
      <c r="R51" s="114">
        <f>+POM!AR51/POM!AR$2</f>
        <v>7.721350538495121E-3</v>
      </c>
      <c r="S51" s="114">
        <f>+POM!AS51/POM!AS$2</f>
        <v>7.0101118377249444E-3</v>
      </c>
      <c r="T51" s="114">
        <f>+POM!AT51/POM!AT$2</f>
        <v>6.916481864237151E-3</v>
      </c>
      <c r="U51" s="114">
        <f>+POM!AU51/POM!AU$2</f>
        <v>7.3127833327575435E-3</v>
      </c>
    </row>
    <row r="52" spans="1:21" x14ac:dyDescent="0.35">
      <c r="A52" s="110">
        <v>47</v>
      </c>
      <c r="B52" s="104" t="s">
        <v>48</v>
      </c>
      <c r="C52" s="112" t="s">
        <v>113</v>
      </c>
      <c r="D52" s="110">
        <v>6</v>
      </c>
      <c r="E52" s="110">
        <v>6</v>
      </c>
      <c r="F52" s="110">
        <v>7</v>
      </c>
      <c r="G52" s="110">
        <v>7</v>
      </c>
      <c r="H52" s="113"/>
      <c r="I52" s="43"/>
      <c r="J52" s="106">
        <f>VLOOKUP(D52,inputEU6!A$7:C$12,3)/VLOOKUP(D52,C$61:M$72,8)*O52</f>
        <v>0</v>
      </c>
      <c r="K52" s="106">
        <f>VLOOKUP(E52,inputEU6PV!A$7:C$13,3)/VLOOKUP(E52,C$61:M$72,9)*O52</f>
        <v>7.3253931260823815E-2</v>
      </c>
      <c r="L52" s="106">
        <f>VLOOKUP(F52,inputEU10!A$7:C$16,3)/VLOOKUP(F52,C$61:M$72,10)*O52</f>
        <v>0</v>
      </c>
      <c r="M52" s="106">
        <f>VLOOKUP(G52,inputEU10PV!A$7:C$17,3)/VLOOKUP(G52,C$61:M$72,11)*O52</f>
        <v>0</v>
      </c>
      <c r="N52" s="43"/>
      <c r="O52" s="114">
        <f>+POM!AO52/POM!AO$2</f>
        <v>2.2588091437325732E-3</v>
      </c>
      <c r="P52" s="114">
        <f>+POM!AP52/POM!AP$2</f>
        <v>2.5298556655392857E-3</v>
      </c>
      <c r="Q52" s="114">
        <f>+POM!AQ52/POM!AQ$2</f>
        <v>3.387013083096494E-3</v>
      </c>
      <c r="R52" s="114">
        <f>+POM!AR52/POM!AR$2</f>
        <v>3.9895919489650513E-3</v>
      </c>
      <c r="S52" s="114">
        <f>+POM!AS52/POM!AS$2</f>
        <v>5.1434856548247124E-3</v>
      </c>
      <c r="T52" s="114">
        <f>+POM!AT52/POM!AT$2</f>
        <v>5.0747849431774083E-3</v>
      </c>
      <c r="U52" s="114">
        <f>+POM!AU52/POM!AU$2</f>
        <v>5.3655667673002724E-3</v>
      </c>
    </row>
    <row r="53" spans="1:21" ht="29" x14ac:dyDescent="0.35">
      <c r="A53" s="110">
        <v>48</v>
      </c>
      <c r="B53" s="104" t="s">
        <v>49</v>
      </c>
      <c r="C53" s="112" t="s">
        <v>151</v>
      </c>
      <c r="D53" s="110">
        <v>4</v>
      </c>
      <c r="E53" s="110" t="s">
        <v>120</v>
      </c>
      <c r="F53" s="110">
        <v>7</v>
      </c>
      <c r="G53" s="110">
        <v>7</v>
      </c>
      <c r="H53" s="113"/>
      <c r="I53" s="43"/>
      <c r="J53" s="106">
        <f>VLOOKUP(D53,inputEU6!A$7:C$12,3)/VLOOKUP(D53,C$61:M$72,8)*O53</f>
        <v>0</v>
      </c>
      <c r="K53" s="106">
        <f>VLOOKUP(E53,inputEU6PV!A$7:C$13,3)/VLOOKUP(E53,C$61:M$72,9)*O53</f>
        <v>3.379624971355715E-3</v>
      </c>
      <c r="L53" s="106">
        <f>VLOOKUP(F53,inputEU10!A$7:C$16,3)/VLOOKUP(F53,C$61:M$72,10)*O53</f>
        <v>0</v>
      </c>
      <c r="M53" s="106">
        <f>VLOOKUP(G53,inputEU10PV!A$7:C$17,3)/VLOOKUP(G53,C$61:M$72,11)*O53</f>
        <v>0</v>
      </c>
      <c r="N53" s="43"/>
      <c r="O53" s="114">
        <f>+POM!AO53/POM!AO$2</f>
        <v>4.9553121789633044E-4</v>
      </c>
      <c r="P53" s="114">
        <f>+POM!AP53/POM!AP$2</f>
        <v>5.3193198440042101E-4</v>
      </c>
      <c r="Q53" s="114">
        <f>+POM!AQ53/POM!AQ$2</f>
        <v>6.1870446232057839E-4</v>
      </c>
      <c r="R53" s="114">
        <f>+POM!AR53/POM!AR$2</f>
        <v>5.9995759908287568E-4</v>
      </c>
      <c r="S53" s="114">
        <f>+POM!AS53/POM!AS$2</f>
        <v>6.5077453877370448E-4</v>
      </c>
      <c r="T53" s="114">
        <f>+POM!AT53/POM!AT$2</f>
        <v>7.1159865863364168E-4</v>
      </c>
      <c r="U53" s="114">
        <f>+POM!AU53/POM!AU$2</f>
        <v>8.2587504247380909E-4</v>
      </c>
    </row>
    <row r="54" spans="1:21" ht="29" x14ac:dyDescent="0.35">
      <c r="A54" s="110">
        <v>49</v>
      </c>
      <c r="B54" s="104" t="s">
        <v>50</v>
      </c>
      <c r="C54" s="112" t="s">
        <v>152</v>
      </c>
      <c r="D54" s="110">
        <v>5</v>
      </c>
      <c r="E54" s="110">
        <v>5</v>
      </c>
      <c r="F54" s="110">
        <v>8</v>
      </c>
      <c r="G54" s="110">
        <v>8</v>
      </c>
      <c r="H54" s="113"/>
      <c r="I54" s="43"/>
      <c r="J54" s="106">
        <f>VLOOKUP(D54,inputEU6!A$7:C$12,3)/VLOOKUP(D54,C$61:M$72,8)*O54</f>
        <v>0</v>
      </c>
      <c r="K54" s="106">
        <f>VLOOKUP(E54,inputEU6PV!A$7:C$13,3)/VLOOKUP(E54,C$61:M$72,9)*O54</f>
        <v>7.0023653006745339E-4</v>
      </c>
      <c r="L54" s="106">
        <f>VLOOKUP(F54,inputEU10!A$7:C$16,3)/VLOOKUP(F54,C$61:M$72,10)*O54</f>
        <v>0</v>
      </c>
      <c r="M54" s="106">
        <f>VLOOKUP(G54,inputEU10PV!A$7:C$17,3)/VLOOKUP(G54,C$61:M$72,11)*O54</f>
        <v>0</v>
      </c>
      <c r="N54" s="43"/>
      <c r="O54" s="114">
        <f>+POM!AO54/POM!AO$2</f>
        <v>7.0543730690265203E-5</v>
      </c>
      <c r="P54" s="114">
        <f>+POM!AP54/POM!AP$2</f>
        <v>6.8810902385826029E-5</v>
      </c>
      <c r="Q54" s="114">
        <f>+POM!AQ54/POM!AQ$2</f>
        <v>5.6832416500638856E-5</v>
      </c>
      <c r="R54" s="114">
        <f>+POM!AR54/POM!AR$2</f>
        <v>1.174367496365075E-4</v>
      </c>
      <c r="S54" s="114">
        <f>+POM!AS54/POM!AS$2</f>
        <v>1.158923327831504E-4</v>
      </c>
      <c r="T54" s="114">
        <f>+POM!AT54/POM!AT$2</f>
        <v>1.1660996354200917E-4</v>
      </c>
      <c r="U54" s="114">
        <f>+POM!AU54/POM!AU$2</f>
        <v>6.3137367930402673E-5</v>
      </c>
    </row>
    <row r="55" spans="1:21" ht="29" x14ac:dyDescent="0.35">
      <c r="A55" s="110">
        <v>50</v>
      </c>
      <c r="B55" s="104" t="s">
        <v>51</v>
      </c>
      <c r="C55" s="112" t="s">
        <v>153</v>
      </c>
      <c r="D55" s="110">
        <v>4</v>
      </c>
      <c r="E55" s="110" t="s">
        <v>120</v>
      </c>
      <c r="F55" s="110">
        <v>8</v>
      </c>
      <c r="G55" s="110">
        <v>8</v>
      </c>
      <c r="H55" s="113"/>
      <c r="I55" s="43"/>
      <c r="J55" s="106">
        <f>VLOOKUP(D55,inputEU6!A$7:C$12,3)/VLOOKUP(D55,C$61:M$72,8)*O55</f>
        <v>0</v>
      </c>
      <c r="K55" s="106">
        <f>VLOOKUP(E55,inputEU6PV!A$7:C$13,3)/VLOOKUP(E55,C$61:M$72,9)*O55</f>
        <v>6.853260548244651E-2</v>
      </c>
      <c r="L55" s="106">
        <f>VLOOKUP(F55,inputEU10!A$7:C$16,3)/VLOOKUP(F55,C$61:M$72,10)*O55</f>
        <v>0</v>
      </c>
      <c r="M55" s="106">
        <f>VLOOKUP(G55,inputEU10PV!A$7:C$17,3)/VLOOKUP(G55,C$61:M$72,11)*O55</f>
        <v>0</v>
      </c>
      <c r="N55" s="43"/>
      <c r="O55" s="114">
        <f>+POM!AO55/POM!AO$2</f>
        <v>1.0048465657626678E-2</v>
      </c>
      <c r="P55" s="114">
        <f>+POM!AP55/POM!AP$2</f>
        <v>2.4733477900001472E-3</v>
      </c>
      <c r="Q55" s="114">
        <f>+POM!AQ55/POM!AQ$2</f>
        <v>2.6415334400388393E-3</v>
      </c>
      <c r="R55" s="114">
        <f>+POM!AR55/POM!AR$2</f>
        <v>2.5192762370804902E-3</v>
      </c>
      <c r="S55" s="114">
        <f>+POM!AS55/POM!AS$2</f>
        <v>2.4888217088462694E-3</v>
      </c>
      <c r="T55" s="114">
        <f>+POM!AT55/POM!AT$2</f>
        <v>2.1742458447472383E-3</v>
      </c>
      <c r="U55" s="114">
        <f>+POM!AU55/POM!AU$2</f>
        <v>2.2988256972158723E-3</v>
      </c>
    </row>
    <row r="56" spans="1:21" ht="29" x14ac:dyDescent="0.35">
      <c r="A56" s="110">
        <v>51</v>
      </c>
      <c r="B56" s="104" t="s">
        <v>52</v>
      </c>
      <c r="C56" s="112" t="s">
        <v>154</v>
      </c>
      <c r="D56" s="110">
        <v>5</v>
      </c>
      <c r="E56" s="110">
        <v>5</v>
      </c>
      <c r="F56" s="110">
        <v>9</v>
      </c>
      <c r="G56" s="110">
        <v>9</v>
      </c>
      <c r="H56" s="113"/>
      <c r="I56" s="43"/>
      <c r="J56" s="106">
        <f>VLOOKUP(D56,inputEU6!A$7:C$12,3)/VLOOKUP(D56,C$61:M$72,8)*O56</f>
        <v>0</v>
      </c>
      <c r="K56" s="106">
        <f>VLOOKUP(E56,inputEU6PV!A$7:C$13,3)/VLOOKUP(E56,C$61:M$72,9)*O56</f>
        <v>0.14132515022034528</v>
      </c>
      <c r="L56" s="106">
        <f>VLOOKUP(F56,inputEU10!A$7:C$16,3)/VLOOKUP(F56,C$61:M$72,10)*O56</f>
        <v>0</v>
      </c>
      <c r="M56" s="106">
        <f>VLOOKUP(G56,inputEU10PV!A$7:C$17,3)/VLOOKUP(G56,C$61:M$72,11)*O56</f>
        <v>0</v>
      </c>
      <c r="N56" s="43"/>
      <c r="O56" s="114">
        <f>+POM!AO56/POM!AO$2</f>
        <v>1.4237479635552499E-2</v>
      </c>
      <c r="P56" s="114">
        <f>+POM!AP56/POM!AP$2</f>
        <v>1.3915190219533049E-2</v>
      </c>
      <c r="Q56" s="114">
        <f>+POM!AQ56/POM!AQ$2</f>
        <v>1.2475244137212451E-2</v>
      </c>
      <c r="R56" s="114">
        <f>+POM!AR56/POM!AR$2</f>
        <v>9.9775267863519475E-3</v>
      </c>
      <c r="S56" s="114">
        <f>+POM!AS56/POM!AS$2</f>
        <v>1.0699980818476316E-2</v>
      </c>
      <c r="T56" s="114">
        <f>+POM!AT56/POM!AT$2</f>
        <v>1.0653881614615316E-2</v>
      </c>
      <c r="U56" s="114">
        <f>+POM!AU56/POM!AU$2</f>
        <v>7.0593173119535349E-3</v>
      </c>
    </row>
    <row r="57" spans="1:21" ht="29" x14ac:dyDescent="0.35">
      <c r="A57" s="110">
        <v>52</v>
      </c>
      <c r="B57" s="104" t="s">
        <v>53</v>
      </c>
      <c r="C57" s="112" t="s">
        <v>155</v>
      </c>
      <c r="D57" s="110">
        <v>4</v>
      </c>
      <c r="E57" s="110" t="s">
        <v>120</v>
      </c>
      <c r="F57" s="110">
        <v>9</v>
      </c>
      <c r="G57" s="110">
        <v>9</v>
      </c>
      <c r="H57" s="113"/>
      <c r="I57" s="43"/>
      <c r="J57" s="106">
        <f>VLOOKUP(D57,inputEU6!A$7:C$12,3)/VLOOKUP(D57,C$61:M$72,8)*O57</f>
        <v>0</v>
      </c>
      <c r="K57" s="106">
        <f>VLOOKUP(E57,inputEU6PV!A$7:C$13,3)/VLOOKUP(E57,C$61:M$72,9)*O57</f>
        <v>4.0363645150426661E-2</v>
      </c>
      <c r="L57" s="106">
        <f>VLOOKUP(F57,inputEU10!A$7:C$16,3)/VLOOKUP(F57,C$61:M$72,10)*O57</f>
        <v>0</v>
      </c>
      <c r="M57" s="106">
        <f>VLOOKUP(G57,inputEU10PV!A$7:C$17,3)/VLOOKUP(G57,C$61:M$72,11)*O57</f>
        <v>0</v>
      </c>
      <c r="N57" s="43"/>
      <c r="O57" s="114">
        <f>+POM!AO57/POM!AO$2</f>
        <v>5.9182443051078483E-3</v>
      </c>
      <c r="P57" s="114">
        <f>+POM!AP57/POM!AP$2</f>
        <v>1.0966445782785116E-2</v>
      </c>
      <c r="Q57" s="114">
        <f>+POM!AQ57/POM!AQ$2</f>
        <v>9.7072043547359738E-3</v>
      </c>
      <c r="R57" s="114">
        <f>+POM!AR57/POM!AR$2</f>
        <v>8.001449257460597E-3</v>
      </c>
      <c r="S57" s="114">
        <f>+POM!AS57/POM!AS$2</f>
        <v>8.4998641704789463E-3</v>
      </c>
      <c r="T57" s="114">
        <f>+POM!AT57/POM!AT$2</f>
        <v>9.1365588346645731E-3</v>
      </c>
      <c r="U57" s="114">
        <f>+POM!AU57/POM!AU$2</f>
        <v>1.1028609991168085E-2</v>
      </c>
    </row>
    <row r="58" spans="1:21" ht="29" x14ac:dyDescent="0.35">
      <c r="A58" s="110">
        <v>53</v>
      </c>
      <c r="B58" s="104" t="s">
        <v>54</v>
      </c>
      <c r="C58" s="112" t="s">
        <v>156</v>
      </c>
      <c r="D58" s="110">
        <v>4</v>
      </c>
      <c r="E58" s="110" t="s">
        <v>120</v>
      </c>
      <c r="F58" s="110">
        <v>10</v>
      </c>
      <c r="G58" s="110">
        <v>10</v>
      </c>
      <c r="H58" s="113"/>
      <c r="I58" s="43"/>
      <c r="J58" s="106">
        <f>VLOOKUP(D58,inputEU6!A$7:C$12,3)/VLOOKUP(D58,C$61:M$72,8)*O58</f>
        <v>0</v>
      </c>
      <c r="K58" s="106">
        <f>VLOOKUP(E58,inputEU6PV!A$7:C$13,3)/VLOOKUP(E58,C$61:M$72,9)*O58</f>
        <v>4.848422078394715E-3</v>
      </c>
      <c r="L58" s="106">
        <f>VLOOKUP(F58,inputEU10!A$7:C$16,3)/VLOOKUP(F58,C$61:M$72,10)*O58</f>
        <v>0</v>
      </c>
      <c r="M58" s="106">
        <f>VLOOKUP(G58,inputEU10PV!A$7:C$17,3)/VLOOKUP(G58,C$61:M$72,11)*O58</f>
        <v>0</v>
      </c>
      <c r="N58" s="43"/>
      <c r="O58" s="114">
        <f>+POM!AO58/POM!AO$2</f>
        <v>7.1089085852582795E-4</v>
      </c>
      <c r="P58" s="114">
        <f>+POM!AP58/POM!AP$2</f>
        <v>7.1139689610377592E-4</v>
      </c>
      <c r="Q58" s="114">
        <f>+POM!AQ58/POM!AQ$2</f>
        <v>7.0736733347436605E-4</v>
      </c>
      <c r="R58" s="114">
        <f>+POM!AR58/POM!AR$2</f>
        <v>7.322682372434663E-4</v>
      </c>
      <c r="S58" s="114">
        <f>+POM!AS58/POM!AS$2</f>
        <v>7.775582636405698E-4</v>
      </c>
      <c r="T58" s="114">
        <f>+POM!AT58/POM!AT$2</f>
        <v>6.9973675660590148E-4</v>
      </c>
      <c r="U58" s="114">
        <f>+POM!AU58/POM!AU$2</f>
        <v>7.674972978484871E-4</v>
      </c>
    </row>
    <row r="59" spans="1:21" x14ac:dyDescent="0.35">
      <c r="A59" s="110">
        <v>54</v>
      </c>
      <c r="B59" s="104" t="s">
        <v>55</v>
      </c>
      <c r="C59" s="112" t="s">
        <v>157</v>
      </c>
      <c r="D59" s="110">
        <v>1</v>
      </c>
      <c r="E59" s="110">
        <v>1</v>
      </c>
      <c r="F59" s="110">
        <v>10</v>
      </c>
      <c r="G59" s="110">
        <v>10</v>
      </c>
      <c r="H59" s="113"/>
      <c r="I59" s="43"/>
      <c r="J59" s="106">
        <f>VLOOKUP(D59,inputEU6!A$7:C$12,3)/VLOOKUP(D59,C$61:M$72,8)*O59</f>
        <v>0</v>
      </c>
      <c r="K59" s="106">
        <f>VLOOKUP(E59,inputEU6PV!A$7:C$13,3)/VLOOKUP(E59,C$61:M$72,9)*O59</f>
        <v>4.7637226681546511E-2</v>
      </c>
      <c r="L59" s="106">
        <f>VLOOKUP(F59,inputEU10!A$7:C$16,3)/VLOOKUP(F59,C$61:M$72,10)*O59</f>
        <v>0</v>
      </c>
      <c r="M59" s="106">
        <f>VLOOKUP(G59,inputEU10PV!A$7:C$17,3)/VLOOKUP(G59,C$61:M$72,11)*O59</f>
        <v>0</v>
      </c>
      <c r="N59" s="43"/>
      <c r="O59" s="114">
        <f>+POM!AO59/POM!AO$2</f>
        <v>1.8602175883624919E-3</v>
      </c>
      <c r="P59" s="114">
        <f>+POM!AP59/POM!AP$2</f>
        <v>2.0170739282841551E-3</v>
      </c>
      <c r="Q59" s="114">
        <f>+POM!AQ59/POM!AQ$2</f>
        <v>2.1586729704229572E-3</v>
      </c>
      <c r="R59" s="114">
        <f>+POM!AR59/POM!AR$2</f>
        <v>2.1688510613135422E-3</v>
      </c>
      <c r="S59" s="114">
        <f>+POM!AS59/POM!AS$2</f>
        <v>2.2455832593141134E-3</v>
      </c>
      <c r="T59" s="114">
        <f>+POM!AT59/POM!AT$2</f>
        <v>2.0302172601651186E-3</v>
      </c>
      <c r="U59" s="114">
        <f>+POM!AU59/POM!AU$2</f>
        <v>2.1465499110702177E-3</v>
      </c>
    </row>
    <row r="61" spans="1:21" x14ac:dyDescent="0.35">
      <c r="A61" s="21" t="s">
        <v>85</v>
      </c>
      <c r="C61" s="104">
        <v>1</v>
      </c>
      <c r="J61" s="114">
        <f>SUMIF(D$6:D$59,C61,O$6:O$59)</f>
        <v>0.11714898523362786</v>
      </c>
      <c r="K61" s="114">
        <f>SUMIF(E$6:E$59,C61,O$6:O$59)</f>
        <v>0.11714898523362786</v>
      </c>
      <c r="L61" s="114">
        <f>SUMIF(F$6:F$59,C61,O$6:O$59)</f>
        <v>0.54717572108496548</v>
      </c>
      <c r="M61" s="114">
        <f>SUMIF(G$6:G$59,C61,O$6:O$59)</f>
        <v>0.54717572108496548</v>
      </c>
    </row>
    <row r="62" spans="1:21" x14ac:dyDescent="0.35">
      <c r="C62" s="104">
        <v>2</v>
      </c>
      <c r="J62" s="114">
        <f t="shared" ref="J62:J68" si="1">SUMIF(D$6:D$59,C62,O$6:O$59)</f>
        <v>3.908326724689179E-2</v>
      </c>
      <c r="K62" s="114">
        <f t="shared" ref="K62:K68" si="2">SUMIF(E$6:E$59,C62,O$6:O$59)</f>
        <v>3.908326724689179E-2</v>
      </c>
      <c r="L62" s="114">
        <f t="shared" ref="L62:L72" si="3">SUMIF(F$6:F$59,C62,O$6:O$59)</f>
        <v>9.287419746188183E-2</v>
      </c>
      <c r="M62" s="114">
        <f>SUMIF(G$6:G$59,C62,O$6:O$59)</f>
        <v>9.287419746188183E-2</v>
      </c>
    </row>
    <row r="63" spans="1:21" x14ac:dyDescent="0.35">
      <c r="C63" s="104">
        <v>3</v>
      </c>
      <c r="J63" s="114">
        <f t="shared" si="1"/>
        <v>8.7271294577161707E-3</v>
      </c>
      <c r="K63" s="114">
        <f t="shared" si="2"/>
        <v>8.7271294577161707E-3</v>
      </c>
      <c r="L63" s="114">
        <f t="shared" si="3"/>
        <v>0.11768413817352118</v>
      </c>
      <c r="M63" s="114">
        <f t="shared" ref="M63:M72" si="4">SUMIF(G$6:G$59,C63,O$6:O$59)</f>
        <v>0.11768413817352118</v>
      </c>
    </row>
    <row r="64" spans="1:21" x14ac:dyDescent="0.35">
      <c r="C64" s="104">
        <v>4</v>
      </c>
      <c r="J64" s="114">
        <f t="shared" si="1"/>
        <v>0.44030647661657574</v>
      </c>
      <c r="K64" s="114"/>
      <c r="L64" s="114">
        <f t="shared" si="3"/>
        <v>7.2092585724985461E-2</v>
      </c>
      <c r="M64" s="114"/>
    </row>
    <row r="65" spans="3:13" x14ac:dyDescent="0.35">
      <c r="C65" s="115" t="s">
        <v>120</v>
      </c>
      <c r="J65" s="114"/>
      <c r="K65" s="114">
        <f t="shared" si="2"/>
        <v>0.43986941340791835</v>
      </c>
      <c r="L65" s="114"/>
      <c r="M65" s="114">
        <f t="shared" si="4"/>
        <v>7.1655522516328077E-2</v>
      </c>
    </row>
    <row r="66" spans="3:13" x14ac:dyDescent="0.35">
      <c r="C66" s="115" t="s">
        <v>121</v>
      </c>
      <c r="J66" s="114"/>
      <c r="K66" s="114">
        <f t="shared" si="2"/>
        <v>4.3706320865738338E-4</v>
      </c>
      <c r="L66" s="114"/>
      <c r="M66" s="114">
        <f t="shared" si="4"/>
        <v>4.3706320865738338E-4</v>
      </c>
    </row>
    <row r="67" spans="3:13" x14ac:dyDescent="0.35">
      <c r="C67" s="104">
        <v>5</v>
      </c>
      <c r="J67" s="114">
        <f t="shared" si="1"/>
        <v>0.30222815146534743</v>
      </c>
      <c r="K67" s="114">
        <f t="shared" si="2"/>
        <v>0.30222815146534743</v>
      </c>
      <c r="L67" s="114">
        <f t="shared" si="3"/>
        <v>8.0336769797377833E-2</v>
      </c>
      <c r="M67" s="114">
        <f t="shared" si="4"/>
        <v>8.0336769797377833E-2</v>
      </c>
    </row>
    <row r="68" spans="3:13" x14ac:dyDescent="0.35">
      <c r="C68" s="104">
        <v>6</v>
      </c>
      <c r="J68" s="114">
        <f t="shared" si="1"/>
        <v>9.2505989979840872E-2</v>
      </c>
      <c r="K68" s="114">
        <f t="shared" si="2"/>
        <v>9.2505989979840872E-2</v>
      </c>
      <c r="L68" s="114">
        <f t="shared" si="3"/>
        <v>4.7127552683001318E-2</v>
      </c>
      <c r="M68" s="114">
        <f t="shared" si="4"/>
        <v>4.7127552683001318E-2</v>
      </c>
    </row>
    <row r="69" spans="3:13" x14ac:dyDescent="0.35">
      <c r="C69" s="104">
        <v>7</v>
      </c>
      <c r="J69" s="114"/>
      <c r="K69" s="114"/>
      <c r="L69" s="114">
        <f t="shared" si="3"/>
        <v>9.8631932984012335E-3</v>
      </c>
      <c r="M69" s="114">
        <f t="shared" si="4"/>
        <v>9.8631932984012335E-3</v>
      </c>
    </row>
    <row r="70" spans="3:13" x14ac:dyDescent="0.35">
      <c r="C70" s="104">
        <v>8</v>
      </c>
      <c r="J70" s="114"/>
      <c r="K70" s="114"/>
      <c r="L70" s="114">
        <f t="shared" si="3"/>
        <v>1.0119009388316943E-2</v>
      </c>
      <c r="M70" s="114">
        <f t="shared" si="4"/>
        <v>1.0119009388316943E-2</v>
      </c>
    </row>
    <row r="71" spans="3:13" x14ac:dyDescent="0.35">
      <c r="C71" s="104">
        <v>9</v>
      </c>
      <c r="J71" s="114"/>
      <c r="K71" s="114"/>
      <c r="L71" s="114">
        <f t="shared" si="3"/>
        <v>2.0155723940660349E-2</v>
      </c>
      <c r="M71" s="114">
        <f t="shared" si="4"/>
        <v>2.0155723940660349E-2</v>
      </c>
    </row>
    <row r="72" spans="3:13" x14ac:dyDescent="0.35">
      <c r="C72" s="104">
        <v>10</v>
      </c>
      <c r="J72" s="114"/>
      <c r="K72" s="114"/>
      <c r="L72" s="114">
        <f t="shared" si="3"/>
        <v>2.5711084468883197E-3</v>
      </c>
      <c r="M72" s="114">
        <f t="shared" si="4"/>
        <v>2.5711084468883197E-3</v>
      </c>
    </row>
    <row r="73" spans="3:13" x14ac:dyDescent="0.35">
      <c r="L73" s="111"/>
    </row>
    <row r="74" spans="3:13" x14ac:dyDescent="0.35">
      <c r="L74" s="111"/>
    </row>
  </sheetData>
  <conditionalFormatting sqref="B6">
    <cfRule type="expression" dxfId="22" priority="1">
      <formula>#REF!&gt;1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 tint="-0.249977111117893"/>
  </sheetPr>
  <dimension ref="A1:C10502"/>
  <sheetViews>
    <sheetView workbookViewId="0">
      <selection activeCell="C12" sqref="C12"/>
    </sheetView>
  </sheetViews>
  <sheetFormatPr defaultColWidth="9.1796875" defaultRowHeight="15.5" x14ac:dyDescent="0.35"/>
  <cols>
    <col min="1" max="1" width="12" style="69" customWidth="1"/>
    <col min="2" max="2" width="7.1796875" style="69" customWidth="1"/>
    <col min="3" max="3" width="11.81640625" style="117" customWidth="1"/>
    <col min="4" max="16384" width="9.1796875" style="69"/>
  </cols>
  <sheetData>
    <row r="1" spans="1:3" ht="23.5" x14ac:dyDescent="0.55000000000000004">
      <c r="A1" s="19" t="s">
        <v>242</v>
      </c>
    </row>
    <row r="3" spans="1:3" x14ac:dyDescent="0.35">
      <c r="A3" s="139" t="s">
        <v>178</v>
      </c>
      <c r="B3" s="139" t="s">
        <v>58</v>
      </c>
      <c r="C3" s="140" t="s">
        <v>176</v>
      </c>
    </row>
    <row r="4" spans="1:3" x14ac:dyDescent="0.35">
      <c r="A4" s="141" t="s">
        <v>262</v>
      </c>
      <c r="B4" s="141" t="s">
        <v>263</v>
      </c>
      <c r="C4" s="141" t="s">
        <v>27</v>
      </c>
    </row>
    <row r="5" spans="1:3" x14ac:dyDescent="0.35">
      <c r="A5" s="141" t="s">
        <v>262</v>
      </c>
      <c r="B5" s="141" t="s">
        <v>264</v>
      </c>
      <c r="C5" s="141" t="s">
        <v>27</v>
      </c>
    </row>
    <row r="6" spans="1:3" x14ac:dyDescent="0.35">
      <c r="A6" s="141" t="s">
        <v>262</v>
      </c>
      <c r="B6" s="141" t="s">
        <v>265</v>
      </c>
      <c r="C6" s="141" t="s">
        <v>27</v>
      </c>
    </row>
    <row r="7" spans="1:3" x14ac:dyDescent="0.35">
      <c r="A7" s="141" t="s">
        <v>262</v>
      </c>
      <c r="B7" s="141" t="s">
        <v>266</v>
      </c>
      <c r="C7" s="141" t="s">
        <v>27</v>
      </c>
    </row>
    <row r="8" spans="1:3" x14ac:dyDescent="0.35">
      <c r="A8" s="141" t="s">
        <v>262</v>
      </c>
      <c r="B8" s="141" t="s">
        <v>267</v>
      </c>
      <c r="C8" s="141" t="s">
        <v>27</v>
      </c>
    </row>
    <row r="9" spans="1:3" x14ac:dyDescent="0.35">
      <c r="A9" s="141" t="s">
        <v>262</v>
      </c>
      <c r="B9" s="141" t="s">
        <v>268</v>
      </c>
      <c r="C9" s="141" t="s">
        <v>27</v>
      </c>
    </row>
    <row r="10" spans="1:3" x14ac:dyDescent="0.35">
      <c r="A10" s="141" t="s">
        <v>262</v>
      </c>
      <c r="B10" s="141" t="s">
        <v>269</v>
      </c>
      <c r="C10" s="141" t="s">
        <v>27</v>
      </c>
    </row>
    <row r="11" spans="1:3" x14ac:dyDescent="0.35">
      <c r="A11" s="141" t="s">
        <v>262</v>
      </c>
      <c r="B11" s="141" t="s">
        <v>270</v>
      </c>
      <c r="C11" s="141" t="s">
        <v>27</v>
      </c>
    </row>
    <row r="12" spans="1:3" x14ac:dyDescent="0.35">
      <c r="A12" s="141" t="s">
        <v>271</v>
      </c>
      <c r="B12" s="141" t="s">
        <v>272</v>
      </c>
      <c r="C12" s="141" t="s">
        <v>24</v>
      </c>
    </row>
    <row r="13" spans="1:3" x14ac:dyDescent="0.35">
      <c r="A13" s="141" t="s">
        <v>271</v>
      </c>
      <c r="B13" s="141" t="s">
        <v>273</v>
      </c>
      <c r="C13" s="141" t="s">
        <v>24</v>
      </c>
    </row>
    <row r="14" spans="1:3" x14ac:dyDescent="0.35">
      <c r="A14" s="141" t="s">
        <v>271</v>
      </c>
      <c r="B14" s="141" t="s">
        <v>274</v>
      </c>
      <c r="C14" s="141" t="s">
        <v>24</v>
      </c>
    </row>
    <row r="15" spans="1:3" x14ac:dyDescent="0.35">
      <c r="A15" s="141" t="s">
        <v>271</v>
      </c>
      <c r="B15" s="141" t="s">
        <v>275</v>
      </c>
      <c r="C15" s="141" t="s">
        <v>24</v>
      </c>
    </row>
    <row r="16" spans="1:3" x14ac:dyDescent="0.35">
      <c r="A16" s="141" t="s">
        <v>276</v>
      </c>
      <c r="B16" s="141" t="s">
        <v>272</v>
      </c>
      <c r="C16" s="141" t="s">
        <v>24</v>
      </c>
    </row>
    <row r="17" spans="1:3" x14ac:dyDescent="0.35">
      <c r="A17" s="141" t="s">
        <v>276</v>
      </c>
      <c r="B17" s="141" t="s">
        <v>273</v>
      </c>
      <c r="C17" s="141" t="s">
        <v>24</v>
      </c>
    </row>
    <row r="18" spans="1:3" x14ac:dyDescent="0.35">
      <c r="A18" s="141" t="s">
        <v>276</v>
      </c>
      <c r="B18" s="141" t="s">
        <v>274</v>
      </c>
      <c r="C18" s="141" t="s">
        <v>24</v>
      </c>
    </row>
    <row r="19" spans="1:3" x14ac:dyDescent="0.35">
      <c r="A19" s="141" t="s">
        <v>277</v>
      </c>
      <c r="B19" s="141" t="s">
        <v>272</v>
      </c>
      <c r="C19" s="141" t="s">
        <v>21</v>
      </c>
    </row>
    <row r="20" spans="1:3" x14ac:dyDescent="0.35">
      <c r="A20" s="141" t="s">
        <v>277</v>
      </c>
      <c r="B20" s="141" t="s">
        <v>273</v>
      </c>
      <c r="C20" s="141" t="s">
        <v>21</v>
      </c>
    </row>
    <row r="21" spans="1:3" x14ac:dyDescent="0.35">
      <c r="A21" s="141" t="s">
        <v>277</v>
      </c>
      <c r="B21" s="141" t="s">
        <v>274</v>
      </c>
      <c r="C21" s="141" t="s">
        <v>21</v>
      </c>
    </row>
    <row r="22" spans="1:3" x14ac:dyDescent="0.35">
      <c r="A22" s="141" t="s">
        <v>278</v>
      </c>
      <c r="B22" s="141" t="s">
        <v>279</v>
      </c>
      <c r="C22" s="141" t="s">
        <v>21</v>
      </c>
    </row>
    <row r="23" spans="1:3" x14ac:dyDescent="0.35">
      <c r="A23" s="141" t="s">
        <v>278</v>
      </c>
      <c r="B23" s="141" t="s">
        <v>280</v>
      </c>
      <c r="C23" s="141" t="s">
        <v>21</v>
      </c>
    </row>
    <row r="24" spans="1:3" x14ac:dyDescent="0.35">
      <c r="A24" s="141" t="s">
        <v>278</v>
      </c>
      <c r="B24" s="141" t="s">
        <v>281</v>
      </c>
      <c r="C24" s="141" t="s">
        <v>21</v>
      </c>
    </row>
    <row r="25" spans="1:3" x14ac:dyDescent="0.35">
      <c r="A25" s="141" t="s">
        <v>278</v>
      </c>
      <c r="B25" s="141" t="s">
        <v>282</v>
      </c>
      <c r="C25" s="141" t="s">
        <v>21</v>
      </c>
    </row>
    <row r="26" spans="1:3" x14ac:dyDescent="0.35">
      <c r="A26" s="141" t="s">
        <v>278</v>
      </c>
      <c r="B26" s="141" t="s">
        <v>267</v>
      </c>
      <c r="C26" s="141" t="s">
        <v>21</v>
      </c>
    </row>
    <row r="27" spans="1:3" x14ac:dyDescent="0.35">
      <c r="A27" s="141" t="s">
        <v>278</v>
      </c>
      <c r="B27" s="141" t="s">
        <v>268</v>
      </c>
      <c r="C27" s="141" t="s">
        <v>21</v>
      </c>
    </row>
    <row r="28" spans="1:3" x14ac:dyDescent="0.35">
      <c r="A28" s="141" t="s">
        <v>278</v>
      </c>
      <c r="B28" s="141" t="s">
        <v>269</v>
      </c>
      <c r="C28" s="141" t="s">
        <v>21</v>
      </c>
    </row>
    <row r="29" spans="1:3" x14ac:dyDescent="0.35">
      <c r="A29" s="141" t="s">
        <v>278</v>
      </c>
      <c r="B29" s="141" t="s">
        <v>270</v>
      </c>
      <c r="C29" s="141" t="s">
        <v>21</v>
      </c>
    </row>
    <row r="30" spans="1:3" x14ac:dyDescent="0.35">
      <c r="A30" s="141" t="s">
        <v>283</v>
      </c>
      <c r="B30" s="141" t="s">
        <v>267</v>
      </c>
      <c r="C30" s="141" t="s">
        <v>21</v>
      </c>
    </row>
    <row r="31" spans="1:3" x14ac:dyDescent="0.35">
      <c r="A31" s="141" t="s">
        <v>283</v>
      </c>
      <c r="B31" s="141" t="s">
        <v>268</v>
      </c>
      <c r="C31" s="141" t="s">
        <v>21</v>
      </c>
    </row>
    <row r="32" spans="1:3" x14ac:dyDescent="0.35">
      <c r="A32" s="141" t="s">
        <v>283</v>
      </c>
      <c r="B32" s="141" t="s">
        <v>269</v>
      </c>
      <c r="C32" s="141" t="s">
        <v>21</v>
      </c>
    </row>
    <row r="33" spans="1:3" x14ac:dyDescent="0.35">
      <c r="A33" s="141" t="s">
        <v>283</v>
      </c>
      <c r="B33" s="141" t="s">
        <v>270</v>
      </c>
      <c r="C33" s="141" t="s">
        <v>21</v>
      </c>
    </row>
    <row r="34" spans="1:3" x14ac:dyDescent="0.35">
      <c r="A34" s="141" t="s">
        <v>284</v>
      </c>
      <c r="B34" s="141" t="s">
        <v>267</v>
      </c>
      <c r="C34" s="141" t="s">
        <v>21</v>
      </c>
    </row>
    <row r="35" spans="1:3" x14ac:dyDescent="0.35">
      <c r="A35" s="141" t="s">
        <v>284</v>
      </c>
      <c r="B35" s="141" t="s">
        <v>268</v>
      </c>
      <c r="C35" s="141" t="s">
        <v>21</v>
      </c>
    </row>
    <row r="36" spans="1:3" x14ac:dyDescent="0.35">
      <c r="A36" s="141" t="s">
        <v>284</v>
      </c>
      <c r="B36" s="141" t="s">
        <v>269</v>
      </c>
      <c r="C36" s="141" t="s">
        <v>21</v>
      </c>
    </row>
    <row r="37" spans="1:3" x14ac:dyDescent="0.35">
      <c r="A37" s="141" t="s">
        <v>284</v>
      </c>
      <c r="B37" s="141" t="s">
        <v>270</v>
      </c>
      <c r="C37" s="141" t="s">
        <v>21</v>
      </c>
    </row>
    <row r="38" spans="1:3" x14ac:dyDescent="0.35">
      <c r="A38" s="141" t="s">
        <v>285</v>
      </c>
      <c r="B38" s="141" t="s">
        <v>267</v>
      </c>
      <c r="C38" s="141" t="s">
        <v>27</v>
      </c>
    </row>
    <row r="39" spans="1:3" x14ac:dyDescent="0.35">
      <c r="A39" s="141" t="s">
        <v>285</v>
      </c>
      <c r="B39" s="141" t="s">
        <v>268</v>
      </c>
      <c r="C39" s="141" t="s">
        <v>27</v>
      </c>
    </row>
    <row r="40" spans="1:3" x14ac:dyDescent="0.35">
      <c r="A40" s="141" t="s">
        <v>285</v>
      </c>
      <c r="B40" s="141" t="s">
        <v>269</v>
      </c>
      <c r="C40" s="141" t="s">
        <v>27</v>
      </c>
    </row>
    <row r="41" spans="1:3" x14ac:dyDescent="0.35">
      <c r="A41" s="141" t="s">
        <v>285</v>
      </c>
      <c r="B41" s="141" t="s">
        <v>270</v>
      </c>
      <c r="C41" s="141" t="s">
        <v>27</v>
      </c>
    </row>
    <row r="42" spans="1:3" x14ac:dyDescent="0.35">
      <c r="A42" s="141" t="s">
        <v>286</v>
      </c>
      <c r="B42" s="141" t="s">
        <v>267</v>
      </c>
      <c r="C42" s="141" t="s">
        <v>27</v>
      </c>
    </row>
    <row r="43" spans="1:3" x14ac:dyDescent="0.35">
      <c r="A43" s="141" t="s">
        <v>286</v>
      </c>
      <c r="B43" s="141" t="s">
        <v>268</v>
      </c>
      <c r="C43" s="141" t="s">
        <v>27</v>
      </c>
    </row>
    <row r="44" spans="1:3" x14ac:dyDescent="0.35">
      <c r="A44" s="141" t="s">
        <v>286</v>
      </c>
      <c r="B44" s="141" t="s">
        <v>269</v>
      </c>
      <c r="C44" s="141" t="s">
        <v>27</v>
      </c>
    </row>
    <row r="45" spans="1:3" x14ac:dyDescent="0.35">
      <c r="A45" s="141" t="s">
        <v>286</v>
      </c>
      <c r="B45" s="141" t="s">
        <v>270</v>
      </c>
      <c r="C45" s="141" t="s">
        <v>27</v>
      </c>
    </row>
    <row r="46" spans="1:3" x14ac:dyDescent="0.35">
      <c r="A46" s="141" t="s">
        <v>287</v>
      </c>
      <c r="B46" s="141" t="s">
        <v>288</v>
      </c>
      <c r="C46" s="141" t="s">
        <v>21</v>
      </c>
    </row>
    <row r="47" spans="1:3" x14ac:dyDescent="0.35">
      <c r="A47" s="141" t="s">
        <v>287</v>
      </c>
      <c r="B47" s="141" t="s">
        <v>289</v>
      </c>
      <c r="C47" s="141" t="s">
        <v>21</v>
      </c>
    </row>
    <row r="48" spans="1:3" x14ac:dyDescent="0.35">
      <c r="A48" s="141" t="s">
        <v>290</v>
      </c>
      <c r="B48" s="141" t="s">
        <v>281</v>
      </c>
      <c r="C48" s="141" t="s">
        <v>23</v>
      </c>
    </row>
    <row r="49" spans="1:3" x14ac:dyDescent="0.35">
      <c r="A49" s="141" t="s">
        <v>290</v>
      </c>
      <c r="B49" s="141" t="s">
        <v>282</v>
      </c>
      <c r="C49" s="141" t="s">
        <v>23</v>
      </c>
    </row>
    <row r="50" spans="1:3" x14ac:dyDescent="0.35">
      <c r="A50" s="141" t="s">
        <v>291</v>
      </c>
      <c r="B50" s="141" t="s">
        <v>281</v>
      </c>
      <c r="C50" s="141" t="s">
        <v>22</v>
      </c>
    </row>
    <row r="51" spans="1:3" x14ac:dyDescent="0.35">
      <c r="A51" s="141" t="s">
        <v>291</v>
      </c>
      <c r="B51" s="141" t="s">
        <v>282</v>
      </c>
      <c r="C51" s="141" t="s">
        <v>22</v>
      </c>
    </row>
    <row r="52" spans="1:3" x14ac:dyDescent="0.35">
      <c r="A52" s="141" t="s">
        <v>292</v>
      </c>
      <c r="B52" s="141" t="s">
        <v>281</v>
      </c>
      <c r="C52" s="141" t="s">
        <v>22</v>
      </c>
    </row>
    <row r="53" spans="1:3" x14ac:dyDescent="0.35">
      <c r="A53" s="141" t="s">
        <v>292</v>
      </c>
      <c r="B53" s="141" t="s">
        <v>282</v>
      </c>
      <c r="C53" s="141" t="s">
        <v>22</v>
      </c>
    </row>
    <row r="54" spans="1:3" x14ac:dyDescent="0.35">
      <c r="A54" s="141" t="s">
        <v>293</v>
      </c>
      <c r="B54" s="141" t="s">
        <v>281</v>
      </c>
      <c r="C54" s="141" t="s">
        <v>22</v>
      </c>
    </row>
    <row r="55" spans="1:3" x14ac:dyDescent="0.35">
      <c r="A55" s="141" t="s">
        <v>293</v>
      </c>
      <c r="B55" s="141" t="s">
        <v>282</v>
      </c>
      <c r="C55" s="141" t="s">
        <v>22</v>
      </c>
    </row>
    <row r="56" spans="1:3" x14ac:dyDescent="0.35">
      <c r="A56" s="141" t="s">
        <v>294</v>
      </c>
      <c r="B56" s="141" t="s">
        <v>270</v>
      </c>
      <c r="C56" s="141" t="s">
        <v>21</v>
      </c>
    </row>
    <row r="57" spans="1:3" x14ac:dyDescent="0.35">
      <c r="A57" s="141" t="s">
        <v>295</v>
      </c>
      <c r="B57" s="141" t="s">
        <v>280</v>
      </c>
      <c r="C57" s="141" t="s">
        <v>18</v>
      </c>
    </row>
    <row r="58" spans="1:3" x14ac:dyDescent="0.35">
      <c r="A58" s="141" t="s">
        <v>295</v>
      </c>
      <c r="B58" s="141" t="s">
        <v>281</v>
      </c>
      <c r="C58" s="141" t="s">
        <v>18</v>
      </c>
    </row>
    <row r="59" spans="1:3" x14ac:dyDescent="0.35">
      <c r="A59" s="141" t="s">
        <v>295</v>
      </c>
      <c r="B59" s="141" t="s">
        <v>282</v>
      </c>
      <c r="C59" s="141" t="s">
        <v>18</v>
      </c>
    </row>
    <row r="60" spans="1:3" x14ac:dyDescent="0.35">
      <c r="A60" s="141" t="s">
        <v>295</v>
      </c>
      <c r="B60" s="141" t="s">
        <v>263</v>
      </c>
      <c r="C60" s="141" t="s">
        <v>18</v>
      </c>
    </row>
    <row r="61" spans="1:3" x14ac:dyDescent="0.35">
      <c r="A61" s="141" t="s">
        <v>295</v>
      </c>
      <c r="B61" s="141" t="s">
        <v>264</v>
      </c>
      <c r="C61" s="141" t="s">
        <v>18</v>
      </c>
    </row>
    <row r="62" spans="1:3" x14ac:dyDescent="0.35">
      <c r="A62" s="141" t="s">
        <v>295</v>
      </c>
      <c r="B62" s="141" t="s">
        <v>265</v>
      </c>
      <c r="C62" s="141" t="s">
        <v>18</v>
      </c>
    </row>
    <row r="63" spans="1:3" x14ac:dyDescent="0.35">
      <c r="A63" s="141" t="s">
        <v>295</v>
      </c>
      <c r="B63" s="141" t="s">
        <v>266</v>
      </c>
      <c r="C63" s="141" t="s">
        <v>18</v>
      </c>
    </row>
    <row r="64" spans="1:3" x14ac:dyDescent="0.35">
      <c r="A64" s="141" t="s">
        <v>295</v>
      </c>
      <c r="B64" s="141" t="s">
        <v>267</v>
      </c>
      <c r="C64" s="141" t="s">
        <v>18</v>
      </c>
    </row>
    <row r="65" spans="1:3" x14ac:dyDescent="0.35">
      <c r="A65" s="141" t="s">
        <v>296</v>
      </c>
      <c r="B65" s="141" t="s">
        <v>272</v>
      </c>
      <c r="C65" s="141" t="s">
        <v>32</v>
      </c>
    </row>
    <row r="66" spans="1:3" x14ac:dyDescent="0.35">
      <c r="A66" s="141" t="s">
        <v>296</v>
      </c>
      <c r="B66" s="141" t="s">
        <v>273</v>
      </c>
      <c r="C66" s="141" t="s">
        <v>32</v>
      </c>
    </row>
    <row r="67" spans="1:3" x14ac:dyDescent="0.35">
      <c r="A67" s="141" t="s">
        <v>296</v>
      </c>
      <c r="B67" s="141" t="s">
        <v>274</v>
      </c>
      <c r="C67" s="141" t="s">
        <v>32</v>
      </c>
    </row>
    <row r="68" spans="1:3" x14ac:dyDescent="0.35">
      <c r="A68" s="141" t="s">
        <v>297</v>
      </c>
      <c r="B68" s="141" t="s">
        <v>272</v>
      </c>
      <c r="C68" s="141" t="s">
        <v>32</v>
      </c>
    </row>
    <row r="69" spans="1:3" x14ac:dyDescent="0.35">
      <c r="A69" s="141" t="s">
        <v>297</v>
      </c>
      <c r="B69" s="141" t="s">
        <v>273</v>
      </c>
      <c r="C69" s="141" t="s">
        <v>32</v>
      </c>
    </row>
    <row r="70" spans="1:3" x14ac:dyDescent="0.35">
      <c r="A70" s="141" t="s">
        <v>297</v>
      </c>
      <c r="B70" s="141" t="s">
        <v>274</v>
      </c>
      <c r="C70" s="141" t="s">
        <v>32</v>
      </c>
    </row>
    <row r="71" spans="1:3" x14ac:dyDescent="0.35">
      <c r="A71" s="141" t="s">
        <v>298</v>
      </c>
      <c r="B71" s="141" t="s">
        <v>272</v>
      </c>
      <c r="C71" s="141" t="s">
        <v>32</v>
      </c>
    </row>
    <row r="72" spans="1:3" x14ac:dyDescent="0.35">
      <c r="A72" s="141" t="s">
        <v>298</v>
      </c>
      <c r="B72" s="141" t="s">
        <v>273</v>
      </c>
      <c r="C72" s="141" t="s">
        <v>32</v>
      </c>
    </row>
    <row r="73" spans="1:3" x14ac:dyDescent="0.35">
      <c r="A73" s="141" t="s">
        <v>298</v>
      </c>
      <c r="B73" s="141" t="s">
        <v>274</v>
      </c>
      <c r="C73" s="141" t="s">
        <v>32</v>
      </c>
    </row>
    <row r="74" spans="1:3" x14ac:dyDescent="0.35">
      <c r="A74" s="141" t="s">
        <v>299</v>
      </c>
      <c r="B74" s="141" t="s">
        <v>272</v>
      </c>
      <c r="C74" s="141" t="s">
        <v>32</v>
      </c>
    </row>
    <row r="75" spans="1:3" x14ac:dyDescent="0.35">
      <c r="A75" s="141" t="s">
        <v>299</v>
      </c>
      <c r="B75" s="141" t="s">
        <v>273</v>
      </c>
      <c r="C75" s="141" t="s">
        <v>32</v>
      </c>
    </row>
    <row r="76" spans="1:3" x14ac:dyDescent="0.35">
      <c r="A76" s="141" t="s">
        <v>299</v>
      </c>
      <c r="B76" s="141" t="s">
        <v>274</v>
      </c>
      <c r="C76" s="141" t="s">
        <v>32</v>
      </c>
    </row>
    <row r="77" spans="1:3" x14ac:dyDescent="0.35">
      <c r="A77" s="141" t="s">
        <v>300</v>
      </c>
      <c r="B77" s="141" t="s">
        <v>272</v>
      </c>
      <c r="C77" s="141" t="s">
        <v>32</v>
      </c>
    </row>
    <row r="78" spans="1:3" x14ac:dyDescent="0.35">
      <c r="A78" s="141" t="s">
        <v>300</v>
      </c>
      <c r="B78" s="141" t="s">
        <v>273</v>
      </c>
      <c r="C78" s="141" t="s">
        <v>32</v>
      </c>
    </row>
    <row r="79" spans="1:3" x14ac:dyDescent="0.35">
      <c r="A79" s="141" t="s">
        <v>300</v>
      </c>
      <c r="B79" s="141" t="s">
        <v>274</v>
      </c>
      <c r="C79" s="141" t="s">
        <v>32</v>
      </c>
    </row>
    <row r="80" spans="1:3" x14ac:dyDescent="0.35">
      <c r="A80" s="141" t="s">
        <v>301</v>
      </c>
      <c r="B80" s="141" t="s">
        <v>272</v>
      </c>
      <c r="C80" s="141" t="s">
        <v>32</v>
      </c>
    </row>
    <row r="81" spans="1:3" x14ac:dyDescent="0.35">
      <c r="A81" s="141" t="s">
        <v>301</v>
      </c>
      <c r="B81" s="141" t="s">
        <v>273</v>
      </c>
      <c r="C81" s="141" t="s">
        <v>32</v>
      </c>
    </row>
    <row r="82" spans="1:3" x14ac:dyDescent="0.35">
      <c r="A82" s="141" t="s">
        <v>301</v>
      </c>
      <c r="B82" s="141" t="s">
        <v>274</v>
      </c>
      <c r="C82" s="141" t="s">
        <v>32</v>
      </c>
    </row>
    <row r="83" spans="1:3" x14ac:dyDescent="0.35">
      <c r="A83" s="141" t="s">
        <v>302</v>
      </c>
      <c r="B83" s="141" t="s">
        <v>272</v>
      </c>
      <c r="C83" s="141" t="s">
        <v>32</v>
      </c>
    </row>
    <row r="84" spans="1:3" x14ac:dyDescent="0.35">
      <c r="A84" s="141" t="s">
        <v>302</v>
      </c>
      <c r="B84" s="141" t="s">
        <v>273</v>
      </c>
      <c r="C84" s="141" t="s">
        <v>32</v>
      </c>
    </row>
    <row r="85" spans="1:3" x14ac:dyDescent="0.35">
      <c r="A85" s="141" t="s">
        <v>302</v>
      </c>
      <c r="B85" s="141" t="s">
        <v>274</v>
      </c>
      <c r="C85" s="141" t="s">
        <v>32</v>
      </c>
    </row>
    <row r="86" spans="1:3" x14ac:dyDescent="0.35">
      <c r="A86" s="141" t="s">
        <v>303</v>
      </c>
      <c r="B86" s="141" t="s">
        <v>279</v>
      </c>
      <c r="C86" s="141" t="s">
        <v>25</v>
      </c>
    </row>
    <row r="87" spans="1:3" x14ac:dyDescent="0.35">
      <c r="A87" s="141" t="s">
        <v>304</v>
      </c>
      <c r="B87" s="141" t="s">
        <v>279</v>
      </c>
      <c r="C87" s="141"/>
    </row>
    <row r="88" spans="1:3" x14ac:dyDescent="0.35">
      <c r="A88" s="141" t="s">
        <v>304</v>
      </c>
      <c r="B88" s="141" t="s">
        <v>280</v>
      </c>
      <c r="C88" s="141"/>
    </row>
    <row r="89" spans="1:3" x14ac:dyDescent="0.35">
      <c r="A89" s="141" t="s">
        <v>305</v>
      </c>
      <c r="B89" s="141" t="s">
        <v>274</v>
      </c>
      <c r="C89" s="141" t="s">
        <v>21</v>
      </c>
    </row>
    <row r="90" spans="1:3" x14ac:dyDescent="0.35">
      <c r="A90" s="141" t="s">
        <v>306</v>
      </c>
      <c r="B90" s="141" t="s">
        <v>272</v>
      </c>
      <c r="C90" s="141" t="s">
        <v>35</v>
      </c>
    </row>
    <row r="91" spans="1:3" x14ac:dyDescent="0.35">
      <c r="A91" s="141" t="s">
        <v>306</v>
      </c>
      <c r="B91" s="141" t="s">
        <v>273</v>
      </c>
      <c r="C91" s="141" t="s">
        <v>35</v>
      </c>
    </row>
    <row r="92" spans="1:3" x14ac:dyDescent="0.35">
      <c r="A92" s="141" t="s">
        <v>306</v>
      </c>
      <c r="B92" s="141" t="s">
        <v>274</v>
      </c>
      <c r="C92" s="141" t="s">
        <v>35</v>
      </c>
    </row>
    <row r="93" spans="1:3" x14ac:dyDescent="0.35">
      <c r="A93" s="141" t="s">
        <v>307</v>
      </c>
      <c r="B93" s="141" t="s">
        <v>272</v>
      </c>
      <c r="C93" s="141" t="s">
        <v>33</v>
      </c>
    </row>
    <row r="94" spans="1:3" x14ac:dyDescent="0.35">
      <c r="A94" s="141" t="s">
        <v>307</v>
      </c>
      <c r="B94" s="141" t="s">
        <v>273</v>
      </c>
      <c r="C94" s="141" t="s">
        <v>33</v>
      </c>
    </row>
    <row r="95" spans="1:3" x14ac:dyDescent="0.35">
      <c r="A95" s="141" t="s">
        <v>307</v>
      </c>
      <c r="B95" s="141" t="s">
        <v>274</v>
      </c>
      <c r="C95" s="141" t="s">
        <v>33</v>
      </c>
    </row>
    <row r="96" spans="1:3" x14ac:dyDescent="0.35">
      <c r="A96" s="141" t="s">
        <v>308</v>
      </c>
      <c r="B96" s="141" t="s">
        <v>289</v>
      </c>
      <c r="C96" s="141" t="s">
        <v>53</v>
      </c>
    </row>
    <row r="97" spans="1:3" x14ac:dyDescent="0.35">
      <c r="A97" s="141" t="s">
        <v>308</v>
      </c>
      <c r="B97" s="141" t="s">
        <v>279</v>
      </c>
      <c r="C97" s="141" t="s">
        <v>53</v>
      </c>
    </row>
    <row r="98" spans="1:3" x14ac:dyDescent="0.35">
      <c r="A98" s="141" t="s">
        <v>308</v>
      </c>
      <c r="B98" s="141" t="s">
        <v>280</v>
      </c>
      <c r="C98" s="141" t="s">
        <v>53</v>
      </c>
    </row>
    <row r="99" spans="1:3" x14ac:dyDescent="0.35">
      <c r="A99" s="141" t="s">
        <v>308</v>
      </c>
      <c r="B99" s="141" t="s">
        <v>265</v>
      </c>
      <c r="C99" s="141" t="s">
        <v>53</v>
      </c>
    </row>
    <row r="100" spans="1:3" x14ac:dyDescent="0.35">
      <c r="A100" s="141" t="s">
        <v>309</v>
      </c>
      <c r="B100" s="141" t="s">
        <v>289</v>
      </c>
      <c r="C100" s="141" t="s">
        <v>53</v>
      </c>
    </row>
    <row r="101" spans="1:3" x14ac:dyDescent="0.35">
      <c r="A101" s="141" t="s">
        <v>309</v>
      </c>
      <c r="B101" s="141" t="s">
        <v>279</v>
      </c>
      <c r="C101" s="141" t="s">
        <v>53</v>
      </c>
    </row>
    <row r="102" spans="1:3" x14ac:dyDescent="0.35">
      <c r="A102" s="141" t="s">
        <v>309</v>
      </c>
      <c r="B102" s="141" t="s">
        <v>280</v>
      </c>
      <c r="C102" s="141" t="s">
        <v>53</v>
      </c>
    </row>
    <row r="103" spans="1:3" x14ac:dyDescent="0.35">
      <c r="A103" s="141" t="s">
        <v>309</v>
      </c>
      <c r="B103" s="141" t="s">
        <v>265</v>
      </c>
      <c r="C103" s="141" t="s">
        <v>53</v>
      </c>
    </row>
    <row r="104" spans="1:3" x14ac:dyDescent="0.35">
      <c r="A104" s="141" t="s">
        <v>310</v>
      </c>
      <c r="B104" s="141" t="s">
        <v>289</v>
      </c>
      <c r="C104" s="141" t="s">
        <v>53</v>
      </c>
    </row>
    <row r="105" spans="1:3" x14ac:dyDescent="0.35">
      <c r="A105" s="141" t="s">
        <v>310</v>
      </c>
      <c r="B105" s="141" t="s">
        <v>279</v>
      </c>
      <c r="C105" s="141" t="s">
        <v>53</v>
      </c>
    </row>
    <row r="106" spans="1:3" x14ac:dyDescent="0.35">
      <c r="A106" s="141" t="s">
        <v>310</v>
      </c>
      <c r="B106" s="141" t="s">
        <v>280</v>
      </c>
      <c r="C106" s="141" t="s">
        <v>53</v>
      </c>
    </row>
    <row r="107" spans="1:3" x14ac:dyDescent="0.35">
      <c r="A107" s="141" t="s">
        <v>310</v>
      </c>
      <c r="B107" s="141" t="s">
        <v>265</v>
      </c>
      <c r="C107" s="141" t="s">
        <v>53</v>
      </c>
    </row>
    <row r="108" spans="1:3" x14ac:dyDescent="0.35">
      <c r="A108" s="141" t="s">
        <v>311</v>
      </c>
      <c r="B108" s="141" t="s">
        <v>289</v>
      </c>
      <c r="C108" s="141" t="s">
        <v>53</v>
      </c>
    </row>
    <row r="109" spans="1:3" x14ac:dyDescent="0.35">
      <c r="A109" s="141" t="s">
        <v>311</v>
      </c>
      <c r="B109" s="141" t="s">
        <v>279</v>
      </c>
      <c r="C109" s="141" t="s">
        <v>53</v>
      </c>
    </row>
    <row r="110" spans="1:3" x14ac:dyDescent="0.35">
      <c r="A110" s="141" t="s">
        <v>311</v>
      </c>
      <c r="B110" s="141" t="s">
        <v>280</v>
      </c>
      <c r="C110" s="141" t="s">
        <v>53</v>
      </c>
    </row>
    <row r="111" spans="1:3" x14ac:dyDescent="0.35">
      <c r="A111" s="141" t="s">
        <v>311</v>
      </c>
      <c r="B111" s="141" t="s">
        <v>265</v>
      </c>
      <c r="C111" s="141" t="s">
        <v>53</v>
      </c>
    </row>
    <row r="112" spans="1:3" x14ac:dyDescent="0.35">
      <c r="A112" s="141" t="s">
        <v>312</v>
      </c>
      <c r="B112" s="141" t="s">
        <v>282</v>
      </c>
      <c r="C112" s="141" t="s">
        <v>53</v>
      </c>
    </row>
    <row r="113" spans="1:3" x14ac:dyDescent="0.35">
      <c r="A113" s="141" t="s">
        <v>312</v>
      </c>
      <c r="B113" s="141" t="s">
        <v>263</v>
      </c>
      <c r="C113" s="141" t="s">
        <v>53</v>
      </c>
    </row>
    <row r="114" spans="1:3" x14ac:dyDescent="0.35">
      <c r="A114" s="141" t="s">
        <v>312</v>
      </c>
      <c r="B114" s="141" t="s">
        <v>264</v>
      </c>
      <c r="C114" s="141" t="s">
        <v>53</v>
      </c>
    </row>
    <row r="115" spans="1:3" x14ac:dyDescent="0.35">
      <c r="A115" s="141" t="s">
        <v>312</v>
      </c>
      <c r="B115" s="141" t="s">
        <v>265</v>
      </c>
      <c r="C115" s="141" t="s">
        <v>53</v>
      </c>
    </row>
    <row r="116" spans="1:3" x14ac:dyDescent="0.35">
      <c r="A116" s="141" t="s">
        <v>313</v>
      </c>
      <c r="B116" s="141" t="s">
        <v>289</v>
      </c>
      <c r="C116" s="141" t="s">
        <v>51</v>
      </c>
    </row>
    <row r="117" spans="1:3" x14ac:dyDescent="0.35">
      <c r="A117" s="141" t="s">
        <v>313</v>
      </c>
      <c r="B117" s="141" t="s">
        <v>279</v>
      </c>
      <c r="C117" s="141" t="s">
        <v>51</v>
      </c>
    </row>
    <row r="118" spans="1:3" x14ac:dyDescent="0.35">
      <c r="A118" s="141" t="s">
        <v>313</v>
      </c>
      <c r="B118" s="141" t="s">
        <v>280</v>
      </c>
      <c r="C118" s="141" t="s">
        <v>51</v>
      </c>
    </row>
    <row r="119" spans="1:3" x14ac:dyDescent="0.35">
      <c r="A119" s="141" t="s">
        <v>313</v>
      </c>
      <c r="B119" s="141" t="s">
        <v>267</v>
      </c>
      <c r="C119" s="141" t="s">
        <v>51</v>
      </c>
    </row>
    <row r="120" spans="1:3" x14ac:dyDescent="0.35">
      <c r="A120" s="141" t="s">
        <v>313</v>
      </c>
      <c r="B120" s="141" t="s">
        <v>268</v>
      </c>
      <c r="C120" s="141" t="s">
        <v>51</v>
      </c>
    </row>
    <row r="121" spans="1:3" x14ac:dyDescent="0.35">
      <c r="A121" s="141" t="s">
        <v>313</v>
      </c>
      <c r="B121" s="141" t="s">
        <v>269</v>
      </c>
      <c r="C121" s="141" t="s">
        <v>51</v>
      </c>
    </row>
    <row r="122" spans="1:3" x14ac:dyDescent="0.35">
      <c r="A122" s="141" t="s">
        <v>313</v>
      </c>
      <c r="B122" s="141" t="s">
        <v>270</v>
      </c>
      <c r="C122" s="141" t="s">
        <v>51</v>
      </c>
    </row>
    <row r="123" spans="1:3" x14ac:dyDescent="0.35">
      <c r="A123" s="141" t="s">
        <v>313</v>
      </c>
      <c r="B123" s="141" t="s">
        <v>272</v>
      </c>
      <c r="C123" s="141" t="s">
        <v>51</v>
      </c>
    </row>
    <row r="124" spans="1:3" x14ac:dyDescent="0.35">
      <c r="A124" s="141" t="s">
        <v>313</v>
      </c>
      <c r="B124" s="141" t="s">
        <v>273</v>
      </c>
      <c r="C124" s="141" t="s">
        <v>51</v>
      </c>
    </row>
    <row r="125" spans="1:3" x14ac:dyDescent="0.35">
      <c r="A125" s="141" t="s">
        <v>313</v>
      </c>
      <c r="B125" s="141" t="s">
        <v>274</v>
      </c>
      <c r="C125" s="141" t="s">
        <v>51</v>
      </c>
    </row>
    <row r="126" spans="1:3" x14ac:dyDescent="0.35">
      <c r="A126" s="141" t="s">
        <v>314</v>
      </c>
      <c r="B126" s="141" t="s">
        <v>279</v>
      </c>
      <c r="C126" s="141" t="s">
        <v>16</v>
      </c>
    </row>
    <row r="127" spans="1:3" x14ac:dyDescent="0.35">
      <c r="A127" s="141" t="s">
        <v>314</v>
      </c>
      <c r="B127" s="141" t="s">
        <v>269</v>
      </c>
      <c r="C127" s="141" t="s">
        <v>16</v>
      </c>
    </row>
    <row r="128" spans="1:3" x14ac:dyDescent="0.35">
      <c r="A128" s="141" t="s">
        <v>315</v>
      </c>
      <c r="B128" s="141" t="s">
        <v>279</v>
      </c>
      <c r="C128" s="141" t="s">
        <v>16</v>
      </c>
    </row>
    <row r="129" spans="1:3" x14ac:dyDescent="0.35">
      <c r="A129" s="141" t="s">
        <v>316</v>
      </c>
      <c r="B129" s="141" t="s">
        <v>279</v>
      </c>
      <c r="C129" s="141" t="s">
        <v>16</v>
      </c>
    </row>
    <row r="130" spans="1:3" x14ac:dyDescent="0.35">
      <c r="A130" s="141" t="s">
        <v>316</v>
      </c>
      <c r="B130" s="141" t="s">
        <v>280</v>
      </c>
      <c r="C130" s="141" t="s">
        <v>16</v>
      </c>
    </row>
    <row r="131" spans="1:3" x14ac:dyDescent="0.35">
      <c r="A131" s="141" t="s">
        <v>317</v>
      </c>
      <c r="B131" s="141" t="s">
        <v>280</v>
      </c>
      <c r="C131" s="141" t="s">
        <v>16</v>
      </c>
    </row>
    <row r="132" spans="1:3" x14ac:dyDescent="0.35">
      <c r="A132" s="141" t="s">
        <v>318</v>
      </c>
      <c r="B132" s="141" t="s">
        <v>280</v>
      </c>
      <c r="C132" s="141" t="s">
        <v>16</v>
      </c>
    </row>
    <row r="133" spans="1:3" x14ac:dyDescent="0.35">
      <c r="A133" s="141" t="s">
        <v>319</v>
      </c>
      <c r="B133" s="141" t="s">
        <v>280</v>
      </c>
      <c r="C133" s="141" t="s">
        <v>16</v>
      </c>
    </row>
    <row r="134" spans="1:3" x14ac:dyDescent="0.35">
      <c r="A134" s="141" t="s">
        <v>320</v>
      </c>
      <c r="B134" s="141" t="s">
        <v>280</v>
      </c>
      <c r="C134" s="141" t="s">
        <v>16</v>
      </c>
    </row>
    <row r="135" spans="1:3" x14ac:dyDescent="0.35">
      <c r="A135" s="141" t="s">
        <v>321</v>
      </c>
      <c r="B135" s="141" t="s">
        <v>267</v>
      </c>
      <c r="C135" s="141" t="s">
        <v>16</v>
      </c>
    </row>
    <row r="136" spans="1:3" x14ac:dyDescent="0.35">
      <c r="A136" s="141" t="s">
        <v>321</v>
      </c>
      <c r="B136" s="141" t="s">
        <v>269</v>
      </c>
      <c r="C136" s="141" t="s">
        <v>16</v>
      </c>
    </row>
    <row r="137" spans="1:3" x14ac:dyDescent="0.35">
      <c r="A137" s="141" t="s">
        <v>322</v>
      </c>
      <c r="B137" s="141" t="s">
        <v>280</v>
      </c>
      <c r="C137" s="141" t="s">
        <v>16</v>
      </c>
    </row>
    <row r="138" spans="1:3" x14ac:dyDescent="0.35">
      <c r="A138" s="141" t="s">
        <v>323</v>
      </c>
      <c r="B138" s="141" t="s">
        <v>267</v>
      </c>
      <c r="C138" s="141" t="s">
        <v>16</v>
      </c>
    </row>
    <row r="139" spans="1:3" x14ac:dyDescent="0.35">
      <c r="A139" s="141" t="s">
        <v>323</v>
      </c>
      <c r="B139" s="141" t="s">
        <v>269</v>
      </c>
      <c r="C139" s="141" t="s">
        <v>16</v>
      </c>
    </row>
    <row r="140" spans="1:3" x14ac:dyDescent="0.35">
      <c r="A140" s="141" t="s">
        <v>323</v>
      </c>
      <c r="B140" s="141" t="s">
        <v>270</v>
      </c>
      <c r="C140" s="141" t="s">
        <v>16</v>
      </c>
    </row>
    <row r="141" spans="1:3" x14ac:dyDescent="0.35">
      <c r="A141" s="141" t="s">
        <v>324</v>
      </c>
      <c r="B141" s="141" t="s">
        <v>280</v>
      </c>
      <c r="C141" s="141" t="s">
        <v>16</v>
      </c>
    </row>
    <row r="142" spans="1:3" x14ac:dyDescent="0.35">
      <c r="A142" s="141" t="s">
        <v>325</v>
      </c>
      <c r="B142" s="141" t="s">
        <v>280</v>
      </c>
      <c r="C142" s="141" t="s">
        <v>16</v>
      </c>
    </row>
    <row r="143" spans="1:3" x14ac:dyDescent="0.35">
      <c r="A143" s="141" t="s">
        <v>325</v>
      </c>
      <c r="B143" s="141" t="s">
        <v>289</v>
      </c>
      <c r="C143" s="141" t="s">
        <v>16</v>
      </c>
    </row>
    <row r="144" spans="1:3" x14ac:dyDescent="0.35">
      <c r="A144" s="141" t="s">
        <v>325</v>
      </c>
      <c r="B144" s="141" t="s">
        <v>267</v>
      </c>
      <c r="C144" s="141" t="s">
        <v>16</v>
      </c>
    </row>
    <row r="145" spans="1:3" x14ac:dyDescent="0.35">
      <c r="A145" s="141" t="s">
        <v>325</v>
      </c>
      <c r="B145" s="141" t="s">
        <v>268</v>
      </c>
      <c r="C145" s="141" t="s">
        <v>16</v>
      </c>
    </row>
    <row r="146" spans="1:3" x14ac:dyDescent="0.35">
      <c r="A146" s="141" t="s">
        <v>325</v>
      </c>
      <c r="B146" s="141" t="s">
        <v>269</v>
      </c>
      <c r="C146" s="141" t="s">
        <v>16</v>
      </c>
    </row>
    <row r="147" spans="1:3" x14ac:dyDescent="0.35">
      <c r="A147" s="141" t="s">
        <v>325</v>
      </c>
      <c r="B147" s="141" t="s">
        <v>270</v>
      </c>
      <c r="C147" s="141" t="s">
        <v>16</v>
      </c>
    </row>
    <row r="148" spans="1:3" x14ac:dyDescent="0.35">
      <c r="A148" s="141" t="s">
        <v>326</v>
      </c>
      <c r="B148" s="141" t="s">
        <v>280</v>
      </c>
      <c r="C148" s="141" t="s">
        <v>16</v>
      </c>
    </row>
    <row r="149" spans="1:3" x14ac:dyDescent="0.35">
      <c r="A149" s="141" t="s">
        <v>327</v>
      </c>
      <c r="B149" s="141" t="s">
        <v>280</v>
      </c>
      <c r="C149" s="141" t="s">
        <v>16</v>
      </c>
    </row>
    <row r="150" spans="1:3" x14ac:dyDescent="0.35">
      <c r="A150" s="141" t="s">
        <v>327</v>
      </c>
      <c r="B150" s="141" t="s">
        <v>289</v>
      </c>
      <c r="C150" s="141" t="s">
        <v>16</v>
      </c>
    </row>
    <row r="151" spans="1:3" x14ac:dyDescent="0.35">
      <c r="A151" s="141" t="s">
        <v>328</v>
      </c>
      <c r="B151" s="141" t="s">
        <v>282</v>
      </c>
      <c r="C151" s="141" t="s">
        <v>16</v>
      </c>
    </row>
    <row r="152" spans="1:3" x14ac:dyDescent="0.35">
      <c r="A152" s="141" t="s">
        <v>329</v>
      </c>
      <c r="B152" s="141" t="s">
        <v>268</v>
      </c>
      <c r="C152" s="141" t="s">
        <v>16</v>
      </c>
    </row>
    <row r="153" spans="1:3" x14ac:dyDescent="0.35">
      <c r="A153" s="141" t="s">
        <v>329</v>
      </c>
      <c r="B153" s="141" t="s">
        <v>269</v>
      </c>
      <c r="C153" s="141" t="s">
        <v>16</v>
      </c>
    </row>
    <row r="154" spans="1:3" x14ac:dyDescent="0.35">
      <c r="A154" s="141" t="s">
        <v>329</v>
      </c>
      <c r="B154" s="141" t="s">
        <v>270</v>
      </c>
      <c r="C154" s="141" t="s">
        <v>16</v>
      </c>
    </row>
    <row r="155" spans="1:3" x14ac:dyDescent="0.35">
      <c r="A155" s="141" t="s">
        <v>329</v>
      </c>
      <c r="B155" s="141" t="s">
        <v>289</v>
      </c>
      <c r="C155" s="141" t="s">
        <v>16</v>
      </c>
    </row>
    <row r="156" spans="1:3" x14ac:dyDescent="0.35">
      <c r="A156" s="141" t="s">
        <v>329</v>
      </c>
      <c r="B156" s="141" t="s">
        <v>279</v>
      </c>
      <c r="C156" s="141" t="s">
        <v>16</v>
      </c>
    </row>
    <row r="157" spans="1:3" x14ac:dyDescent="0.35">
      <c r="A157" s="141" t="s">
        <v>329</v>
      </c>
      <c r="B157" s="141" t="s">
        <v>280</v>
      </c>
      <c r="C157" s="141" t="s">
        <v>16</v>
      </c>
    </row>
    <row r="158" spans="1:3" x14ac:dyDescent="0.35">
      <c r="A158" s="141" t="s">
        <v>329</v>
      </c>
      <c r="B158" s="141" t="s">
        <v>281</v>
      </c>
      <c r="C158" s="141" t="s">
        <v>16</v>
      </c>
    </row>
    <row r="159" spans="1:3" x14ac:dyDescent="0.35">
      <c r="A159" s="141" t="s">
        <v>330</v>
      </c>
      <c r="B159" s="141" t="s">
        <v>289</v>
      </c>
      <c r="C159" s="141" t="s">
        <v>16</v>
      </c>
    </row>
    <row r="160" spans="1:3" x14ac:dyDescent="0.35">
      <c r="A160" s="141" t="s">
        <v>330</v>
      </c>
      <c r="B160" s="141" t="s">
        <v>279</v>
      </c>
      <c r="C160" s="141" t="s">
        <v>16</v>
      </c>
    </row>
    <row r="161" spans="1:3" x14ac:dyDescent="0.35">
      <c r="A161" s="141" t="s">
        <v>330</v>
      </c>
      <c r="B161" s="141" t="s">
        <v>280</v>
      </c>
      <c r="C161" s="141" t="s">
        <v>16</v>
      </c>
    </row>
    <row r="162" spans="1:3" x14ac:dyDescent="0.35">
      <c r="A162" s="141" t="s">
        <v>330</v>
      </c>
      <c r="B162" s="141" t="s">
        <v>265</v>
      </c>
      <c r="C162" s="141" t="s">
        <v>16</v>
      </c>
    </row>
    <row r="163" spans="1:3" x14ac:dyDescent="0.35">
      <c r="A163" s="141" t="s">
        <v>330</v>
      </c>
      <c r="B163" s="141" t="s">
        <v>266</v>
      </c>
      <c r="C163" s="141" t="s">
        <v>16</v>
      </c>
    </row>
    <row r="164" spans="1:3" x14ac:dyDescent="0.35">
      <c r="A164" s="141" t="s">
        <v>330</v>
      </c>
      <c r="B164" s="141" t="s">
        <v>267</v>
      </c>
      <c r="C164" s="141" t="s">
        <v>16</v>
      </c>
    </row>
    <row r="165" spans="1:3" x14ac:dyDescent="0.35">
      <c r="A165" s="141" t="s">
        <v>330</v>
      </c>
      <c r="B165" s="141" t="s">
        <v>268</v>
      </c>
      <c r="C165" s="141" t="s">
        <v>16</v>
      </c>
    </row>
    <row r="166" spans="1:3" x14ac:dyDescent="0.35">
      <c r="A166" s="141" t="s">
        <v>330</v>
      </c>
      <c r="B166" s="141" t="s">
        <v>269</v>
      </c>
      <c r="C166" s="141" t="s">
        <v>16</v>
      </c>
    </row>
    <row r="167" spans="1:3" x14ac:dyDescent="0.35">
      <c r="A167" s="141" t="s">
        <v>330</v>
      </c>
      <c r="B167" s="141" t="s">
        <v>270</v>
      </c>
      <c r="C167" s="141" t="s">
        <v>16</v>
      </c>
    </row>
    <row r="168" spans="1:3" x14ac:dyDescent="0.35">
      <c r="A168" s="141" t="s">
        <v>330</v>
      </c>
      <c r="B168" s="141" t="s">
        <v>272</v>
      </c>
      <c r="C168" s="141" t="s">
        <v>16</v>
      </c>
    </row>
    <row r="169" spans="1:3" x14ac:dyDescent="0.35">
      <c r="A169" s="141" t="s">
        <v>330</v>
      </c>
      <c r="B169" s="141" t="s">
        <v>273</v>
      </c>
      <c r="C169" s="141" t="s">
        <v>16</v>
      </c>
    </row>
    <row r="170" spans="1:3" x14ac:dyDescent="0.35">
      <c r="A170" s="141" t="s">
        <v>330</v>
      </c>
      <c r="B170" s="141" t="s">
        <v>274</v>
      </c>
      <c r="C170" s="141" t="s">
        <v>16</v>
      </c>
    </row>
    <row r="171" spans="1:3" x14ac:dyDescent="0.35">
      <c r="A171" s="141" t="s">
        <v>331</v>
      </c>
      <c r="B171" s="141" t="s">
        <v>272</v>
      </c>
      <c r="C171" s="141" t="s">
        <v>16</v>
      </c>
    </row>
    <row r="172" spans="1:3" x14ac:dyDescent="0.35">
      <c r="A172" s="141" t="s">
        <v>331</v>
      </c>
      <c r="B172" s="141" t="s">
        <v>273</v>
      </c>
      <c r="C172" s="141" t="s">
        <v>16</v>
      </c>
    </row>
    <row r="173" spans="1:3" x14ac:dyDescent="0.35">
      <c r="A173" s="141" t="s">
        <v>331</v>
      </c>
      <c r="B173" s="141" t="s">
        <v>274</v>
      </c>
      <c r="C173" s="141" t="s">
        <v>16</v>
      </c>
    </row>
    <row r="174" spans="1:3" x14ac:dyDescent="0.35">
      <c r="A174" s="141" t="s">
        <v>332</v>
      </c>
      <c r="B174" s="141" t="s">
        <v>272</v>
      </c>
      <c r="C174" s="141" t="s">
        <v>16</v>
      </c>
    </row>
    <row r="175" spans="1:3" x14ac:dyDescent="0.35">
      <c r="A175" s="141" t="s">
        <v>332</v>
      </c>
      <c r="B175" s="141" t="s">
        <v>273</v>
      </c>
      <c r="C175" s="141" t="s">
        <v>16</v>
      </c>
    </row>
    <row r="176" spans="1:3" x14ac:dyDescent="0.35">
      <c r="A176" s="141" t="s">
        <v>332</v>
      </c>
      <c r="B176" s="141" t="s">
        <v>274</v>
      </c>
      <c r="C176" s="141" t="s">
        <v>16</v>
      </c>
    </row>
    <row r="177" spans="1:3" x14ac:dyDescent="0.35">
      <c r="A177" s="141" t="s">
        <v>333</v>
      </c>
      <c r="B177" s="141" t="s">
        <v>272</v>
      </c>
      <c r="C177" s="141" t="s">
        <v>16</v>
      </c>
    </row>
    <row r="178" spans="1:3" x14ac:dyDescent="0.35">
      <c r="A178" s="141" t="s">
        <v>333</v>
      </c>
      <c r="B178" s="141" t="s">
        <v>273</v>
      </c>
      <c r="C178" s="141" t="s">
        <v>16</v>
      </c>
    </row>
    <row r="179" spans="1:3" x14ac:dyDescent="0.35">
      <c r="A179" s="141" t="s">
        <v>333</v>
      </c>
      <c r="B179" s="141" t="s">
        <v>274</v>
      </c>
      <c r="C179" s="141" t="s">
        <v>16</v>
      </c>
    </row>
    <row r="180" spans="1:3" x14ac:dyDescent="0.35">
      <c r="A180" s="141" t="s">
        <v>334</v>
      </c>
      <c r="B180" s="141" t="s">
        <v>282</v>
      </c>
      <c r="C180" s="141" t="s">
        <v>16</v>
      </c>
    </row>
    <row r="181" spans="1:3" x14ac:dyDescent="0.35">
      <c r="A181" s="141" t="s">
        <v>334</v>
      </c>
      <c r="B181" s="141" t="s">
        <v>268</v>
      </c>
      <c r="C181" s="141" t="s">
        <v>16</v>
      </c>
    </row>
    <row r="182" spans="1:3" x14ac:dyDescent="0.35">
      <c r="A182" s="141" t="s">
        <v>335</v>
      </c>
      <c r="B182" s="141" t="s">
        <v>282</v>
      </c>
      <c r="C182" s="141" t="s">
        <v>16</v>
      </c>
    </row>
    <row r="183" spans="1:3" x14ac:dyDescent="0.35">
      <c r="A183" s="141" t="s">
        <v>336</v>
      </c>
      <c r="B183" s="141" t="s">
        <v>282</v>
      </c>
      <c r="C183" s="141" t="s">
        <v>16</v>
      </c>
    </row>
    <row r="184" spans="1:3" x14ac:dyDescent="0.35">
      <c r="A184" s="141" t="s">
        <v>337</v>
      </c>
      <c r="B184" s="141" t="s">
        <v>272</v>
      </c>
      <c r="C184" s="141" t="s">
        <v>47</v>
      </c>
    </row>
    <row r="185" spans="1:3" x14ac:dyDescent="0.35">
      <c r="A185" s="141" t="s">
        <v>337</v>
      </c>
      <c r="B185" s="141" t="s">
        <v>273</v>
      </c>
      <c r="C185" s="141" t="s">
        <v>47</v>
      </c>
    </row>
    <row r="186" spans="1:3" x14ac:dyDescent="0.35">
      <c r="A186" s="141" t="s">
        <v>337</v>
      </c>
      <c r="B186" s="141" t="s">
        <v>274</v>
      </c>
      <c r="C186" s="141" t="s">
        <v>47</v>
      </c>
    </row>
    <row r="187" spans="1:3" x14ac:dyDescent="0.35">
      <c r="A187" s="141" t="s">
        <v>338</v>
      </c>
      <c r="B187" s="141" t="s">
        <v>339</v>
      </c>
      <c r="C187" s="141" t="s">
        <v>20</v>
      </c>
    </row>
    <row r="188" spans="1:3" x14ac:dyDescent="0.35">
      <c r="A188" s="141" t="s">
        <v>338</v>
      </c>
      <c r="B188" s="141" t="s">
        <v>340</v>
      </c>
      <c r="C188" s="141" t="s">
        <v>20</v>
      </c>
    </row>
    <row r="189" spans="1:3" x14ac:dyDescent="0.35">
      <c r="A189" s="141" t="s">
        <v>338</v>
      </c>
      <c r="B189" s="141" t="s">
        <v>341</v>
      </c>
      <c r="C189" s="141" t="s">
        <v>20</v>
      </c>
    </row>
    <row r="190" spans="1:3" x14ac:dyDescent="0.35">
      <c r="A190" s="141" t="s">
        <v>338</v>
      </c>
      <c r="B190" s="141" t="s">
        <v>342</v>
      </c>
      <c r="C190" s="141" t="s">
        <v>20</v>
      </c>
    </row>
    <row r="191" spans="1:3" x14ac:dyDescent="0.35">
      <c r="A191" s="141" t="s">
        <v>338</v>
      </c>
      <c r="B191" s="141" t="s">
        <v>275</v>
      </c>
      <c r="C191" s="141" t="s">
        <v>20</v>
      </c>
    </row>
    <row r="192" spans="1:3" x14ac:dyDescent="0.35">
      <c r="A192" s="141" t="s">
        <v>338</v>
      </c>
      <c r="B192" s="141" t="s">
        <v>274</v>
      </c>
      <c r="C192" s="141" t="s">
        <v>20</v>
      </c>
    </row>
    <row r="193" spans="1:3" x14ac:dyDescent="0.35">
      <c r="A193" s="141" t="s">
        <v>338</v>
      </c>
      <c r="B193" s="141" t="s">
        <v>273</v>
      </c>
      <c r="C193" s="141" t="s">
        <v>20</v>
      </c>
    </row>
    <row r="194" spans="1:3" x14ac:dyDescent="0.35">
      <c r="A194" s="141" t="s">
        <v>338</v>
      </c>
      <c r="B194" s="141" t="s">
        <v>272</v>
      </c>
      <c r="C194" s="141" t="s">
        <v>20</v>
      </c>
    </row>
    <row r="195" spans="1:3" x14ac:dyDescent="0.35">
      <c r="A195" s="141" t="s">
        <v>338</v>
      </c>
      <c r="B195" s="141" t="s">
        <v>270</v>
      </c>
      <c r="C195" s="141" t="s">
        <v>20</v>
      </c>
    </row>
    <row r="196" spans="1:3" x14ac:dyDescent="0.35">
      <c r="A196" s="141" t="s">
        <v>338</v>
      </c>
      <c r="B196" s="141" t="s">
        <v>269</v>
      </c>
      <c r="C196" s="141" t="s">
        <v>20</v>
      </c>
    </row>
    <row r="197" spans="1:3" x14ac:dyDescent="0.35">
      <c r="A197" s="141" t="s">
        <v>338</v>
      </c>
      <c r="B197" s="141" t="s">
        <v>268</v>
      </c>
      <c r="C197" s="141" t="s">
        <v>20</v>
      </c>
    </row>
    <row r="198" spans="1:3" x14ac:dyDescent="0.35">
      <c r="A198" s="141" t="s">
        <v>338</v>
      </c>
      <c r="B198" s="141" t="s">
        <v>267</v>
      </c>
      <c r="C198" s="141" t="s">
        <v>20</v>
      </c>
    </row>
    <row r="199" spans="1:3" x14ac:dyDescent="0.35">
      <c r="A199" s="141" t="s">
        <v>338</v>
      </c>
      <c r="B199" s="141" t="s">
        <v>266</v>
      </c>
      <c r="C199" s="141" t="s">
        <v>20</v>
      </c>
    </row>
    <row r="200" spans="1:3" x14ac:dyDescent="0.35">
      <c r="A200" s="141" t="s">
        <v>338</v>
      </c>
      <c r="B200" s="141" t="s">
        <v>265</v>
      </c>
      <c r="C200" s="141" t="s">
        <v>20</v>
      </c>
    </row>
    <row r="201" spans="1:3" x14ac:dyDescent="0.35">
      <c r="A201" s="141" t="s">
        <v>338</v>
      </c>
      <c r="B201" s="141" t="s">
        <v>264</v>
      </c>
      <c r="C201" s="141" t="s">
        <v>20</v>
      </c>
    </row>
    <row r="202" spans="1:3" x14ac:dyDescent="0.35">
      <c r="A202" s="141" t="s">
        <v>338</v>
      </c>
      <c r="B202" s="141" t="s">
        <v>263</v>
      </c>
      <c r="C202" s="141" t="s">
        <v>20</v>
      </c>
    </row>
    <row r="203" spans="1:3" x14ac:dyDescent="0.35">
      <c r="A203" s="141" t="s">
        <v>338</v>
      </c>
      <c r="B203" s="141" t="s">
        <v>282</v>
      </c>
      <c r="C203" s="141" t="s">
        <v>20</v>
      </c>
    </row>
    <row r="204" spans="1:3" x14ac:dyDescent="0.35">
      <c r="A204" s="141" t="s">
        <v>338</v>
      </c>
      <c r="B204" s="141" t="s">
        <v>281</v>
      </c>
      <c r="C204" s="141" t="s">
        <v>20</v>
      </c>
    </row>
    <row r="205" spans="1:3" x14ac:dyDescent="0.35">
      <c r="A205" s="141" t="s">
        <v>338</v>
      </c>
      <c r="B205" s="141" t="s">
        <v>280</v>
      </c>
      <c r="C205" s="141" t="s">
        <v>20</v>
      </c>
    </row>
    <row r="206" spans="1:3" x14ac:dyDescent="0.35">
      <c r="A206" s="141" t="s">
        <v>338</v>
      </c>
      <c r="B206" s="141" t="s">
        <v>279</v>
      </c>
      <c r="C206" s="141" t="s">
        <v>20</v>
      </c>
    </row>
    <row r="207" spans="1:3" x14ac:dyDescent="0.35">
      <c r="A207" s="141" t="s">
        <v>338</v>
      </c>
      <c r="B207" s="141" t="s">
        <v>289</v>
      </c>
      <c r="C207" s="141" t="s">
        <v>20</v>
      </c>
    </row>
    <row r="208" spans="1:3" x14ac:dyDescent="0.35">
      <c r="A208" s="141" t="s">
        <v>343</v>
      </c>
      <c r="B208" s="141" t="s">
        <v>339</v>
      </c>
      <c r="C208" s="141" t="s">
        <v>30</v>
      </c>
    </row>
    <row r="209" spans="1:3" x14ac:dyDescent="0.35">
      <c r="A209" s="141" t="s">
        <v>343</v>
      </c>
      <c r="B209" s="141" t="s">
        <v>340</v>
      </c>
      <c r="C209" s="141" t="s">
        <v>30</v>
      </c>
    </row>
    <row r="210" spans="1:3" x14ac:dyDescent="0.35">
      <c r="A210" s="141" t="s">
        <v>343</v>
      </c>
      <c r="B210" s="141" t="s">
        <v>341</v>
      </c>
      <c r="C210" s="141" t="s">
        <v>30</v>
      </c>
    </row>
    <row r="211" spans="1:3" x14ac:dyDescent="0.35">
      <c r="A211" s="141" t="s">
        <v>344</v>
      </c>
      <c r="B211" s="141" t="s">
        <v>339</v>
      </c>
      <c r="C211" s="141" t="s">
        <v>53</v>
      </c>
    </row>
    <row r="212" spans="1:3" x14ac:dyDescent="0.35">
      <c r="A212" s="141" t="s">
        <v>344</v>
      </c>
      <c r="B212" s="141" t="s">
        <v>340</v>
      </c>
      <c r="C212" s="141" t="s">
        <v>53</v>
      </c>
    </row>
    <row r="213" spans="1:3" x14ac:dyDescent="0.35">
      <c r="A213" s="141" t="s">
        <v>344</v>
      </c>
      <c r="B213" s="141" t="s">
        <v>341</v>
      </c>
      <c r="C213" s="141" t="s">
        <v>53</v>
      </c>
    </row>
    <row r="214" spans="1:3" x14ac:dyDescent="0.35">
      <c r="A214" s="141" t="s">
        <v>344</v>
      </c>
      <c r="B214" s="141" t="s">
        <v>342</v>
      </c>
      <c r="C214" s="141" t="s">
        <v>53</v>
      </c>
    </row>
    <row r="215" spans="1:3" x14ac:dyDescent="0.35">
      <c r="A215" s="141" t="s">
        <v>344</v>
      </c>
      <c r="B215" s="141" t="s">
        <v>275</v>
      </c>
      <c r="C215" s="141" t="s">
        <v>53</v>
      </c>
    </row>
    <row r="216" spans="1:3" x14ac:dyDescent="0.35">
      <c r="A216" s="141" t="s">
        <v>344</v>
      </c>
      <c r="B216" s="141" t="s">
        <v>274</v>
      </c>
      <c r="C216" s="141" t="s">
        <v>53</v>
      </c>
    </row>
    <row r="217" spans="1:3" x14ac:dyDescent="0.35">
      <c r="A217" s="141" t="s">
        <v>344</v>
      </c>
      <c r="B217" s="141" t="s">
        <v>273</v>
      </c>
      <c r="C217" s="141" t="s">
        <v>53</v>
      </c>
    </row>
    <row r="218" spans="1:3" x14ac:dyDescent="0.35">
      <c r="A218" s="141" t="s">
        <v>344</v>
      </c>
      <c r="B218" s="141" t="s">
        <v>272</v>
      </c>
      <c r="C218" s="141" t="s">
        <v>53</v>
      </c>
    </row>
    <row r="219" spans="1:3" x14ac:dyDescent="0.35">
      <c r="A219" s="141" t="s">
        <v>344</v>
      </c>
      <c r="B219" s="141" t="s">
        <v>270</v>
      </c>
      <c r="C219" s="141" t="s">
        <v>53</v>
      </c>
    </row>
    <row r="220" spans="1:3" x14ac:dyDescent="0.35">
      <c r="A220" s="141" t="s">
        <v>344</v>
      </c>
      <c r="B220" s="141" t="s">
        <v>269</v>
      </c>
      <c r="C220" s="141" t="s">
        <v>53</v>
      </c>
    </row>
    <row r="221" spans="1:3" x14ac:dyDescent="0.35">
      <c r="A221" s="141" t="s">
        <v>344</v>
      </c>
      <c r="B221" s="141" t="s">
        <v>268</v>
      </c>
      <c r="C221" s="141" t="s">
        <v>53</v>
      </c>
    </row>
    <row r="222" spans="1:3" x14ac:dyDescent="0.35">
      <c r="A222" s="141" t="s">
        <v>344</v>
      </c>
      <c r="B222" s="141" t="s">
        <v>267</v>
      </c>
      <c r="C222" s="141" t="s">
        <v>53</v>
      </c>
    </row>
    <row r="223" spans="1:3" x14ac:dyDescent="0.35">
      <c r="A223" s="141" t="s">
        <v>344</v>
      </c>
      <c r="B223" s="141" t="s">
        <v>266</v>
      </c>
      <c r="C223" s="141" t="s">
        <v>53</v>
      </c>
    </row>
    <row r="224" spans="1:3" x14ac:dyDescent="0.35">
      <c r="A224" s="141" t="s">
        <v>344</v>
      </c>
      <c r="B224" s="141" t="s">
        <v>265</v>
      </c>
      <c r="C224" s="141" t="s">
        <v>53</v>
      </c>
    </row>
    <row r="225" spans="1:3" x14ac:dyDescent="0.35">
      <c r="A225" s="141" t="s">
        <v>344</v>
      </c>
      <c r="B225" s="141" t="s">
        <v>264</v>
      </c>
      <c r="C225" s="141" t="s">
        <v>53</v>
      </c>
    </row>
    <row r="226" spans="1:3" x14ac:dyDescent="0.35">
      <c r="A226" s="141" t="s">
        <v>344</v>
      </c>
      <c r="B226" s="141" t="s">
        <v>263</v>
      </c>
      <c r="C226" s="141" t="s">
        <v>53</v>
      </c>
    </row>
    <row r="227" spans="1:3" x14ac:dyDescent="0.35">
      <c r="A227" s="141" t="s">
        <v>344</v>
      </c>
      <c r="B227" s="141" t="s">
        <v>282</v>
      </c>
      <c r="C227" s="141" t="s">
        <v>53</v>
      </c>
    </row>
    <row r="228" spans="1:3" x14ac:dyDescent="0.35">
      <c r="A228" s="141" t="s">
        <v>344</v>
      </c>
      <c r="B228" s="141" t="s">
        <v>281</v>
      </c>
      <c r="C228" s="141" t="s">
        <v>53</v>
      </c>
    </row>
    <row r="229" spans="1:3" x14ac:dyDescent="0.35">
      <c r="A229" s="141" t="s">
        <v>344</v>
      </c>
      <c r="B229" s="141" t="s">
        <v>280</v>
      </c>
      <c r="C229" s="141" t="s">
        <v>53</v>
      </c>
    </row>
    <row r="230" spans="1:3" x14ac:dyDescent="0.35">
      <c r="A230" s="141" t="s">
        <v>344</v>
      </c>
      <c r="B230" s="141" t="s">
        <v>279</v>
      </c>
      <c r="C230" s="141" t="s">
        <v>53</v>
      </c>
    </row>
    <row r="231" spans="1:3" x14ac:dyDescent="0.35">
      <c r="A231" s="141" t="s">
        <v>344</v>
      </c>
      <c r="B231" s="141" t="s">
        <v>289</v>
      </c>
      <c r="C231" s="141" t="s">
        <v>53</v>
      </c>
    </row>
    <row r="232" spans="1:3" x14ac:dyDescent="0.35">
      <c r="A232" s="141" t="s">
        <v>345</v>
      </c>
      <c r="B232" s="141" t="s">
        <v>289</v>
      </c>
      <c r="C232" s="141" t="s">
        <v>5</v>
      </c>
    </row>
    <row r="233" spans="1:3" x14ac:dyDescent="0.35">
      <c r="A233" s="141" t="s">
        <v>345</v>
      </c>
      <c r="B233" s="141" t="s">
        <v>279</v>
      </c>
      <c r="C233" s="141" t="s">
        <v>5</v>
      </c>
    </row>
    <row r="234" spans="1:3" x14ac:dyDescent="0.35">
      <c r="A234" s="141" t="s">
        <v>345</v>
      </c>
      <c r="B234" s="141" t="s">
        <v>280</v>
      </c>
      <c r="C234" s="141" t="s">
        <v>5</v>
      </c>
    </row>
    <row r="235" spans="1:3" x14ac:dyDescent="0.35">
      <c r="A235" s="141" t="s">
        <v>345</v>
      </c>
      <c r="B235" s="141" t="s">
        <v>281</v>
      </c>
      <c r="C235" s="141" t="s">
        <v>5</v>
      </c>
    </row>
    <row r="236" spans="1:3" x14ac:dyDescent="0.35">
      <c r="A236" s="141" t="s">
        <v>345</v>
      </c>
      <c r="B236" s="141" t="s">
        <v>282</v>
      </c>
      <c r="C236" s="141" t="s">
        <v>5</v>
      </c>
    </row>
    <row r="237" spans="1:3" x14ac:dyDescent="0.35">
      <c r="A237" s="141" t="s">
        <v>345</v>
      </c>
      <c r="B237" s="141" t="s">
        <v>263</v>
      </c>
      <c r="C237" s="141" t="s">
        <v>5</v>
      </c>
    </row>
    <row r="238" spans="1:3" x14ac:dyDescent="0.35">
      <c r="A238" s="141" t="s">
        <v>345</v>
      </c>
      <c r="B238" s="141" t="s">
        <v>264</v>
      </c>
      <c r="C238" s="141" t="s">
        <v>5</v>
      </c>
    </row>
    <row r="239" spans="1:3" x14ac:dyDescent="0.35">
      <c r="A239" s="141" t="s">
        <v>345</v>
      </c>
      <c r="B239" s="141" t="s">
        <v>265</v>
      </c>
      <c r="C239" s="141" t="s">
        <v>5</v>
      </c>
    </row>
    <row r="240" spans="1:3" x14ac:dyDescent="0.35">
      <c r="A240" s="141" t="s">
        <v>345</v>
      </c>
      <c r="B240" s="141" t="s">
        <v>266</v>
      </c>
      <c r="C240" s="141" t="s">
        <v>5</v>
      </c>
    </row>
    <row r="241" spans="1:3" x14ac:dyDescent="0.35">
      <c r="A241" s="141" t="s">
        <v>345</v>
      </c>
      <c r="B241" s="141" t="s">
        <v>267</v>
      </c>
      <c r="C241" s="141" t="s">
        <v>5</v>
      </c>
    </row>
    <row r="242" spans="1:3" x14ac:dyDescent="0.35">
      <c r="A242" s="141" t="s">
        <v>345</v>
      </c>
      <c r="B242" s="141" t="s">
        <v>268</v>
      </c>
      <c r="C242" s="141" t="s">
        <v>5</v>
      </c>
    </row>
    <row r="243" spans="1:3" x14ac:dyDescent="0.35">
      <c r="A243" s="141" t="s">
        <v>345</v>
      </c>
      <c r="B243" s="141" t="s">
        <v>269</v>
      </c>
      <c r="C243" s="141" t="s">
        <v>5</v>
      </c>
    </row>
    <row r="244" spans="1:3" x14ac:dyDescent="0.35">
      <c r="A244" s="141" t="s">
        <v>345</v>
      </c>
      <c r="B244" s="141" t="s">
        <v>270</v>
      </c>
      <c r="C244" s="141" t="s">
        <v>5</v>
      </c>
    </row>
    <row r="245" spans="1:3" x14ac:dyDescent="0.35">
      <c r="A245" s="141" t="s">
        <v>345</v>
      </c>
      <c r="B245" s="141" t="s">
        <v>272</v>
      </c>
      <c r="C245" s="141" t="s">
        <v>5</v>
      </c>
    </row>
    <row r="246" spans="1:3" x14ac:dyDescent="0.35">
      <c r="A246" s="141" t="s">
        <v>345</v>
      </c>
      <c r="B246" s="141" t="s">
        <v>273</v>
      </c>
      <c r="C246" s="141" t="s">
        <v>5</v>
      </c>
    </row>
    <row r="247" spans="1:3" x14ac:dyDescent="0.35">
      <c r="A247" s="141" t="s">
        <v>345</v>
      </c>
      <c r="B247" s="141" t="s">
        <v>274</v>
      </c>
      <c r="C247" s="141" t="s">
        <v>5</v>
      </c>
    </row>
    <row r="248" spans="1:3" x14ac:dyDescent="0.35">
      <c r="A248" s="141" t="s">
        <v>345</v>
      </c>
      <c r="B248" s="141" t="s">
        <v>275</v>
      </c>
      <c r="C248" s="141" t="s">
        <v>5</v>
      </c>
    </row>
    <row r="249" spans="1:3" x14ac:dyDescent="0.35">
      <c r="A249" s="141" t="s">
        <v>345</v>
      </c>
      <c r="B249" s="141" t="s">
        <v>342</v>
      </c>
      <c r="C249" s="141" t="s">
        <v>5</v>
      </c>
    </row>
    <row r="250" spans="1:3" x14ac:dyDescent="0.35">
      <c r="A250" s="141" t="s">
        <v>345</v>
      </c>
      <c r="B250" s="141" t="s">
        <v>341</v>
      </c>
      <c r="C250" s="141" t="s">
        <v>5</v>
      </c>
    </row>
    <row r="251" spans="1:3" x14ac:dyDescent="0.35">
      <c r="A251" s="141" t="s">
        <v>345</v>
      </c>
      <c r="B251" s="141" t="s">
        <v>340</v>
      </c>
      <c r="C251" s="141" t="s">
        <v>5</v>
      </c>
    </row>
    <row r="252" spans="1:3" x14ac:dyDescent="0.35">
      <c r="A252" s="141" t="s">
        <v>345</v>
      </c>
      <c r="B252" s="141" t="s">
        <v>339</v>
      </c>
      <c r="C252" s="141" t="s">
        <v>5</v>
      </c>
    </row>
    <row r="253" spans="1:3" x14ac:dyDescent="0.35">
      <c r="A253" s="141" t="s">
        <v>346</v>
      </c>
      <c r="B253" s="141" t="s">
        <v>269</v>
      </c>
      <c r="C253" s="141" t="s">
        <v>13</v>
      </c>
    </row>
    <row r="254" spans="1:3" x14ac:dyDescent="0.35">
      <c r="A254" s="141" t="s">
        <v>346</v>
      </c>
      <c r="B254" s="141" t="s">
        <v>270</v>
      </c>
      <c r="C254" s="141" t="s">
        <v>13</v>
      </c>
    </row>
    <row r="255" spans="1:3" x14ac:dyDescent="0.35">
      <c r="A255" s="141" t="s">
        <v>346</v>
      </c>
      <c r="B255" s="141" t="s">
        <v>272</v>
      </c>
      <c r="C255" s="141" t="s">
        <v>13</v>
      </c>
    </row>
    <row r="256" spans="1:3" x14ac:dyDescent="0.35">
      <c r="A256" s="141" t="s">
        <v>346</v>
      </c>
      <c r="B256" s="141" t="s">
        <v>273</v>
      </c>
      <c r="C256" s="141" t="s">
        <v>13</v>
      </c>
    </row>
    <row r="257" spans="1:3" x14ac:dyDescent="0.35">
      <c r="A257" s="141" t="s">
        <v>346</v>
      </c>
      <c r="B257" s="141" t="s">
        <v>274</v>
      </c>
      <c r="C257" s="141" t="s">
        <v>13</v>
      </c>
    </row>
    <row r="258" spans="1:3" x14ac:dyDescent="0.35">
      <c r="A258" s="141" t="s">
        <v>346</v>
      </c>
      <c r="B258" s="141" t="s">
        <v>275</v>
      </c>
      <c r="C258" s="141" t="s">
        <v>13</v>
      </c>
    </row>
    <row r="259" spans="1:3" x14ac:dyDescent="0.35">
      <c r="A259" s="141" t="s">
        <v>346</v>
      </c>
      <c r="B259" s="141" t="s">
        <v>342</v>
      </c>
      <c r="C259" s="141" t="s">
        <v>13</v>
      </c>
    </row>
    <row r="260" spans="1:3" x14ac:dyDescent="0.35">
      <c r="A260" s="141" t="s">
        <v>346</v>
      </c>
      <c r="B260" s="141" t="s">
        <v>341</v>
      </c>
      <c r="C260" s="141" t="s">
        <v>13</v>
      </c>
    </row>
    <row r="261" spans="1:3" x14ac:dyDescent="0.35">
      <c r="A261" s="141" t="s">
        <v>346</v>
      </c>
      <c r="B261" s="141" t="s">
        <v>340</v>
      </c>
      <c r="C261" s="141" t="s">
        <v>13</v>
      </c>
    </row>
    <row r="262" spans="1:3" x14ac:dyDescent="0.35">
      <c r="A262" s="141" t="s">
        <v>346</v>
      </c>
      <c r="B262" s="141" t="s">
        <v>339</v>
      </c>
      <c r="C262" s="141" t="s">
        <v>13</v>
      </c>
    </row>
    <row r="263" spans="1:3" x14ac:dyDescent="0.35">
      <c r="A263" s="141" t="s">
        <v>347</v>
      </c>
      <c r="B263" s="141" t="s">
        <v>275</v>
      </c>
      <c r="C263" s="141" t="s">
        <v>37</v>
      </c>
    </row>
    <row r="264" spans="1:3" x14ac:dyDescent="0.35">
      <c r="A264" s="141" t="s">
        <v>348</v>
      </c>
      <c r="B264" s="141" t="s">
        <v>275</v>
      </c>
      <c r="C264" s="141" t="s">
        <v>37</v>
      </c>
    </row>
    <row r="265" spans="1:3" x14ac:dyDescent="0.35">
      <c r="A265" s="141" t="s">
        <v>349</v>
      </c>
      <c r="B265" s="141" t="s">
        <v>275</v>
      </c>
      <c r="C265" s="141" t="s">
        <v>37</v>
      </c>
    </row>
    <row r="266" spans="1:3" x14ac:dyDescent="0.35">
      <c r="A266" s="141" t="s">
        <v>347</v>
      </c>
      <c r="B266" s="141" t="s">
        <v>342</v>
      </c>
      <c r="C266" s="141" t="s">
        <v>37</v>
      </c>
    </row>
    <row r="267" spans="1:3" x14ac:dyDescent="0.35">
      <c r="A267" s="141" t="s">
        <v>348</v>
      </c>
      <c r="B267" s="141" t="s">
        <v>342</v>
      </c>
      <c r="C267" s="141" t="s">
        <v>37</v>
      </c>
    </row>
    <row r="268" spans="1:3" x14ac:dyDescent="0.35">
      <c r="A268" s="141" t="s">
        <v>349</v>
      </c>
      <c r="B268" s="141" t="s">
        <v>342</v>
      </c>
      <c r="C268" s="141" t="s">
        <v>37</v>
      </c>
    </row>
    <row r="269" spans="1:3" x14ac:dyDescent="0.35">
      <c r="A269" s="141" t="s">
        <v>347</v>
      </c>
      <c r="B269" s="141" t="s">
        <v>341</v>
      </c>
      <c r="C269" s="141" t="s">
        <v>37</v>
      </c>
    </row>
    <row r="270" spans="1:3" x14ac:dyDescent="0.35">
      <c r="A270" s="141" t="s">
        <v>348</v>
      </c>
      <c r="B270" s="141" t="s">
        <v>341</v>
      </c>
      <c r="C270" s="141" t="s">
        <v>37</v>
      </c>
    </row>
    <row r="271" spans="1:3" x14ac:dyDescent="0.35">
      <c r="A271" s="141" t="s">
        <v>349</v>
      </c>
      <c r="B271" s="141" t="s">
        <v>341</v>
      </c>
      <c r="C271" s="141" t="s">
        <v>37</v>
      </c>
    </row>
    <row r="272" spans="1:3" x14ac:dyDescent="0.35">
      <c r="A272" s="141" t="s">
        <v>347</v>
      </c>
      <c r="B272" s="141" t="s">
        <v>340</v>
      </c>
      <c r="C272" s="141" t="s">
        <v>37</v>
      </c>
    </row>
    <row r="273" spans="1:3" x14ac:dyDescent="0.35">
      <c r="A273" s="141" t="s">
        <v>348</v>
      </c>
      <c r="B273" s="141" t="s">
        <v>340</v>
      </c>
      <c r="C273" s="141" t="s">
        <v>37</v>
      </c>
    </row>
    <row r="274" spans="1:3" x14ac:dyDescent="0.35">
      <c r="A274" s="141" t="s">
        <v>349</v>
      </c>
      <c r="B274" s="141" t="s">
        <v>340</v>
      </c>
      <c r="C274" s="141" t="s">
        <v>37</v>
      </c>
    </row>
    <row r="275" spans="1:3" x14ac:dyDescent="0.35">
      <c r="A275" s="141" t="s">
        <v>347</v>
      </c>
      <c r="B275" s="141" t="s">
        <v>339</v>
      </c>
      <c r="C275" s="141" t="s">
        <v>37</v>
      </c>
    </row>
    <row r="276" spans="1:3" x14ac:dyDescent="0.35">
      <c r="A276" s="141" t="s">
        <v>348</v>
      </c>
      <c r="B276" s="141" t="s">
        <v>339</v>
      </c>
      <c r="C276" s="141" t="s">
        <v>37</v>
      </c>
    </row>
    <row r="277" spans="1:3" x14ac:dyDescent="0.35">
      <c r="A277" s="141" t="s">
        <v>349</v>
      </c>
      <c r="B277" s="141" t="s">
        <v>339</v>
      </c>
      <c r="C277" s="141" t="s">
        <v>37</v>
      </c>
    </row>
    <row r="278" spans="1:3" x14ac:dyDescent="0.35">
      <c r="A278" s="141" t="s">
        <v>321</v>
      </c>
      <c r="B278" s="141" t="s">
        <v>270</v>
      </c>
      <c r="C278" s="141" t="s">
        <v>16</v>
      </c>
    </row>
    <row r="279" spans="1:3" x14ac:dyDescent="0.35">
      <c r="A279" s="141" t="s">
        <v>343</v>
      </c>
      <c r="B279" s="141" t="s">
        <v>342</v>
      </c>
      <c r="C279" s="141" t="s">
        <v>30</v>
      </c>
    </row>
    <row r="280" spans="1:3" x14ac:dyDescent="0.35">
      <c r="A280" s="141" t="s">
        <v>343</v>
      </c>
      <c r="B280" s="141" t="s">
        <v>275</v>
      </c>
      <c r="C280" s="141" t="s">
        <v>30</v>
      </c>
    </row>
    <row r="281" spans="1:3" x14ac:dyDescent="0.35">
      <c r="A281" s="141" t="s">
        <v>343</v>
      </c>
      <c r="B281" s="141" t="s">
        <v>274</v>
      </c>
      <c r="C281" s="141" t="s">
        <v>30</v>
      </c>
    </row>
    <row r="282" spans="1:3" x14ac:dyDescent="0.35">
      <c r="A282" s="141" t="s">
        <v>343</v>
      </c>
      <c r="B282" s="141" t="s">
        <v>273</v>
      </c>
      <c r="C282" s="141" t="s">
        <v>30</v>
      </c>
    </row>
    <row r="283" spans="1:3" x14ac:dyDescent="0.35">
      <c r="A283" s="141" t="s">
        <v>343</v>
      </c>
      <c r="B283" s="141" t="s">
        <v>272</v>
      </c>
      <c r="C283" s="141" t="s">
        <v>30</v>
      </c>
    </row>
    <row r="284" spans="1:3" x14ac:dyDescent="0.35">
      <c r="A284" s="141" t="s">
        <v>343</v>
      </c>
      <c r="B284" s="141" t="s">
        <v>270</v>
      </c>
      <c r="C284" s="141" t="s">
        <v>30</v>
      </c>
    </row>
    <row r="285" spans="1:3" x14ac:dyDescent="0.35">
      <c r="A285" s="141" t="s">
        <v>350</v>
      </c>
      <c r="B285" s="141" t="s">
        <v>339</v>
      </c>
      <c r="C285" s="141" t="s">
        <v>53</v>
      </c>
    </row>
    <row r="286" spans="1:3" x14ac:dyDescent="0.35">
      <c r="A286" s="141" t="s">
        <v>350</v>
      </c>
      <c r="B286" s="141" t="s">
        <v>340</v>
      </c>
      <c r="C286" s="141" t="s">
        <v>53</v>
      </c>
    </row>
    <row r="287" spans="1:3" x14ac:dyDescent="0.35">
      <c r="A287" s="141" t="s">
        <v>350</v>
      </c>
      <c r="B287" s="141" t="s">
        <v>341</v>
      </c>
      <c r="C287" s="141" t="s">
        <v>53</v>
      </c>
    </row>
    <row r="288" spans="1:3" x14ac:dyDescent="0.35">
      <c r="A288" s="141" t="s">
        <v>350</v>
      </c>
      <c r="B288" s="141" t="s">
        <v>342</v>
      </c>
      <c r="C288" s="141" t="s">
        <v>53</v>
      </c>
    </row>
    <row r="289" spans="1:3" x14ac:dyDescent="0.35">
      <c r="A289" s="141" t="s">
        <v>350</v>
      </c>
      <c r="B289" s="141" t="s">
        <v>275</v>
      </c>
      <c r="C289" s="141" t="s">
        <v>53</v>
      </c>
    </row>
    <row r="290" spans="1:3" x14ac:dyDescent="0.35">
      <c r="A290" s="141" t="s">
        <v>350</v>
      </c>
      <c r="B290" s="141" t="s">
        <v>274</v>
      </c>
      <c r="C290" s="141" t="s">
        <v>53</v>
      </c>
    </row>
    <row r="291" spans="1:3" x14ac:dyDescent="0.35">
      <c r="A291" s="141" t="s">
        <v>350</v>
      </c>
      <c r="B291" s="141" t="s">
        <v>273</v>
      </c>
      <c r="C291" s="141" t="s">
        <v>53</v>
      </c>
    </row>
    <row r="292" spans="1:3" x14ac:dyDescent="0.35">
      <c r="A292" s="141" t="s">
        <v>350</v>
      </c>
      <c r="B292" s="141" t="s">
        <v>272</v>
      </c>
      <c r="C292" s="141" t="s">
        <v>53</v>
      </c>
    </row>
    <row r="293" spans="1:3" x14ac:dyDescent="0.35">
      <c r="A293" s="141" t="s">
        <v>350</v>
      </c>
      <c r="B293" s="141" t="s">
        <v>270</v>
      </c>
      <c r="C293" s="141" t="s">
        <v>53</v>
      </c>
    </row>
    <row r="294" spans="1:3" x14ac:dyDescent="0.35">
      <c r="A294" s="141" t="s">
        <v>350</v>
      </c>
      <c r="B294" s="141" t="s">
        <v>269</v>
      </c>
      <c r="C294" s="141" t="s">
        <v>53</v>
      </c>
    </row>
    <row r="295" spans="1:3" x14ac:dyDescent="0.35">
      <c r="A295" s="141" t="s">
        <v>350</v>
      </c>
      <c r="B295" s="141" t="s">
        <v>268</v>
      </c>
      <c r="C295" s="141" t="s">
        <v>53</v>
      </c>
    </row>
    <row r="296" spans="1:3" x14ac:dyDescent="0.35">
      <c r="A296" s="141" t="s">
        <v>350</v>
      </c>
      <c r="B296" s="141" t="s">
        <v>267</v>
      </c>
      <c r="C296" s="141" t="s">
        <v>53</v>
      </c>
    </row>
    <row r="297" spans="1:3" x14ac:dyDescent="0.35">
      <c r="A297" s="141" t="s">
        <v>350</v>
      </c>
      <c r="B297" s="141" t="s">
        <v>266</v>
      </c>
      <c r="C297" s="141" t="s">
        <v>53</v>
      </c>
    </row>
    <row r="298" spans="1:3" x14ac:dyDescent="0.35">
      <c r="A298" s="141" t="s">
        <v>350</v>
      </c>
      <c r="B298" s="141" t="s">
        <v>265</v>
      </c>
      <c r="C298" s="141" t="s">
        <v>53</v>
      </c>
    </row>
    <row r="299" spans="1:3" x14ac:dyDescent="0.35">
      <c r="A299" s="141" t="s">
        <v>350</v>
      </c>
      <c r="B299" s="141" t="s">
        <v>264</v>
      </c>
      <c r="C299" s="141" t="s">
        <v>53</v>
      </c>
    </row>
    <row r="300" spans="1:3" x14ac:dyDescent="0.35">
      <c r="A300" s="141" t="s">
        <v>350</v>
      </c>
      <c r="B300" s="141" t="s">
        <v>263</v>
      </c>
      <c r="C300" s="141" t="s">
        <v>53</v>
      </c>
    </row>
    <row r="301" spans="1:3" x14ac:dyDescent="0.35">
      <c r="A301" s="141" t="s">
        <v>350</v>
      </c>
      <c r="B301" s="141" t="s">
        <v>282</v>
      </c>
      <c r="C301" s="141" t="s">
        <v>53</v>
      </c>
    </row>
    <row r="302" spans="1:3" x14ac:dyDescent="0.35">
      <c r="A302" s="141" t="s">
        <v>350</v>
      </c>
      <c r="B302" s="141" t="s">
        <v>281</v>
      </c>
      <c r="C302" s="141" t="s">
        <v>53</v>
      </c>
    </row>
    <row r="303" spans="1:3" x14ac:dyDescent="0.35">
      <c r="A303" s="141" t="s">
        <v>350</v>
      </c>
      <c r="B303" s="141" t="s">
        <v>280</v>
      </c>
      <c r="C303" s="141" t="s">
        <v>53</v>
      </c>
    </row>
    <row r="304" spans="1:3" x14ac:dyDescent="0.35">
      <c r="A304" s="141" t="s">
        <v>350</v>
      </c>
      <c r="B304" s="141" t="s">
        <v>279</v>
      </c>
      <c r="C304" s="141" t="s">
        <v>53</v>
      </c>
    </row>
    <row r="305" spans="1:3" x14ac:dyDescent="0.35">
      <c r="A305" s="141" t="s">
        <v>350</v>
      </c>
      <c r="B305" s="141" t="s">
        <v>289</v>
      </c>
      <c r="C305" s="141" t="s">
        <v>53</v>
      </c>
    </row>
    <row r="306" spans="1:3" x14ac:dyDescent="0.35">
      <c r="A306" s="141" t="s">
        <v>351</v>
      </c>
      <c r="B306" s="141" t="s">
        <v>339</v>
      </c>
      <c r="C306" s="141" t="s">
        <v>53</v>
      </c>
    </row>
    <row r="307" spans="1:3" x14ac:dyDescent="0.35">
      <c r="A307" s="141" t="s">
        <v>351</v>
      </c>
      <c r="B307" s="141" t="s">
        <v>340</v>
      </c>
      <c r="C307" s="141" t="s">
        <v>53</v>
      </c>
    </row>
    <row r="308" spans="1:3" x14ac:dyDescent="0.35">
      <c r="A308" s="141" t="s">
        <v>351</v>
      </c>
      <c r="B308" s="141" t="s">
        <v>341</v>
      </c>
      <c r="C308" s="141" t="s">
        <v>53</v>
      </c>
    </row>
    <row r="309" spans="1:3" x14ac:dyDescent="0.35">
      <c r="A309" s="141" t="s">
        <v>351</v>
      </c>
      <c r="B309" s="141" t="s">
        <v>342</v>
      </c>
      <c r="C309" s="141" t="s">
        <v>53</v>
      </c>
    </row>
    <row r="310" spans="1:3" x14ac:dyDescent="0.35">
      <c r="A310" s="141" t="s">
        <v>351</v>
      </c>
      <c r="B310" s="141" t="s">
        <v>275</v>
      </c>
      <c r="C310" s="141" t="s">
        <v>53</v>
      </c>
    </row>
    <row r="311" spans="1:3" x14ac:dyDescent="0.35">
      <c r="A311" s="141" t="s">
        <v>351</v>
      </c>
      <c r="B311" s="141" t="s">
        <v>274</v>
      </c>
      <c r="C311" s="141" t="s">
        <v>53</v>
      </c>
    </row>
    <row r="312" spans="1:3" x14ac:dyDescent="0.35">
      <c r="A312" s="141" t="s">
        <v>351</v>
      </c>
      <c r="B312" s="141" t="s">
        <v>273</v>
      </c>
      <c r="C312" s="141" t="s">
        <v>53</v>
      </c>
    </row>
    <row r="313" spans="1:3" x14ac:dyDescent="0.35">
      <c r="A313" s="141" t="s">
        <v>351</v>
      </c>
      <c r="B313" s="141" t="s">
        <v>272</v>
      </c>
      <c r="C313" s="141" t="s">
        <v>53</v>
      </c>
    </row>
    <row r="314" spans="1:3" x14ac:dyDescent="0.35">
      <c r="A314" s="141" t="s">
        <v>351</v>
      </c>
      <c r="B314" s="141" t="s">
        <v>270</v>
      </c>
      <c r="C314" s="141" t="s">
        <v>53</v>
      </c>
    </row>
    <row r="315" spans="1:3" x14ac:dyDescent="0.35">
      <c r="A315" s="141" t="s">
        <v>351</v>
      </c>
      <c r="B315" s="141" t="s">
        <v>269</v>
      </c>
      <c r="C315" s="141" t="s">
        <v>53</v>
      </c>
    </row>
    <row r="316" spans="1:3" x14ac:dyDescent="0.35">
      <c r="A316" s="141" t="s">
        <v>351</v>
      </c>
      <c r="B316" s="141" t="s">
        <v>268</v>
      </c>
      <c r="C316" s="141" t="s">
        <v>53</v>
      </c>
    </row>
    <row r="317" spans="1:3" x14ac:dyDescent="0.35">
      <c r="A317" s="141" t="s">
        <v>351</v>
      </c>
      <c r="B317" s="141" t="s">
        <v>267</v>
      </c>
      <c r="C317" s="141" t="s">
        <v>53</v>
      </c>
    </row>
    <row r="318" spans="1:3" x14ac:dyDescent="0.35">
      <c r="A318" s="141" t="s">
        <v>351</v>
      </c>
      <c r="B318" s="141" t="s">
        <v>266</v>
      </c>
      <c r="C318" s="141" t="s">
        <v>53</v>
      </c>
    </row>
    <row r="319" spans="1:3" x14ac:dyDescent="0.35">
      <c r="A319" s="141" t="s">
        <v>351</v>
      </c>
      <c r="B319" s="141" t="s">
        <v>265</v>
      </c>
      <c r="C319" s="141" t="s">
        <v>53</v>
      </c>
    </row>
    <row r="320" spans="1:3" x14ac:dyDescent="0.35">
      <c r="A320" s="141" t="s">
        <v>351</v>
      </c>
      <c r="B320" s="141" t="s">
        <v>264</v>
      </c>
      <c r="C320" s="141" t="s">
        <v>53</v>
      </c>
    </row>
    <row r="321" spans="1:3" x14ac:dyDescent="0.35">
      <c r="A321" s="141" t="s">
        <v>351</v>
      </c>
      <c r="B321" s="141" t="s">
        <v>263</v>
      </c>
      <c r="C321" s="141" t="s">
        <v>53</v>
      </c>
    </row>
    <row r="322" spans="1:3" x14ac:dyDescent="0.35">
      <c r="A322" s="141" t="s">
        <v>351</v>
      </c>
      <c r="B322" s="141" t="s">
        <v>282</v>
      </c>
      <c r="C322" s="141" t="s">
        <v>53</v>
      </c>
    </row>
    <row r="323" spans="1:3" x14ac:dyDescent="0.35">
      <c r="A323" s="141" t="s">
        <v>351</v>
      </c>
      <c r="B323" s="141" t="s">
        <v>281</v>
      </c>
      <c r="C323" s="141" t="s">
        <v>53</v>
      </c>
    </row>
    <row r="324" spans="1:3" x14ac:dyDescent="0.35">
      <c r="A324" s="141" t="s">
        <v>351</v>
      </c>
      <c r="B324" s="141" t="s">
        <v>280</v>
      </c>
      <c r="C324" s="141" t="s">
        <v>53</v>
      </c>
    </row>
    <row r="325" spans="1:3" x14ac:dyDescent="0.35">
      <c r="A325" s="141" t="s">
        <v>351</v>
      </c>
      <c r="B325" s="141" t="s">
        <v>279</v>
      </c>
      <c r="C325" s="141" t="s">
        <v>53</v>
      </c>
    </row>
    <row r="326" spans="1:3" x14ac:dyDescent="0.35">
      <c r="A326" s="141" t="s">
        <v>351</v>
      </c>
      <c r="B326" s="141" t="s">
        <v>289</v>
      </c>
      <c r="C326" s="141" t="s">
        <v>53</v>
      </c>
    </row>
    <row r="327" spans="1:3" x14ac:dyDescent="0.35">
      <c r="A327" s="141" t="s">
        <v>352</v>
      </c>
      <c r="B327" s="141" t="s">
        <v>353</v>
      </c>
      <c r="C327" s="141" t="s">
        <v>2</v>
      </c>
    </row>
    <row r="328" spans="1:3" x14ac:dyDescent="0.35">
      <c r="A328" s="141" t="s">
        <v>354</v>
      </c>
      <c r="B328" s="141" t="s">
        <v>353</v>
      </c>
      <c r="C328" s="141" t="s">
        <v>2</v>
      </c>
    </row>
    <row r="329" spans="1:3" x14ac:dyDescent="0.35">
      <c r="A329" s="141" t="s">
        <v>355</v>
      </c>
      <c r="B329" s="141" t="s">
        <v>353</v>
      </c>
      <c r="C329" s="141" t="s">
        <v>12</v>
      </c>
    </row>
    <row r="330" spans="1:3" x14ac:dyDescent="0.35">
      <c r="A330" s="141" t="s">
        <v>356</v>
      </c>
      <c r="B330" s="141" t="s">
        <v>353</v>
      </c>
      <c r="C330" s="141" t="s">
        <v>14</v>
      </c>
    </row>
    <row r="331" spans="1:3" x14ac:dyDescent="0.35">
      <c r="A331" s="141" t="s">
        <v>357</v>
      </c>
      <c r="B331" s="141" t="s">
        <v>353</v>
      </c>
      <c r="C331" s="141" t="s">
        <v>14</v>
      </c>
    </row>
    <row r="332" spans="1:3" x14ac:dyDescent="0.35">
      <c r="A332" s="141" t="s">
        <v>358</v>
      </c>
      <c r="B332" s="141" t="s">
        <v>353</v>
      </c>
      <c r="C332" s="141" t="s">
        <v>14</v>
      </c>
    </row>
    <row r="333" spans="1:3" x14ac:dyDescent="0.35">
      <c r="A333" s="141" t="s">
        <v>359</v>
      </c>
      <c r="B333" s="141" t="s">
        <v>353</v>
      </c>
      <c r="C333" s="141" t="s">
        <v>46</v>
      </c>
    </row>
    <row r="334" spans="1:3" x14ac:dyDescent="0.35">
      <c r="A334" s="141" t="s">
        <v>360</v>
      </c>
      <c r="B334" s="141" t="s">
        <v>353</v>
      </c>
      <c r="C334" s="141" t="s">
        <v>46</v>
      </c>
    </row>
    <row r="335" spans="1:3" x14ac:dyDescent="0.35">
      <c r="A335" s="141" t="s">
        <v>361</v>
      </c>
      <c r="B335" s="141" t="s">
        <v>353</v>
      </c>
      <c r="C335" s="141" t="s">
        <v>45</v>
      </c>
    </row>
    <row r="336" spans="1:3" x14ac:dyDescent="0.35">
      <c r="A336" s="141" t="s">
        <v>362</v>
      </c>
      <c r="B336" s="141" t="s">
        <v>353</v>
      </c>
      <c r="C336" s="141" t="s">
        <v>45</v>
      </c>
    </row>
    <row r="337" spans="1:3" x14ac:dyDescent="0.35">
      <c r="A337" s="141" t="s">
        <v>363</v>
      </c>
      <c r="B337" s="141" t="s">
        <v>353</v>
      </c>
      <c r="C337" s="141" t="s">
        <v>45</v>
      </c>
    </row>
    <row r="338" spans="1:3" x14ac:dyDescent="0.35">
      <c r="A338" s="141" t="s">
        <v>364</v>
      </c>
      <c r="B338" s="141" t="s">
        <v>353</v>
      </c>
      <c r="C338" s="141" t="s">
        <v>45</v>
      </c>
    </row>
    <row r="339" spans="1:3" x14ac:dyDescent="0.35">
      <c r="A339" s="141" t="s">
        <v>365</v>
      </c>
      <c r="B339" s="141" t="s">
        <v>353</v>
      </c>
      <c r="C339" s="141" t="s">
        <v>7</v>
      </c>
    </row>
    <row r="340" spans="1:3" x14ac:dyDescent="0.35">
      <c r="A340" s="141" t="s">
        <v>366</v>
      </c>
      <c r="B340" s="141" t="s">
        <v>353</v>
      </c>
      <c r="C340" s="141" t="s">
        <v>8</v>
      </c>
    </row>
    <row r="341" spans="1:3" x14ac:dyDescent="0.35">
      <c r="A341" s="141" t="s">
        <v>367</v>
      </c>
      <c r="B341" s="141" t="s">
        <v>353</v>
      </c>
      <c r="C341" s="141" t="s">
        <v>8</v>
      </c>
    </row>
    <row r="342" spans="1:3" x14ac:dyDescent="0.35">
      <c r="A342" s="141" t="s">
        <v>368</v>
      </c>
      <c r="B342" s="141" t="s">
        <v>353</v>
      </c>
      <c r="C342" s="141" t="s">
        <v>10</v>
      </c>
    </row>
    <row r="343" spans="1:3" x14ac:dyDescent="0.35">
      <c r="A343" s="141" t="s">
        <v>369</v>
      </c>
      <c r="B343" s="141" t="s">
        <v>353</v>
      </c>
      <c r="C343" s="141" t="s">
        <v>10</v>
      </c>
    </row>
    <row r="344" spans="1:3" x14ac:dyDescent="0.35">
      <c r="A344" s="141" t="s">
        <v>370</v>
      </c>
      <c r="B344" s="141" t="s">
        <v>353</v>
      </c>
      <c r="C344" s="141" t="s">
        <v>10</v>
      </c>
    </row>
    <row r="345" spans="1:3" x14ac:dyDescent="0.35">
      <c r="A345" s="141" t="s">
        <v>371</v>
      </c>
      <c r="B345" s="141" t="s">
        <v>353</v>
      </c>
      <c r="C345" s="141" t="s">
        <v>10</v>
      </c>
    </row>
    <row r="346" spans="1:3" x14ac:dyDescent="0.35">
      <c r="A346" s="141" t="s">
        <v>372</v>
      </c>
      <c r="B346" s="141" t="s">
        <v>353</v>
      </c>
      <c r="C346" s="141" t="s">
        <v>10</v>
      </c>
    </row>
    <row r="347" spans="1:3" x14ac:dyDescent="0.35">
      <c r="A347" s="141" t="s">
        <v>373</v>
      </c>
      <c r="B347" s="141" t="s">
        <v>353</v>
      </c>
      <c r="C347" s="141" t="s">
        <v>10</v>
      </c>
    </row>
    <row r="348" spans="1:3" x14ac:dyDescent="0.35">
      <c r="A348" s="141" t="s">
        <v>374</v>
      </c>
      <c r="B348" s="141" t="s">
        <v>353</v>
      </c>
      <c r="C348" s="141" t="s">
        <v>10</v>
      </c>
    </row>
    <row r="349" spans="1:3" x14ac:dyDescent="0.35">
      <c r="A349" s="141" t="s">
        <v>375</v>
      </c>
      <c r="B349" s="141" t="s">
        <v>353</v>
      </c>
      <c r="C349" s="141" t="s">
        <v>10</v>
      </c>
    </row>
    <row r="350" spans="1:3" x14ac:dyDescent="0.35">
      <c r="A350" s="141" t="s">
        <v>376</v>
      </c>
      <c r="B350" s="141" t="s">
        <v>353</v>
      </c>
      <c r="C350" s="141" t="s">
        <v>10</v>
      </c>
    </row>
    <row r="351" spans="1:3" x14ac:dyDescent="0.35">
      <c r="A351" s="141" t="s">
        <v>377</v>
      </c>
      <c r="B351" s="141" t="s">
        <v>353</v>
      </c>
      <c r="C351" s="141" t="s">
        <v>11</v>
      </c>
    </row>
    <row r="352" spans="1:3" x14ac:dyDescent="0.35">
      <c r="A352" s="141" t="s">
        <v>378</v>
      </c>
      <c r="B352" s="141" t="s">
        <v>353</v>
      </c>
      <c r="C352" s="141" t="s">
        <v>11</v>
      </c>
    </row>
    <row r="353" spans="1:3" x14ac:dyDescent="0.35">
      <c r="A353" s="141" t="s">
        <v>379</v>
      </c>
      <c r="B353" s="141" t="s">
        <v>353</v>
      </c>
      <c r="C353" s="141" t="s">
        <v>11</v>
      </c>
    </row>
    <row r="354" spans="1:3" x14ac:dyDescent="0.35">
      <c r="A354" s="141" t="s">
        <v>380</v>
      </c>
      <c r="B354" s="141" t="s">
        <v>353</v>
      </c>
      <c r="C354" s="141" t="s">
        <v>11</v>
      </c>
    </row>
    <row r="355" spans="1:3" x14ac:dyDescent="0.35">
      <c r="A355" s="141" t="s">
        <v>381</v>
      </c>
      <c r="B355" s="141" t="s">
        <v>353</v>
      </c>
      <c r="C355" s="141" t="s">
        <v>11</v>
      </c>
    </row>
    <row r="356" spans="1:3" x14ac:dyDescent="0.35">
      <c r="A356" s="141" t="s">
        <v>382</v>
      </c>
      <c r="B356" s="141" t="s">
        <v>353</v>
      </c>
      <c r="C356" s="141" t="s">
        <v>11</v>
      </c>
    </row>
    <row r="357" spans="1:3" x14ac:dyDescent="0.35">
      <c r="A357" s="141" t="s">
        <v>383</v>
      </c>
      <c r="B357" s="141" t="s">
        <v>353</v>
      </c>
      <c r="C357" s="141" t="s">
        <v>5</v>
      </c>
    </row>
    <row r="358" spans="1:3" x14ac:dyDescent="0.35">
      <c r="A358" s="141" t="s">
        <v>384</v>
      </c>
      <c r="B358" s="141" t="s">
        <v>353</v>
      </c>
      <c r="C358" s="141" t="s">
        <v>7</v>
      </c>
    </row>
    <row r="359" spans="1:3" x14ac:dyDescent="0.35">
      <c r="A359" s="141" t="s">
        <v>385</v>
      </c>
      <c r="B359" s="141" t="s">
        <v>353</v>
      </c>
      <c r="C359" s="141" t="s">
        <v>7</v>
      </c>
    </row>
    <row r="360" spans="1:3" x14ac:dyDescent="0.35">
      <c r="A360" s="141" t="s">
        <v>386</v>
      </c>
      <c r="B360" s="141" t="s">
        <v>353</v>
      </c>
      <c r="C360" s="141" t="s">
        <v>7</v>
      </c>
    </row>
    <row r="361" spans="1:3" x14ac:dyDescent="0.35">
      <c r="A361" s="141" t="s">
        <v>387</v>
      </c>
      <c r="B361" s="141" t="s">
        <v>353</v>
      </c>
      <c r="C361" s="141" t="s">
        <v>7</v>
      </c>
    </row>
    <row r="362" spans="1:3" x14ac:dyDescent="0.35">
      <c r="A362" s="141" t="s">
        <v>388</v>
      </c>
      <c r="B362" s="141" t="s">
        <v>353</v>
      </c>
      <c r="C362" s="141" t="s">
        <v>8</v>
      </c>
    </row>
    <row r="363" spans="1:3" x14ac:dyDescent="0.35">
      <c r="A363" s="141" t="s">
        <v>389</v>
      </c>
      <c r="B363" s="141" t="s">
        <v>353</v>
      </c>
      <c r="C363" s="141" t="s">
        <v>8</v>
      </c>
    </row>
    <row r="364" spans="1:3" x14ac:dyDescent="0.35">
      <c r="A364" s="141" t="s">
        <v>390</v>
      </c>
      <c r="B364" s="141" t="s">
        <v>353</v>
      </c>
      <c r="C364" s="141" t="s">
        <v>16</v>
      </c>
    </row>
    <row r="365" spans="1:3" x14ac:dyDescent="0.35">
      <c r="A365" s="141" t="s">
        <v>391</v>
      </c>
      <c r="B365" s="141" t="s">
        <v>353</v>
      </c>
      <c r="C365" s="141" t="s">
        <v>16</v>
      </c>
    </row>
    <row r="366" spans="1:3" x14ac:dyDescent="0.35">
      <c r="A366" s="141" t="s">
        <v>392</v>
      </c>
      <c r="B366" s="141" t="s">
        <v>353</v>
      </c>
      <c r="C366" s="141" t="s">
        <v>16</v>
      </c>
    </row>
    <row r="367" spans="1:3" x14ac:dyDescent="0.35">
      <c r="A367" s="141" t="s">
        <v>393</v>
      </c>
      <c r="B367" s="141" t="s">
        <v>353</v>
      </c>
      <c r="C367" s="141" t="s">
        <v>9</v>
      </c>
    </row>
    <row r="368" spans="1:3" x14ac:dyDescent="0.35">
      <c r="A368" s="141" t="s">
        <v>394</v>
      </c>
      <c r="B368" s="141" t="s">
        <v>353</v>
      </c>
      <c r="C368" s="141" t="s">
        <v>19</v>
      </c>
    </row>
    <row r="369" spans="1:3" x14ac:dyDescent="0.35">
      <c r="A369" s="141" t="s">
        <v>395</v>
      </c>
      <c r="B369" s="141" t="s">
        <v>353</v>
      </c>
      <c r="C369" s="141" t="s">
        <v>19</v>
      </c>
    </row>
    <row r="370" spans="1:3" x14ac:dyDescent="0.35">
      <c r="A370" s="141" t="s">
        <v>396</v>
      </c>
      <c r="B370" s="141" t="s">
        <v>353</v>
      </c>
      <c r="C370" s="141" t="s">
        <v>45</v>
      </c>
    </row>
    <row r="371" spans="1:3" x14ac:dyDescent="0.35">
      <c r="A371" s="141" t="s">
        <v>397</v>
      </c>
      <c r="B371" s="141" t="s">
        <v>353</v>
      </c>
      <c r="C371" s="141" t="s">
        <v>16</v>
      </c>
    </row>
    <row r="372" spans="1:3" x14ac:dyDescent="0.35">
      <c r="A372" s="141" t="s">
        <v>398</v>
      </c>
      <c r="B372" s="141" t="s">
        <v>353</v>
      </c>
      <c r="C372" s="141" t="s">
        <v>17</v>
      </c>
    </row>
    <row r="373" spans="1:3" x14ac:dyDescent="0.35">
      <c r="A373" s="141" t="s">
        <v>399</v>
      </c>
      <c r="B373" s="141" t="s">
        <v>353</v>
      </c>
      <c r="C373" s="141" t="s">
        <v>16</v>
      </c>
    </row>
    <row r="374" spans="1:3" x14ac:dyDescent="0.35">
      <c r="A374" s="141" t="s">
        <v>400</v>
      </c>
      <c r="B374" s="141" t="s">
        <v>353</v>
      </c>
      <c r="C374" s="141" t="s">
        <v>20</v>
      </c>
    </row>
    <row r="375" spans="1:3" x14ac:dyDescent="0.35">
      <c r="A375" s="141" t="s">
        <v>401</v>
      </c>
      <c r="B375" s="141" t="s">
        <v>353</v>
      </c>
      <c r="C375" s="141" t="s">
        <v>20</v>
      </c>
    </row>
    <row r="376" spans="1:3" x14ac:dyDescent="0.35">
      <c r="A376" s="141" t="s">
        <v>402</v>
      </c>
      <c r="B376" s="141" t="s">
        <v>353</v>
      </c>
      <c r="C376" s="141" t="s">
        <v>20</v>
      </c>
    </row>
    <row r="377" spans="1:3" x14ac:dyDescent="0.35">
      <c r="A377" s="141" t="s">
        <v>403</v>
      </c>
      <c r="B377" s="141" t="s">
        <v>353</v>
      </c>
      <c r="C377" s="141" t="s">
        <v>20</v>
      </c>
    </row>
    <row r="378" spans="1:3" x14ac:dyDescent="0.35">
      <c r="A378" s="141" t="s">
        <v>404</v>
      </c>
      <c r="B378" s="141" t="s">
        <v>353</v>
      </c>
      <c r="C378" s="141" t="s">
        <v>20</v>
      </c>
    </row>
    <row r="379" spans="1:3" x14ac:dyDescent="0.35">
      <c r="A379" s="141" t="s">
        <v>405</v>
      </c>
      <c r="B379" s="141" t="s">
        <v>353</v>
      </c>
      <c r="C379" s="141" t="s">
        <v>20</v>
      </c>
    </row>
    <row r="380" spans="1:3" x14ac:dyDescent="0.35">
      <c r="A380" s="141" t="s">
        <v>406</v>
      </c>
      <c r="B380" s="141" t="s">
        <v>353</v>
      </c>
      <c r="C380" s="141" t="s">
        <v>18</v>
      </c>
    </row>
    <row r="381" spans="1:3" x14ac:dyDescent="0.35">
      <c r="A381" s="141" t="s">
        <v>407</v>
      </c>
      <c r="B381" s="141" t="s">
        <v>353</v>
      </c>
      <c r="C381" s="141" t="s">
        <v>17</v>
      </c>
    </row>
    <row r="382" spans="1:3" x14ac:dyDescent="0.35">
      <c r="A382" s="141" t="s">
        <v>408</v>
      </c>
      <c r="B382" s="141" t="s">
        <v>353</v>
      </c>
      <c r="C382" s="141" t="s">
        <v>17</v>
      </c>
    </row>
    <row r="383" spans="1:3" x14ac:dyDescent="0.35">
      <c r="A383" s="141" t="s">
        <v>409</v>
      </c>
      <c r="B383" s="141" t="s">
        <v>353</v>
      </c>
      <c r="C383" s="141" t="s">
        <v>18</v>
      </c>
    </row>
    <row r="384" spans="1:3" x14ac:dyDescent="0.35">
      <c r="A384" s="141" t="s">
        <v>410</v>
      </c>
      <c r="B384" s="141" t="s">
        <v>353</v>
      </c>
      <c r="C384" s="141" t="s">
        <v>18</v>
      </c>
    </row>
    <row r="385" spans="1:3" x14ac:dyDescent="0.35">
      <c r="A385" s="141" t="s">
        <v>295</v>
      </c>
      <c r="B385" s="141" t="s">
        <v>353</v>
      </c>
      <c r="C385" s="141" t="s">
        <v>18</v>
      </c>
    </row>
    <row r="386" spans="1:3" x14ac:dyDescent="0.35">
      <c r="A386" s="141" t="s">
        <v>411</v>
      </c>
      <c r="B386" s="141" t="s">
        <v>353</v>
      </c>
      <c r="C386" s="141" t="s">
        <v>9</v>
      </c>
    </row>
    <row r="387" spans="1:3" x14ac:dyDescent="0.35">
      <c r="A387" s="141" t="s">
        <v>412</v>
      </c>
      <c r="B387" s="141" t="s">
        <v>353</v>
      </c>
      <c r="C387" s="141" t="s">
        <v>9</v>
      </c>
    </row>
    <row r="388" spans="1:3" x14ac:dyDescent="0.35">
      <c r="A388" s="141" t="s">
        <v>413</v>
      </c>
      <c r="B388" s="141" t="s">
        <v>353</v>
      </c>
      <c r="C388" s="141" t="s">
        <v>9</v>
      </c>
    </row>
    <row r="389" spans="1:3" x14ac:dyDescent="0.35">
      <c r="A389" s="141" t="s">
        <v>414</v>
      </c>
      <c r="B389" s="141" t="s">
        <v>353</v>
      </c>
      <c r="C389" s="141" t="s">
        <v>9</v>
      </c>
    </row>
    <row r="390" spans="1:3" x14ac:dyDescent="0.35">
      <c r="A390" s="141" t="s">
        <v>415</v>
      </c>
      <c r="B390" s="141" t="s">
        <v>353</v>
      </c>
      <c r="C390" s="141" t="s">
        <v>9</v>
      </c>
    </row>
    <row r="391" spans="1:3" x14ac:dyDescent="0.35">
      <c r="A391" s="141" t="s">
        <v>416</v>
      </c>
      <c r="B391" s="141" t="s">
        <v>353</v>
      </c>
      <c r="C391" s="141" t="s">
        <v>15</v>
      </c>
    </row>
    <row r="392" spans="1:3" x14ac:dyDescent="0.35">
      <c r="A392" s="141" t="s">
        <v>417</v>
      </c>
      <c r="B392" s="141" t="s">
        <v>353</v>
      </c>
      <c r="C392" s="141" t="s">
        <v>6</v>
      </c>
    </row>
    <row r="393" spans="1:3" x14ac:dyDescent="0.35">
      <c r="A393" s="141" t="s">
        <v>418</v>
      </c>
      <c r="B393" s="141" t="s">
        <v>353</v>
      </c>
      <c r="C393" s="141" t="s">
        <v>17</v>
      </c>
    </row>
    <row r="394" spans="1:3" x14ac:dyDescent="0.35">
      <c r="A394" s="141" t="s">
        <v>419</v>
      </c>
      <c r="B394" s="141" t="s">
        <v>353</v>
      </c>
      <c r="C394" s="141" t="s">
        <v>17</v>
      </c>
    </row>
    <row r="395" spans="1:3" x14ac:dyDescent="0.35">
      <c r="A395" s="141" t="s">
        <v>420</v>
      </c>
      <c r="B395" s="141" t="s">
        <v>353</v>
      </c>
      <c r="C395" s="141" t="s">
        <v>17</v>
      </c>
    </row>
    <row r="396" spans="1:3" x14ac:dyDescent="0.35">
      <c r="A396" s="141" t="s">
        <v>421</v>
      </c>
      <c r="B396" s="141" t="s">
        <v>353</v>
      </c>
      <c r="C396" s="141" t="s">
        <v>6</v>
      </c>
    </row>
    <row r="397" spans="1:3" x14ac:dyDescent="0.35">
      <c r="A397" s="141" t="s">
        <v>422</v>
      </c>
      <c r="B397" s="141" t="s">
        <v>353</v>
      </c>
      <c r="C397" s="141" t="s">
        <v>17</v>
      </c>
    </row>
    <row r="398" spans="1:3" x14ac:dyDescent="0.35">
      <c r="A398" s="141" t="s">
        <v>423</v>
      </c>
      <c r="B398" s="141" t="s">
        <v>353</v>
      </c>
      <c r="C398" s="141" t="s">
        <v>21</v>
      </c>
    </row>
    <row r="399" spans="1:3" x14ac:dyDescent="0.35">
      <c r="A399" s="141" t="s">
        <v>278</v>
      </c>
      <c r="B399" s="141" t="s">
        <v>353</v>
      </c>
      <c r="C399" s="141" t="s">
        <v>21</v>
      </c>
    </row>
    <row r="400" spans="1:3" x14ac:dyDescent="0.35">
      <c r="A400" s="141" t="s">
        <v>283</v>
      </c>
      <c r="B400" s="141" t="s">
        <v>353</v>
      </c>
      <c r="C400" s="141" t="s">
        <v>21</v>
      </c>
    </row>
    <row r="401" spans="1:3" x14ac:dyDescent="0.35">
      <c r="A401" s="141" t="s">
        <v>284</v>
      </c>
      <c r="B401" s="141" t="s">
        <v>353</v>
      </c>
      <c r="C401" s="141" t="s">
        <v>21</v>
      </c>
    </row>
    <row r="402" spans="1:3" x14ac:dyDescent="0.35">
      <c r="A402" s="141" t="s">
        <v>424</v>
      </c>
      <c r="B402" s="141" t="s">
        <v>353</v>
      </c>
      <c r="C402" s="141" t="s">
        <v>21</v>
      </c>
    </row>
    <row r="403" spans="1:3" x14ac:dyDescent="0.35">
      <c r="A403" s="141" t="s">
        <v>425</v>
      </c>
      <c r="B403" s="141" t="s">
        <v>353</v>
      </c>
      <c r="C403" s="141" t="s">
        <v>27</v>
      </c>
    </row>
    <row r="404" spans="1:3" x14ac:dyDescent="0.35">
      <c r="A404" s="141" t="s">
        <v>285</v>
      </c>
      <c r="B404" s="141" t="s">
        <v>353</v>
      </c>
      <c r="C404" s="141" t="s">
        <v>27</v>
      </c>
    </row>
    <row r="405" spans="1:3" x14ac:dyDescent="0.35">
      <c r="A405" s="141" t="s">
        <v>286</v>
      </c>
      <c r="B405" s="141" t="s">
        <v>353</v>
      </c>
      <c r="C405" s="141" t="s">
        <v>21</v>
      </c>
    </row>
    <row r="406" spans="1:3" x14ac:dyDescent="0.35">
      <c r="A406" s="141" t="s">
        <v>426</v>
      </c>
      <c r="B406" s="141" t="s">
        <v>353</v>
      </c>
      <c r="C406" s="141" t="s">
        <v>27</v>
      </c>
    </row>
    <row r="407" spans="1:3" x14ac:dyDescent="0.35">
      <c r="A407" s="141" t="s">
        <v>427</v>
      </c>
      <c r="B407" s="141" t="s">
        <v>353</v>
      </c>
      <c r="C407" s="141" t="s">
        <v>27</v>
      </c>
    </row>
    <row r="408" spans="1:3" x14ac:dyDescent="0.35">
      <c r="A408" s="141" t="s">
        <v>428</v>
      </c>
      <c r="B408" s="141" t="s">
        <v>353</v>
      </c>
      <c r="C408" s="141" t="s">
        <v>27</v>
      </c>
    </row>
    <row r="409" spans="1:3" x14ac:dyDescent="0.35">
      <c r="A409" s="141" t="s">
        <v>429</v>
      </c>
      <c r="B409" s="141" t="s">
        <v>353</v>
      </c>
      <c r="C409" s="141" t="s">
        <v>27</v>
      </c>
    </row>
    <row r="410" spans="1:3" x14ac:dyDescent="0.35">
      <c r="A410" s="141" t="s">
        <v>430</v>
      </c>
      <c r="B410" s="141" t="s">
        <v>353</v>
      </c>
      <c r="C410" s="141" t="s">
        <v>27</v>
      </c>
    </row>
    <row r="411" spans="1:3" x14ac:dyDescent="0.35">
      <c r="A411" s="141" t="s">
        <v>431</v>
      </c>
      <c r="B411" s="141" t="s">
        <v>353</v>
      </c>
      <c r="C411" s="141" t="s">
        <v>27</v>
      </c>
    </row>
    <row r="412" spans="1:3" x14ac:dyDescent="0.35">
      <c r="A412" s="141" t="s">
        <v>432</v>
      </c>
      <c r="B412" s="141" t="s">
        <v>353</v>
      </c>
      <c r="C412" s="141" t="s">
        <v>21</v>
      </c>
    </row>
    <row r="413" spans="1:3" x14ac:dyDescent="0.35">
      <c r="A413" s="141" t="s">
        <v>287</v>
      </c>
      <c r="B413" s="141" t="s">
        <v>353</v>
      </c>
      <c r="C413" s="141" t="s">
        <v>21</v>
      </c>
    </row>
    <row r="414" spans="1:3" x14ac:dyDescent="0.35">
      <c r="A414" s="141" t="s">
        <v>433</v>
      </c>
      <c r="B414" s="141" t="s">
        <v>353</v>
      </c>
      <c r="C414" s="141" t="s">
        <v>21</v>
      </c>
    </row>
    <row r="415" spans="1:3" x14ac:dyDescent="0.35">
      <c r="A415" s="141" t="s">
        <v>434</v>
      </c>
      <c r="B415" s="141" t="s">
        <v>353</v>
      </c>
      <c r="C415" s="141" t="s">
        <v>21</v>
      </c>
    </row>
    <row r="416" spans="1:3" x14ac:dyDescent="0.35">
      <c r="A416" s="141" t="s">
        <v>435</v>
      </c>
      <c r="B416" s="141" t="s">
        <v>353</v>
      </c>
      <c r="C416" s="141" t="s">
        <v>21</v>
      </c>
    </row>
    <row r="417" spans="1:3" x14ac:dyDescent="0.35">
      <c r="A417" s="141" t="s">
        <v>436</v>
      </c>
      <c r="B417" s="141" t="s">
        <v>353</v>
      </c>
      <c r="C417" s="141" t="s">
        <v>22</v>
      </c>
    </row>
    <row r="418" spans="1:3" x14ac:dyDescent="0.35">
      <c r="A418" s="141" t="s">
        <v>437</v>
      </c>
      <c r="B418" s="141" t="s">
        <v>353</v>
      </c>
      <c r="C418" s="141" t="s">
        <v>22</v>
      </c>
    </row>
    <row r="419" spans="1:3" x14ac:dyDescent="0.35">
      <c r="A419" s="141" t="s">
        <v>438</v>
      </c>
      <c r="B419" s="141" t="s">
        <v>353</v>
      </c>
      <c r="C419" s="141" t="s">
        <v>21</v>
      </c>
    </row>
    <row r="420" spans="1:3" x14ac:dyDescent="0.35">
      <c r="A420" s="141" t="s">
        <v>439</v>
      </c>
      <c r="B420" s="141" t="s">
        <v>353</v>
      </c>
      <c r="C420" s="141" t="s">
        <v>21</v>
      </c>
    </row>
    <row r="421" spans="1:3" x14ac:dyDescent="0.35">
      <c r="A421" s="141" t="s">
        <v>440</v>
      </c>
      <c r="B421" s="141" t="s">
        <v>353</v>
      </c>
      <c r="C421" s="141" t="s">
        <v>21</v>
      </c>
    </row>
    <row r="422" spans="1:3" x14ac:dyDescent="0.35">
      <c r="A422" s="141" t="s">
        <v>441</v>
      </c>
      <c r="B422" s="141" t="s">
        <v>353</v>
      </c>
      <c r="C422" s="141" t="s">
        <v>21</v>
      </c>
    </row>
    <row r="423" spans="1:3" x14ac:dyDescent="0.35">
      <c r="A423" s="141" t="s">
        <v>442</v>
      </c>
      <c r="B423" s="141" t="s">
        <v>353</v>
      </c>
      <c r="C423" s="141" t="s">
        <v>21</v>
      </c>
    </row>
    <row r="424" spans="1:3" x14ac:dyDescent="0.35">
      <c r="A424" s="141" t="s">
        <v>443</v>
      </c>
      <c r="B424" s="141" t="s">
        <v>353</v>
      </c>
      <c r="C424" s="141" t="s">
        <v>21</v>
      </c>
    </row>
    <row r="425" spans="1:3" x14ac:dyDescent="0.35">
      <c r="A425" s="141" t="s">
        <v>444</v>
      </c>
      <c r="B425" s="141" t="s">
        <v>353</v>
      </c>
      <c r="C425" s="141" t="s">
        <v>21</v>
      </c>
    </row>
    <row r="426" spans="1:3" x14ac:dyDescent="0.35">
      <c r="A426" s="141" t="s">
        <v>445</v>
      </c>
      <c r="B426" s="141" t="s">
        <v>353</v>
      </c>
      <c r="C426" s="141" t="s">
        <v>21</v>
      </c>
    </row>
    <row r="427" spans="1:3" x14ac:dyDescent="0.35">
      <c r="A427" s="141" t="s">
        <v>446</v>
      </c>
      <c r="B427" s="141" t="s">
        <v>353</v>
      </c>
      <c r="C427" s="141" t="s">
        <v>52</v>
      </c>
    </row>
    <row r="428" spans="1:3" x14ac:dyDescent="0.35">
      <c r="A428" s="141" t="s">
        <v>447</v>
      </c>
      <c r="B428" s="141" t="s">
        <v>353</v>
      </c>
      <c r="C428" s="141" t="s">
        <v>52</v>
      </c>
    </row>
    <row r="429" spans="1:3" x14ac:dyDescent="0.35">
      <c r="A429" s="141" t="s">
        <v>448</v>
      </c>
      <c r="B429" s="141" t="s">
        <v>353</v>
      </c>
      <c r="C429" s="141" t="s">
        <v>29</v>
      </c>
    </row>
    <row r="430" spans="1:3" x14ac:dyDescent="0.35">
      <c r="A430" s="141" t="s">
        <v>449</v>
      </c>
      <c r="B430" s="141" t="s">
        <v>353</v>
      </c>
      <c r="C430" s="141" t="s">
        <v>52</v>
      </c>
    </row>
    <row r="431" spans="1:3" x14ac:dyDescent="0.35">
      <c r="A431" s="141" t="s">
        <v>450</v>
      </c>
      <c r="B431" s="141" t="s">
        <v>353</v>
      </c>
      <c r="C431" s="141" t="s">
        <v>52</v>
      </c>
    </row>
    <row r="432" spans="1:3" x14ac:dyDescent="0.35">
      <c r="A432" s="141" t="s">
        <v>451</v>
      </c>
      <c r="B432" s="141" t="s">
        <v>353</v>
      </c>
      <c r="C432" s="141" t="s">
        <v>35</v>
      </c>
    </row>
    <row r="433" spans="1:3" x14ac:dyDescent="0.35">
      <c r="A433" s="141" t="s">
        <v>452</v>
      </c>
      <c r="B433" s="141" t="s">
        <v>353</v>
      </c>
      <c r="C433" s="141" t="s">
        <v>33</v>
      </c>
    </row>
    <row r="434" spans="1:3" x14ac:dyDescent="0.35">
      <c r="A434" s="141" t="s">
        <v>453</v>
      </c>
      <c r="B434" s="141" t="s">
        <v>353</v>
      </c>
      <c r="C434" s="141" t="s">
        <v>33</v>
      </c>
    </row>
    <row r="435" spans="1:3" x14ac:dyDescent="0.35">
      <c r="A435" s="141" t="s">
        <v>454</v>
      </c>
      <c r="B435" s="141" t="s">
        <v>353</v>
      </c>
      <c r="C435" s="141" t="s">
        <v>31</v>
      </c>
    </row>
    <row r="436" spans="1:3" x14ac:dyDescent="0.35">
      <c r="A436" s="141" t="s">
        <v>455</v>
      </c>
      <c r="B436" s="141" t="s">
        <v>353</v>
      </c>
      <c r="C436" s="141" t="s">
        <v>31</v>
      </c>
    </row>
    <row r="437" spans="1:3" x14ac:dyDescent="0.35">
      <c r="A437" s="141" t="s">
        <v>456</v>
      </c>
      <c r="B437" s="141" t="s">
        <v>353</v>
      </c>
      <c r="C437" s="141" t="s">
        <v>31</v>
      </c>
    </row>
    <row r="438" spans="1:3" x14ac:dyDescent="0.35">
      <c r="A438" s="141" t="s">
        <v>457</v>
      </c>
      <c r="B438" s="141" t="s">
        <v>353</v>
      </c>
      <c r="C438" s="141" t="s">
        <v>31</v>
      </c>
    </row>
    <row r="439" spans="1:3" x14ac:dyDescent="0.35">
      <c r="A439" s="141" t="s">
        <v>458</v>
      </c>
      <c r="B439" s="141" t="s">
        <v>353</v>
      </c>
      <c r="C439" s="141" t="s">
        <v>31</v>
      </c>
    </row>
    <row r="440" spans="1:3" x14ac:dyDescent="0.35">
      <c r="A440" s="141" t="s">
        <v>459</v>
      </c>
      <c r="B440" s="141" t="s">
        <v>353</v>
      </c>
      <c r="C440" s="141" t="s">
        <v>31</v>
      </c>
    </row>
    <row r="441" spans="1:3" x14ac:dyDescent="0.35">
      <c r="A441" s="141" t="s">
        <v>460</v>
      </c>
      <c r="B441" s="141" t="s">
        <v>353</v>
      </c>
      <c r="C441" s="141" t="s">
        <v>31</v>
      </c>
    </row>
    <row r="442" spans="1:3" x14ac:dyDescent="0.35">
      <c r="A442" s="141" t="s">
        <v>461</v>
      </c>
      <c r="B442" s="141" t="s">
        <v>353</v>
      </c>
      <c r="C442" s="141" t="s">
        <v>31</v>
      </c>
    </row>
    <row r="443" spans="1:3" x14ac:dyDescent="0.35">
      <c r="A443" s="141" t="s">
        <v>462</v>
      </c>
      <c r="B443" s="141" t="s">
        <v>353</v>
      </c>
      <c r="C443" s="141" t="s">
        <v>31</v>
      </c>
    </row>
    <row r="444" spans="1:3" x14ac:dyDescent="0.35">
      <c r="A444" s="141" t="s">
        <v>463</v>
      </c>
      <c r="B444" s="141" t="s">
        <v>353</v>
      </c>
      <c r="C444" s="141" t="s">
        <v>31</v>
      </c>
    </row>
    <row r="445" spans="1:3" x14ac:dyDescent="0.35">
      <c r="A445" s="141" t="s">
        <v>464</v>
      </c>
      <c r="B445" s="141" t="s">
        <v>353</v>
      </c>
      <c r="C445" s="141" t="s">
        <v>31</v>
      </c>
    </row>
    <row r="446" spans="1:3" x14ac:dyDescent="0.35">
      <c r="A446" s="141" t="s">
        <v>465</v>
      </c>
      <c r="B446" s="141" t="s">
        <v>353</v>
      </c>
      <c r="C446" s="141" t="s">
        <v>32</v>
      </c>
    </row>
    <row r="447" spans="1:3" x14ac:dyDescent="0.35">
      <c r="A447" s="141" t="s">
        <v>466</v>
      </c>
      <c r="B447" s="141" t="s">
        <v>353</v>
      </c>
      <c r="C447" s="141" t="s">
        <v>32</v>
      </c>
    </row>
    <row r="448" spans="1:3" x14ac:dyDescent="0.35">
      <c r="A448" s="141" t="s">
        <v>467</v>
      </c>
      <c r="B448" s="141" t="s">
        <v>353</v>
      </c>
      <c r="C448" s="141" t="s">
        <v>33</v>
      </c>
    </row>
    <row r="449" spans="1:3" x14ac:dyDescent="0.35">
      <c r="A449" s="141" t="s">
        <v>468</v>
      </c>
      <c r="B449" s="141" t="s">
        <v>353</v>
      </c>
      <c r="C449" s="141" t="s">
        <v>33</v>
      </c>
    </row>
    <row r="450" spans="1:3" x14ac:dyDescent="0.35">
      <c r="A450" s="141" t="s">
        <v>469</v>
      </c>
      <c r="B450" s="141" t="s">
        <v>353</v>
      </c>
      <c r="C450" s="141" t="s">
        <v>33</v>
      </c>
    </row>
    <row r="451" spans="1:3" x14ac:dyDescent="0.35">
      <c r="A451" s="141" t="s">
        <v>470</v>
      </c>
      <c r="B451" s="141" t="s">
        <v>353</v>
      </c>
      <c r="C451" s="141" t="s">
        <v>36</v>
      </c>
    </row>
    <row r="452" spans="1:3" x14ac:dyDescent="0.35">
      <c r="A452" s="141" t="s">
        <v>471</v>
      </c>
      <c r="B452" s="141" t="s">
        <v>353</v>
      </c>
      <c r="C452" s="141" t="s">
        <v>36</v>
      </c>
    </row>
    <row r="453" spans="1:3" x14ac:dyDescent="0.35">
      <c r="A453" s="141" t="s">
        <v>472</v>
      </c>
      <c r="B453" s="141" t="s">
        <v>353</v>
      </c>
      <c r="C453" s="141" t="s">
        <v>28</v>
      </c>
    </row>
    <row r="454" spans="1:3" x14ac:dyDescent="0.35">
      <c r="A454" s="141" t="s">
        <v>473</v>
      </c>
      <c r="B454" s="141" t="s">
        <v>353</v>
      </c>
      <c r="C454" s="141" t="s">
        <v>28</v>
      </c>
    </row>
    <row r="455" spans="1:3" x14ac:dyDescent="0.35">
      <c r="A455" s="141" t="s">
        <v>474</v>
      </c>
      <c r="B455" s="141" t="s">
        <v>353</v>
      </c>
      <c r="C455" s="141" t="s">
        <v>28</v>
      </c>
    </row>
    <row r="456" spans="1:3" x14ac:dyDescent="0.35">
      <c r="A456" s="141" t="s">
        <v>475</v>
      </c>
      <c r="B456" s="141" t="s">
        <v>353</v>
      </c>
      <c r="C456" s="141" t="s">
        <v>29</v>
      </c>
    </row>
    <row r="457" spans="1:3" x14ac:dyDescent="0.35">
      <c r="A457" s="141" t="s">
        <v>476</v>
      </c>
      <c r="B457" s="141" t="s">
        <v>353</v>
      </c>
      <c r="C457" s="141" t="s">
        <v>36</v>
      </c>
    </row>
    <row r="458" spans="1:3" x14ac:dyDescent="0.35">
      <c r="A458" s="141" t="s">
        <v>477</v>
      </c>
      <c r="B458" s="141" t="s">
        <v>353</v>
      </c>
      <c r="C458" s="141" t="s">
        <v>36</v>
      </c>
    </row>
    <row r="459" spans="1:3" x14ac:dyDescent="0.35">
      <c r="A459" s="141" t="s">
        <v>478</v>
      </c>
      <c r="B459" s="141" t="s">
        <v>353</v>
      </c>
      <c r="C459" s="141" t="s">
        <v>36</v>
      </c>
    </row>
    <row r="460" spans="1:3" x14ac:dyDescent="0.35">
      <c r="A460" s="141" t="s">
        <v>479</v>
      </c>
      <c r="B460" s="141" t="s">
        <v>353</v>
      </c>
      <c r="C460" s="141" t="s">
        <v>36</v>
      </c>
    </row>
    <row r="461" spans="1:3" x14ac:dyDescent="0.35">
      <c r="A461" s="141" t="s">
        <v>480</v>
      </c>
      <c r="B461" s="141" t="s">
        <v>353</v>
      </c>
      <c r="C461" s="141" t="s">
        <v>36</v>
      </c>
    </row>
    <row r="462" spans="1:3" x14ac:dyDescent="0.35">
      <c r="A462" s="141" t="s">
        <v>481</v>
      </c>
      <c r="B462" s="141" t="s">
        <v>353</v>
      </c>
      <c r="C462" s="141" t="s">
        <v>36</v>
      </c>
    </row>
    <row r="463" spans="1:3" x14ac:dyDescent="0.35">
      <c r="A463" s="141" t="s">
        <v>482</v>
      </c>
      <c r="B463" s="141" t="s">
        <v>353</v>
      </c>
      <c r="C463" s="141" t="s">
        <v>36</v>
      </c>
    </row>
    <row r="464" spans="1:3" x14ac:dyDescent="0.35">
      <c r="A464" s="141" t="s">
        <v>483</v>
      </c>
      <c r="B464" s="141" t="s">
        <v>353</v>
      </c>
      <c r="C464" s="141" t="s">
        <v>36</v>
      </c>
    </row>
    <row r="465" spans="1:3" x14ac:dyDescent="0.35">
      <c r="A465" s="141" t="s">
        <v>484</v>
      </c>
      <c r="B465" s="141" t="s">
        <v>353</v>
      </c>
      <c r="C465" s="141" t="s">
        <v>37</v>
      </c>
    </row>
    <row r="466" spans="1:3" x14ac:dyDescent="0.35">
      <c r="A466" s="141" t="s">
        <v>485</v>
      </c>
      <c r="B466" s="141" t="s">
        <v>353</v>
      </c>
      <c r="C466" s="141" t="s">
        <v>37</v>
      </c>
    </row>
    <row r="467" spans="1:3" x14ac:dyDescent="0.35">
      <c r="A467" s="141" t="s">
        <v>486</v>
      </c>
      <c r="B467" s="141" t="s">
        <v>353</v>
      </c>
      <c r="C467" s="141" t="s">
        <v>28</v>
      </c>
    </row>
    <row r="468" spans="1:3" x14ac:dyDescent="0.35">
      <c r="A468" s="141" t="s">
        <v>487</v>
      </c>
      <c r="B468" s="141" t="s">
        <v>353</v>
      </c>
      <c r="C468" s="141" t="s">
        <v>36</v>
      </c>
    </row>
    <row r="469" spans="1:3" x14ac:dyDescent="0.35">
      <c r="A469" s="141" t="s">
        <v>488</v>
      </c>
      <c r="B469" s="141" t="s">
        <v>353</v>
      </c>
      <c r="C469" s="141" t="s">
        <v>36</v>
      </c>
    </row>
    <row r="470" spans="1:3" x14ac:dyDescent="0.35">
      <c r="A470" s="141" t="s">
        <v>489</v>
      </c>
      <c r="B470" s="141" t="s">
        <v>353</v>
      </c>
      <c r="C470" s="141" t="s">
        <v>36</v>
      </c>
    </row>
    <row r="471" spans="1:3" x14ac:dyDescent="0.35">
      <c r="A471" s="141" t="s">
        <v>490</v>
      </c>
      <c r="B471" s="141" t="s">
        <v>353</v>
      </c>
      <c r="C471" s="141" t="s">
        <v>36</v>
      </c>
    </row>
    <row r="472" spans="1:3" x14ac:dyDescent="0.35">
      <c r="A472" s="141" t="s">
        <v>491</v>
      </c>
      <c r="B472" s="141" t="s">
        <v>353</v>
      </c>
      <c r="C472" s="141" t="s">
        <v>36</v>
      </c>
    </row>
    <row r="473" spans="1:3" x14ac:dyDescent="0.35">
      <c r="A473" s="141" t="s">
        <v>492</v>
      </c>
      <c r="B473" s="141" t="s">
        <v>353</v>
      </c>
      <c r="C473" s="141" t="s">
        <v>32</v>
      </c>
    </row>
    <row r="474" spans="1:3" x14ac:dyDescent="0.35">
      <c r="A474" s="141" t="s">
        <v>493</v>
      </c>
      <c r="B474" s="141" t="s">
        <v>353</v>
      </c>
      <c r="C474" s="141" t="s">
        <v>32</v>
      </c>
    </row>
    <row r="475" spans="1:3" x14ac:dyDescent="0.35">
      <c r="A475" s="141" t="s">
        <v>494</v>
      </c>
      <c r="B475" s="141" t="s">
        <v>353</v>
      </c>
      <c r="C475" s="141" t="s">
        <v>32</v>
      </c>
    </row>
    <row r="476" spans="1:3" x14ac:dyDescent="0.35">
      <c r="A476" s="141" t="s">
        <v>495</v>
      </c>
      <c r="B476" s="141" t="s">
        <v>353</v>
      </c>
      <c r="C476" s="141" t="s">
        <v>32</v>
      </c>
    </row>
    <row r="477" spans="1:3" x14ac:dyDescent="0.35">
      <c r="A477" s="141" t="s">
        <v>496</v>
      </c>
      <c r="B477" s="141" t="s">
        <v>353</v>
      </c>
      <c r="C477" s="141" t="s">
        <v>32</v>
      </c>
    </row>
    <row r="478" spans="1:3" x14ac:dyDescent="0.35">
      <c r="A478" s="141" t="s">
        <v>497</v>
      </c>
      <c r="B478" s="141" t="s">
        <v>353</v>
      </c>
      <c r="C478" s="141" t="s">
        <v>32</v>
      </c>
    </row>
    <row r="479" spans="1:3" x14ac:dyDescent="0.35">
      <c r="A479" s="141" t="s">
        <v>498</v>
      </c>
      <c r="B479" s="141" t="s">
        <v>353</v>
      </c>
      <c r="C479" s="141" t="s">
        <v>32</v>
      </c>
    </row>
    <row r="480" spans="1:3" x14ac:dyDescent="0.35">
      <c r="A480" s="141" t="s">
        <v>499</v>
      </c>
      <c r="B480" s="141" t="s">
        <v>353</v>
      </c>
      <c r="C480" s="141" t="s">
        <v>32</v>
      </c>
    </row>
    <row r="481" spans="1:3" x14ac:dyDescent="0.35">
      <c r="A481" s="141" t="s">
        <v>500</v>
      </c>
      <c r="B481" s="141" t="s">
        <v>353</v>
      </c>
      <c r="C481" s="141" t="s">
        <v>32</v>
      </c>
    </row>
    <row r="482" spans="1:3" x14ac:dyDescent="0.35">
      <c r="A482" s="141" t="s">
        <v>501</v>
      </c>
      <c r="B482" s="141" t="s">
        <v>353</v>
      </c>
      <c r="C482" s="141" t="s">
        <v>32</v>
      </c>
    </row>
    <row r="483" spans="1:3" x14ac:dyDescent="0.35">
      <c r="A483" s="141" t="s">
        <v>502</v>
      </c>
      <c r="B483" s="141" t="s">
        <v>353</v>
      </c>
      <c r="C483" s="141" t="s">
        <v>32</v>
      </c>
    </row>
    <row r="484" spans="1:3" x14ac:dyDescent="0.35">
      <c r="A484" s="141" t="s">
        <v>503</v>
      </c>
      <c r="B484" s="141" t="s">
        <v>353</v>
      </c>
      <c r="C484" s="141" t="s">
        <v>32</v>
      </c>
    </row>
    <row r="485" spans="1:3" x14ac:dyDescent="0.35">
      <c r="A485" s="141" t="s">
        <v>504</v>
      </c>
      <c r="B485" s="141" t="s">
        <v>353</v>
      </c>
      <c r="C485" s="141" t="s">
        <v>26</v>
      </c>
    </row>
    <row r="486" spans="1:3" x14ac:dyDescent="0.35">
      <c r="A486" s="141" t="s">
        <v>505</v>
      </c>
      <c r="B486" s="141" t="s">
        <v>353</v>
      </c>
      <c r="C486" s="141" t="s">
        <v>32</v>
      </c>
    </row>
    <row r="487" spans="1:3" x14ac:dyDescent="0.35">
      <c r="A487" s="141" t="s">
        <v>506</v>
      </c>
      <c r="B487" s="141" t="s">
        <v>353</v>
      </c>
      <c r="C487" s="141" t="s">
        <v>32</v>
      </c>
    </row>
    <row r="488" spans="1:3" x14ac:dyDescent="0.35">
      <c r="A488" s="141" t="s">
        <v>507</v>
      </c>
      <c r="B488" s="141" t="s">
        <v>353</v>
      </c>
      <c r="C488" s="141" t="s">
        <v>32</v>
      </c>
    </row>
    <row r="489" spans="1:3" x14ac:dyDescent="0.35">
      <c r="A489" s="141" t="s">
        <v>508</v>
      </c>
      <c r="B489" s="141" t="s">
        <v>353</v>
      </c>
      <c r="C489" s="141" t="s">
        <v>32</v>
      </c>
    </row>
    <row r="490" spans="1:3" x14ac:dyDescent="0.35">
      <c r="A490" s="141" t="s">
        <v>509</v>
      </c>
      <c r="B490" s="141" t="s">
        <v>353</v>
      </c>
      <c r="C490" s="141" t="s">
        <v>32</v>
      </c>
    </row>
    <row r="491" spans="1:3" x14ac:dyDescent="0.35">
      <c r="A491" s="141" t="s">
        <v>510</v>
      </c>
      <c r="B491" s="141" t="s">
        <v>353</v>
      </c>
      <c r="C491" s="141" t="s">
        <v>32</v>
      </c>
    </row>
    <row r="492" spans="1:3" x14ac:dyDescent="0.35">
      <c r="A492" s="141" t="s">
        <v>511</v>
      </c>
      <c r="B492" s="141" t="s">
        <v>353</v>
      </c>
      <c r="C492" s="141" t="s">
        <v>32</v>
      </c>
    </row>
    <row r="493" spans="1:3" x14ac:dyDescent="0.35">
      <c r="A493" s="141" t="s">
        <v>512</v>
      </c>
      <c r="B493" s="141" t="s">
        <v>353</v>
      </c>
      <c r="C493" s="141" t="s">
        <v>32</v>
      </c>
    </row>
    <row r="494" spans="1:3" x14ac:dyDescent="0.35">
      <c r="A494" s="141" t="s">
        <v>513</v>
      </c>
      <c r="B494" s="141" t="s">
        <v>353</v>
      </c>
      <c r="C494" s="141" t="s">
        <v>35</v>
      </c>
    </row>
    <row r="495" spans="1:3" x14ac:dyDescent="0.35">
      <c r="A495" s="141" t="s">
        <v>514</v>
      </c>
      <c r="B495" s="141" t="s">
        <v>353</v>
      </c>
      <c r="C495" s="141" t="s">
        <v>33</v>
      </c>
    </row>
    <row r="496" spans="1:3" x14ac:dyDescent="0.35">
      <c r="A496" s="141" t="s">
        <v>515</v>
      </c>
      <c r="B496" s="141" t="s">
        <v>353</v>
      </c>
      <c r="C496" s="141" t="s">
        <v>33</v>
      </c>
    </row>
    <row r="497" spans="1:3" x14ac:dyDescent="0.35">
      <c r="A497" s="141" t="s">
        <v>516</v>
      </c>
      <c r="B497" s="141" t="s">
        <v>353</v>
      </c>
      <c r="C497" s="141" t="s">
        <v>33</v>
      </c>
    </row>
    <row r="498" spans="1:3" x14ac:dyDescent="0.35">
      <c r="A498" s="141" t="s">
        <v>517</v>
      </c>
      <c r="B498" s="141" t="s">
        <v>353</v>
      </c>
      <c r="C498" s="141" t="s">
        <v>30</v>
      </c>
    </row>
    <row r="499" spans="1:3" x14ac:dyDescent="0.35">
      <c r="A499" s="141" t="s">
        <v>518</v>
      </c>
      <c r="B499" s="141" t="s">
        <v>353</v>
      </c>
      <c r="C499" s="141" t="s">
        <v>30</v>
      </c>
    </row>
    <row r="500" spans="1:3" x14ac:dyDescent="0.35">
      <c r="A500" s="141" t="s">
        <v>519</v>
      </c>
      <c r="B500" s="141" t="s">
        <v>353</v>
      </c>
      <c r="C500" s="141" t="s">
        <v>34</v>
      </c>
    </row>
    <row r="501" spans="1:3" x14ac:dyDescent="0.35">
      <c r="A501" s="141" t="s">
        <v>520</v>
      </c>
      <c r="B501" s="141" t="s">
        <v>353</v>
      </c>
      <c r="C501" s="141" t="s">
        <v>34</v>
      </c>
    </row>
    <row r="502" spans="1:3" x14ac:dyDescent="0.35">
      <c r="A502" s="141" t="s">
        <v>521</v>
      </c>
      <c r="B502" s="141" t="s">
        <v>353</v>
      </c>
      <c r="C502" s="141" t="s">
        <v>34</v>
      </c>
    </row>
    <row r="503" spans="1:3" x14ac:dyDescent="0.35">
      <c r="A503" s="141" t="s">
        <v>522</v>
      </c>
      <c r="B503" s="141" t="s">
        <v>353</v>
      </c>
      <c r="C503" s="141" t="s">
        <v>34</v>
      </c>
    </row>
    <row r="504" spans="1:3" x14ac:dyDescent="0.35">
      <c r="A504" s="141" t="s">
        <v>523</v>
      </c>
      <c r="B504" s="141" t="s">
        <v>353</v>
      </c>
      <c r="C504" s="141" t="s">
        <v>30</v>
      </c>
    </row>
    <row r="505" spans="1:3" x14ac:dyDescent="0.35">
      <c r="A505" s="141" t="s">
        <v>524</v>
      </c>
      <c r="B505" s="141" t="s">
        <v>353</v>
      </c>
      <c r="C505" s="141" t="s">
        <v>30</v>
      </c>
    </row>
    <row r="506" spans="1:3" x14ac:dyDescent="0.35">
      <c r="A506" s="141" t="s">
        <v>525</v>
      </c>
      <c r="B506" s="141" t="s">
        <v>353</v>
      </c>
      <c r="C506" s="141" t="s">
        <v>46</v>
      </c>
    </row>
    <row r="507" spans="1:3" x14ac:dyDescent="0.35">
      <c r="A507" s="141" t="s">
        <v>526</v>
      </c>
      <c r="B507" s="141" t="s">
        <v>353</v>
      </c>
      <c r="C507" s="141" t="s">
        <v>32</v>
      </c>
    </row>
    <row r="508" spans="1:3" x14ac:dyDescent="0.35">
      <c r="A508" s="141" t="s">
        <v>527</v>
      </c>
      <c r="B508" s="141" t="s">
        <v>353</v>
      </c>
      <c r="C508" s="141" t="s">
        <v>32</v>
      </c>
    </row>
    <row r="509" spans="1:3" x14ac:dyDescent="0.35">
      <c r="A509" s="141" t="s">
        <v>528</v>
      </c>
      <c r="B509" s="141" t="s">
        <v>353</v>
      </c>
      <c r="C509" s="141" t="s">
        <v>32</v>
      </c>
    </row>
    <row r="510" spans="1:3" x14ac:dyDescent="0.35">
      <c r="A510" s="141" t="s">
        <v>529</v>
      </c>
      <c r="B510" s="141" t="s">
        <v>353</v>
      </c>
      <c r="C510" s="141" t="s">
        <v>32</v>
      </c>
    </row>
    <row r="511" spans="1:3" x14ac:dyDescent="0.35">
      <c r="A511" s="141" t="s">
        <v>303</v>
      </c>
      <c r="B511" s="141" t="s">
        <v>353</v>
      </c>
      <c r="C511" s="141" t="s">
        <v>25</v>
      </c>
    </row>
    <row r="512" spans="1:3" x14ac:dyDescent="0.35">
      <c r="A512" s="141" t="s">
        <v>530</v>
      </c>
      <c r="B512" s="141" t="s">
        <v>353</v>
      </c>
      <c r="C512" s="141" t="s">
        <v>25</v>
      </c>
    </row>
    <row r="513" spans="1:3" x14ac:dyDescent="0.35">
      <c r="A513" s="141" t="s">
        <v>531</v>
      </c>
      <c r="B513" s="141" t="s">
        <v>353</v>
      </c>
      <c r="C513" s="141" t="s">
        <v>51</v>
      </c>
    </row>
    <row r="514" spans="1:3" x14ac:dyDescent="0.35">
      <c r="A514" s="141" t="s">
        <v>532</v>
      </c>
      <c r="B514" s="141" t="s">
        <v>353</v>
      </c>
      <c r="C514" s="141" t="s">
        <v>51</v>
      </c>
    </row>
    <row r="515" spans="1:3" x14ac:dyDescent="0.35">
      <c r="A515" s="141" t="s">
        <v>533</v>
      </c>
      <c r="B515" s="141" t="s">
        <v>353</v>
      </c>
      <c r="C515" s="141" t="s">
        <v>50</v>
      </c>
    </row>
    <row r="516" spans="1:3" x14ac:dyDescent="0.35">
      <c r="A516" s="141" t="s">
        <v>534</v>
      </c>
      <c r="B516" s="141" t="s">
        <v>353</v>
      </c>
      <c r="C516" s="141" t="s">
        <v>53</v>
      </c>
    </row>
    <row r="517" spans="1:3" x14ac:dyDescent="0.35">
      <c r="A517" s="141" t="s">
        <v>312</v>
      </c>
      <c r="B517" s="141" t="s">
        <v>353</v>
      </c>
      <c r="C517" s="141" t="s">
        <v>53</v>
      </c>
    </row>
    <row r="518" spans="1:3" x14ac:dyDescent="0.35">
      <c r="A518" s="141" t="s">
        <v>535</v>
      </c>
      <c r="B518" s="141" t="s">
        <v>353</v>
      </c>
      <c r="C518" s="141" t="s">
        <v>52</v>
      </c>
    </row>
    <row r="519" spans="1:3" x14ac:dyDescent="0.35">
      <c r="A519" s="141" t="s">
        <v>536</v>
      </c>
      <c r="B519" s="141" t="s">
        <v>353</v>
      </c>
      <c r="C519" s="141" t="s">
        <v>52</v>
      </c>
    </row>
    <row r="520" spans="1:3" x14ac:dyDescent="0.35">
      <c r="A520" s="141" t="s">
        <v>537</v>
      </c>
      <c r="B520" s="141" t="s">
        <v>353</v>
      </c>
      <c r="C520" s="141" t="s">
        <v>52</v>
      </c>
    </row>
    <row r="521" spans="1:3" x14ac:dyDescent="0.35">
      <c r="A521" s="141" t="s">
        <v>538</v>
      </c>
      <c r="B521" s="141" t="s">
        <v>353</v>
      </c>
      <c r="C521" s="141" t="s">
        <v>52</v>
      </c>
    </row>
    <row r="522" spans="1:3" x14ac:dyDescent="0.35">
      <c r="A522" s="141" t="s">
        <v>539</v>
      </c>
      <c r="B522" s="141" t="s">
        <v>353</v>
      </c>
      <c r="C522" s="141" t="s">
        <v>52</v>
      </c>
    </row>
    <row r="523" spans="1:3" x14ac:dyDescent="0.35">
      <c r="A523" s="141" t="s">
        <v>540</v>
      </c>
      <c r="B523" s="141" t="s">
        <v>353</v>
      </c>
      <c r="C523" s="141" t="s">
        <v>52</v>
      </c>
    </row>
    <row r="524" spans="1:3" x14ac:dyDescent="0.35">
      <c r="A524" s="141" t="s">
        <v>541</v>
      </c>
      <c r="B524" s="141" t="s">
        <v>353</v>
      </c>
      <c r="C524" s="141" t="s">
        <v>52</v>
      </c>
    </row>
    <row r="525" spans="1:3" x14ac:dyDescent="0.35">
      <c r="A525" s="141" t="s">
        <v>542</v>
      </c>
      <c r="B525" s="141" t="s">
        <v>353</v>
      </c>
      <c r="C525" s="141" t="s">
        <v>52</v>
      </c>
    </row>
    <row r="526" spans="1:3" x14ac:dyDescent="0.35">
      <c r="A526" s="141" t="s">
        <v>543</v>
      </c>
      <c r="B526" s="141" t="s">
        <v>353</v>
      </c>
      <c r="C526" s="141" t="s">
        <v>52</v>
      </c>
    </row>
    <row r="527" spans="1:3" x14ac:dyDescent="0.35">
      <c r="A527" s="141" t="s">
        <v>544</v>
      </c>
      <c r="B527" s="141" t="s">
        <v>353</v>
      </c>
      <c r="C527" s="141" t="s">
        <v>33</v>
      </c>
    </row>
    <row r="528" spans="1:3" x14ac:dyDescent="0.35">
      <c r="A528" s="141" t="s">
        <v>545</v>
      </c>
      <c r="B528" s="141" t="s">
        <v>353</v>
      </c>
      <c r="C528" s="141" t="s">
        <v>52</v>
      </c>
    </row>
    <row r="529" spans="1:3" x14ac:dyDescent="0.35">
      <c r="A529" s="141" t="s">
        <v>546</v>
      </c>
      <c r="B529" s="141" t="s">
        <v>353</v>
      </c>
      <c r="C529" s="141" t="s">
        <v>52</v>
      </c>
    </row>
    <row r="530" spans="1:3" x14ac:dyDescent="0.35">
      <c r="A530" s="141" t="s">
        <v>547</v>
      </c>
      <c r="B530" s="141" t="s">
        <v>353</v>
      </c>
      <c r="C530" s="141" t="s">
        <v>52</v>
      </c>
    </row>
    <row r="531" spans="1:3" x14ac:dyDescent="0.35">
      <c r="A531" s="141" t="s">
        <v>548</v>
      </c>
      <c r="B531" s="141" t="s">
        <v>353</v>
      </c>
      <c r="C531" s="141" t="s">
        <v>33</v>
      </c>
    </row>
    <row r="532" spans="1:3" x14ac:dyDescent="0.35">
      <c r="A532" s="141" t="s">
        <v>549</v>
      </c>
      <c r="B532" s="141" t="s">
        <v>353</v>
      </c>
      <c r="C532" s="141" t="s">
        <v>33</v>
      </c>
    </row>
    <row r="533" spans="1:3" x14ac:dyDescent="0.35">
      <c r="A533" s="141" t="s">
        <v>550</v>
      </c>
      <c r="B533" s="141" t="s">
        <v>353</v>
      </c>
      <c r="C533" s="141" t="s">
        <v>33</v>
      </c>
    </row>
    <row r="534" spans="1:3" x14ac:dyDescent="0.35">
      <c r="A534" s="141" t="s">
        <v>551</v>
      </c>
      <c r="B534" s="141" t="s">
        <v>353</v>
      </c>
      <c r="C534" s="141" t="s">
        <v>33</v>
      </c>
    </row>
    <row r="535" spans="1:3" x14ac:dyDescent="0.35">
      <c r="A535" s="141" t="s">
        <v>552</v>
      </c>
      <c r="B535" s="141" t="s">
        <v>353</v>
      </c>
      <c r="C535" s="141" t="s">
        <v>16</v>
      </c>
    </row>
    <row r="536" spans="1:3" x14ac:dyDescent="0.35">
      <c r="A536" s="141" t="s">
        <v>553</v>
      </c>
      <c r="B536" s="141" t="s">
        <v>353</v>
      </c>
      <c r="C536" s="141" t="s">
        <v>16</v>
      </c>
    </row>
    <row r="537" spans="1:3" x14ac:dyDescent="0.35">
      <c r="A537" s="141" t="s">
        <v>554</v>
      </c>
      <c r="B537" s="141" t="s">
        <v>353</v>
      </c>
      <c r="C537" s="141" t="s">
        <v>16</v>
      </c>
    </row>
    <row r="538" spans="1:3" x14ac:dyDescent="0.35">
      <c r="A538" s="141" t="s">
        <v>331</v>
      </c>
      <c r="B538" s="141" t="s">
        <v>353</v>
      </c>
      <c r="C538" s="141" t="s">
        <v>16</v>
      </c>
    </row>
    <row r="539" spans="1:3" x14ac:dyDescent="0.35">
      <c r="A539" s="141" t="s">
        <v>332</v>
      </c>
      <c r="B539" s="141" t="s">
        <v>353</v>
      </c>
      <c r="C539" s="141" t="s">
        <v>16</v>
      </c>
    </row>
    <row r="540" spans="1:3" x14ac:dyDescent="0.35">
      <c r="A540" s="141" t="s">
        <v>333</v>
      </c>
      <c r="B540" s="141" t="s">
        <v>353</v>
      </c>
      <c r="C540" s="141" t="s">
        <v>16</v>
      </c>
    </row>
    <row r="541" spans="1:3" x14ac:dyDescent="0.35">
      <c r="A541" s="141" t="s">
        <v>334</v>
      </c>
      <c r="B541" s="141" t="s">
        <v>353</v>
      </c>
      <c r="C541" s="141" t="s">
        <v>16</v>
      </c>
    </row>
    <row r="542" spans="1:3" x14ac:dyDescent="0.35">
      <c r="A542" s="141" t="s">
        <v>335</v>
      </c>
      <c r="B542" s="141" t="s">
        <v>353</v>
      </c>
      <c r="C542" s="141" t="s">
        <v>16</v>
      </c>
    </row>
    <row r="543" spans="1:3" x14ac:dyDescent="0.35">
      <c r="A543" s="141" t="s">
        <v>336</v>
      </c>
      <c r="B543" s="141" t="s">
        <v>353</v>
      </c>
      <c r="C543" s="141" t="s">
        <v>16</v>
      </c>
    </row>
    <row r="544" spans="1:3" x14ac:dyDescent="0.35">
      <c r="A544" s="141" t="s">
        <v>555</v>
      </c>
      <c r="B544" s="141" t="s">
        <v>353</v>
      </c>
      <c r="C544" s="141" t="s">
        <v>32</v>
      </c>
    </row>
    <row r="545" spans="1:3" x14ac:dyDescent="0.35">
      <c r="A545" s="141" t="s">
        <v>556</v>
      </c>
      <c r="B545" s="141" t="s">
        <v>353</v>
      </c>
      <c r="C545" s="141" t="s">
        <v>32</v>
      </c>
    </row>
    <row r="546" spans="1:3" x14ac:dyDescent="0.35">
      <c r="A546" s="141" t="s">
        <v>557</v>
      </c>
      <c r="B546" s="141" t="s">
        <v>353</v>
      </c>
      <c r="C546" s="141" t="s">
        <v>32</v>
      </c>
    </row>
    <row r="547" spans="1:3" x14ac:dyDescent="0.35">
      <c r="A547" s="141" t="s">
        <v>558</v>
      </c>
      <c r="B547" s="141" t="s">
        <v>353</v>
      </c>
      <c r="C547" s="141" t="s">
        <v>32</v>
      </c>
    </row>
    <row r="548" spans="1:3" x14ac:dyDescent="0.35">
      <c r="A548" s="141" t="s">
        <v>559</v>
      </c>
      <c r="B548" s="141" t="s">
        <v>353</v>
      </c>
      <c r="C548" s="141" t="s">
        <v>47</v>
      </c>
    </row>
    <row r="549" spans="1:3" x14ac:dyDescent="0.35">
      <c r="A549" s="141" t="s">
        <v>560</v>
      </c>
      <c r="B549" s="141" t="s">
        <v>353</v>
      </c>
      <c r="C549" s="141" t="s">
        <v>47</v>
      </c>
    </row>
    <row r="550" spans="1:3" x14ac:dyDescent="0.35">
      <c r="A550" s="141" t="s">
        <v>561</v>
      </c>
      <c r="B550" s="141" t="s">
        <v>353</v>
      </c>
      <c r="C550" s="141" t="s">
        <v>47</v>
      </c>
    </row>
    <row r="551" spans="1:3" x14ac:dyDescent="0.35">
      <c r="A551" s="141" t="s">
        <v>562</v>
      </c>
      <c r="B551" s="141" t="s">
        <v>353</v>
      </c>
      <c r="C551" s="141" t="s">
        <v>48</v>
      </c>
    </row>
    <row r="552" spans="1:3" x14ac:dyDescent="0.35">
      <c r="A552" s="141" t="s">
        <v>563</v>
      </c>
      <c r="B552" s="141" t="s">
        <v>353</v>
      </c>
      <c r="C552" s="141" t="s">
        <v>47</v>
      </c>
    </row>
    <row r="553" spans="1:3" x14ac:dyDescent="0.35">
      <c r="A553" s="141" t="s">
        <v>352</v>
      </c>
      <c r="B553" s="141" t="s">
        <v>288</v>
      </c>
      <c r="C553" s="141" t="s">
        <v>2</v>
      </c>
    </row>
    <row r="554" spans="1:3" x14ac:dyDescent="0.35">
      <c r="A554" s="141" t="s">
        <v>354</v>
      </c>
      <c r="B554" s="141" t="s">
        <v>288</v>
      </c>
      <c r="C554" s="141" t="s">
        <v>2</v>
      </c>
    </row>
    <row r="555" spans="1:3" x14ac:dyDescent="0.35">
      <c r="A555" s="141" t="s">
        <v>355</v>
      </c>
      <c r="B555" s="141" t="s">
        <v>288</v>
      </c>
      <c r="C555" s="141" t="s">
        <v>12</v>
      </c>
    </row>
    <row r="556" spans="1:3" x14ac:dyDescent="0.35">
      <c r="A556" s="141" t="s">
        <v>358</v>
      </c>
      <c r="B556" s="141" t="s">
        <v>288</v>
      </c>
      <c r="C556" s="141" t="s">
        <v>14</v>
      </c>
    </row>
    <row r="557" spans="1:3" x14ac:dyDescent="0.35">
      <c r="A557" s="141" t="s">
        <v>359</v>
      </c>
      <c r="B557" s="141" t="s">
        <v>288</v>
      </c>
      <c r="C557" s="141" t="s">
        <v>46</v>
      </c>
    </row>
    <row r="558" spans="1:3" x14ac:dyDescent="0.35">
      <c r="A558" s="141" t="s">
        <v>360</v>
      </c>
      <c r="B558" s="141" t="s">
        <v>288</v>
      </c>
      <c r="C558" s="141" t="s">
        <v>46</v>
      </c>
    </row>
    <row r="559" spans="1:3" x14ac:dyDescent="0.35">
      <c r="A559" s="141" t="s">
        <v>361</v>
      </c>
      <c r="B559" s="141" t="s">
        <v>288</v>
      </c>
      <c r="C559" s="141" t="s">
        <v>45</v>
      </c>
    </row>
    <row r="560" spans="1:3" x14ac:dyDescent="0.35">
      <c r="A560" s="141" t="s">
        <v>362</v>
      </c>
      <c r="B560" s="141" t="s">
        <v>288</v>
      </c>
      <c r="C560" s="141" t="s">
        <v>45</v>
      </c>
    </row>
    <row r="561" spans="1:3" x14ac:dyDescent="0.35">
      <c r="A561" s="141" t="s">
        <v>363</v>
      </c>
      <c r="B561" s="141" t="s">
        <v>288</v>
      </c>
      <c r="C561" s="141" t="s">
        <v>45</v>
      </c>
    </row>
    <row r="562" spans="1:3" x14ac:dyDescent="0.35">
      <c r="A562" s="141" t="s">
        <v>364</v>
      </c>
      <c r="B562" s="141" t="s">
        <v>288</v>
      </c>
      <c r="C562" s="141" t="s">
        <v>45</v>
      </c>
    </row>
    <row r="563" spans="1:3" x14ac:dyDescent="0.35">
      <c r="A563" s="141" t="s">
        <v>365</v>
      </c>
      <c r="B563" s="141" t="s">
        <v>288</v>
      </c>
      <c r="C563" s="141" t="s">
        <v>7</v>
      </c>
    </row>
    <row r="564" spans="1:3" x14ac:dyDescent="0.35">
      <c r="A564" s="141" t="s">
        <v>366</v>
      </c>
      <c r="B564" s="141" t="s">
        <v>288</v>
      </c>
      <c r="C564" s="141" t="s">
        <v>8</v>
      </c>
    </row>
    <row r="565" spans="1:3" x14ac:dyDescent="0.35">
      <c r="A565" s="141" t="s">
        <v>367</v>
      </c>
      <c r="B565" s="141" t="s">
        <v>288</v>
      </c>
      <c r="C565" s="141" t="s">
        <v>8</v>
      </c>
    </row>
    <row r="566" spans="1:3" x14ac:dyDescent="0.35">
      <c r="A566" s="141" t="s">
        <v>368</v>
      </c>
      <c r="B566" s="141" t="s">
        <v>288</v>
      </c>
      <c r="C566" s="141" t="s">
        <v>10</v>
      </c>
    </row>
    <row r="567" spans="1:3" x14ac:dyDescent="0.35">
      <c r="A567" s="141" t="s">
        <v>369</v>
      </c>
      <c r="B567" s="141" t="s">
        <v>288</v>
      </c>
      <c r="C567" s="141" t="s">
        <v>10</v>
      </c>
    </row>
    <row r="568" spans="1:3" x14ac:dyDescent="0.35">
      <c r="A568" s="141" t="s">
        <v>370</v>
      </c>
      <c r="B568" s="141" t="s">
        <v>288</v>
      </c>
      <c r="C568" s="141" t="s">
        <v>10</v>
      </c>
    </row>
    <row r="569" spans="1:3" x14ac:dyDescent="0.35">
      <c r="A569" s="141" t="s">
        <v>371</v>
      </c>
      <c r="B569" s="141" t="s">
        <v>288</v>
      </c>
      <c r="C569" s="141" t="s">
        <v>10</v>
      </c>
    </row>
    <row r="570" spans="1:3" x14ac:dyDescent="0.35">
      <c r="A570" s="141" t="s">
        <v>372</v>
      </c>
      <c r="B570" s="141" t="s">
        <v>288</v>
      </c>
      <c r="C570" s="141" t="s">
        <v>10</v>
      </c>
    </row>
    <row r="571" spans="1:3" x14ac:dyDescent="0.35">
      <c r="A571" s="141" t="s">
        <v>373</v>
      </c>
      <c r="B571" s="141" t="s">
        <v>288</v>
      </c>
      <c r="C571" s="141" t="s">
        <v>10</v>
      </c>
    </row>
    <row r="572" spans="1:3" x14ac:dyDescent="0.35">
      <c r="A572" s="141" t="s">
        <v>374</v>
      </c>
      <c r="B572" s="141" t="s">
        <v>288</v>
      </c>
      <c r="C572" s="141" t="s">
        <v>10</v>
      </c>
    </row>
    <row r="573" spans="1:3" x14ac:dyDescent="0.35">
      <c r="A573" s="141" t="s">
        <v>375</v>
      </c>
      <c r="B573" s="141" t="s">
        <v>288</v>
      </c>
      <c r="C573" s="141" t="s">
        <v>10</v>
      </c>
    </row>
    <row r="574" spans="1:3" x14ac:dyDescent="0.35">
      <c r="A574" s="141" t="s">
        <v>376</v>
      </c>
      <c r="B574" s="141" t="s">
        <v>288</v>
      </c>
      <c r="C574" s="141" t="s">
        <v>10</v>
      </c>
    </row>
    <row r="575" spans="1:3" x14ac:dyDescent="0.35">
      <c r="A575" s="141" t="s">
        <v>377</v>
      </c>
      <c r="B575" s="141" t="s">
        <v>288</v>
      </c>
      <c r="C575" s="141" t="s">
        <v>11</v>
      </c>
    </row>
    <row r="576" spans="1:3" x14ac:dyDescent="0.35">
      <c r="A576" s="141" t="s">
        <v>378</v>
      </c>
      <c r="B576" s="141" t="s">
        <v>288</v>
      </c>
      <c r="C576" s="141" t="s">
        <v>11</v>
      </c>
    </row>
    <row r="577" spans="1:3" x14ac:dyDescent="0.35">
      <c r="A577" s="141" t="s">
        <v>379</v>
      </c>
      <c r="B577" s="141" t="s">
        <v>288</v>
      </c>
      <c r="C577" s="141" t="s">
        <v>11</v>
      </c>
    </row>
    <row r="578" spans="1:3" x14ac:dyDescent="0.35">
      <c r="A578" s="141" t="s">
        <v>380</v>
      </c>
      <c r="B578" s="141" t="s">
        <v>288</v>
      </c>
      <c r="C578" s="141" t="s">
        <v>11</v>
      </c>
    </row>
    <row r="579" spans="1:3" x14ac:dyDescent="0.35">
      <c r="A579" s="141" t="s">
        <v>381</v>
      </c>
      <c r="B579" s="141" t="s">
        <v>288</v>
      </c>
      <c r="C579" s="141" t="s">
        <v>11</v>
      </c>
    </row>
    <row r="580" spans="1:3" x14ac:dyDescent="0.35">
      <c r="A580" s="141" t="s">
        <v>382</v>
      </c>
      <c r="B580" s="141" t="s">
        <v>288</v>
      </c>
      <c r="C580" s="141" t="s">
        <v>11</v>
      </c>
    </row>
    <row r="581" spans="1:3" x14ac:dyDescent="0.35">
      <c r="A581" s="141" t="s">
        <v>383</v>
      </c>
      <c r="B581" s="141" t="s">
        <v>288</v>
      </c>
      <c r="C581" s="141" t="s">
        <v>5</v>
      </c>
    </row>
    <row r="582" spans="1:3" x14ac:dyDescent="0.35">
      <c r="A582" s="141" t="s">
        <v>564</v>
      </c>
      <c r="B582" s="141" t="s">
        <v>288</v>
      </c>
      <c r="C582" s="141" t="s">
        <v>7</v>
      </c>
    </row>
    <row r="583" spans="1:3" x14ac:dyDescent="0.35">
      <c r="A583" s="141" t="s">
        <v>565</v>
      </c>
      <c r="B583" s="141" t="s">
        <v>288</v>
      </c>
      <c r="C583" s="141" t="s">
        <v>7</v>
      </c>
    </row>
    <row r="584" spans="1:3" x14ac:dyDescent="0.35">
      <c r="A584" s="141" t="s">
        <v>385</v>
      </c>
      <c r="B584" s="141" t="s">
        <v>288</v>
      </c>
      <c r="C584" s="141" t="s">
        <v>7</v>
      </c>
    </row>
    <row r="585" spans="1:3" x14ac:dyDescent="0.35">
      <c r="A585" s="141" t="s">
        <v>386</v>
      </c>
      <c r="B585" s="141" t="s">
        <v>288</v>
      </c>
      <c r="C585" s="141" t="s">
        <v>7</v>
      </c>
    </row>
    <row r="586" spans="1:3" x14ac:dyDescent="0.35">
      <c r="A586" s="141" t="s">
        <v>387</v>
      </c>
      <c r="B586" s="141" t="s">
        <v>288</v>
      </c>
      <c r="C586" s="141" t="s">
        <v>7</v>
      </c>
    </row>
    <row r="587" spans="1:3" x14ac:dyDescent="0.35">
      <c r="A587" s="141" t="s">
        <v>388</v>
      </c>
      <c r="B587" s="141" t="s">
        <v>288</v>
      </c>
      <c r="C587" s="141" t="s">
        <v>8</v>
      </c>
    </row>
    <row r="588" spans="1:3" x14ac:dyDescent="0.35">
      <c r="A588" s="141" t="s">
        <v>389</v>
      </c>
      <c r="B588" s="141" t="s">
        <v>288</v>
      </c>
      <c r="C588" s="141" t="s">
        <v>8</v>
      </c>
    </row>
    <row r="589" spans="1:3" x14ac:dyDescent="0.35">
      <c r="A589" s="141" t="s">
        <v>390</v>
      </c>
      <c r="B589" s="141" t="s">
        <v>288</v>
      </c>
      <c r="C589" s="141" t="s">
        <v>16</v>
      </c>
    </row>
    <row r="590" spans="1:3" x14ac:dyDescent="0.35">
      <c r="A590" s="141" t="s">
        <v>391</v>
      </c>
      <c r="B590" s="141" t="s">
        <v>288</v>
      </c>
      <c r="C590" s="141" t="s">
        <v>16</v>
      </c>
    </row>
    <row r="591" spans="1:3" x14ac:dyDescent="0.35">
      <c r="A591" s="141" t="s">
        <v>392</v>
      </c>
      <c r="B591" s="141" t="s">
        <v>288</v>
      </c>
      <c r="C591" s="141" t="s">
        <v>16</v>
      </c>
    </row>
    <row r="592" spans="1:3" x14ac:dyDescent="0.35">
      <c r="A592" s="141" t="s">
        <v>393</v>
      </c>
      <c r="B592" s="141" t="s">
        <v>288</v>
      </c>
      <c r="C592" s="141" t="s">
        <v>9</v>
      </c>
    </row>
    <row r="593" spans="1:3" x14ac:dyDescent="0.35">
      <c r="A593" s="141" t="s">
        <v>394</v>
      </c>
      <c r="B593" s="141" t="s">
        <v>288</v>
      </c>
      <c r="C593" s="141" t="s">
        <v>19</v>
      </c>
    </row>
    <row r="594" spans="1:3" x14ac:dyDescent="0.35">
      <c r="A594" s="141" t="s">
        <v>395</v>
      </c>
      <c r="B594" s="141" t="s">
        <v>288</v>
      </c>
      <c r="C594" s="141" t="s">
        <v>19</v>
      </c>
    </row>
    <row r="595" spans="1:3" x14ac:dyDescent="0.35">
      <c r="A595" s="141" t="s">
        <v>396</v>
      </c>
      <c r="B595" s="141" t="s">
        <v>288</v>
      </c>
      <c r="C595" s="141" t="s">
        <v>45</v>
      </c>
    </row>
    <row r="596" spans="1:3" x14ac:dyDescent="0.35">
      <c r="A596" s="141" t="s">
        <v>397</v>
      </c>
      <c r="B596" s="141" t="s">
        <v>288</v>
      </c>
      <c r="C596" s="141" t="s">
        <v>16</v>
      </c>
    </row>
    <row r="597" spans="1:3" x14ac:dyDescent="0.35">
      <c r="A597" s="141" t="s">
        <v>398</v>
      </c>
      <c r="B597" s="141" t="s">
        <v>288</v>
      </c>
      <c r="C597" s="141" t="s">
        <v>17</v>
      </c>
    </row>
    <row r="598" spans="1:3" x14ac:dyDescent="0.35">
      <c r="A598" s="141" t="s">
        <v>399</v>
      </c>
      <c r="B598" s="141" t="s">
        <v>288</v>
      </c>
      <c r="C598" s="141" t="s">
        <v>16</v>
      </c>
    </row>
    <row r="599" spans="1:3" x14ac:dyDescent="0.35">
      <c r="A599" s="141" t="s">
        <v>400</v>
      </c>
      <c r="B599" s="141" t="s">
        <v>288</v>
      </c>
      <c r="C599" s="141" t="s">
        <v>20</v>
      </c>
    </row>
    <row r="600" spans="1:3" x14ac:dyDescent="0.35">
      <c r="A600" s="141" t="s">
        <v>401</v>
      </c>
      <c r="B600" s="141" t="s">
        <v>288</v>
      </c>
      <c r="C600" s="141" t="s">
        <v>20</v>
      </c>
    </row>
    <row r="601" spans="1:3" x14ac:dyDescent="0.35">
      <c r="A601" s="141" t="s">
        <v>402</v>
      </c>
      <c r="B601" s="141" t="s">
        <v>288</v>
      </c>
      <c r="C601" s="141" t="s">
        <v>20</v>
      </c>
    </row>
    <row r="602" spans="1:3" x14ac:dyDescent="0.35">
      <c r="A602" s="141" t="s">
        <v>403</v>
      </c>
      <c r="B602" s="141" t="s">
        <v>288</v>
      </c>
      <c r="C602" s="141" t="s">
        <v>20</v>
      </c>
    </row>
    <row r="603" spans="1:3" x14ac:dyDescent="0.35">
      <c r="A603" s="141" t="s">
        <v>404</v>
      </c>
      <c r="B603" s="141" t="s">
        <v>288</v>
      </c>
      <c r="C603" s="141" t="s">
        <v>20</v>
      </c>
    </row>
    <row r="604" spans="1:3" x14ac:dyDescent="0.35">
      <c r="A604" s="141" t="s">
        <v>405</v>
      </c>
      <c r="B604" s="141" t="s">
        <v>288</v>
      </c>
      <c r="C604" s="141" t="s">
        <v>20</v>
      </c>
    </row>
    <row r="605" spans="1:3" x14ac:dyDescent="0.35">
      <c r="A605" s="141" t="s">
        <v>406</v>
      </c>
      <c r="B605" s="141" t="s">
        <v>288</v>
      </c>
      <c r="C605" s="141" t="s">
        <v>18</v>
      </c>
    </row>
    <row r="606" spans="1:3" x14ac:dyDescent="0.35">
      <c r="A606" s="141" t="s">
        <v>407</v>
      </c>
      <c r="B606" s="141" t="s">
        <v>288</v>
      </c>
      <c r="C606" s="141" t="s">
        <v>17</v>
      </c>
    </row>
    <row r="607" spans="1:3" x14ac:dyDescent="0.35">
      <c r="A607" s="141" t="s">
        <v>408</v>
      </c>
      <c r="B607" s="141" t="s">
        <v>288</v>
      </c>
      <c r="C607" s="141" t="s">
        <v>17</v>
      </c>
    </row>
    <row r="608" spans="1:3" x14ac:dyDescent="0.35">
      <c r="A608" s="141" t="s">
        <v>566</v>
      </c>
      <c r="B608" s="141" t="s">
        <v>288</v>
      </c>
      <c r="C608" s="141" t="s">
        <v>17</v>
      </c>
    </row>
    <row r="609" spans="1:3" x14ac:dyDescent="0.35">
      <c r="A609" s="141" t="s">
        <v>567</v>
      </c>
      <c r="B609" s="141" t="s">
        <v>288</v>
      </c>
      <c r="C609" s="141" t="s">
        <v>16</v>
      </c>
    </row>
    <row r="610" spans="1:3" x14ac:dyDescent="0.35">
      <c r="A610" s="141" t="s">
        <v>409</v>
      </c>
      <c r="B610" s="141" t="s">
        <v>288</v>
      </c>
      <c r="C610" s="141" t="s">
        <v>18</v>
      </c>
    </row>
    <row r="611" spans="1:3" x14ac:dyDescent="0.35">
      <c r="A611" s="141" t="s">
        <v>410</v>
      </c>
      <c r="B611" s="141" t="s">
        <v>288</v>
      </c>
      <c r="C611" s="141" t="s">
        <v>18</v>
      </c>
    </row>
    <row r="612" spans="1:3" x14ac:dyDescent="0.35">
      <c r="A612" s="141" t="s">
        <v>295</v>
      </c>
      <c r="B612" s="141" t="s">
        <v>288</v>
      </c>
      <c r="C612" s="141" t="s">
        <v>18</v>
      </c>
    </row>
    <row r="613" spans="1:3" x14ac:dyDescent="0.35">
      <c r="A613" s="141" t="s">
        <v>411</v>
      </c>
      <c r="B613" s="141" t="s">
        <v>288</v>
      </c>
      <c r="C613" s="141" t="s">
        <v>9</v>
      </c>
    </row>
    <row r="614" spans="1:3" x14ac:dyDescent="0.35">
      <c r="A614" s="141" t="s">
        <v>412</v>
      </c>
      <c r="B614" s="141" t="s">
        <v>288</v>
      </c>
      <c r="C614" s="141" t="s">
        <v>9</v>
      </c>
    </row>
    <row r="615" spans="1:3" x14ac:dyDescent="0.35">
      <c r="A615" s="141" t="s">
        <v>413</v>
      </c>
      <c r="B615" s="141" t="s">
        <v>288</v>
      </c>
      <c r="C615" s="141" t="s">
        <v>9</v>
      </c>
    </row>
    <row r="616" spans="1:3" x14ac:dyDescent="0.35">
      <c r="A616" s="141" t="s">
        <v>414</v>
      </c>
      <c r="B616" s="141" t="s">
        <v>288</v>
      </c>
      <c r="C616" s="141" t="s">
        <v>9</v>
      </c>
    </row>
    <row r="617" spans="1:3" x14ac:dyDescent="0.35">
      <c r="A617" s="141" t="s">
        <v>415</v>
      </c>
      <c r="B617" s="141" t="s">
        <v>288</v>
      </c>
      <c r="C617" s="141" t="s">
        <v>9</v>
      </c>
    </row>
    <row r="618" spans="1:3" x14ac:dyDescent="0.35">
      <c r="A618" s="141" t="s">
        <v>416</v>
      </c>
      <c r="B618" s="141" t="s">
        <v>288</v>
      </c>
      <c r="C618" s="141" t="s">
        <v>15</v>
      </c>
    </row>
    <row r="619" spans="1:3" x14ac:dyDescent="0.35">
      <c r="A619" s="141" t="s">
        <v>417</v>
      </c>
      <c r="B619" s="141" t="s">
        <v>288</v>
      </c>
      <c r="C619" s="141" t="s">
        <v>6</v>
      </c>
    </row>
    <row r="620" spans="1:3" x14ac:dyDescent="0.35">
      <c r="A620" s="141" t="s">
        <v>418</v>
      </c>
      <c r="B620" s="141" t="s">
        <v>288</v>
      </c>
      <c r="C620" s="141" t="s">
        <v>17</v>
      </c>
    </row>
    <row r="621" spans="1:3" x14ac:dyDescent="0.35">
      <c r="A621" s="141" t="s">
        <v>419</v>
      </c>
      <c r="B621" s="141" t="s">
        <v>288</v>
      </c>
      <c r="C621" s="141" t="s">
        <v>17</v>
      </c>
    </row>
    <row r="622" spans="1:3" x14ac:dyDescent="0.35">
      <c r="A622" s="141" t="s">
        <v>420</v>
      </c>
      <c r="B622" s="141" t="s">
        <v>288</v>
      </c>
      <c r="C622" s="141" t="s">
        <v>17</v>
      </c>
    </row>
    <row r="623" spans="1:3" x14ac:dyDescent="0.35">
      <c r="A623" s="141" t="s">
        <v>421</v>
      </c>
      <c r="B623" s="141" t="s">
        <v>288</v>
      </c>
      <c r="C623" s="141" t="s">
        <v>6</v>
      </c>
    </row>
    <row r="624" spans="1:3" x14ac:dyDescent="0.35">
      <c r="A624" s="141" t="s">
        <v>422</v>
      </c>
      <c r="B624" s="141" t="s">
        <v>288</v>
      </c>
      <c r="C624" s="141" t="s">
        <v>17</v>
      </c>
    </row>
    <row r="625" spans="1:3" x14ac:dyDescent="0.35">
      <c r="A625" s="141" t="s">
        <v>423</v>
      </c>
      <c r="B625" s="141" t="s">
        <v>288</v>
      </c>
      <c r="C625" s="141" t="s">
        <v>21</v>
      </c>
    </row>
    <row r="626" spans="1:3" x14ac:dyDescent="0.35">
      <c r="A626" s="141" t="s">
        <v>278</v>
      </c>
      <c r="B626" s="141" t="s">
        <v>288</v>
      </c>
      <c r="C626" s="141" t="s">
        <v>21</v>
      </c>
    </row>
    <row r="627" spans="1:3" x14ac:dyDescent="0.35">
      <c r="A627" s="141" t="s">
        <v>283</v>
      </c>
      <c r="B627" s="141" t="s">
        <v>288</v>
      </c>
      <c r="C627" s="141" t="s">
        <v>21</v>
      </c>
    </row>
    <row r="628" spans="1:3" x14ac:dyDescent="0.35">
      <c r="A628" s="141" t="s">
        <v>284</v>
      </c>
      <c r="B628" s="141" t="s">
        <v>288</v>
      </c>
      <c r="C628" s="141" t="s">
        <v>21</v>
      </c>
    </row>
    <row r="629" spans="1:3" x14ac:dyDescent="0.35">
      <c r="A629" s="141" t="s">
        <v>424</v>
      </c>
      <c r="B629" s="141" t="s">
        <v>288</v>
      </c>
      <c r="C629" s="141" t="s">
        <v>21</v>
      </c>
    </row>
    <row r="630" spans="1:3" x14ac:dyDescent="0.35">
      <c r="A630" s="141" t="s">
        <v>425</v>
      </c>
      <c r="B630" s="141" t="s">
        <v>288</v>
      </c>
      <c r="C630" s="141" t="s">
        <v>27</v>
      </c>
    </row>
    <row r="631" spans="1:3" x14ac:dyDescent="0.35">
      <c r="A631" s="141" t="s">
        <v>285</v>
      </c>
      <c r="B631" s="141" t="s">
        <v>288</v>
      </c>
      <c r="C631" s="141" t="s">
        <v>27</v>
      </c>
    </row>
    <row r="632" spans="1:3" x14ac:dyDescent="0.35">
      <c r="A632" s="141" t="s">
        <v>286</v>
      </c>
      <c r="B632" s="141" t="s">
        <v>288</v>
      </c>
      <c r="C632" s="141" t="s">
        <v>21</v>
      </c>
    </row>
    <row r="633" spans="1:3" x14ac:dyDescent="0.35">
      <c r="A633" s="141" t="s">
        <v>426</v>
      </c>
      <c r="B633" s="141" t="s">
        <v>288</v>
      </c>
      <c r="C633" s="141" t="s">
        <v>27</v>
      </c>
    </row>
    <row r="634" spans="1:3" x14ac:dyDescent="0.35">
      <c r="A634" s="141" t="s">
        <v>427</v>
      </c>
      <c r="B634" s="141" t="s">
        <v>288</v>
      </c>
      <c r="C634" s="141" t="s">
        <v>27</v>
      </c>
    </row>
    <row r="635" spans="1:3" x14ac:dyDescent="0.35">
      <c r="A635" s="141" t="s">
        <v>428</v>
      </c>
      <c r="B635" s="141" t="s">
        <v>288</v>
      </c>
      <c r="C635" s="141" t="s">
        <v>27</v>
      </c>
    </row>
    <row r="636" spans="1:3" x14ac:dyDescent="0.35">
      <c r="A636" s="141" t="s">
        <v>429</v>
      </c>
      <c r="B636" s="141" t="s">
        <v>288</v>
      </c>
      <c r="C636" s="141" t="s">
        <v>27</v>
      </c>
    </row>
    <row r="637" spans="1:3" x14ac:dyDescent="0.35">
      <c r="A637" s="141" t="s">
        <v>430</v>
      </c>
      <c r="B637" s="141" t="s">
        <v>288</v>
      </c>
      <c r="C637" s="141" t="s">
        <v>27</v>
      </c>
    </row>
    <row r="638" spans="1:3" x14ac:dyDescent="0.35">
      <c r="A638" s="141" t="s">
        <v>431</v>
      </c>
      <c r="B638" s="141" t="s">
        <v>288</v>
      </c>
      <c r="C638" s="141" t="s">
        <v>27</v>
      </c>
    </row>
    <row r="639" spans="1:3" x14ac:dyDescent="0.35">
      <c r="A639" s="141" t="s">
        <v>568</v>
      </c>
      <c r="B639" s="141" t="s">
        <v>288</v>
      </c>
      <c r="C639" s="141" t="s">
        <v>24</v>
      </c>
    </row>
    <row r="640" spans="1:3" x14ac:dyDescent="0.35">
      <c r="A640" s="141" t="s">
        <v>569</v>
      </c>
      <c r="B640" s="141" t="s">
        <v>288</v>
      </c>
      <c r="C640" s="141" t="s">
        <v>24</v>
      </c>
    </row>
    <row r="641" spans="1:3" x14ac:dyDescent="0.35">
      <c r="A641" s="141" t="s">
        <v>438</v>
      </c>
      <c r="B641" s="141" t="s">
        <v>288</v>
      </c>
      <c r="C641" s="141" t="s">
        <v>21</v>
      </c>
    </row>
    <row r="642" spans="1:3" x14ac:dyDescent="0.35">
      <c r="A642" s="141" t="s">
        <v>439</v>
      </c>
      <c r="B642" s="141" t="s">
        <v>288</v>
      </c>
      <c r="C642" s="141" t="s">
        <v>21</v>
      </c>
    </row>
    <row r="643" spans="1:3" x14ac:dyDescent="0.35">
      <c r="A643" s="141" t="s">
        <v>440</v>
      </c>
      <c r="B643" s="141" t="s">
        <v>288</v>
      </c>
      <c r="C643" s="141" t="s">
        <v>21</v>
      </c>
    </row>
    <row r="644" spans="1:3" x14ac:dyDescent="0.35">
      <c r="A644" s="141" t="s">
        <v>441</v>
      </c>
      <c r="B644" s="141" t="s">
        <v>288</v>
      </c>
      <c r="C644" s="141" t="s">
        <v>21</v>
      </c>
    </row>
    <row r="645" spans="1:3" x14ac:dyDescent="0.35">
      <c r="A645" s="141" t="s">
        <v>442</v>
      </c>
      <c r="B645" s="141" t="s">
        <v>288</v>
      </c>
      <c r="C645" s="141" t="s">
        <v>21</v>
      </c>
    </row>
    <row r="646" spans="1:3" x14ac:dyDescent="0.35">
      <c r="A646" s="141" t="s">
        <v>570</v>
      </c>
      <c r="B646" s="141" t="s">
        <v>288</v>
      </c>
      <c r="C646" s="141" t="s">
        <v>52</v>
      </c>
    </row>
    <row r="647" spans="1:3" x14ac:dyDescent="0.35">
      <c r="A647" s="141" t="s">
        <v>449</v>
      </c>
      <c r="B647" s="141" t="s">
        <v>288</v>
      </c>
      <c r="C647" s="141" t="s">
        <v>52</v>
      </c>
    </row>
    <row r="648" spans="1:3" x14ac:dyDescent="0.35">
      <c r="A648" s="141" t="s">
        <v>450</v>
      </c>
      <c r="B648" s="141" t="s">
        <v>288</v>
      </c>
      <c r="C648" s="141" t="s">
        <v>52</v>
      </c>
    </row>
    <row r="649" spans="1:3" x14ac:dyDescent="0.35">
      <c r="A649" s="141" t="s">
        <v>451</v>
      </c>
      <c r="B649" s="141" t="s">
        <v>288</v>
      </c>
      <c r="C649" s="141" t="s">
        <v>35</v>
      </c>
    </row>
    <row r="650" spans="1:3" x14ac:dyDescent="0.35">
      <c r="A650" s="141" t="s">
        <v>452</v>
      </c>
      <c r="B650" s="141" t="s">
        <v>288</v>
      </c>
      <c r="C650" s="141" t="s">
        <v>33</v>
      </c>
    </row>
    <row r="651" spans="1:3" x14ac:dyDescent="0.35">
      <c r="A651" s="141" t="s">
        <v>453</v>
      </c>
      <c r="B651" s="141" t="s">
        <v>288</v>
      </c>
      <c r="C651" s="141" t="s">
        <v>33</v>
      </c>
    </row>
    <row r="652" spans="1:3" x14ac:dyDescent="0.35">
      <c r="A652" s="141" t="s">
        <v>571</v>
      </c>
      <c r="B652" s="141" t="s">
        <v>288</v>
      </c>
      <c r="C652" s="141" t="s">
        <v>25</v>
      </c>
    </row>
    <row r="653" spans="1:3" x14ac:dyDescent="0.35">
      <c r="A653" s="141" t="s">
        <v>572</v>
      </c>
      <c r="B653" s="141" t="s">
        <v>288</v>
      </c>
      <c r="C653" s="141" t="s">
        <v>24</v>
      </c>
    </row>
    <row r="654" spans="1:3" x14ac:dyDescent="0.35">
      <c r="A654" s="141" t="s">
        <v>573</v>
      </c>
      <c r="B654" s="141" t="s">
        <v>288</v>
      </c>
      <c r="C654" s="141" t="s">
        <v>25</v>
      </c>
    </row>
    <row r="655" spans="1:3" x14ac:dyDescent="0.35">
      <c r="A655" s="141" t="s">
        <v>574</v>
      </c>
      <c r="B655" s="141" t="s">
        <v>288</v>
      </c>
      <c r="C655" s="141" t="s">
        <v>25</v>
      </c>
    </row>
    <row r="656" spans="1:3" x14ac:dyDescent="0.35">
      <c r="A656" s="141" t="s">
        <v>454</v>
      </c>
      <c r="B656" s="141" t="s">
        <v>288</v>
      </c>
      <c r="C656" s="141" t="s">
        <v>31</v>
      </c>
    </row>
    <row r="657" spans="1:3" x14ac:dyDescent="0.35">
      <c r="A657" s="141" t="s">
        <v>455</v>
      </c>
      <c r="B657" s="141" t="s">
        <v>288</v>
      </c>
      <c r="C657" s="141" t="s">
        <v>31</v>
      </c>
    </row>
    <row r="658" spans="1:3" x14ac:dyDescent="0.35">
      <c r="A658" s="141" t="s">
        <v>456</v>
      </c>
      <c r="B658" s="141" t="s">
        <v>288</v>
      </c>
      <c r="C658" s="141" t="s">
        <v>31</v>
      </c>
    </row>
    <row r="659" spans="1:3" x14ac:dyDescent="0.35">
      <c r="A659" s="141" t="s">
        <v>457</v>
      </c>
      <c r="B659" s="141" t="s">
        <v>288</v>
      </c>
      <c r="C659" s="141" t="s">
        <v>31</v>
      </c>
    </row>
    <row r="660" spans="1:3" x14ac:dyDescent="0.35">
      <c r="A660" s="141" t="s">
        <v>458</v>
      </c>
      <c r="B660" s="141" t="s">
        <v>288</v>
      </c>
      <c r="C660" s="141" t="s">
        <v>31</v>
      </c>
    </row>
    <row r="661" spans="1:3" x14ac:dyDescent="0.35">
      <c r="A661" s="141" t="s">
        <v>459</v>
      </c>
      <c r="B661" s="141" t="s">
        <v>288</v>
      </c>
      <c r="C661" s="141" t="s">
        <v>31</v>
      </c>
    </row>
    <row r="662" spans="1:3" x14ac:dyDescent="0.35">
      <c r="A662" s="141" t="s">
        <v>460</v>
      </c>
      <c r="B662" s="141" t="s">
        <v>288</v>
      </c>
      <c r="C662" s="141" t="s">
        <v>31</v>
      </c>
    </row>
    <row r="663" spans="1:3" x14ac:dyDescent="0.35">
      <c r="A663" s="141" t="s">
        <v>461</v>
      </c>
      <c r="B663" s="141" t="s">
        <v>288</v>
      </c>
      <c r="C663" s="141" t="s">
        <v>31</v>
      </c>
    </row>
    <row r="664" spans="1:3" x14ac:dyDescent="0.35">
      <c r="A664" s="141" t="s">
        <v>462</v>
      </c>
      <c r="B664" s="141" t="s">
        <v>288</v>
      </c>
      <c r="C664" s="141" t="s">
        <v>31</v>
      </c>
    </row>
    <row r="665" spans="1:3" x14ac:dyDescent="0.35">
      <c r="A665" s="141" t="s">
        <v>463</v>
      </c>
      <c r="B665" s="141" t="s">
        <v>288</v>
      </c>
      <c r="C665" s="141" t="s">
        <v>31</v>
      </c>
    </row>
    <row r="666" spans="1:3" x14ac:dyDescent="0.35">
      <c r="A666" s="141" t="s">
        <v>464</v>
      </c>
      <c r="B666" s="141" t="s">
        <v>288</v>
      </c>
      <c r="C666" s="141" t="s">
        <v>31</v>
      </c>
    </row>
    <row r="667" spans="1:3" x14ac:dyDescent="0.35">
      <c r="A667" s="141" t="s">
        <v>465</v>
      </c>
      <c r="B667" s="141" t="s">
        <v>288</v>
      </c>
      <c r="C667" s="141" t="s">
        <v>32</v>
      </c>
    </row>
    <row r="668" spans="1:3" x14ac:dyDescent="0.35">
      <c r="A668" s="141" t="s">
        <v>466</v>
      </c>
      <c r="B668" s="141" t="s">
        <v>288</v>
      </c>
      <c r="C668" s="141" t="s">
        <v>32</v>
      </c>
    </row>
    <row r="669" spans="1:3" x14ac:dyDescent="0.35">
      <c r="A669" s="141" t="s">
        <v>467</v>
      </c>
      <c r="B669" s="141" t="s">
        <v>288</v>
      </c>
      <c r="C669" s="141" t="s">
        <v>33</v>
      </c>
    </row>
    <row r="670" spans="1:3" x14ac:dyDescent="0.35">
      <c r="A670" s="141" t="s">
        <v>468</v>
      </c>
      <c r="B670" s="141" t="s">
        <v>288</v>
      </c>
      <c r="C670" s="141" t="s">
        <v>33</v>
      </c>
    </row>
    <row r="671" spans="1:3" x14ac:dyDescent="0.35">
      <c r="A671" s="141" t="s">
        <v>469</v>
      </c>
      <c r="B671" s="141" t="s">
        <v>288</v>
      </c>
      <c r="C671" s="141" t="s">
        <v>33</v>
      </c>
    </row>
    <row r="672" spans="1:3" x14ac:dyDescent="0.35">
      <c r="A672" s="141" t="s">
        <v>470</v>
      </c>
      <c r="B672" s="141" t="s">
        <v>288</v>
      </c>
      <c r="C672" s="141" t="s">
        <v>36</v>
      </c>
    </row>
    <row r="673" spans="1:3" x14ac:dyDescent="0.35">
      <c r="A673" s="141" t="s">
        <v>471</v>
      </c>
      <c r="B673" s="141" t="s">
        <v>288</v>
      </c>
      <c r="C673" s="141" t="s">
        <v>36</v>
      </c>
    </row>
    <row r="674" spans="1:3" x14ac:dyDescent="0.35">
      <c r="A674" s="141" t="s">
        <v>472</v>
      </c>
      <c r="B674" s="141" t="s">
        <v>288</v>
      </c>
      <c r="C674" s="141" t="s">
        <v>28</v>
      </c>
    </row>
    <row r="675" spans="1:3" x14ac:dyDescent="0.35">
      <c r="A675" s="141" t="s">
        <v>473</v>
      </c>
      <c r="B675" s="141" t="s">
        <v>288</v>
      </c>
      <c r="C675" s="141" t="s">
        <v>28</v>
      </c>
    </row>
    <row r="676" spans="1:3" x14ac:dyDescent="0.35">
      <c r="A676" s="141" t="s">
        <v>474</v>
      </c>
      <c r="B676" s="141" t="s">
        <v>288</v>
      </c>
      <c r="C676" s="141" t="s">
        <v>28</v>
      </c>
    </row>
    <row r="677" spans="1:3" x14ac:dyDescent="0.35">
      <c r="A677" s="141" t="s">
        <v>475</v>
      </c>
      <c r="B677" s="141" t="s">
        <v>288</v>
      </c>
      <c r="C677" s="141" t="s">
        <v>29</v>
      </c>
    </row>
    <row r="678" spans="1:3" x14ac:dyDescent="0.35">
      <c r="A678" s="141" t="s">
        <v>476</v>
      </c>
      <c r="B678" s="141" t="s">
        <v>288</v>
      </c>
      <c r="C678" s="141" t="s">
        <v>36</v>
      </c>
    </row>
    <row r="679" spans="1:3" x14ac:dyDescent="0.35">
      <c r="A679" s="141" t="s">
        <v>477</v>
      </c>
      <c r="B679" s="141" t="s">
        <v>288</v>
      </c>
      <c r="C679" s="141" t="s">
        <v>36</v>
      </c>
    </row>
    <row r="680" spans="1:3" x14ac:dyDescent="0.35">
      <c r="A680" s="141" t="s">
        <v>478</v>
      </c>
      <c r="B680" s="141" t="s">
        <v>288</v>
      </c>
      <c r="C680" s="141" t="s">
        <v>36</v>
      </c>
    </row>
    <row r="681" spans="1:3" x14ac:dyDescent="0.35">
      <c r="A681" s="141" t="s">
        <v>479</v>
      </c>
      <c r="B681" s="141" t="s">
        <v>288</v>
      </c>
      <c r="C681" s="141" t="s">
        <v>36</v>
      </c>
    </row>
    <row r="682" spans="1:3" x14ac:dyDescent="0.35">
      <c r="A682" s="141" t="s">
        <v>480</v>
      </c>
      <c r="B682" s="141" t="s">
        <v>288</v>
      </c>
      <c r="C682" s="141" t="s">
        <v>36</v>
      </c>
    </row>
    <row r="683" spans="1:3" x14ac:dyDescent="0.35">
      <c r="A683" s="141" t="s">
        <v>481</v>
      </c>
      <c r="B683" s="141" t="s">
        <v>288</v>
      </c>
      <c r="C683" s="141" t="s">
        <v>36</v>
      </c>
    </row>
    <row r="684" spans="1:3" x14ac:dyDescent="0.35">
      <c r="A684" s="141" t="s">
        <v>482</v>
      </c>
      <c r="B684" s="141" t="s">
        <v>288</v>
      </c>
      <c r="C684" s="141" t="s">
        <v>36</v>
      </c>
    </row>
    <row r="685" spans="1:3" x14ac:dyDescent="0.35">
      <c r="A685" s="141" t="s">
        <v>483</v>
      </c>
      <c r="B685" s="141" t="s">
        <v>288</v>
      </c>
      <c r="C685" s="141" t="s">
        <v>36</v>
      </c>
    </row>
    <row r="686" spans="1:3" x14ac:dyDescent="0.35">
      <c r="A686" s="141" t="s">
        <v>484</v>
      </c>
      <c r="B686" s="141" t="s">
        <v>288</v>
      </c>
      <c r="C686" s="141" t="s">
        <v>37</v>
      </c>
    </row>
    <row r="687" spans="1:3" x14ac:dyDescent="0.35">
      <c r="A687" s="141" t="s">
        <v>485</v>
      </c>
      <c r="B687" s="141" t="s">
        <v>288</v>
      </c>
      <c r="C687" s="141" t="s">
        <v>37</v>
      </c>
    </row>
    <row r="688" spans="1:3" x14ac:dyDescent="0.35">
      <c r="A688" s="141" t="s">
        <v>486</v>
      </c>
      <c r="B688" s="141" t="s">
        <v>288</v>
      </c>
      <c r="C688" s="141" t="s">
        <v>28</v>
      </c>
    </row>
    <row r="689" spans="1:3" x14ac:dyDescent="0.35">
      <c r="A689" s="141" t="s">
        <v>487</v>
      </c>
      <c r="B689" s="141" t="s">
        <v>288</v>
      </c>
      <c r="C689" s="141" t="s">
        <v>36</v>
      </c>
    </row>
    <row r="690" spans="1:3" x14ac:dyDescent="0.35">
      <c r="A690" s="141" t="s">
        <v>488</v>
      </c>
      <c r="B690" s="141" t="s">
        <v>288</v>
      </c>
      <c r="C690" s="141" t="s">
        <v>36</v>
      </c>
    </row>
    <row r="691" spans="1:3" x14ac:dyDescent="0.35">
      <c r="A691" s="141" t="s">
        <v>489</v>
      </c>
      <c r="B691" s="141" t="s">
        <v>288</v>
      </c>
      <c r="C691" s="141" t="s">
        <v>36</v>
      </c>
    </row>
    <row r="692" spans="1:3" x14ac:dyDescent="0.35">
      <c r="A692" s="141" t="s">
        <v>490</v>
      </c>
      <c r="B692" s="141" t="s">
        <v>288</v>
      </c>
      <c r="C692" s="141" t="s">
        <v>36</v>
      </c>
    </row>
    <row r="693" spans="1:3" x14ac:dyDescent="0.35">
      <c r="A693" s="141" t="s">
        <v>491</v>
      </c>
      <c r="B693" s="141" t="s">
        <v>288</v>
      </c>
      <c r="C693" s="141" t="s">
        <v>36</v>
      </c>
    </row>
    <row r="694" spans="1:3" x14ac:dyDescent="0.35">
      <c r="A694" s="141" t="s">
        <v>492</v>
      </c>
      <c r="B694" s="141" t="s">
        <v>288</v>
      </c>
      <c r="C694" s="141" t="s">
        <v>32</v>
      </c>
    </row>
    <row r="695" spans="1:3" x14ac:dyDescent="0.35">
      <c r="A695" s="141" t="s">
        <v>493</v>
      </c>
      <c r="B695" s="141" t="s">
        <v>288</v>
      </c>
      <c r="C695" s="141" t="s">
        <v>32</v>
      </c>
    </row>
    <row r="696" spans="1:3" x14ac:dyDescent="0.35">
      <c r="A696" s="141" t="s">
        <v>494</v>
      </c>
      <c r="B696" s="141" t="s">
        <v>288</v>
      </c>
      <c r="C696" s="141" t="s">
        <v>32</v>
      </c>
    </row>
    <row r="697" spans="1:3" x14ac:dyDescent="0.35">
      <c r="A697" s="141" t="s">
        <v>495</v>
      </c>
      <c r="B697" s="141" t="s">
        <v>288</v>
      </c>
      <c r="C697" s="141" t="s">
        <v>32</v>
      </c>
    </row>
    <row r="698" spans="1:3" x14ac:dyDescent="0.35">
      <c r="A698" s="141" t="s">
        <v>496</v>
      </c>
      <c r="B698" s="141" t="s">
        <v>288</v>
      </c>
      <c r="C698" s="141" t="s">
        <v>32</v>
      </c>
    </row>
    <row r="699" spans="1:3" x14ac:dyDescent="0.35">
      <c r="A699" s="141" t="s">
        <v>497</v>
      </c>
      <c r="B699" s="141" t="s">
        <v>288</v>
      </c>
      <c r="C699" s="141" t="s">
        <v>32</v>
      </c>
    </row>
    <row r="700" spans="1:3" x14ac:dyDescent="0.35">
      <c r="A700" s="141" t="s">
        <v>498</v>
      </c>
      <c r="B700" s="141" t="s">
        <v>288</v>
      </c>
      <c r="C700" s="141" t="s">
        <v>32</v>
      </c>
    </row>
    <row r="701" spans="1:3" x14ac:dyDescent="0.35">
      <c r="A701" s="141" t="s">
        <v>499</v>
      </c>
      <c r="B701" s="141" t="s">
        <v>288</v>
      </c>
      <c r="C701" s="141" t="s">
        <v>32</v>
      </c>
    </row>
    <row r="702" spans="1:3" x14ac:dyDescent="0.35">
      <c r="A702" s="141" t="s">
        <v>500</v>
      </c>
      <c r="B702" s="141" t="s">
        <v>288</v>
      </c>
      <c r="C702" s="141" t="s">
        <v>32</v>
      </c>
    </row>
    <row r="703" spans="1:3" x14ac:dyDescent="0.35">
      <c r="A703" s="141" t="s">
        <v>501</v>
      </c>
      <c r="B703" s="141" t="s">
        <v>288</v>
      </c>
      <c r="C703" s="141" t="s">
        <v>32</v>
      </c>
    </row>
    <row r="704" spans="1:3" x14ac:dyDescent="0.35">
      <c r="A704" s="141" t="s">
        <v>502</v>
      </c>
      <c r="B704" s="141" t="s">
        <v>288</v>
      </c>
      <c r="C704" s="141" t="s">
        <v>32</v>
      </c>
    </row>
    <row r="705" spans="1:3" x14ac:dyDescent="0.35">
      <c r="A705" s="141" t="s">
        <v>503</v>
      </c>
      <c r="B705" s="141" t="s">
        <v>288</v>
      </c>
      <c r="C705" s="141" t="s">
        <v>32</v>
      </c>
    </row>
    <row r="706" spans="1:3" x14ac:dyDescent="0.35">
      <c r="A706" s="141" t="s">
        <v>504</v>
      </c>
      <c r="B706" s="141" t="s">
        <v>288</v>
      </c>
      <c r="C706" s="141" t="s">
        <v>26</v>
      </c>
    </row>
    <row r="707" spans="1:3" x14ac:dyDescent="0.35">
      <c r="A707" s="141" t="s">
        <v>505</v>
      </c>
      <c r="B707" s="141" t="s">
        <v>288</v>
      </c>
      <c r="C707" s="141" t="s">
        <v>32</v>
      </c>
    </row>
    <row r="708" spans="1:3" x14ac:dyDescent="0.35">
      <c r="A708" s="141" t="s">
        <v>506</v>
      </c>
      <c r="B708" s="141" t="s">
        <v>288</v>
      </c>
      <c r="C708" s="141" t="s">
        <v>32</v>
      </c>
    </row>
    <row r="709" spans="1:3" x14ac:dyDescent="0.35">
      <c r="A709" s="141" t="s">
        <v>507</v>
      </c>
      <c r="B709" s="141" t="s">
        <v>288</v>
      </c>
      <c r="C709" s="141" t="s">
        <v>32</v>
      </c>
    </row>
    <row r="710" spans="1:3" x14ac:dyDescent="0.35">
      <c r="A710" s="141" t="s">
        <v>508</v>
      </c>
      <c r="B710" s="141" t="s">
        <v>288</v>
      </c>
      <c r="C710" s="141" t="s">
        <v>32</v>
      </c>
    </row>
    <row r="711" spans="1:3" x14ac:dyDescent="0.35">
      <c r="A711" s="141" t="s">
        <v>509</v>
      </c>
      <c r="B711" s="141" t="s">
        <v>288</v>
      </c>
      <c r="C711" s="141" t="s">
        <v>32</v>
      </c>
    </row>
    <row r="712" spans="1:3" x14ac:dyDescent="0.35">
      <c r="A712" s="141" t="s">
        <v>510</v>
      </c>
      <c r="B712" s="141" t="s">
        <v>288</v>
      </c>
      <c r="C712" s="141" t="s">
        <v>32</v>
      </c>
    </row>
    <row r="713" spans="1:3" x14ac:dyDescent="0.35">
      <c r="A713" s="141" t="s">
        <v>511</v>
      </c>
      <c r="B713" s="141" t="s">
        <v>288</v>
      </c>
      <c r="C713" s="141" t="s">
        <v>32</v>
      </c>
    </row>
    <row r="714" spans="1:3" x14ac:dyDescent="0.35">
      <c r="A714" s="141" t="s">
        <v>512</v>
      </c>
      <c r="B714" s="141" t="s">
        <v>288</v>
      </c>
      <c r="C714" s="141" t="s">
        <v>32</v>
      </c>
    </row>
    <row r="715" spans="1:3" x14ac:dyDescent="0.35">
      <c r="A715" s="141" t="s">
        <v>513</v>
      </c>
      <c r="B715" s="141" t="s">
        <v>288</v>
      </c>
      <c r="C715" s="141" t="s">
        <v>35</v>
      </c>
    </row>
    <row r="716" spans="1:3" x14ac:dyDescent="0.35">
      <c r="A716" s="141" t="s">
        <v>514</v>
      </c>
      <c r="B716" s="141" t="s">
        <v>288</v>
      </c>
      <c r="C716" s="141" t="s">
        <v>33</v>
      </c>
    </row>
    <row r="717" spans="1:3" x14ac:dyDescent="0.35">
      <c r="A717" s="141" t="s">
        <v>515</v>
      </c>
      <c r="B717" s="141" t="s">
        <v>288</v>
      </c>
      <c r="C717" s="141" t="s">
        <v>33</v>
      </c>
    </row>
    <row r="718" spans="1:3" x14ac:dyDescent="0.35">
      <c r="A718" s="141" t="s">
        <v>516</v>
      </c>
      <c r="B718" s="141" t="s">
        <v>288</v>
      </c>
      <c r="C718" s="141" t="s">
        <v>33</v>
      </c>
    </row>
    <row r="719" spans="1:3" x14ac:dyDescent="0.35">
      <c r="A719" s="141" t="s">
        <v>517</v>
      </c>
      <c r="B719" s="141" t="s">
        <v>288</v>
      </c>
      <c r="C719" s="141" t="s">
        <v>30</v>
      </c>
    </row>
    <row r="720" spans="1:3" x14ac:dyDescent="0.35">
      <c r="A720" s="141" t="s">
        <v>518</v>
      </c>
      <c r="B720" s="141" t="s">
        <v>288</v>
      </c>
      <c r="C720" s="141" t="s">
        <v>30</v>
      </c>
    </row>
    <row r="721" spans="1:3" x14ac:dyDescent="0.35">
      <c r="A721" s="141" t="s">
        <v>519</v>
      </c>
      <c r="B721" s="141" t="s">
        <v>288</v>
      </c>
      <c r="C721" s="141" t="s">
        <v>34</v>
      </c>
    </row>
    <row r="722" spans="1:3" x14ac:dyDescent="0.35">
      <c r="A722" s="141" t="s">
        <v>520</v>
      </c>
      <c r="B722" s="141" t="s">
        <v>288</v>
      </c>
      <c r="C722" s="141" t="s">
        <v>34</v>
      </c>
    </row>
    <row r="723" spans="1:3" x14ac:dyDescent="0.35">
      <c r="A723" s="141" t="s">
        <v>521</v>
      </c>
      <c r="B723" s="141" t="s">
        <v>288</v>
      </c>
      <c r="C723" s="141" t="s">
        <v>34</v>
      </c>
    </row>
    <row r="724" spans="1:3" x14ac:dyDescent="0.35">
      <c r="A724" s="141" t="s">
        <v>522</v>
      </c>
      <c r="B724" s="141" t="s">
        <v>288</v>
      </c>
      <c r="C724" s="141" t="s">
        <v>34</v>
      </c>
    </row>
    <row r="725" spans="1:3" x14ac:dyDescent="0.35">
      <c r="A725" s="141" t="s">
        <v>523</v>
      </c>
      <c r="B725" s="141" t="s">
        <v>288</v>
      </c>
      <c r="C725" s="141" t="s">
        <v>30</v>
      </c>
    </row>
    <row r="726" spans="1:3" x14ac:dyDescent="0.35">
      <c r="A726" s="141" t="s">
        <v>524</v>
      </c>
      <c r="B726" s="141" t="s">
        <v>288</v>
      </c>
      <c r="C726" s="141" t="s">
        <v>30</v>
      </c>
    </row>
    <row r="727" spans="1:3" x14ac:dyDescent="0.35">
      <c r="A727" s="141" t="s">
        <v>525</v>
      </c>
      <c r="B727" s="141" t="s">
        <v>288</v>
      </c>
      <c r="C727" s="141" t="s">
        <v>46</v>
      </c>
    </row>
    <row r="728" spans="1:3" x14ac:dyDescent="0.35">
      <c r="A728" s="141" t="s">
        <v>526</v>
      </c>
      <c r="B728" s="141" t="s">
        <v>288</v>
      </c>
      <c r="C728" s="141" t="s">
        <v>32</v>
      </c>
    </row>
    <row r="729" spans="1:3" x14ac:dyDescent="0.35">
      <c r="A729" s="141" t="s">
        <v>527</v>
      </c>
      <c r="B729" s="141" t="s">
        <v>288</v>
      </c>
      <c r="C729" s="141" t="s">
        <v>32</v>
      </c>
    </row>
    <row r="730" spans="1:3" x14ac:dyDescent="0.35">
      <c r="A730" s="141" t="s">
        <v>528</v>
      </c>
      <c r="B730" s="141" t="s">
        <v>288</v>
      </c>
      <c r="C730" s="141" t="s">
        <v>32</v>
      </c>
    </row>
    <row r="731" spans="1:3" x14ac:dyDescent="0.35">
      <c r="A731" s="141" t="s">
        <v>529</v>
      </c>
      <c r="B731" s="141" t="s">
        <v>288</v>
      </c>
      <c r="C731" s="141" t="s">
        <v>32</v>
      </c>
    </row>
    <row r="732" spans="1:3" x14ac:dyDescent="0.35">
      <c r="A732" s="141" t="s">
        <v>303</v>
      </c>
      <c r="B732" s="141" t="s">
        <v>288</v>
      </c>
      <c r="C732" s="141" t="s">
        <v>25</v>
      </c>
    </row>
    <row r="733" spans="1:3" x14ac:dyDescent="0.35">
      <c r="A733" s="141" t="s">
        <v>530</v>
      </c>
      <c r="B733" s="141" t="s">
        <v>288</v>
      </c>
      <c r="C733" s="141" t="s">
        <v>25</v>
      </c>
    </row>
    <row r="734" spans="1:3" x14ac:dyDescent="0.35">
      <c r="A734" s="141" t="s">
        <v>531</v>
      </c>
      <c r="B734" s="141" t="s">
        <v>288</v>
      </c>
      <c r="C734" s="141" t="s">
        <v>51</v>
      </c>
    </row>
    <row r="735" spans="1:3" x14ac:dyDescent="0.35">
      <c r="A735" s="141" t="s">
        <v>532</v>
      </c>
      <c r="B735" s="141" t="s">
        <v>288</v>
      </c>
      <c r="C735" s="141" t="s">
        <v>51</v>
      </c>
    </row>
    <row r="736" spans="1:3" x14ac:dyDescent="0.35">
      <c r="A736" s="141" t="s">
        <v>533</v>
      </c>
      <c r="B736" s="141" t="s">
        <v>288</v>
      </c>
      <c r="C736" s="141" t="s">
        <v>50</v>
      </c>
    </row>
    <row r="737" spans="1:3" x14ac:dyDescent="0.35">
      <c r="A737" s="141" t="s">
        <v>308</v>
      </c>
      <c r="B737" s="141" t="s">
        <v>288</v>
      </c>
      <c r="C737" s="141" t="s">
        <v>53</v>
      </c>
    </row>
    <row r="738" spans="1:3" x14ac:dyDescent="0.35">
      <c r="A738" s="141" t="s">
        <v>309</v>
      </c>
      <c r="B738" s="141" t="s">
        <v>288</v>
      </c>
      <c r="C738" s="141" t="s">
        <v>53</v>
      </c>
    </row>
    <row r="739" spans="1:3" x14ac:dyDescent="0.35">
      <c r="A739" s="141" t="s">
        <v>310</v>
      </c>
      <c r="B739" s="141" t="s">
        <v>288</v>
      </c>
      <c r="C739" s="141" t="s">
        <v>53</v>
      </c>
    </row>
    <row r="740" spans="1:3" x14ac:dyDescent="0.35">
      <c r="A740" s="141" t="s">
        <v>311</v>
      </c>
      <c r="B740" s="141" t="s">
        <v>288</v>
      </c>
      <c r="C740" s="141" t="s">
        <v>53</v>
      </c>
    </row>
    <row r="741" spans="1:3" x14ac:dyDescent="0.35">
      <c r="A741" s="141" t="s">
        <v>534</v>
      </c>
      <c r="B741" s="141" t="s">
        <v>288</v>
      </c>
      <c r="C741" s="141" t="s">
        <v>53</v>
      </c>
    </row>
    <row r="742" spans="1:3" x14ac:dyDescent="0.35">
      <c r="A742" s="141" t="s">
        <v>312</v>
      </c>
      <c r="B742" s="141" t="s">
        <v>288</v>
      </c>
      <c r="C742" s="141" t="s">
        <v>53</v>
      </c>
    </row>
    <row r="743" spans="1:3" x14ac:dyDescent="0.35">
      <c r="A743" s="141" t="s">
        <v>575</v>
      </c>
      <c r="B743" s="141" t="s">
        <v>288</v>
      </c>
      <c r="C743" s="141" t="s">
        <v>52</v>
      </c>
    </row>
    <row r="744" spans="1:3" x14ac:dyDescent="0.35">
      <c r="A744" s="141" t="s">
        <v>576</v>
      </c>
      <c r="B744" s="141" t="s">
        <v>288</v>
      </c>
      <c r="C744" s="141" t="s">
        <v>52</v>
      </c>
    </row>
    <row r="745" spans="1:3" x14ac:dyDescent="0.35">
      <c r="A745" s="141" t="s">
        <v>577</v>
      </c>
      <c r="B745" s="141" t="s">
        <v>288</v>
      </c>
      <c r="C745" s="141" t="s">
        <v>52</v>
      </c>
    </row>
    <row r="746" spans="1:3" x14ac:dyDescent="0.35">
      <c r="A746" s="141" t="s">
        <v>578</v>
      </c>
      <c r="B746" s="141" t="s">
        <v>288</v>
      </c>
      <c r="C746" s="141" t="s">
        <v>52</v>
      </c>
    </row>
    <row r="747" spans="1:3" x14ac:dyDescent="0.35">
      <c r="A747" s="141" t="s">
        <v>535</v>
      </c>
      <c r="B747" s="141" t="s">
        <v>288</v>
      </c>
      <c r="C747" s="141" t="s">
        <v>52</v>
      </c>
    </row>
    <row r="748" spans="1:3" x14ac:dyDescent="0.35">
      <c r="A748" s="141" t="s">
        <v>536</v>
      </c>
      <c r="B748" s="141" t="s">
        <v>288</v>
      </c>
      <c r="C748" s="141" t="s">
        <v>52</v>
      </c>
    </row>
    <row r="749" spans="1:3" x14ac:dyDescent="0.35">
      <c r="A749" s="141" t="s">
        <v>537</v>
      </c>
      <c r="B749" s="141" t="s">
        <v>288</v>
      </c>
      <c r="C749" s="141" t="s">
        <v>52</v>
      </c>
    </row>
    <row r="750" spans="1:3" x14ac:dyDescent="0.35">
      <c r="A750" s="141" t="s">
        <v>538</v>
      </c>
      <c r="B750" s="141" t="s">
        <v>288</v>
      </c>
      <c r="C750" s="141" t="s">
        <v>52</v>
      </c>
    </row>
    <row r="751" spans="1:3" x14ac:dyDescent="0.35">
      <c r="A751" s="141" t="s">
        <v>539</v>
      </c>
      <c r="B751" s="141" t="s">
        <v>288</v>
      </c>
      <c r="C751" s="141" t="s">
        <v>52</v>
      </c>
    </row>
    <row r="752" spans="1:3" x14ac:dyDescent="0.35">
      <c r="A752" s="141" t="s">
        <v>540</v>
      </c>
      <c r="B752" s="141" t="s">
        <v>288</v>
      </c>
      <c r="C752" s="141" t="s">
        <v>52</v>
      </c>
    </row>
    <row r="753" spans="1:3" x14ac:dyDescent="0.35">
      <c r="A753" s="141" t="s">
        <v>541</v>
      </c>
      <c r="B753" s="141" t="s">
        <v>288</v>
      </c>
      <c r="C753" s="141" t="s">
        <v>52</v>
      </c>
    </row>
    <row r="754" spans="1:3" x14ac:dyDescent="0.35">
      <c r="A754" s="141" t="s">
        <v>542</v>
      </c>
      <c r="B754" s="141" t="s">
        <v>288</v>
      </c>
      <c r="C754" s="141" t="s">
        <v>52</v>
      </c>
    </row>
    <row r="755" spans="1:3" x14ac:dyDescent="0.35">
      <c r="A755" s="141" t="s">
        <v>543</v>
      </c>
      <c r="B755" s="141" t="s">
        <v>288</v>
      </c>
      <c r="C755" s="141" t="s">
        <v>52</v>
      </c>
    </row>
    <row r="756" spans="1:3" x14ac:dyDescent="0.35">
      <c r="A756" s="141" t="s">
        <v>544</v>
      </c>
      <c r="B756" s="141" t="s">
        <v>288</v>
      </c>
      <c r="C756" s="141" t="s">
        <v>33</v>
      </c>
    </row>
    <row r="757" spans="1:3" x14ac:dyDescent="0.35">
      <c r="A757" s="141" t="s">
        <v>545</v>
      </c>
      <c r="B757" s="141" t="s">
        <v>288</v>
      </c>
      <c r="C757" s="141" t="s">
        <v>52</v>
      </c>
    </row>
    <row r="758" spans="1:3" x14ac:dyDescent="0.35">
      <c r="A758" s="141" t="s">
        <v>546</v>
      </c>
      <c r="B758" s="141" t="s">
        <v>288</v>
      </c>
      <c r="C758" s="141" t="s">
        <v>52</v>
      </c>
    </row>
    <row r="759" spans="1:3" x14ac:dyDescent="0.35">
      <c r="A759" s="141" t="s">
        <v>547</v>
      </c>
      <c r="B759" s="141" t="s">
        <v>288</v>
      </c>
      <c r="C759" s="141" t="s">
        <v>52</v>
      </c>
    </row>
    <row r="760" spans="1:3" x14ac:dyDescent="0.35">
      <c r="A760" s="141" t="s">
        <v>548</v>
      </c>
      <c r="B760" s="141" t="s">
        <v>288</v>
      </c>
      <c r="C760" s="141" t="s">
        <v>33</v>
      </c>
    </row>
    <row r="761" spans="1:3" x14ac:dyDescent="0.35">
      <c r="A761" s="141" t="s">
        <v>549</v>
      </c>
      <c r="B761" s="141" t="s">
        <v>288</v>
      </c>
      <c r="C761" s="141" t="s">
        <v>33</v>
      </c>
    </row>
    <row r="762" spans="1:3" x14ac:dyDescent="0.35">
      <c r="A762" s="141" t="s">
        <v>550</v>
      </c>
      <c r="B762" s="141" t="s">
        <v>288</v>
      </c>
      <c r="C762" s="141" t="s">
        <v>33</v>
      </c>
    </row>
    <row r="763" spans="1:3" x14ac:dyDescent="0.35">
      <c r="A763" s="141" t="s">
        <v>551</v>
      </c>
      <c r="B763" s="141" t="s">
        <v>288</v>
      </c>
      <c r="C763" s="141" t="s">
        <v>33</v>
      </c>
    </row>
    <row r="764" spans="1:3" x14ac:dyDescent="0.35">
      <c r="A764" s="141" t="s">
        <v>331</v>
      </c>
      <c r="B764" s="141" t="s">
        <v>288</v>
      </c>
      <c r="C764" s="141" t="s">
        <v>16</v>
      </c>
    </row>
    <row r="765" spans="1:3" x14ac:dyDescent="0.35">
      <c r="A765" s="141" t="s">
        <v>332</v>
      </c>
      <c r="B765" s="141" t="s">
        <v>288</v>
      </c>
      <c r="C765" s="141" t="s">
        <v>16</v>
      </c>
    </row>
    <row r="766" spans="1:3" x14ac:dyDescent="0.35">
      <c r="A766" s="141" t="s">
        <v>333</v>
      </c>
      <c r="B766" s="141" t="s">
        <v>288</v>
      </c>
      <c r="C766" s="141" t="s">
        <v>16</v>
      </c>
    </row>
    <row r="767" spans="1:3" x14ac:dyDescent="0.35">
      <c r="A767" s="141" t="s">
        <v>334</v>
      </c>
      <c r="B767" s="141" t="s">
        <v>288</v>
      </c>
      <c r="C767" s="141" t="s">
        <v>16</v>
      </c>
    </row>
    <row r="768" spans="1:3" x14ac:dyDescent="0.35">
      <c r="A768" s="141" t="s">
        <v>335</v>
      </c>
      <c r="B768" s="141" t="s">
        <v>288</v>
      </c>
      <c r="C768" s="141" t="s">
        <v>16</v>
      </c>
    </row>
    <row r="769" spans="1:3" x14ac:dyDescent="0.35">
      <c r="A769" s="141" t="s">
        <v>336</v>
      </c>
      <c r="B769" s="141" t="s">
        <v>288</v>
      </c>
      <c r="C769" s="141" t="s">
        <v>16</v>
      </c>
    </row>
    <row r="770" spans="1:3" x14ac:dyDescent="0.35">
      <c r="A770" s="141" t="s">
        <v>579</v>
      </c>
      <c r="B770" s="141" t="s">
        <v>288</v>
      </c>
      <c r="C770" s="141" t="s">
        <v>32</v>
      </c>
    </row>
    <row r="771" spans="1:3" x14ac:dyDescent="0.35">
      <c r="A771" s="141" t="s">
        <v>556</v>
      </c>
      <c r="B771" s="141" t="s">
        <v>288</v>
      </c>
      <c r="C771" s="141" t="s">
        <v>32</v>
      </c>
    </row>
    <row r="772" spans="1:3" x14ac:dyDescent="0.35">
      <c r="A772" s="141" t="s">
        <v>557</v>
      </c>
      <c r="B772" s="141" t="s">
        <v>288</v>
      </c>
      <c r="C772" s="141" t="s">
        <v>32</v>
      </c>
    </row>
    <row r="773" spans="1:3" x14ac:dyDescent="0.35">
      <c r="A773" s="141" t="s">
        <v>558</v>
      </c>
      <c r="B773" s="141" t="s">
        <v>288</v>
      </c>
      <c r="C773" s="141" t="s">
        <v>32</v>
      </c>
    </row>
    <row r="774" spans="1:3" x14ac:dyDescent="0.35">
      <c r="A774" s="141" t="s">
        <v>580</v>
      </c>
      <c r="B774" s="141" t="s">
        <v>288</v>
      </c>
      <c r="C774" s="141" t="s">
        <v>32</v>
      </c>
    </row>
    <row r="775" spans="1:3" x14ac:dyDescent="0.35">
      <c r="A775" s="141" t="s">
        <v>559</v>
      </c>
      <c r="B775" s="141" t="s">
        <v>288</v>
      </c>
      <c r="C775" s="141" t="s">
        <v>47</v>
      </c>
    </row>
    <row r="776" spans="1:3" x14ac:dyDescent="0.35">
      <c r="A776" s="141" t="s">
        <v>560</v>
      </c>
      <c r="B776" s="141" t="s">
        <v>288</v>
      </c>
      <c r="C776" s="141" t="s">
        <v>47</v>
      </c>
    </row>
    <row r="777" spans="1:3" x14ac:dyDescent="0.35">
      <c r="A777" s="141" t="s">
        <v>561</v>
      </c>
      <c r="B777" s="141" t="s">
        <v>288</v>
      </c>
      <c r="C777" s="141" t="s">
        <v>47</v>
      </c>
    </row>
    <row r="778" spans="1:3" x14ac:dyDescent="0.35">
      <c r="A778" s="141" t="s">
        <v>562</v>
      </c>
      <c r="B778" s="141" t="s">
        <v>288</v>
      </c>
      <c r="C778" s="141" t="s">
        <v>48</v>
      </c>
    </row>
    <row r="779" spans="1:3" x14ac:dyDescent="0.35">
      <c r="A779" s="141" t="s">
        <v>563</v>
      </c>
      <c r="B779" s="141" t="s">
        <v>288</v>
      </c>
      <c r="C779" s="141" t="s">
        <v>47</v>
      </c>
    </row>
    <row r="780" spans="1:3" x14ac:dyDescent="0.35">
      <c r="A780" s="141" t="s">
        <v>352</v>
      </c>
      <c r="B780" s="141" t="s">
        <v>289</v>
      </c>
      <c r="C780" s="141" t="s">
        <v>2</v>
      </c>
    </row>
    <row r="781" spans="1:3" x14ac:dyDescent="0.35">
      <c r="A781" s="141" t="s">
        <v>354</v>
      </c>
      <c r="B781" s="141" t="s">
        <v>289</v>
      </c>
      <c r="C781" s="141" t="s">
        <v>2</v>
      </c>
    </row>
    <row r="782" spans="1:3" x14ac:dyDescent="0.35">
      <c r="A782" s="141" t="s">
        <v>355</v>
      </c>
      <c r="B782" s="141" t="s">
        <v>289</v>
      </c>
      <c r="C782" s="141" t="s">
        <v>12</v>
      </c>
    </row>
    <row r="783" spans="1:3" x14ac:dyDescent="0.35">
      <c r="A783" s="141" t="s">
        <v>356</v>
      </c>
      <c r="B783" s="141" t="s">
        <v>289</v>
      </c>
      <c r="C783" s="141" t="s">
        <v>14</v>
      </c>
    </row>
    <row r="784" spans="1:3" x14ac:dyDescent="0.35">
      <c r="A784" s="141" t="s">
        <v>357</v>
      </c>
      <c r="B784" s="141" t="s">
        <v>289</v>
      </c>
      <c r="C784" s="141" t="s">
        <v>14</v>
      </c>
    </row>
    <row r="785" spans="1:3" x14ac:dyDescent="0.35">
      <c r="A785" s="141" t="s">
        <v>358</v>
      </c>
      <c r="B785" s="141" t="s">
        <v>289</v>
      </c>
      <c r="C785" s="141" t="s">
        <v>14</v>
      </c>
    </row>
    <row r="786" spans="1:3" x14ac:dyDescent="0.35">
      <c r="A786" s="141" t="s">
        <v>581</v>
      </c>
      <c r="B786" s="141" t="s">
        <v>289</v>
      </c>
      <c r="C786" s="141" t="s">
        <v>13</v>
      </c>
    </row>
    <row r="787" spans="1:3" x14ac:dyDescent="0.35">
      <c r="A787" s="141" t="s">
        <v>582</v>
      </c>
      <c r="B787" s="141" t="s">
        <v>289</v>
      </c>
      <c r="C787" s="141" t="s">
        <v>55</v>
      </c>
    </row>
    <row r="788" spans="1:3" x14ac:dyDescent="0.35">
      <c r="A788" s="141" t="s">
        <v>583</v>
      </c>
      <c r="B788" s="141" t="s">
        <v>289</v>
      </c>
      <c r="C788" s="141" t="s">
        <v>55</v>
      </c>
    </row>
    <row r="789" spans="1:3" x14ac:dyDescent="0.35">
      <c r="A789" s="141" t="s">
        <v>584</v>
      </c>
      <c r="B789" s="141" t="s">
        <v>289</v>
      </c>
      <c r="C789" s="141" t="s">
        <v>54</v>
      </c>
    </row>
    <row r="790" spans="1:3" x14ac:dyDescent="0.35">
      <c r="A790" s="141" t="s">
        <v>585</v>
      </c>
      <c r="B790" s="141" t="s">
        <v>289</v>
      </c>
      <c r="C790" s="141" t="s">
        <v>54</v>
      </c>
    </row>
    <row r="791" spans="1:3" x14ac:dyDescent="0.35">
      <c r="A791" s="141" t="s">
        <v>359</v>
      </c>
      <c r="B791" s="141" t="s">
        <v>289</v>
      </c>
      <c r="C791" s="141" t="s">
        <v>46</v>
      </c>
    </row>
    <row r="792" spans="1:3" x14ac:dyDescent="0.35">
      <c r="A792" s="141" t="s">
        <v>360</v>
      </c>
      <c r="B792" s="141" t="s">
        <v>289</v>
      </c>
      <c r="C792" s="141" t="s">
        <v>46</v>
      </c>
    </row>
    <row r="793" spans="1:3" x14ac:dyDescent="0.35">
      <c r="A793" s="141" t="s">
        <v>361</v>
      </c>
      <c r="B793" s="141" t="s">
        <v>289</v>
      </c>
      <c r="C793" s="141" t="s">
        <v>45</v>
      </c>
    </row>
    <row r="794" spans="1:3" x14ac:dyDescent="0.35">
      <c r="A794" s="141" t="s">
        <v>362</v>
      </c>
      <c r="B794" s="141" t="s">
        <v>289</v>
      </c>
      <c r="C794" s="141" t="s">
        <v>45</v>
      </c>
    </row>
    <row r="795" spans="1:3" x14ac:dyDescent="0.35">
      <c r="A795" s="141" t="s">
        <v>363</v>
      </c>
      <c r="B795" s="141" t="s">
        <v>289</v>
      </c>
      <c r="C795" s="141" t="s">
        <v>45</v>
      </c>
    </row>
    <row r="796" spans="1:3" x14ac:dyDescent="0.35">
      <c r="A796" s="141" t="s">
        <v>364</v>
      </c>
      <c r="B796" s="141" t="s">
        <v>289</v>
      </c>
      <c r="C796" s="141" t="s">
        <v>45</v>
      </c>
    </row>
    <row r="797" spans="1:3" x14ac:dyDescent="0.35">
      <c r="A797" s="141" t="s">
        <v>586</v>
      </c>
      <c r="B797" s="141" t="s">
        <v>289</v>
      </c>
      <c r="C797" s="141" t="s">
        <v>4</v>
      </c>
    </row>
    <row r="798" spans="1:3" x14ac:dyDescent="0.35">
      <c r="A798" s="141" t="s">
        <v>587</v>
      </c>
      <c r="B798" s="141" t="s">
        <v>289</v>
      </c>
      <c r="C798" s="141" t="s">
        <v>4</v>
      </c>
    </row>
    <row r="799" spans="1:3" x14ac:dyDescent="0.35">
      <c r="A799" s="141" t="s">
        <v>588</v>
      </c>
      <c r="B799" s="141" t="s">
        <v>289</v>
      </c>
      <c r="C799" s="141" t="s">
        <v>4</v>
      </c>
    </row>
    <row r="800" spans="1:3" x14ac:dyDescent="0.35">
      <c r="A800" s="141" t="s">
        <v>365</v>
      </c>
      <c r="B800" s="141" t="s">
        <v>289</v>
      </c>
      <c r="C800" s="141" t="s">
        <v>7</v>
      </c>
    </row>
    <row r="801" spans="1:3" x14ac:dyDescent="0.35">
      <c r="A801" s="141" t="s">
        <v>589</v>
      </c>
      <c r="B801" s="141" t="s">
        <v>289</v>
      </c>
      <c r="C801" s="141" t="s">
        <v>4</v>
      </c>
    </row>
    <row r="802" spans="1:3" x14ac:dyDescent="0.35">
      <c r="A802" s="141" t="s">
        <v>366</v>
      </c>
      <c r="B802" s="141" t="s">
        <v>289</v>
      </c>
      <c r="C802" s="141" t="s">
        <v>8</v>
      </c>
    </row>
    <row r="803" spans="1:3" x14ac:dyDescent="0.35">
      <c r="A803" s="141" t="s">
        <v>367</v>
      </c>
      <c r="B803" s="141" t="s">
        <v>289</v>
      </c>
      <c r="C803" s="141" t="s">
        <v>8</v>
      </c>
    </row>
    <row r="804" spans="1:3" x14ac:dyDescent="0.35">
      <c r="A804" s="141" t="s">
        <v>368</v>
      </c>
      <c r="B804" s="141" t="s">
        <v>289</v>
      </c>
      <c r="C804" s="141" t="s">
        <v>10</v>
      </c>
    </row>
    <row r="805" spans="1:3" x14ac:dyDescent="0.35">
      <c r="A805" s="141" t="s">
        <v>590</v>
      </c>
      <c r="B805" s="141" t="s">
        <v>289</v>
      </c>
      <c r="C805" s="141" t="s">
        <v>10</v>
      </c>
    </row>
    <row r="806" spans="1:3" x14ac:dyDescent="0.35">
      <c r="A806" s="141" t="s">
        <v>591</v>
      </c>
      <c r="B806" s="141" t="s">
        <v>289</v>
      </c>
      <c r="C806" s="141" t="s">
        <v>10</v>
      </c>
    </row>
    <row r="807" spans="1:3" x14ac:dyDescent="0.35">
      <c r="A807" s="141" t="s">
        <v>370</v>
      </c>
      <c r="B807" s="141" t="s">
        <v>289</v>
      </c>
      <c r="C807" s="141" t="s">
        <v>10</v>
      </c>
    </row>
    <row r="808" spans="1:3" x14ac:dyDescent="0.35">
      <c r="A808" s="141" t="s">
        <v>371</v>
      </c>
      <c r="B808" s="141" t="s">
        <v>289</v>
      </c>
      <c r="C808" s="141" t="s">
        <v>10</v>
      </c>
    </row>
    <row r="809" spans="1:3" x14ac:dyDescent="0.35">
      <c r="A809" s="141" t="s">
        <v>372</v>
      </c>
      <c r="B809" s="141" t="s">
        <v>289</v>
      </c>
      <c r="C809" s="141" t="s">
        <v>10</v>
      </c>
    </row>
    <row r="810" spans="1:3" x14ac:dyDescent="0.35">
      <c r="A810" s="141" t="s">
        <v>373</v>
      </c>
      <c r="B810" s="141" t="s">
        <v>289</v>
      </c>
      <c r="C810" s="141" t="s">
        <v>10</v>
      </c>
    </row>
    <row r="811" spans="1:3" x14ac:dyDescent="0.35">
      <c r="A811" s="141" t="s">
        <v>374</v>
      </c>
      <c r="B811" s="141" t="s">
        <v>289</v>
      </c>
      <c r="C811" s="141" t="s">
        <v>10</v>
      </c>
    </row>
    <row r="812" spans="1:3" x14ac:dyDescent="0.35">
      <c r="A812" s="141" t="s">
        <v>375</v>
      </c>
      <c r="B812" s="141" t="s">
        <v>289</v>
      </c>
      <c r="C812" s="141" t="s">
        <v>10</v>
      </c>
    </row>
    <row r="813" spans="1:3" x14ac:dyDescent="0.35">
      <c r="A813" s="141" t="s">
        <v>376</v>
      </c>
      <c r="B813" s="141" t="s">
        <v>289</v>
      </c>
      <c r="C813" s="141" t="s">
        <v>10</v>
      </c>
    </row>
    <row r="814" spans="1:3" x14ac:dyDescent="0.35">
      <c r="A814" s="141" t="s">
        <v>377</v>
      </c>
      <c r="B814" s="141" t="s">
        <v>289</v>
      </c>
      <c r="C814" s="141" t="s">
        <v>11</v>
      </c>
    </row>
    <row r="815" spans="1:3" x14ac:dyDescent="0.35">
      <c r="A815" s="141" t="s">
        <v>378</v>
      </c>
      <c r="B815" s="141" t="s">
        <v>289</v>
      </c>
      <c r="C815" s="141" t="s">
        <v>11</v>
      </c>
    </row>
    <row r="816" spans="1:3" x14ac:dyDescent="0.35">
      <c r="A816" s="141" t="s">
        <v>379</v>
      </c>
      <c r="B816" s="141" t="s">
        <v>289</v>
      </c>
      <c r="C816" s="141" t="s">
        <v>11</v>
      </c>
    </row>
    <row r="817" spans="1:3" x14ac:dyDescent="0.35">
      <c r="A817" s="141" t="s">
        <v>380</v>
      </c>
      <c r="B817" s="141" t="s">
        <v>289</v>
      </c>
      <c r="C817" s="141" t="s">
        <v>11</v>
      </c>
    </row>
    <row r="818" spans="1:3" x14ac:dyDescent="0.35">
      <c r="A818" s="141" t="s">
        <v>381</v>
      </c>
      <c r="B818" s="141" t="s">
        <v>289</v>
      </c>
      <c r="C818" s="141" t="s">
        <v>11</v>
      </c>
    </row>
    <row r="819" spans="1:3" x14ac:dyDescent="0.35">
      <c r="A819" s="141" t="s">
        <v>382</v>
      </c>
      <c r="B819" s="141" t="s">
        <v>289</v>
      </c>
      <c r="C819" s="141" t="s">
        <v>11</v>
      </c>
    </row>
    <row r="820" spans="1:3" x14ac:dyDescent="0.35">
      <c r="A820" s="141" t="s">
        <v>383</v>
      </c>
      <c r="B820" s="141" t="s">
        <v>289</v>
      </c>
      <c r="C820" s="141" t="s">
        <v>5</v>
      </c>
    </row>
    <row r="821" spans="1:3" x14ac:dyDescent="0.35">
      <c r="A821" s="141" t="s">
        <v>564</v>
      </c>
      <c r="B821" s="141" t="s">
        <v>289</v>
      </c>
      <c r="C821" s="141" t="s">
        <v>7</v>
      </c>
    </row>
    <row r="822" spans="1:3" x14ac:dyDescent="0.35">
      <c r="A822" s="141" t="s">
        <v>565</v>
      </c>
      <c r="B822" s="141" t="s">
        <v>289</v>
      </c>
      <c r="C822" s="141" t="s">
        <v>7</v>
      </c>
    </row>
    <row r="823" spans="1:3" x14ac:dyDescent="0.35">
      <c r="A823" s="141" t="s">
        <v>385</v>
      </c>
      <c r="B823" s="141" t="s">
        <v>289</v>
      </c>
      <c r="C823" s="141" t="s">
        <v>7</v>
      </c>
    </row>
    <row r="824" spans="1:3" x14ac:dyDescent="0.35">
      <c r="A824" s="141" t="s">
        <v>386</v>
      </c>
      <c r="B824" s="141" t="s">
        <v>289</v>
      </c>
      <c r="C824" s="141" t="s">
        <v>7</v>
      </c>
    </row>
    <row r="825" spans="1:3" x14ac:dyDescent="0.35">
      <c r="A825" s="141" t="s">
        <v>387</v>
      </c>
      <c r="B825" s="141" t="s">
        <v>289</v>
      </c>
      <c r="C825" s="141" t="s">
        <v>7</v>
      </c>
    </row>
    <row r="826" spans="1:3" x14ac:dyDescent="0.35">
      <c r="A826" s="141" t="s">
        <v>388</v>
      </c>
      <c r="B826" s="141" t="s">
        <v>289</v>
      </c>
      <c r="C826" s="141" t="s">
        <v>8</v>
      </c>
    </row>
    <row r="827" spans="1:3" x14ac:dyDescent="0.35">
      <c r="A827" s="141" t="s">
        <v>389</v>
      </c>
      <c r="B827" s="141" t="s">
        <v>289</v>
      </c>
      <c r="C827" s="141" t="s">
        <v>8</v>
      </c>
    </row>
    <row r="828" spans="1:3" x14ac:dyDescent="0.35">
      <c r="A828" s="141" t="s">
        <v>390</v>
      </c>
      <c r="B828" s="141" t="s">
        <v>289</v>
      </c>
      <c r="C828" s="141" t="s">
        <v>16</v>
      </c>
    </row>
    <row r="829" spans="1:3" x14ac:dyDescent="0.35">
      <c r="A829" s="141" t="s">
        <v>391</v>
      </c>
      <c r="B829" s="141" t="s">
        <v>289</v>
      </c>
      <c r="C829" s="141" t="s">
        <v>16</v>
      </c>
    </row>
    <row r="830" spans="1:3" x14ac:dyDescent="0.35">
      <c r="A830" s="141" t="s">
        <v>392</v>
      </c>
      <c r="B830" s="141" t="s">
        <v>289</v>
      </c>
      <c r="C830" s="141" t="s">
        <v>16</v>
      </c>
    </row>
    <row r="831" spans="1:3" x14ac:dyDescent="0.35">
      <c r="A831" s="141" t="s">
        <v>393</v>
      </c>
      <c r="B831" s="141" t="s">
        <v>289</v>
      </c>
      <c r="C831" s="141" t="s">
        <v>9</v>
      </c>
    </row>
    <row r="832" spans="1:3" x14ac:dyDescent="0.35">
      <c r="A832" s="141" t="s">
        <v>394</v>
      </c>
      <c r="B832" s="141" t="s">
        <v>289</v>
      </c>
      <c r="C832" s="141" t="s">
        <v>19</v>
      </c>
    </row>
    <row r="833" spans="1:3" x14ac:dyDescent="0.35">
      <c r="A833" s="141" t="s">
        <v>395</v>
      </c>
      <c r="B833" s="141" t="s">
        <v>289</v>
      </c>
      <c r="C833" s="141" t="s">
        <v>19</v>
      </c>
    </row>
    <row r="834" spans="1:3" x14ac:dyDescent="0.35">
      <c r="A834" s="141" t="s">
        <v>396</v>
      </c>
      <c r="B834" s="141" t="s">
        <v>289</v>
      </c>
      <c r="C834" s="141" t="s">
        <v>45</v>
      </c>
    </row>
    <row r="835" spans="1:3" x14ac:dyDescent="0.35">
      <c r="A835" s="141" t="s">
        <v>397</v>
      </c>
      <c r="B835" s="141" t="s">
        <v>289</v>
      </c>
      <c r="C835" s="141" t="s">
        <v>16</v>
      </c>
    </row>
    <row r="836" spans="1:3" x14ac:dyDescent="0.35">
      <c r="A836" s="141" t="s">
        <v>398</v>
      </c>
      <c r="B836" s="141" t="s">
        <v>289</v>
      </c>
      <c r="C836" s="141" t="s">
        <v>17</v>
      </c>
    </row>
    <row r="837" spans="1:3" x14ac:dyDescent="0.35">
      <c r="A837" s="141" t="s">
        <v>399</v>
      </c>
      <c r="B837" s="141" t="s">
        <v>289</v>
      </c>
      <c r="C837" s="141" t="s">
        <v>16</v>
      </c>
    </row>
    <row r="838" spans="1:3" x14ac:dyDescent="0.35">
      <c r="A838" s="141" t="s">
        <v>400</v>
      </c>
      <c r="B838" s="141" t="s">
        <v>289</v>
      </c>
      <c r="C838" s="141" t="s">
        <v>20</v>
      </c>
    </row>
    <row r="839" spans="1:3" x14ac:dyDescent="0.35">
      <c r="A839" s="141" t="s">
        <v>401</v>
      </c>
      <c r="B839" s="141" t="s">
        <v>289</v>
      </c>
      <c r="C839" s="141" t="s">
        <v>20</v>
      </c>
    </row>
    <row r="840" spans="1:3" x14ac:dyDescent="0.35">
      <c r="A840" s="141" t="s">
        <v>402</v>
      </c>
      <c r="B840" s="141" t="s">
        <v>289</v>
      </c>
      <c r="C840" s="141" t="s">
        <v>20</v>
      </c>
    </row>
    <row r="841" spans="1:3" x14ac:dyDescent="0.35">
      <c r="A841" s="141" t="s">
        <v>592</v>
      </c>
      <c r="B841" s="141" t="s">
        <v>289</v>
      </c>
      <c r="C841" s="141" t="s">
        <v>20</v>
      </c>
    </row>
    <row r="842" spans="1:3" x14ac:dyDescent="0.35">
      <c r="A842" s="141" t="s">
        <v>593</v>
      </c>
      <c r="B842" s="141" t="s">
        <v>289</v>
      </c>
      <c r="C842" s="141" t="s">
        <v>20</v>
      </c>
    </row>
    <row r="843" spans="1:3" x14ac:dyDescent="0.35">
      <c r="A843" s="141" t="s">
        <v>403</v>
      </c>
      <c r="B843" s="141" t="s">
        <v>289</v>
      </c>
      <c r="C843" s="141" t="s">
        <v>20</v>
      </c>
    </row>
    <row r="844" spans="1:3" x14ac:dyDescent="0.35">
      <c r="A844" s="141" t="s">
        <v>404</v>
      </c>
      <c r="B844" s="141" t="s">
        <v>289</v>
      </c>
      <c r="C844" s="141" t="s">
        <v>20</v>
      </c>
    </row>
    <row r="845" spans="1:3" x14ac:dyDescent="0.35">
      <c r="A845" s="141" t="s">
        <v>405</v>
      </c>
      <c r="B845" s="141" t="s">
        <v>289</v>
      </c>
      <c r="C845" s="141" t="s">
        <v>20</v>
      </c>
    </row>
    <row r="846" spans="1:3" x14ac:dyDescent="0.35">
      <c r="A846" s="141" t="s">
        <v>406</v>
      </c>
      <c r="B846" s="141" t="s">
        <v>289</v>
      </c>
      <c r="C846" s="141" t="s">
        <v>18</v>
      </c>
    </row>
    <row r="847" spans="1:3" x14ac:dyDescent="0.35">
      <c r="A847" s="141" t="s">
        <v>407</v>
      </c>
      <c r="B847" s="141" t="s">
        <v>289</v>
      </c>
      <c r="C847" s="141" t="s">
        <v>17</v>
      </c>
    </row>
    <row r="848" spans="1:3" x14ac:dyDescent="0.35">
      <c r="A848" s="141" t="s">
        <v>408</v>
      </c>
      <c r="B848" s="141" t="s">
        <v>289</v>
      </c>
      <c r="C848" s="141" t="s">
        <v>17</v>
      </c>
    </row>
    <row r="849" spans="1:3" x14ac:dyDescent="0.35">
      <c r="A849" s="141" t="s">
        <v>566</v>
      </c>
      <c r="B849" s="141" t="s">
        <v>289</v>
      </c>
      <c r="C849" s="141" t="s">
        <v>17</v>
      </c>
    </row>
    <row r="850" spans="1:3" x14ac:dyDescent="0.35">
      <c r="A850" s="141" t="s">
        <v>567</v>
      </c>
      <c r="B850" s="141" t="s">
        <v>289</v>
      </c>
      <c r="C850" s="141" t="s">
        <v>16</v>
      </c>
    </row>
    <row r="851" spans="1:3" x14ac:dyDescent="0.35">
      <c r="A851" s="141" t="s">
        <v>409</v>
      </c>
      <c r="B851" s="141" t="s">
        <v>289</v>
      </c>
      <c r="C851" s="141" t="s">
        <v>18</v>
      </c>
    </row>
    <row r="852" spans="1:3" x14ac:dyDescent="0.35">
      <c r="A852" s="141" t="s">
        <v>410</v>
      </c>
      <c r="B852" s="141" t="s">
        <v>289</v>
      </c>
      <c r="C852" s="141" t="s">
        <v>18</v>
      </c>
    </row>
    <row r="853" spans="1:3" x14ac:dyDescent="0.35">
      <c r="A853" s="141" t="s">
        <v>295</v>
      </c>
      <c r="B853" s="141" t="s">
        <v>289</v>
      </c>
      <c r="C853" s="141" t="s">
        <v>18</v>
      </c>
    </row>
    <row r="854" spans="1:3" x14ac:dyDescent="0.35">
      <c r="A854" s="141" t="s">
        <v>411</v>
      </c>
      <c r="B854" s="141" t="s">
        <v>289</v>
      </c>
      <c r="C854" s="141" t="s">
        <v>9</v>
      </c>
    </row>
    <row r="855" spans="1:3" x14ac:dyDescent="0.35">
      <c r="A855" s="141" t="s">
        <v>412</v>
      </c>
      <c r="B855" s="141" t="s">
        <v>289</v>
      </c>
      <c r="C855" s="141" t="s">
        <v>9</v>
      </c>
    </row>
    <row r="856" spans="1:3" x14ac:dyDescent="0.35">
      <c r="A856" s="141" t="s">
        <v>413</v>
      </c>
      <c r="B856" s="141" t="s">
        <v>289</v>
      </c>
      <c r="C856" s="141" t="s">
        <v>9</v>
      </c>
    </row>
    <row r="857" spans="1:3" x14ac:dyDescent="0.35">
      <c r="A857" s="141" t="s">
        <v>414</v>
      </c>
      <c r="B857" s="141" t="s">
        <v>289</v>
      </c>
      <c r="C857" s="141" t="s">
        <v>9</v>
      </c>
    </row>
    <row r="858" spans="1:3" x14ac:dyDescent="0.35">
      <c r="A858" s="141" t="s">
        <v>415</v>
      </c>
      <c r="B858" s="141" t="s">
        <v>289</v>
      </c>
      <c r="C858" s="141" t="s">
        <v>9</v>
      </c>
    </row>
    <row r="859" spans="1:3" x14ac:dyDescent="0.35">
      <c r="A859" s="141" t="s">
        <v>416</v>
      </c>
      <c r="B859" s="141" t="s">
        <v>289</v>
      </c>
      <c r="C859" s="141" t="s">
        <v>15</v>
      </c>
    </row>
    <row r="860" spans="1:3" x14ac:dyDescent="0.35">
      <c r="A860" s="141" t="s">
        <v>417</v>
      </c>
      <c r="B860" s="141" t="s">
        <v>289</v>
      </c>
      <c r="C860" s="141" t="s">
        <v>6</v>
      </c>
    </row>
    <row r="861" spans="1:3" x14ac:dyDescent="0.35">
      <c r="A861" s="141" t="s">
        <v>418</v>
      </c>
      <c r="B861" s="141" t="s">
        <v>289</v>
      </c>
      <c r="C861" s="141" t="s">
        <v>17</v>
      </c>
    </row>
    <row r="862" spans="1:3" x14ac:dyDescent="0.35">
      <c r="A862" s="141" t="s">
        <v>419</v>
      </c>
      <c r="B862" s="141" t="s">
        <v>289</v>
      </c>
      <c r="C862" s="141" t="s">
        <v>17</v>
      </c>
    </row>
    <row r="863" spans="1:3" x14ac:dyDescent="0.35">
      <c r="A863" s="141" t="s">
        <v>420</v>
      </c>
      <c r="B863" s="141" t="s">
        <v>289</v>
      </c>
      <c r="C863" s="141" t="s">
        <v>17</v>
      </c>
    </row>
    <row r="864" spans="1:3" x14ac:dyDescent="0.35">
      <c r="A864" s="141" t="s">
        <v>421</v>
      </c>
      <c r="B864" s="141" t="s">
        <v>289</v>
      </c>
      <c r="C864" s="141" t="s">
        <v>6</v>
      </c>
    </row>
    <row r="865" spans="1:3" x14ac:dyDescent="0.35">
      <c r="A865" s="141" t="s">
        <v>422</v>
      </c>
      <c r="B865" s="141" t="s">
        <v>289</v>
      </c>
      <c r="C865" s="141" t="s">
        <v>17</v>
      </c>
    </row>
    <row r="866" spans="1:3" x14ac:dyDescent="0.35">
      <c r="A866" s="141" t="s">
        <v>423</v>
      </c>
      <c r="B866" s="141" t="s">
        <v>289</v>
      </c>
      <c r="C866" s="141" t="s">
        <v>21</v>
      </c>
    </row>
    <row r="867" spans="1:3" x14ac:dyDescent="0.35">
      <c r="A867" s="141" t="s">
        <v>594</v>
      </c>
      <c r="B867" s="141" t="s">
        <v>289</v>
      </c>
      <c r="C867" s="141" t="s">
        <v>21</v>
      </c>
    </row>
    <row r="868" spans="1:3" x14ac:dyDescent="0.35">
      <c r="A868" s="141" t="s">
        <v>595</v>
      </c>
      <c r="B868" s="141" t="s">
        <v>289</v>
      </c>
      <c r="C868" s="141" t="s">
        <v>21</v>
      </c>
    </row>
    <row r="869" spans="1:3" x14ac:dyDescent="0.35">
      <c r="A869" s="141" t="s">
        <v>596</v>
      </c>
      <c r="B869" s="141" t="s">
        <v>289</v>
      </c>
      <c r="C869" s="141" t="s">
        <v>21</v>
      </c>
    </row>
    <row r="870" spans="1:3" x14ac:dyDescent="0.35">
      <c r="A870" s="141" t="s">
        <v>597</v>
      </c>
      <c r="B870" s="141" t="s">
        <v>289</v>
      </c>
      <c r="C870" s="141" t="s">
        <v>21</v>
      </c>
    </row>
    <row r="871" spans="1:3" x14ac:dyDescent="0.35">
      <c r="A871" s="141" t="s">
        <v>278</v>
      </c>
      <c r="B871" s="141" t="s">
        <v>289</v>
      </c>
      <c r="C871" s="141" t="s">
        <v>21</v>
      </c>
    </row>
    <row r="872" spans="1:3" x14ac:dyDescent="0.35">
      <c r="A872" s="141" t="s">
        <v>283</v>
      </c>
      <c r="B872" s="141" t="s">
        <v>289</v>
      </c>
      <c r="C872" s="141" t="s">
        <v>21</v>
      </c>
    </row>
    <row r="873" spans="1:3" x14ac:dyDescent="0.35">
      <c r="A873" s="141" t="s">
        <v>284</v>
      </c>
      <c r="B873" s="141" t="s">
        <v>289</v>
      </c>
      <c r="C873" s="141" t="s">
        <v>21</v>
      </c>
    </row>
    <row r="874" spans="1:3" x14ac:dyDescent="0.35">
      <c r="A874" s="141" t="s">
        <v>424</v>
      </c>
      <c r="B874" s="141" t="s">
        <v>289</v>
      </c>
      <c r="C874" s="141" t="s">
        <v>21</v>
      </c>
    </row>
    <row r="875" spans="1:3" x14ac:dyDescent="0.35">
      <c r="A875" s="141" t="s">
        <v>425</v>
      </c>
      <c r="B875" s="141" t="s">
        <v>289</v>
      </c>
      <c r="C875" s="141" t="s">
        <v>27</v>
      </c>
    </row>
    <row r="876" spans="1:3" x14ac:dyDescent="0.35">
      <c r="A876" s="141" t="s">
        <v>285</v>
      </c>
      <c r="B876" s="141" t="s">
        <v>289</v>
      </c>
      <c r="C876" s="141" t="s">
        <v>27</v>
      </c>
    </row>
    <row r="877" spans="1:3" x14ac:dyDescent="0.35">
      <c r="A877" s="141" t="s">
        <v>286</v>
      </c>
      <c r="B877" s="141" t="s">
        <v>289</v>
      </c>
      <c r="C877" s="141" t="s">
        <v>21</v>
      </c>
    </row>
    <row r="878" spans="1:3" x14ac:dyDescent="0.35">
      <c r="A878" s="141" t="s">
        <v>426</v>
      </c>
      <c r="B878" s="141" t="s">
        <v>289</v>
      </c>
      <c r="C878" s="141" t="s">
        <v>27</v>
      </c>
    </row>
    <row r="879" spans="1:3" x14ac:dyDescent="0.35">
      <c r="A879" s="141" t="s">
        <v>427</v>
      </c>
      <c r="B879" s="141" t="s">
        <v>289</v>
      </c>
      <c r="C879" s="141" t="s">
        <v>27</v>
      </c>
    </row>
    <row r="880" spans="1:3" x14ac:dyDescent="0.35">
      <c r="A880" s="141" t="s">
        <v>428</v>
      </c>
      <c r="B880" s="141" t="s">
        <v>289</v>
      </c>
      <c r="C880" s="141" t="s">
        <v>27</v>
      </c>
    </row>
    <row r="881" spans="1:3" x14ac:dyDescent="0.35">
      <c r="A881" s="141" t="s">
        <v>429</v>
      </c>
      <c r="B881" s="141" t="s">
        <v>289</v>
      </c>
      <c r="C881" s="141" t="s">
        <v>27</v>
      </c>
    </row>
    <row r="882" spans="1:3" x14ac:dyDescent="0.35">
      <c r="A882" s="141" t="s">
        <v>430</v>
      </c>
      <c r="B882" s="141" t="s">
        <v>289</v>
      </c>
      <c r="C882" s="141" t="s">
        <v>27</v>
      </c>
    </row>
    <row r="883" spans="1:3" x14ac:dyDescent="0.35">
      <c r="A883" s="141" t="s">
        <v>431</v>
      </c>
      <c r="B883" s="141" t="s">
        <v>289</v>
      </c>
      <c r="C883" s="141" t="s">
        <v>27</v>
      </c>
    </row>
    <row r="884" spans="1:3" x14ac:dyDescent="0.35">
      <c r="A884" s="141" t="s">
        <v>262</v>
      </c>
      <c r="B884" s="141" t="s">
        <v>289</v>
      </c>
      <c r="C884" s="141" t="s">
        <v>27</v>
      </c>
    </row>
    <row r="885" spans="1:3" x14ac:dyDescent="0.35">
      <c r="A885" s="141" t="s">
        <v>568</v>
      </c>
      <c r="B885" s="141" t="s">
        <v>289</v>
      </c>
      <c r="C885" s="141" t="s">
        <v>24</v>
      </c>
    </row>
    <row r="886" spans="1:3" x14ac:dyDescent="0.35">
      <c r="A886" s="141" t="s">
        <v>569</v>
      </c>
      <c r="B886" s="141" t="s">
        <v>289</v>
      </c>
      <c r="C886" s="141" t="s">
        <v>24</v>
      </c>
    </row>
    <row r="887" spans="1:3" x14ac:dyDescent="0.35">
      <c r="A887" s="141" t="s">
        <v>438</v>
      </c>
      <c r="B887" s="141" t="s">
        <v>289</v>
      </c>
      <c r="C887" s="141" t="s">
        <v>21</v>
      </c>
    </row>
    <row r="888" spans="1:3" x14ac:dyDescent="0.35">
      <c r="A888" s="141" t="s">
        <v>439</v>
      </c>
      <c r="B888" s="141" t="s">
        <v>289</v>
      </c>
      <c r="C888" s="141" t="s">
        <v>21</v>
      </c>
    </row>
    <row r="889" spans="1:3" x14ac:dyDescent="0.35">
      <c r="A889" s="141" t="s">
        <v>440</v>
      </c>
      <c r="B889" s="141" t="s">
        <v>289</v>
      </c>
      <c r="C889" s="141" t="s">
        <v>21</v>
      </c>
    </row>
    <row r="890" spans="1:3" x14ac:dyDescent="0.35">
      <c r="A890" s="141" t="s">
        <v>441</v>
      </c>
      <c r="B890" s="141" t="s">
        <v>289</v>
      </c>
      <c r="C890" s="141" t="s">
        <v>21</v>
      </c>
    </row>
    <row r="891" spans="1:3" x14ac:dyDescent="0.35">
      <c r="A891" s="141" t="s">
        <v>442</v>
      </c>
      <c r="B891" s="141" t="s">
        <v>289</v>
      </c>
      <c r="C891" s="141" t="s">
        <v>21</v>
      </c>
    </row>
    <row r="892" spans="1:3" x14ac:dyDescent="0.35">
      <c r="A892" s="141" t="s">
        <v>598</v>
      </c>
      <c r="B892" s="141" t="s">
        <v>289</v>
      </c>
      <c r="C892" s="141"/>
    </row>
    <row r="893" spans="1:3" x14ac:dyDescent="0.35">
      <c r="A893" s="141" t="s">
        <v>304</v>
      </c>
      <c r="B893" s="141" t="s">
        <v>289</v>
      </c>
      <c r="C893" s="141"/>
    </row>
    <row r="894" spans="1:3" x14ac:dyDescent="0.35">
      <c r="A894" s="141" t="s">
        <v>599</v>
      </c>
      <c r="B894" s="141" t="s">
        <v>289</v>
      </c>
      <c r="C894" s="141" t="s">
        <v>44</v>
      </c>
    </row>
    <row r="895" spans="1:3" x14ac:dyDescent="0.35">
      <c r="A895" s="141" t="s">
        <v>600</v>
      </c>
      <c r="B895" s="141" t="s">
        <v>289</v>
      </c>
      <c r="C895" s="141" t="s">
        <v>44</v>
      </c>
    </row>
    <row r="896" spans="1:3" x14ac:dyDescent="0.35">
      <c r="A896" s="141" t="s">
        <v>601</v>
      </c>
      <c r="B896" s="141" t="s">
        <v>289</v>
      </c>
      <c r="C896" s="141" t="s">
        <v>40</v>
      </c>
    </row>
    <row r="897" spans="1:3" x14ac:dyDescent="0.35">
      <c r="A897" s="141" t="s">
        <v>602</v>
      </c>
      <c r="B897" s="141" t="s">
        <v>289</v>
      </c>
      <c r="C897" s="141" t="s">
        <v>39</v>
      </c>
    </row>
    <row r="898" spans="1:3" x14ac:dyDescent="0.35">
      <c r="A898" s="141" t="s">
        <v>603</v>
      </c>
      <c r="B898" s="141" t="s">
        <v>289</v>
      </c>
      <c r="C898" s="141" t="s">
        <v>41</v>
      </c>
    </row>
    <row r="899" spans="1:3" x14ac:dyDescent="0.35">
      <c r="A899" s="141" t="s">
        <v>604</v>
      </c>
      <c r="B899" s="141" t="s">
        <v>289</v>
      </c>
      <c r="C899" s="141" t="s">
        <v>41</v>
      </c>
    </row>
    <row r="900" spans="1:3" x14ac:dyDescent="0.35">
      <c r="A900" s="141" t="s">
        <v>605</v>
      </c>
      <c r="B900" s="141" t="s">
        <v>289</v>
      </c>
      <c r="C900" s="141" t="s">
        <v>43</v>
      </c>
    </row>
    <row r="901" spans="1:3" x14ac:dyDescent="0.35">
      <c r="A901" s="141" t="s">
        <v>606</v>
      </c>
      <c r="B901" s="141" t="s">
        <v>289</v>
      </c>
      <c r="C901" s="141" t="s">
        <v>43</v>
      </c>
    </row>
    <row r="902" spans="1:3" x14ac:dyDescent="0.35">
      <c r="A902" s="141" t="s">
        <v>607</v>
      </c>
      <c r="B902" s="141" t="s">
        <v>289</v>
      </c>
      <c r="C902" s="141" t="s">
        <v>43</v>
      </c>
    </row>
    <row r="903" spans="1:3" x14ac:dyDescent="0.35">
      <c r="A903" s="141" t="s">
        <v>608</v>
      </c>
      <c r="B903" s="141" t="s">
        <v>289</v>
      </c>
      <c r="C903" s="141" t="s">
        <v>43</v>
      </c>
    </row>
    <row r="904" spans="1:3" x14ac:dyDescent="0.35">
      <c r="A904" s="141" t="s">
        <v>609</v>
      </c>
      <c r="B904" s="141" t="s">
        <v>289</v>
      </c>
      <c r="C904" s="141" t="s">
        <v>43</v>
      </c>
    </row>
    <row r="905" spans="1:3" x14ac:dyDescent="0.35">
      <c r="A905" s="141" t="s">
        <v>610</v>
      </c>
      <c r="B905" s="141" t="s">
        <v>289</v>
      </c>
      <c r="C905" s="141" t="s">
        <v>43</v>
      </c>
    </row>
    <row r="906" spans="1:3" x14ac:dyDescent="0.35">
      <c r="A906" s="141" t="s">
        <v>611</v>
      </c>
      <c r="B906" s="141" t="s">
        <v>289</v>
      </c>
      <c r="C906" s="141" t="s">
        <v>43</v>
      </c>
    </row>
    <row r="907" spans="1:3" x14ac:dyDescent="0.35">
      <c r="A907" s="141" t="s">
        <v>612</v>
      </c>
      <c r="B907" s="141" t="s">
        <v>289</v>
      </c>
      <c r="C907" s="141" t="s">
        <v>43</v>
      </c>
    </row>
    <row r="908" spans="1:3" x14ac:dyDescent="0.35">
      <c r="A908" s="141" t="s">
        <v>613</v>
      </c>
      <c r="B908" s="141" t="s">
        <v>289</v>
      </c>
      <c r="C908" s="141" t="s">
        <v>43</v>
      </c>
    </row>
    <row r="909" spans="1:3" x14ac:dyDescent="0.35">
      <c r="A909" s="141" t="s">
        <v>614</v>
      </c>
      <c r="B909" s="141" t="s">
        <v>289</v>
      </c>
      <c r="C909" s="141" t="s">
        <v>43</v>
      </c>
    </row>
    <row r="910" spans="1:3" x14ac:dyDescent="0.35">
      <c r="A910" s="141" t="s">
        <v>615</v>
      </c>
      <c r="B910" s="141" t="s">
        <v>289</v>
      </c>
      <c r="C910" s="141" t="s">
        <v>43</v>
      </c>
    </row>
    <row r="911" spans="1:3" x14ac:dyDescent="0.35">
      <c r="A911" s="141" t="s">
        <v>616</v>
      </c>
      <c r="B911" s="141" t="s">
        <v>289</v>
      </c>
      <c r="C911" s="141" t="s">
        <v>43</v>
      </c>
    </row>
    <row r="912" spans="1:3" x14ac:dyDescent="0.35">
      <c r="A912" s="141" t="s">
        <v>617</v>
      </c>
      <c r="B912" s="141" t="s">
        <v>289</v>
      </c>
      <c r="C912" s="141" t="s">
        <v>43</v>
      </c>
    </row>
    <row r="913" spans="1:3" x14ac:dyDescent="0.35">
      <c r="A913" s="141" t="s">
        <v>618</v>
      </c>
      <c r="B913" s="141" t="s">
        <v>289</v>
      </c>
      <c r="C913" s="141" t="s">
        <v>43</v>
      </c>
    </row>
    <row r="914" spans="1:3" x14ac:dyDescent="0.35">
      <c r="A914" s="141" t="s">
        <v>619</v>
      </c>
      <c r="B914" s="141" t="s">
        <v>289</v>
      </c>
      <c r="C914" s="141" t="s">
        <v>44</v>
      </c>
    </row>
    <row r="915" spans="1:3" x14ac:dyDescent="0.35">
      <c r="A915" s="141" t="s">
        <v>570</v>
      </c>
      <c r="B915" s="141" t="s">
        <v>289</v>
      </c>
      <c r="C915" s="141" t="s">
        <v>52</v>
      </c>
    </row>
    <row r="916" spans="1:3" x14ac:dyDescent="0.35">
      <c r="A916" s="141" t="s">
        <v>449</v>
      </c>
      <c r="B916" s="141" t="s">
        <v>289</v>
      </c>
      <c r="C916" s="141" t="s">
        <v>52</v>
      </c>
    </row>
    <row r="917" spans="1:3" x14ac:dyDescent="0.35">
      <c r="A917" s="141" t="s">
        <v>450</v>
      </c>
      <c r="B917" s="141" t="s">
        <v>289</v>
      </c>
      <c r="C917" s="141" t="s">
        <v>52</v>
      </c>
    </row>
    <row r="918" spans="1:3" x14ac:dyDescent="0.35">
      <c r="A918" s="141" t="s">
        <v>451</v>
      </c>
      <c r="B918" s="141" t="s">
        <v>289</v>
      </c>
      <c r="C918" s="141" t="s">
        <v>35</v>
      </c>
    </row>
    <row r="919" spans="1:3" x14ac:dyDescent="0.35">
      <c r="A919" s="141" t="s">
        <v>452</v>
      </c>
      <c r="B919" s="141" t="s">
        <v>289</v>
      </c>
      <c r="C919" s="141" t="s">
        <v>33</v>
      </c>
    </row>
    <row r="920" spans="1:3" x14ac:dyDescent="0.35">
      <c r="A920" s="141" t="s">
        <v>453</v>
      </c>
      <c r="B920" s="141" t="s">
        <v>289</v>
      </c>
      <c r="C920" s="141" t="s">
        <v>33</v>
      </c>
    </row>
    <row r="921" spans="1:3" x14ac:dyDescent="0.35">
      <c r="A921" s="141" t="s">
        <v>571</v>
      </c>
      <c r="B921" s="141" t="s">
        <v>289</v>
      </c>
      <c r="C921" s="141" t="s">
        <v>25</v>
      </c>
    </row>
    <row r="922" spans="1:3" x14ac:dyDescent="0.35">
      <c r="A922" s="141" t="s">
        <v>572</v>
      </c>
      <c r="B922" s="141" t="s">
        <v>289</v>
      </c>
      <c r="C922" s="141" t="s">
        <v>24</v>
      </c>
    </row>
    <row r="923" spans="1:3" x14ac:dyDescent="0.35">
      <c r="A923" s="141" t="s">
        <v>573</v>
      </c>
      <c r="B923" s="141" t="s">
        <v>289</v>
      </c>
      <c r="C923" s="141" t="s">
        <v>25</v>
      </c>
    </row>
    <row r="924" spans="1:3" x14ac:dyDescent="0.35">
      <c r="A924" s="141" t="s">
        <v>574</v>
      </c>
      <c r="B924" s="141" t="s">
        <v>289</v>
      </c>
      <c r="C924" s="141" t="s">
        <v>25</v>
      </c>
    </row>
    <row r="925" spans="1:3" x14ac:dyDescent="0.35">
      <c r="A925" s="141" t="s">
        <v>620</v>
      </c>
      <c r="B925" s="141" t="s">
        <v>289</v>
      </c>
      <c r="C925" s="141" t="s">
        <v>25</v>
      </c>
    </row>
    <row r="926" spans="1:3" x14ac:dyDescent="0.35">
      <c r="A926" s="141" t="s">
        <v>621</v>
      </c>
      <c r="B926" s="141" t="s">
        <v>289</v>
      </c>
      <c r="C926" s="141" t="s">
        <v>25</v>
      </c>
    </row>
    <row r="927" spans="1:3" x14ac:dyDescent="0.35">
      <c r="A927" s="141" t="s">
        <v>622</v>
      </c>
      <c r="B927" s="141" t="s">
        <v>289</v>
      </c>
      <c r="C927" s="141" t="s">
        <v>24</v>
      </c>
    </row>
    <row r="928" spans="1:3" x14ac:dyDescent="0.35">
      <c r="A928" s="141" t="s">
        <v>623</v>
      </c>
      <c r="B928" s="141" t="s">
        <v>289</v>
      </c>
      <c r="C928" s="141" t="s">
        <v>25</v>
      </c>
    </row>
    <row r="929" spans="1:3" x14ac:dyDescent="0.35">
      <c r="A929" s="141" t="s">
        <v>454</v>
      </c>
      <c r="B929" s="141" t="s">
        <v>289</v>
      </c>
      <c r="C929" s="141" t="s">
        <v>31</v>
      </c>
    </row>
    <row r="930" spans="1:3" x14ac:dyDescent="0.35">
      <c r="A930" s="141" t="s">
        <v>624</v>
      </c>
      <c r="B930" s="141" t="s">
        <v>289</v>
      </c>
      <c r="C930" s="141" t="s">
        <v>31</v>
      </c>
    </row>
    <row r="931" spans="1:3" x14ac:dyDescent="0.35">
      <c r="A931" s="141" t="s">
        <v>625</v>
      </c>
      <c r="B931" s="141" t="s">
        <v>289</v>
      </c>
      <c r="C931" s="141" t="s">
        <v>31</v>
      </c>
    </row>
    <row r="932" spans="1:3" x14ac:dyDescent="0.35">
      <c r="A932" s="141" t="s">
        <v>456</v>
      </c>
      <c r="B932" s="141" t="s">
        <v>289</v>
      </c>
      <c r="C932" s="141" t="s">
        <v>31</v>
      </c>
    </row>
    <row r="933" spans="1:3" x14ac:dyDescent="0.35">
      <c r="A933" s="141" t="s">
        <v>626</v>
      </c>
      <c r="B933" s="141" t="s">
        <v>289</v>
      </c>
      <c r="C933" s="141" t="s">
        <v>31</v>
      </c>
    </row>
    <row r="934" spans="1:3" x14ac:dyDescent="0.35">
      <c r="A934" s="141" t="s">
        <v>627</v>
      </c>
      <c r="B934" s="141" t="s">
        <v>289</v>
      </c>
      <c r="C934" s="141" t="s">
        <v>31</v>
      </c>
    </row>
    <row r="935" spans="1:3" x14ac:dyDescent="0.35">
      <c r="A935" s="141" t="s">
        <v>458</v>
      </c>
      <c r="B935" s="141" t="s">
        <v>289</v>
      </c>
      <c r="C935" s="141" t="s">
        <v>31</v>
      </c>
    </row>
    <row r="936" spans="1:3" x14ac:dyDescent="0.35">
      <c r="A936" s="141" t="s">
        <v>628</v>
      </c>
      <c r="B936" s="141" t="s">
        <v>289</v>
      </c>
      <c r="C936" s="141" t="s">
        <v>31</v>
      </c>
    </row>
    <row r="937" spans="1:3" x14ac:dyDescent="0.35">
      <c r="A937" s="141" t="s">
        <v>629</v>
      </c>
      <c r="B937" s="141" t="s">
        <v>289</v>
      </c>
      <c r="C937" s="141" t="s">
        <v>31</v>
      </c>
    </row>
    <row r="938" spans="1:3" x14ac:dyDescent="0.35">
      <c r="A938" s="141" t="s">
        <v>460</v>
      </c>
      <c r="B938" s="141" t="s">
        <v>289</v>
      </c>
      <c r="C938" s="141" t="s">
        <v>31</v>
      </c>
    </row>
    <row r="939" spans="1:3" x14ac:dyDescent="0.35">
      <c r="A939" s="141" t="s">
        <v>461</v>
      </c>
      <c r="B939" s="141" t="s">
        <v>289</v>
      </c>
      <c r="C939" s="141" t="s">
        <v>31</v>
      </c>
    </row>
    <row r="940" spans="1:3" x14ac:dyDescent="0.35">
      <c r="A940" s="141" t="s">
        <v>462</v>
      </c>
      <c r="B940" s="141" t="s">
        <v>289</v>
      </c>
      <c r="C940" s="141" t="s">
        <v>31</v>
      </c>
    </row>
    <row r="941" spans="1:3" x14ac:dyDescent="0.35">
      <c r="A941" s="141" t="s">
        <v>463</v>
      </c>
      <c r="B941" s="141" t="s">
        <v>289</v>
      </c>
      <c r="C941" s="141" t="s">
        <v>31</v>
      </c>
    </row>
    <row r="942" spans="1:3" x14ac:dyDescent="0.35">
      <c r="A942" s="141" t="s">
        <v>464</v>
      </c>
      <c r="B942" s="141" t="s">
        <v>289</v>
      </c>
      <c r="C942" s="141" t="s">
        <v>31</v>
      </c>
    </row>
    <row r="943" spans="1:3" x14ac:dyDescent="0.35">
      <c r="A943" s="141" t="s">
        <v>465</v>
      </c>
      <c r="B943" s="141" t="s">
        <v>289</v>
      </c>
      <c r="C943" s="141" t="s">
        <v>32</v>
      </c>
    </row>
    <row r="944" spans="1:3" x14ac:dyDescent="0.35">
      <c r="A944" s="141" t="s">
        <v>630</v>
      </c>
      <c r="B944" s="141" t="s">
        <v>289</v>
      </c>
      <c r="C944" s="141" t="s">
        <v>32</v>
      </c>
    </row>
    <row r="945" spans="1:3" x14ac:dyDescent="0.35">
      <c r="A945" s="141" t="s">
        <v>631</v>
      </c>
      <c r="B945" s="141" t="s">
        <v>289</v>
      </c>
      <c r="C945" s="141" t="s">
        <v>32</v>
      </c>
    </row>
    <row r="946" spans="1:3" x14ac:dyDescent="0.35">
      <c r="A946" s="141" t="s">
        <v>467</v>
      </c>
      <c r="B946" s="141" t="s">
        <v>289</v>
      </c>
      <c r="C946" s="141" t="s">
        <v>33</v>
      </c>
    </row>
    <row r="947" spans="1:3" x14ac:dyDescent="0.35">
      <c r="A947" s="141" t="s">
        <v>468</v>
      </c>
      <c r="B947" s="141" t="s">
        <v>289</v>
      </c>
      <c r="C947" s="141" t="s">
        <v>33</v>
      </c>
    </row>
    <row r="948" spans="1:3" x14ac:dyDescent="0.35">
      <c r="A948" s="141" t="s">
        <v>469</v>
      </c>
      <c r="B948" s="141" t="s">
        <v>289</v>
      </c>
      <c r="C948" s="141" t="s">
        <v>33</v>
      </c>
    </row>
    <row r="949" spans="1:3" x14ac:dyDescent="0.35">
      <c r="A949" s="141" t="s">
        <v>470</v>
      </c>
      <c r="B949" s="141" t="s">
        <v>289</v>
      </c>
      <c r="C949" s="141" t="s">
        <v>36</v>
      </c>
    </row>
    <row r="950" spans="1:3" x14ac:dyDescent="0.35">
      <c r="A950" s="141" t="s">
        <v>471</v>
      </c>
      <c r="B950" s="141" t="s">
        <v>289</v>
      </c>
      <c r="C950" s="141" t="s">
        <v>36</v>
      </c>
    </row>
    <row r="951" spans="1:3" x14ac:dyDescent="0.35">
      <c r="A951" s="141" t="s">
        <v>476</v>
      </c>
      <c r="B951" s="141" t="s">
        <v>289</v>
      </c>
      <c r="C951" s="141" t="s">
        <v>36</v>
      </c>
    </row>
    <row r="952" spans="1:3" x14ac:dyDescent="0.35">
      <c r="A952" s="141" t="s">
        <v>477</v>
      </c>
      <c r="B952" s="141" t="s">
        <v>289</v>
      </c>
      <c r="C952" s="141" t="s">
        <v>36</v>
      </c>
    </row>
    <row r="953" spans="1:3" x14ac:dyDescent="0.35">
      <c r="A953" s="141" t="s">
        <v>478</v>
      </c>
      <c r="B953" s="141" t="s">
        <v>289</v>
      </c>
      <c r="C953" s="141" t="s">
        <v>36</v>
      </c>
    </row>
    <row r="954" spans="1:3" x14ac:dyDescent="0.35">
      <c r="A954" s="141" t="s">
        <v>479</v>
      </c>
      <c r="B954" s="141" t="s">
        <v>289</v>
      </c>
      <c r="C954" s="141" t="s">
        <v>36</v>
      </c>
    </row>
    <row r="955" spans="1:3" x14ac:dyDescent="0.35">
      <c r="A955" s="141" t="s">
        <v>480</v>
      </c>
      <c r="B955" s="141" t="s">
        <v>289</v>
      </c>
      <c r="C955" s="141" t="s">
        <v>36</v>
      </c>
    </row>
    <row r="956" spans="1:3" x14ac:dyDescent="0.35">
      <c r="A956" s="141" t="s">
        <v>481</v>
      </c>
      <c r="B956" s="141" t="s">
        <v>289</v>
      </c>
      <c r="C956" s="141" t="s">
        <v>36</v>
      </c>
    </row>
    <row r="957" spans="1:3" x14ac:dyDescent="0.35">
      <c r="A957" s="141" t="s">
        <v>482</v>
      </c>
      <c r="B957" s="141" t="s">
        <v>289</v>
      </c>
      <c r="C957" s="141" t="s">
        <v>36</v>
      </c>
    </row>
    <row r="958" spans="1:3" x14ac:dyDescent="0.35">
      <c r="A958" s="141" t="s">
        <v>483</v>
      </c>
      <c r="B958" s="141" t="s">
        <v>289</v>
      </c>
      <c r="C958" s="141" t="s">
        <v>36</v>
      </c>
    </row>
    <row r="959" spans="1:3" x14ac:dyDescent="0.35">
      <c r="A959" s="141" t="s">
        <v>484</v>
      </c>
      <c r="B959" s="141" t="s">
        <v>289</v>
      </c>
      <c r="C959" s="141" t="s">
        <v>37</v>
      </c>
    </row>
    <row r="960" spans="1:3" x14ac:dyDescent="0.35">
      <c r="A960" s="141" t="s">
        <v>485</v>
      </c>
      <c r="B960" s="141" t="s">
        <v>289</v>
      </c>
      <c r="C960" s="141" t="s">
        <v>37</v>
      </c>
    </row>
    <row r="961" spans="1:3" x14ac:dyDescent="0.35">
      <c r="A961" s="141" t="s">
        <v>632</v>
      </c>
      <c r="B961" s="141" t="s">
        <v>289</v>
      </c>
      <c r="C961" s="141" t="s">
        <v>33</v>
      </c>
    </row>
    <row r="962" spans="1:3" x14ac:dyDescent="0.35">
      <c r="A962" s="141" t="s">
        <v>486</v>
      </c>
      <c r="B962" s="141" t="s">
        <v>289</v>
      </c>
      <c r="C962" s="141" t="s">
        <v>28</v>
      </c>
    </row>
    <row r="963" spans="1:3" x14ac:dyDescent="0.35">
      <c r="A963" s="141" t="s">
        <v>487</v>
      </c>
      <c r="B963" s="141" t="s">
        <v>289</v>
      </c>
      <c r="C963" s="141" t="s">
        <v>36</v>
      </c>
    </row>
    <row r="964" spans="1:3" x14ac:dyDescent="0.35">
      <c r="A964" s="141" t="s">
        <v>488</v>
      </c>
      <c r="B964" s="141" t="s">
        <v>289</v>
      </c>
      <c r="C964" s="141" t="s">
        <v>36</v>
      </c>
    </row>
    <row r="965" spans="1:3" x14ac:dyDescent="0.35">
      <c r="A965" s="141" t="s">
        <v>489</v>
      </c>
      <c r="B965" s="141" t="s">
        <v>289</v>
      </c>
      <c r="C965" s="141" t="s">
        <v>36</v>
      </c>
    </row>
    <row r="966" spans="1:3" x14ac:dyDescent="0.35">
      <c r="A966" s="141" t="s">
        <v>490</v>
      </c>
      <c r="B966" s="141" t="s">
        <v>289</v>
      </c>
      <c r="C966" s="141" t="s">
        <v>36</v>
      </c>
    </row>
    <row r="967" spans="1:3" x14ac:dyDescent="0.35">
      <c r="A967" s="141" t="s">
        <v>491</v>
      </c>
      <c r="B967" s="141" t="s">
        <v>289</v>
      </c>
      <c r="C967" s="141" t="s">
        <v>36</v>
      </c>
    </row>
    <row r="968" spans="1:3" x14ac:dyDescent="0.35">
      <c r="A968" s="141" t="s">
        <v>492</v>
      </c>
      <c r="B968" s="141" t="s">
        <v>289</v>
      </c>
      <c r="C968" s="141" t="s">
        <v>32</v>
      </c>
    </row>
    <row r="969" spans="1:3" x14ac:dyDescent="0.35">
      <c r="A969" s="141" t="s">
        <v>493</v>
      </c>
      <c r="B969" s="141" t="s">
        <v>289</v>
      </c>
      <c r="C969" s="141" t="s">
        <v>32</v>
      </c>
    </row>
    <row r="970" spans="1:3" x14ac:dyDescent="0.35">
      <c r="A970" s="141" t="s">
        <v>494</v>
      </c>
      <c r="B970" s="141" t="s">
        <v>289</v>
      </c>
      <c r="C970" s="141" t="s">
        <v>32</v>
      </c>
    </row>
    <row r="971" spans="1:3" x14ac:dyDescent="0.35">
      <c r="A971" s="141" t="s">
        <v>495</v>
      </c>
      <c r="B971" s="141" t="s">
        <v>289</v>
      </c>
      <c r="C971" s="141" t="s">
        <v>32</v>
      </c>
    </row>
    <row r="972" spans="1:3" x14ac:dyDescent="0.35">
      <c r="A972" s="141" t="s">
        <v>496</v>
      </c>
      <c r="B972" s="141" t="s">
        <v>289</v>
      </c>
      <c r="C972" s="141" t="s">
        <v>32</v>
      </c>
    </row>
    <row r="973" spans="1:3" x14ac:dyDescent="0.35">
      <c r="A973" s="141" t="s">
        <v>497</v>
      </c>
      <c r="B973" s="141" t="s">
        <v>289</v>
      </c>
      <c r="C973" s="141" t="s">
        <v>32</v>
      </c>
    </row>
    <row r="974" spans="1:3" x14ac:dyDescent="0.35">
      <c r="A974" s="141" t="s">
        <v>498</v>
      </c>
      <c r="B974" s="141" t="s">
        <v>289</v>
      </c>
      <c r="C974" s="141" t="s">
        <v>32</v>
      </c>
    </row>
    <row r="975" spans="1:3" x14ac:dyDescent="0.35">
      <c r="A975" s="141" t="s">
        <v>633</v>
      </c>
      <c r="B975" s="141" t="s">
        <v>289</v>
      </c>
      <c r="C975" s="141" t="s">
        <v>32</v>
      </c>
    </row>
    <row r="976" spans="1:3" x14ac:dyDescent="0.35">
      <c r="A976" s="141" t="s">
        <v>634</v>
      </c>
      <c r="B976" s="141" t="s">
        <v>289</v>
      </c>
      <c r="C976" s="141" t="s">
        <v>32</v>
      </c>
    </row>
    <row r="977" spans="1:3" x14ac:dyDescent="0.35">
      <c r="A977" s="141" t="s">
        <v>635</v>
      </c>
      <c r="B977" s="141" t="s">
        <v>289</v>
      </c>
      <c r="C977" s="141" t="s">
        <v>32</v>
      </c>
    </row>
    <row r="978" spans="1:3" x14ac:dyDescent="0.35">
      <c r="A978" s="141" t="s">
        <v>636</v>
      </c>
      <c r="B978" s="141" t="s">
        <v>289</v>
      </c>
      <c r="C978" s="141" t="s">
        <v>32</v>
      </c>
    </row>
    <row r="979" spans="1:3" x14ac:dyDescent="0.35">
      <c r="A979" s="141" t="s">
        <v>637</v>
      </c>
      <c r="B979" s="141" t="s">
        <v>289</v>
      </c>
      <c r="C979" s="141" t="s">
        <v>32</v>
      </c>
    </row>
    <row r="980" spans="1:3" x14ac:dyDescent="0.35">
      <c r="A980" s="141" t="s">
        <v>638</v>
      </c>
      <c r="B980" s="141" t="s">
        <v>289</v>
      </c>
      <c r="C980" s="141" t="s">
        <v>32</v>
      </c>
    </row>
    <row r="981" spans="1:3" x14ac:dyDescent="0.35">
      <c r="A981" s="141" t="s">
        <v>502</v>
      </c>
      <c r="B981" s="141" t="s">
        <v>289</v>
      </c>
      <c r="C981" s="141" t="s">
        <v>32</v>
      </c>
    </row>
    <row r="982" spans="1:3" x14ac:dyDescent="0.35">
      <c r="A982" s="141" t="s">
        <v>503</v>
      </c>
      <c r="B982" s="141" t="s">
        <v>289</v>
      </c>
      <c r="C982" s="141" t="s">
        <v>32</v>
      </c>
    </row>
    <row r="983" spans="1:3" x14ac:dyDescent="0.35">
      <c r="A983" s="141" t="s">
        <v>504</v>
      </c>
      <c r="B983" s="141" t="s">
        <v>289</v>
      </c>
      <c r="C983" s="141" t="s">
        <v>26</v>
      </c>
    </row>
    <row r="984" spans="1:3" x14ac:dyDescent="0.35">
      <c r="A984" s="141" t="s">
        <v>505</v>
      </c>
      <c r="B984" s="141" t="s">
        <v>289</v>
      </c>
      <c r="C984" s="141" t="s">
        <v>32</v>
      </c>
    </row>
    <row r="985" spans="1:3" x14ac:dyDescent="0.35">
      <c r="A985" s="141" t="s">
        <v>506</v>
      </c>
      <c r="B985" s="141" t="s">
        <v>289</v>
      </c>
      <c r="C985" s="141" t="s">
        <v>32</v>
      </c>
    </row>
    <row r="986" spans="1:3" x14ac:dyDescent="0.35">
      <c r="A986" s="141" t="s">
        <v>507</v>
      </c>
      <c r="B986" s="141" t="s">
        <v>289</v>
      </c>
      <c r="C986" s="141" t="s">
        <v>32</v>
      </c>
    </row>
    <row r="987" spans="1:3" x14ac:dyDescent="0.35">
      <c r="A987" s="141" t="s">
        <v>508</v>
      </c>
      <c r="B987" s="141" t="s">
        <v>289</v>
      </c>
      <c r="C987" s="141" t="s">
        <v>32</v>
      </c>
    </row>
    <row r="988" spans="1:3" x14ac:dyDescent="0.35">
      <c r="A988" s="141" t="s">
        <v>509</v>
      </c>
      <c r="B988" s="141" t="s">
        <v>289</v>
      </c>
      <c r="C988" s="141" t="s">
        <v>32</v>
      </c>
    </row>
    <row r="989" spans="1:3" x14ac:dyDescent="0.35">
      <c r="A989" s="141" t="s">
        <v>510</v>
      </c>
      <c r="B989" s="141" t="s">
        <v>289</v>
      </c>
      <c r="C989" s="141" t="s">
        <v>32</v>
      </c>
    </row>
    <row r="990" spans="1:3" x14ac:dyDescent="0.35">
      <c r="A990" s="141" t="s">
        <v>511</v>
      </c>
      <c r="B990" s="141" t="s">
        <v>289</v>
      </c>
      <c r="C990" s="141" t="s">
        <v>32</v>
      </c>
    </row>
    <row r="991" spans="1:3" x14ac:dyDescent="0.35">
      <c r="A991" s="141" t="s">
        <v>512</v>
      </c>
      <c r="B991" s="141" t="s">
        <v>289</v>
      </c>
      <c r="C991" s="141" t="s">
        <v>32</v>
      </c>
    </row>
    <row r="992" spans="1:3" x14ac:dyDescent="0.35">
      <c r="A992" s="141" t="s">
        <v>513</v>
      </c>
      <c r="B992" s="141" t="s">
        <v>289</v>
      </c>
      <c r="C992" s="141" t="s">
        <v>35</v>
      </c>
    </row>
    <row r="993" spans="1:3" x14ac:dyDescent="0.35">
      <c r="A993" s="141" t="s">
        <v>514</v>
      </c>
      <c r="B993" s="141" t="s">
        <v>289</v>
      </c>
      <c r="C993" s="141" t="s">
        <v>33</v>
      </c>
    </row>
    <row r="994" spans="1:3" x14ac:dyDescent="0.35">
      <c r="A994" s="141" t="s">
        <v>515</v>
      </c>
      <c r="B994" s="141" t="s">
        <v>289</v>
      </c>
      <c r="C994" s="141" t="s">
        <v>33</v>
      </c>
    </row>
    <row r="995" spans="1:3" x14ac:dyDescent="0.35">
      <c r="A995" s="141" t="s">
        <v>516</v>
      </c>
      <c r="B995" s="141" t="s">
        <v>289</v>
      </c>
      <c r="C995" s="141" t="s">
        <v>33</v>
      </c>
    </row>
    <row r="996" spans="1:3" x14ac:dyDescent="0.35">
      <c r="A996" s="141" t="s">
        <v>517</v>
      </c>
      <c r="B996" s="141" t="s">
        <v>289</v>
      </c>
      <c r="C996" s="141" t="s">
        <v>30</v>
      </c>
    </row>
    <row r="997" spans="1:3" x14ac:dyDescent="0.35">
      <c r="A997" s="141" t="s">
        <v>518</v>
      </c>
      <c r="B997" s="141" t="s">
        <v>289</v>
      </c>
      <c r="C997" s="141" t="s">
        <v>30</v>
      </c>
    </row>
    <row r="998" spans="1:3" x14ac:dyDescent="0.35">
      <c r="A998" s="141" t="s">
        <v>519</v>
      </c>
      <c r="B998" s="141" t="s">
        <v>289</v>
      </c>
      <c r="C998" s="141" t="s">
        <v>34</v>
      </c>
    </row>
    <row r="999" spans="1:3" x14ac:dyDescent="0.35">
      <c r="A999" s="141" t="s">
        <v>520</v>
      </c>
      <c r="B999" s="141" t="s">
        <v>289</v>
      </c>
      <c r="C999" s="141" t="s">
        <v>34</v>
      </c>
    </row>
    <row r="1000" spans="1:3" x14ac:dyDescent="0.35">
      <c r="A1000" s="141" t="s">
        <v>521</v>
      </c>
      <c r="B1000" s="141" t="s">
        <v>289</v>
      </c>
      <c r="C1000" s="141" t="s">
        <v>34</v>
      </c>
    </row>
    <row r="1001" spans="1:3" x14ac:dyDescent="0.35">
      <c r="A1001" s="141" t="s">
        <v>522</v>
      </c>
      <c r="B1001" s="141" t="s">
        <v>289</v>
      </c>
      <c r="C1001" s="141" t="s">
        <v>34</v>
      </c>
    </row>
    <row r="1002" spans="1:3" x14ac:dyDescent="0.35">
      <c r="A1002" s="141" t="s">
        <v>523</v>
      </c>
      <c r="B1002" s="141" t="s">
        <v>289</v>
      </c>
      <c r="C1002" s="141" t="s">
        <v>30</v>
      </c>
    </row>
    <row r="1003" spans="1:3" x14ac:dyDescent="0.35">
      <c r="A1003" s="141" t="s">
        <v>524</v>
      </c>
      <c r="B1003" s="141" t="s">
        <v>289</v>
      </c>
      <c r="C1003" s="141" t="s">
        <v>30</v>
      </c>
    </row>
    <row r="1004" spans="1:3" x14ac:dyDescent="0.35">
      <c r="A1004" s="141" t="s">
        <v>525</v>
      </c>
      <c r="B1004" s="141" t="s">
        <v>289</v>
      </c>
      <c r="C1004" s="141" t="s">
        <v>46</v>
      </c>
    </row>
    <row r="1005" spans="1:3" x14ac:dyDescent="0.35">
      <c r="A1005" s="141" t="s">
        <v>526</v>
      </c>
      <c r="B1005" s="141" t="s">
        <v>289</v>
      </c>
      <c r="C1005" s="141" t="s">
        <v>32</v>
      </c>
    </row>
    <row r="1006" spans="1:3" x14ac:dyDescent="0.35">
      <c r="A1006" s="141" t="s">
        <v>527</v>
      </c>
      <c r="B1006" s="141" t="s">
        <v>289</v>
      </c>
      <c r="C1006" s="141" t="s">
        <v>32</v>
      </c>
    </row>
    <row r="1007" spans="1:3" x14ac:dyDescent="0.35">
      <c r="A1007" s="141" t="s">
        <v>528</v>
      </c>
      <c r="B1007" s="141" t="s">
        <v>289</v>
      </c>
      <c r="C1007" s="141" t="s">
        <v>32</v>
      </c>
    </row>
    <row r="1008" spans="1:3" x14ac:dyDescent="0.35">
      <c r="A1008" s="141" t="s">
        <v>529</v>
      </c>
      <c r="B1008" s="141" t="s">
        <v>289</v>
      </c>
      <c r="C1008" s="141" t="s">
        <v>32</v>
      </c>
    </row>
    <row r="1009" spans="1:3" x14ac:dyDescent="0.35">
      <c r="A1009" s="141" t="s">
        <v>303</v>
      </c>
      <c r="B1009" s="141" t="s">
        <v>289</v>
      </c>
      <c r="C1009" s="141" t="s">
        <v>25</v>
      </c>
    </row>
    <row r="1010" spans="1:3" x14ac:dyDescent="0.35">
      <c r="A1010" s="141" t="s">
        <v>530</v>
      </c>
      <c r="B1010" s="141" t="s">
        <v>289</v>
      </c>
      <c r="C1010" s="141" t="s">
        <v>25</v>
      </c>
    </row>
    <row r="1011" spans="1:3" x14ac:dyDescent="0.35">
      <c r="A1011" s="141" t="s">
        <v>531</v>
      </c>
      <c r="B1011" s="141" t="s">
        <v>289</v>
      </c>
      <c r="C1011" s="141" t="s">
        <v>51</v>
      </c>
    </row>
    <row r="1012" spans="1:3" x14ac:dyDescent="0.35">
      <c r="A1012" s="141" t="s">
        <v>532</v>
      </c>
      <c r="B1012" s="141" t="s">
        <v>289</v>
      </c>
      <c r="C1012" s="141" t="s">
        <v>51</v>
      </c>
    </row>
    <row r="1013" spans="1:3" x14ac:dyDescent="0.35">
      <c r="A1013" s="141" t="s">
        <v>533</v>
      </c>
      <c r="B1013" s="141" t="s">
        <v>289</v>
      </c>
      <c r="C1013" s="141" t="s">
        <v>50</v>
      </c>
    </row>
    <row r="1014" spans="1:3" x14ac:dyDescent="0.35">
      <c r="A1014" s="141" t="s">
        <v>534</v>
      </c>
      <c r="B1014" s="141" t="s">
        <v>289</v>
      </c>
      <c r="C1014" s="141" t="s">
        <v>53</v>
      </c>
    </row>
    <row r="1015" spans="1:3" x14ac:dyDescent="0.35">
      <c r="A1015" s="141" t="s">
        <v>312</v>
      </c>
      <c r="B1015" s="141" t="s">
        <v>289</v>
      </c>
      <c r="C1015" s="141" t="s">
        <v>53</v>
      </c>
    </row>
    <row r="1016" spans="1:3" x14ac:dyDescent="0.35">
      <c r="A1016" s="141" t="s">
        <v>575</v>
      </c>
      <c r="B1016" s="141" t="s">
        <v>289</v>
      </c>
      <c r="C1016" s="141" t="s">
        <v>52</v>
      </c>
    </row>
    <row r="1017" spans="1:3" x14ac:dyDescent="0.35">
      <c r="A1017" s="141" t="s">
        <v>639</v>
      </c>
      <c r="B1017" s="141" t="s">
        <v>289</v>
      </c>
      <c r="C1017" s="141" t="s">
        <v>25</v>
      </c>
    </row>
    <row r="1018" spans="1:3" x14ac:dyDescent="0.35">
      <c r="A1018" s="141" t="s">
        <v>640</v>
      </c>
      <c r="B1018" s="141" t="s">
        <v>289</v>
      </c>
      <c r="C1018" s="141" t="s">
        <v>25</v>
      </c>
    </row>
    <row r="1019" spans="1:3" x14ac:dyDescent="0.35">
      <c r="A1019" s="141" t="s">
        <v>641</v>
      </c>
      <c r="B1019" s="141" t="s">
        <v>289</v>
      </c>
      <c r="C1019" s="141" t="s">
        <v>52</v>
      </c>
    </row>
    <row r="1020" spans="1:3" x14ac:dyDescent="0.35">
      <c r="A1020" s="141" t="s">
        <v>642</v>
      </c>
      <c r="B1020" s="141" t="s">
        <v>289</v>
      </c>
      <c r="C1020" s="141" t="s">
        <v>52</v>
      </c>
    </row>
    <row r="1021" spans="1:3" x14ac:dyDescent="0.35">
      <c r="A1021" s="141" t="s">
        <v>643</v>
      </c>
      <c r="B1021" s="141" t="s">
        <v>289</v>
      </c>
      <c r="C1021" s="141" t="s">
        <v>52</v>
      </c>
    </row>
    <row r="1022" spans="1:3" x14ac:dyDescent="0.35">
      <c r="A1022" s="141" t="s">
        <v>644</v>
      </c>
      <c r="B1022" s="141" t="s">
        <v>289</v>
      </c>
      <c r="C1022" s="141" t="s">
        <v>52</v>
      </c>
    </row>
    <row r="1023" spans="1:3" x14ac:dyDescent="0.35">
      <c r="A1023" s="141" t="s">
        <v>645</v>
      </c>
      <c r="B1023" s="141" t="s">
        <v>289</v>
      </c>
      <c r="C1023" s="141" t="s">
        <v>52</v>
      </c>
    </row>
    <row r="1024" spans="1:3" x14ac:dyDescent="0.35">
      <c r="A1024" s="141" t="s">
        <v>646</v>
      </c>
      <c r="B1024" s="141" t="s">
        <v>289</v>
      </c>
      <c r="C1024" s="141" t="s">
        <v>52</v>
      </c>
    </row>
    <row r="1025" spans="1:3" x14ac:dyDescent="0.35">
      <c r="A1025" s="141" t="s">
        <v>647</v>
      </c>
      <c r="B1025" s="141" t="s">
        <v>289</v>
      </c>
      <c r="C1025" s="141" t="s">
        <v>52</v>
      </c>
    </row>
    <row r="1026" spans="1:3" x14ac:dyDescent="0.35">
      <c r="A1026" s="141" t="s">
        <v>648</v>
      </c>
      <c r="B1026" s="141" t="s">
        <v>289</v>
      </c>
      <c r="C1026" s="141" t="s">
        <v>52</v>
      </c>
    </row>
    <row r="1027" spans="1:3" x14ac:dyDescent="0.35">
      <c r="A1027" s="141" t="s">
        <v>649</v>
      </c>
      <c r="B1027" s="141" t="s">
        <v>289</v>
      </c>
      <c r="C1027" s="141" t="s">
        <v>52</v>
      </c>
    </row>
    <row r="1028" spans="1:3" x14ac:dyDescent="0.35">
      <c r="A1028" s="141" t="s">
        <v>650</v>
      </c>
      <c r="B1028" s="141" t="s">
        <v>289</v>
      </c>
      <c r="C1028" s="141" t="s">
        <v>52</v>
      </c>
    </row>
    <row r="1029" spans="1:3" x14ac:dyDescent="0.35">
      <c r="A1029" s="141" t="s">
        <v>651</v>
      </c>
      <c r="B1029" s="141" t="s">
        <v>289</v>
      </c>
      <c r="C1029" s="141" t="s">
        <v>52</v>
      </c>
    </row>
    <row r="1030" spans="1:3" x14ac:dyDescent="0.35">
      <c r="A1030" s="141" t="s">
        <v>577</v>
      </c>
      <c r="B1030" s="141" t="s">
        <v>289</v>
      </c>
      <c r="C1030" s="141" t="s">
        <v>52</v>
      </c>
    </row>
    <row r="1031" spans="1:3" x14ac:dyDescent="0.35">
      <c r="A1031" s="141" t="s">
        <v>578</v>
      </c>
      <c r="B1031" s="141" t="s">
        <v>289</v>
      </c>
      <c r="C1031" s="141" t="s">
        <v>52</v>
      </c>
    </row>
    <row r="1032" spans="1:3" x14ac:dyDescent="0.35">
      <c r="A1032" s="141" t="s">
        <v>535</v>
      </c>
      <c r="B1032" s="141" t="s">
        <v>289</v>
      </c>
      <c r="C1032" s="141" t="s">
        <v>52</v>
      </c>
    </row>
    <row r="1033" spans="1:3" x14ac:dyDescent="0.35">
      <c r="A1033" s="141" t="s">
        <v>536</v>
      </c>
      <c r="B1033" s="141" t="s">
        <v>289</v>
      </c>
      <c r="C1033" s="141" t="s">
        <v>52</v>
      </c>
    </row>
    <row r="1034" spans="1:3" x14ac:dyDescent="0.35">
      <c r="A1034" s="141" t="s">
        <v>537</v>
      </c>
      <c r="B1034" s="141" t="s">
        <v>289</v>
      </c>
      <c r="C1034" s="141" t="s">
        <v>52</v>
      </c>
    </row>
    <row r="1035" spans="1:3" x14ac:dyDescent="0.35">
      <c r="A1035" s="141" t="s">
        <v>538</v>
      </c>
      <c r="B1035" s="141" t="s">
        <v>289</v>
      </c>
      <c r="C1035" s="141" t="s">
        <v>52</v>
      </c>
    </row>
    <row r="1036" spans="1:3" x14ac:dyDescent="0.35">
      <c r="A1036" s="141" t="s">
        <v>539</v>
      </c>
      <c r="B1036" s="141" t="s">
        <v>289</v>
      </c>
      <c r="C1036" s="141" t="s">
        <v>52</v>
      </c>
    </row>
    <row r="1037" spans="1:3" x14ac:dyDescent="0.35">
      <c r="A1037" s="141" t="s">
        <v>540</v>
      </c>
      <c r="B1037" s="141" t="s">
        <v>289</v>
      </c>
      <c r="C1037" s="141" t="s">
        <v>52</v>
      </c>
    </row>
    <row r="1038" spans="1:3" x14ac:dyDescent="0.35">
      <c r="A1038" s="141" t="s">
        <v>652</v>
      </c>
      <c r="B1038" s="141" t="s">
        <v>289</v>
      </c>
      <c r="C1038" s="141" t="s">
        <v>52</v>
      </c>
    </row>
    <row r="1039" spans="1:3" x14ac:dyDescent="0.35">
      <c r="A1039" s="141" t="s">
        <v>653</v>
      </c>
      <c r="B1039" s="141" t="s">
        <v>289</v>
      </c>
      <c r="C1039" s="141" t="s">
        <v>52</v>
      </c>
    </row>
    <row r="1040" spans="1:3" x14ac:dyDescent="0.35">
      <c r="A1040" s="141" t="s">
        <v>542</v>
      </c>
      <c r="B1040" s="141" t="s">
        <v>289</v>
      </c>
      <c r="C1040" s="141" t="s">
        <v>52</v>
      </c>
    </row>
    <row r="1041" spans="1:3" x14ac:dyDescent="0.35">
      <c r="A1041" s="141" t="s">
        <v>543</v>
      </c>
      <c r="B1041" s="141" t="s">
        <v>289</v>
      </c>
      <c r="C1041" s="141" t="s">
        <v>52</v>
      </c>
    </row>
    <row r="1042" spans="1:3" x14ac:dyDescent="0.35">
      <c r="A1042" s="141" t="s">
        <v>544</v>
      </c>
      <c r="B1042" s="141" t="s">
        <v>289</v>
      </c>
      <c r="C1042" s="141" t="s">
        <v>33</v>
      </c>
    </row>
    <row r="1043" spans="1:3" x14ac:dyDescent="0.35">
      <c r="A1043" s="141" t="s">
        <v>545</v>
      </c>
      <c r="B1043" s="141" t="s">
        <v>289</v>
      </c>
      <c r="C1043" s="141" t="s">
        <v>52</v>
      </c>
    </row>
    <row r="1044" spans="1:3" x14ac:dyDescent="0.35">
      <c r="A1044" s="141" t="s">
        <v>546</v>
      </c>
      <c r="B1044" s="141" t="s">
        <v>289</v>
      </c>
      <c r="C1044" s="141" t="s">
        <v>52</v>
      </c>
    </row>
    <row r="1045" spans="1:3" x14ac:dyDescent="0.35">
      <c r="A1045" s="141" t="s">
        <v>547</v>
      </c>
      <c r="B1045" s="141" t="s">
        <v>289</v>
      </c>
      <c r="C1045" s="141" t="s">
        <v>52</v>
      </c>
    </row>
    <row r="1046" spans="1:3" x14ac:dyDescent="0.35">
      <c r="A1046" s="141" t="s">
        <v>548</v>
      </c>
      <c r="B1046" s="141" t="s">
        <v>289</v>
      </c>
      <c r="C1046" s="141" t="s">
        <v>33</v>
      </c>
    </row>
    <row r="1047" spans="1:3" x14ac:dyDescent="0.35">
      <c r="A1047" s="141" t="s">
        <v>549</v>
      </c>
      <c r="B1047" s="141" t="s">
        <v>289</v>
      </c>
      <c r="C1047" s="141" t="s">
        <v>33</v>
      </c>
    </row>
    <row r="1048" spans="1:3" x14ac:dyDescent="0.35">
      <c r="A1048" s="141" t="s">
        <v>550</v>
      </c>
      <c r="B1048" s="141" t="s">
        <v>289</v>
      </c>
      <c r="C1048" s="141" t="s">
        <v>33</v>
      </c>
    </row>
    <row r="1049" spans="1:3" x14ac:dyDescent="0.35">
      <c r="A1049" s="141" t="s">
        <v>551</v>
      </c>
      <c r="B1049" s="141" t="s">
        <v>289</v>
      </c>
      <c r="C1049" s="141" t="s">
        <v>33</v>
      </c>
    </row>
    <row r="1050" spans="1:3" x14ac:dyDescent="0.35">
      <c r="A1050" s="141" t="s">
        <v>306</v>
      </c>
      <c r="B1050" s="141" t="s">
        <v>289</v>
      </c>
      <c r="C1050" s="141" t="s">
        <v>35</v>
      </c>
    </row>
    <row r="1051" spans="1:3" x14ac:dyDescent="0.35">
      <c r="A1051" s="141" t="s">
        <v>307</v>
      </c>
      <c r="B1051" s="141" t="s">
        <v>289</v>
      </c>
      <c r="C1051" s="141" t="s">
        <v>33</v>
      </c>
    </row>
    <row r="1052" spans="1:3" x14ac:dyDescent="0.35">
      <c r="A1052" s="141" t="s">
        <v>314</v>
      </c>
      <c r="B1052" s="141" t="s">
        <v>289</v>
      </c>
      <c r="C1052" s="141" t="s">
        <v>16</v>
      </c>
    </row>
    <row r="1053" spans="1:3" x14ac:dyDescent="0.35">
      <c r="A1053" s="141" t="s">
        <v>315</v>
      </c>
      <c r="B1053" s="141" t="s">
        <v>289</v>
      </c>
      <c r="C1053" s="141" t="s">
        <v>16</v>
      </c>
    </row>
    <row r="1054" spans="1:3" x14ac:dyDescent="0.35">
      <c r="A1054" s="141" t="s">
        <v>316</v>
      </c>
      <c r="B1054" s="141" t="s">
        <v>289</v>
      </c>
      <c r="C1054" s="141" t="s">
        <v>16</v>
      </c>
    </row>
    <row r="1055" spans="1:3" x14ac:dyDescent="0.35">
      <c r="A1055" s="141" t="s">
        <v>317</v>
      </c>
      <c r="B1055" s="141" t="s">
        <v>289</v>
      </c>
      <c r="C1055" s="141" t="s">
        <v>16</v>
      </c>
    </row>
    <row r="1056" spans="1:3" x14ac:dyDescent="0.35">
      <c r="A1056" s="141" t="s">
        <v>318</v>
      </c>
      <c r="B1056" s="141" t="s">
        <v>289</v>
      </c>
      <c r="C1056" s="141" t="s">
        <v>16</v>
      </c>
    </row>
    <row r="1057" spans="1:3" x14ac:dyDescent="0.35">
      <c r="A1057" s="141" t="s">
        <v>319</v>
      </c>
      <c r="B1057" s="141" t="s">
        <v>289</v>
      </c>
      <c r="C1057" s="141" t="s">
        <v>16</v>
      </c>
    </row>
    <row r="1058" spans="1:3" x14ac:dyDescent="0.35">
      <c r="A1058" s="141" t="s">
        <v>320</v>
      </c>
      <c r="B1058" s="141" t="s">
        <v>289</v>
      </c>
      <c r="C1058" s="141" t="s">
        <v>16</v>
      </c>
    </row>
    <row r="1059" spans="1:3" x14ac:dyDescent="0.35">
      <c r="A1059" s="141" t="s">
        <v>322</v>
      </c>
      <c r="B1059" s="141" t="s">
        <v>289</v>
      </c>
      <c r="C1059" s="141" t="s">
        <v>16</v>
      </c>
    </row>
    <row r="1060" spans="1:3" x14ac:dyDescent="0.35">
      <c r="A1060" s="141" t="s">
        <v>324</v>
      </c>
      <c r="B1060" s="141" t="s">
        <v>289</v>
      </c>
      <c r="C1060" s="141" t="s">
        <v>16</v>
      </c>
    </row>
    <row r="1061" spans="1:3" x14ac:dyDescent="0.35">
      <c r="A1061" s="141" t="s">
        <v>331</v>
      </c>
      <c r="B1061" s="141" t="s">
        <v>289</v>
      </c>
      <c r="C1061" s="141" t="s">
        <v>16</v>
      </c>
    </row>
    <row r="1062" spans="1:3" x14ac:dyDescent="0.35">
      <c r="A1062" s="141" t="s">
        <v>332</v>
      </c>
      <c r="B1062" s="141" t="s">
        <v>289</v>
      </c>
      <c r="C1062" s="141" t="s">
        <v>16</v>
      </c>
    </row>
    <row r="1063" spans="1:3" x14ac:dyDescent="0.35">
      <c r="A1063" s="141" t="s">
        <v>333</v>
      </c>
      <c r="B1063" s="141" t="s">
        <v>289</v>
      </c>
      <c r="C1063" s="141" t="s">
        <v>16</v>
      </c>
    </row>
    <row r="1064" spans="1:3" x14ac:dyDescent="0.35">
      <c r="A1064" s="141" t="s">
        <v>334</v>
      </c>
      <c r="B1064" s="141" t="s">
        <v>289</v>
      </c>
      <c r="C1064" s="141" t="s">
        <v>16</v>
      </c>
    </row>
    <row r="1065" spans="1:3" x14ac:dyDescent="0.35">
      <c r="A1065" s="141" t="s">
        <v>335</v>
      </c>
      <c r="B1065" s="141" t="s">
        <v>289</v>
      </c>
      <c r="C1065" s="141" t="s">
        <v>16</v>
      </c>
    </row>
    <row r="1066" spans="1:3" x14ac:dyDescent="0.35">
      <c r="A1066" s="141" t="s">
        <v>336</v>
      </c>
      <c r="B1066" s="141" t="s">
        <v>289</v>
      </c>
      <c r="C1066" s="141" t="s">
        <v>16</v>
      </c>
    </row>
    <row r="1067" spans="1:3" x14ac:dyDescent="0.35">
      <c r="A1067" s="141" t="s">
        <v>579</v>
      </c>
      <c r="B1067" s="141" t="s">
        <v>289</v>
      </c>
      <c r="C1067" s="141" t="s">
        <v>32</v>
      </c>
    </row>
    <row r="1068" spans="1:3" x14ac:dyDescent="0.35">
      <c r="A1068" s="141" t="s">
        <v>556</v>
      </c>
      <c r="B1068" s="141" t="s">
        <v>289</v>
      </c>
      <c r="C1068" s="141" t="s">
        <v>32</v>
      </c>
    </row>
    <row r="1069" spans="1:3" x14ac:dyDescent="0.35">
      <c r="A1069" s="141" t="s">
        <v>557</v>
      </c>
      <c r="B1069" s="141" t="s">
        <v>289</v>
      </c>
      <c r="C1069" s="141" t="s">
        <v>32</v>
      </c>
    </row>
    <row r="1070" spans="1:3" x14ac:dyDescent="0.35">
      <c r="A1070" s="141" t="s">
        <v>558</v>
      </c>
      <c r="B1070" s="141" t="s">
        <v>289</v>
      </c>
      <c r="C1070" s="141" t="s">
        <v>32</v>
      </c>
    </row>
    <row r="1071" spans="1:3" x14ac:dyDescent="0.35">
      <c r="A1071" s="141" t="s">
        <v>580</v>
      </c>
      <c r="B1071" s="141" t="s">
        <v>289</v>
      </c>
      <c r="C1071" s="141" t="s">
        <v>32</v>
      </c>
    </row>
    <row r="1072" spans="1:3" x14ac:dyDescent="0.35">
      <c r="A1072" s="141" t="s">
        <v>559</v>
      </c>
      <c r="B1072" s="141" t="s">
        <v>289</v>
      </c>
      <c r="C1072" s="141" t="s">
        <v>47</v>
      </c>
    </row>
    <row r="1073" spans="1:3" x14ac:dyDescent="0.35">
      <c r="A1073" s="141" t="s">
        <v>560</v>
      </c>
      <c r="B1073" s="141" t="s">
        <v>289</v>
      </c>
      <c r="C1073" s="141" t="s">
        <v>47</v>
      </c>
    </row>
    <row r="1074" spans="1:3" x14ac:dyDescent="0.35">
      <c r="A1074" s="141" t="s">
        <v>561</v>
      </c>
      <c r="B1074" s="141" t="s">
        <v>289</v>
      </c>
      <c r="C1074" s="141" t="s">
        <v>47</v>
      </c>
    </row>
    <row r="1075" spans="1:3" x14ac:dyDescent="0.35">
      <c r="A1075" s="141" t="s">
        <v>562</v>
      </c>
      <c r="B1075" s="141" t="s">
        <v>289</v>
      </c>
      <c r="C1075" s="141" t="s">
        <v>48</v>
      </c>
    </row>
    <row r="1076" spans="1:3" x14ac:dyDescent="0.35">
      <c r="A1076" s="141" t="s">
        <v>563</v>
      </c>
      <c r="B1076" s="141" t="s">
        <v>289</v>
      </c>
      <c r="C1076" s="141" t="s">
        <v>47</v>
      </c>
    </row>
    <row r="1077" spans="1:3" x14ac:dyDescent="0.35">
      <c r="A1077" s="141" t="s">
        <v>390</v>
      </c>
      <c r="B1077" s="141" t="s">
        <v>279</v>
      </c>
      <c r="C1077" s="141" t="s">
        <v>16</v>
      </c>
    </row>
    <row r="1078" spans="1:3" x14ac:dyDescent="0.35">
      <c r="A1078" s="141" t="s">
        <v>352</v>
      </c>
      <c r="B1078" s="141" t="s">
        <v>279</v>
      </c>
      <c r="C1078" s="141" t="s">
        <v>2</v>
      </c>
    </row>
    <row r="1079" spans="1:3" x14ac:dyDescent="0.35">
      <c r="A1079" s="141" t="s">
        <v>354</v>
      </c>
      <c r="B1079" s="141" t="s">
        <v>279</v>
      </c>
      <c r="C1079" s="141" t="s">
        <v>2</v>
      </c>
    </row>
    <row r="1080" spans="1:3" x14ac:dyDescent="0.35">
      <c r="A1080" s="141" t="s">
        <v>391</v>
      </c>
      <c r="B1080" s="141" t="s">
        <v>279</v>
      </c>
      <c r="C1080" s="141" t="s">
        <v>16</v>
      </c>
    </row>
    <row r="1081" spans="1:3" x14ac:dyDescent="0.35">
      <c r="A1081" s="141" t="s">
        <v>392</v>
      </c>
      <c r="B1081" s="141" t="s">
        <v>279</v>
      </c>
      <c r="C1081" s="141" t="s">
        <v>16</v>
      </c>
    </row>
    <row r="1082" spans="1:3" x14ac:dyDescent="0.35">
      <c r="A1082" s="141" t="s">
        <v>393</v>
      </c>
      <c r="B1082" s="141" t="s">
        <v>279</v>
      </c>
      <c r="C1082" s="141" t="s">
        <v>9</v>
      </c>
    </row>
    <row r="1083" spans="1:3" x14ac:dyDescent="0.35">
      <c r="A1083" s="141" t="s">
        <v>355</v>
      </c>
      <c r="B1083" s="141" t="s">
        <v>279</v>
      </c>
      <c r="C1083" s="141" t="s">
        <v>12</v>
      </c>
    </row>
    <row r="1084" spans="1:3" x14ac:dyDescent="0.35">
      <c r="A1084" s="141" t="s">
        <v>356</v>
      </c>
      <c r="B1084" s="141" t="s">
        <v>279</v>
      </c>
      <c r="C1084" s="141" t="s">
        <v>14</v>
      </c>
    </row>
    <row r="1085" spans="1:3" x14ac:dyDescent="0.35">
      <c r="A1085" s="141" t="s">
        <v>357</v>
      </c>
      <c r="B1085" s="141" t="s">
        <v>279</v>
      </c>
      <c r="C1085" s="141" t="s">
        <v>14</v>
      </c>
    </row>
    <row r="1086" spans="1:3" x14ac:dyDescent="0.35">
      <c r="A1086" s="141" t="s">
        <v>368</v>
      </c>
      <c r="B1086" s="141" t="s">
        <v>279</v>
      </c>
      <c r="C1086" s="141" t="s">
        <v>10</v>
      </c>
    </row>
    <row r="1087" spans="1:3" x14ac:dyDescent="0.35">
      <c r="A1087" s="141" t="s">
        <v>590</v>
      </c>
      <c r="B1087" s="141" t="s">
        <v>279</v>
      </c>
      <c r="C1087" s="141" t="s">
        <v>10</v>
      </c>
    </row>
    <row r="1088" spans="1:3" x14ac:dyDescent="0.35">
      <c r="A1088" s="141" t="s">
        <v>591</v>
      </c>
      <c r="B1088" s="141" t="s">
        <v>279</v>
      </c>
      <c r="C1088" s="141" t="s">
        <v>10</v>
      </c>
    </row>
    <row r="1089" spans="1:3" x14ac:dyDescent="0.35">
      <c r="A1089" s="141" t="s">
        <v>370</v>
      </c>
      <c r="B1089" s="141" t="s">
        <v>279</v>
      </c>
      <c r="C1089" s="141" t="s">
        <v>10</v>
      </c>
    </row>
    <row r="1090" spans="1:3" x14ac:dyDescent="0.35">
      <c r="A1090" s="141" t="s">
        <v>371</v>
      </c>
      <c r="B1090" s="141" t="s">
        <v>279</v>
      </c>
      <c r="C1090" s="141" t="s">
        <v>10</v>
      </c>
    </row>
    <row r="1091" spans="1:3" x14ac:dyDescent="0.35">
      <c r="A1091" s="141" t="s">
        <v>376</v>
      </c>
      <c r="B1091" s="141" t="s">
        <v>279</v>
      </c>
      <c r="C1091" s="141" t="s">
        <v>10</v>
      </c>
    </row>
    <row r="1092" spans="1:3" x14ac:dyDescent="0.35">
      <c r="A1092" s="141" t="s">
        <v>372</v>
      </c>
      <c r="B1092" s="141" t="s">
        <v>279</v>
      </c>
      <c r="C1092" s="141" t="s">
        <v>10</v>
      </c>
    </row>
    <row r="1093" spans="1:3" x14ac:dyDescent="0.35">
      <c r="A1093" s="141" t="s">
        <v>373</v>
      </c>
      <c r="B1093" s="141" t="s">
        <v>279</v>
      </c>
      <c r="C1093" s="141" t="s">
        <v>10</v>
      </c>
    </row>
    <row r="1094" spans="1:3" x14ac:dyDescent="0.35">
      <c r="A1094" s="141" t="s">
        <v>374</v>
      </c>
      <c r="B1094" s="141" t="s">
        <v>279</v>
      </c>
      <c r="C1094" s="141" t="s">
        <v>10</v>
      </c>
    </row>
    <row r="1095" spans="1:3" x14ac:dyDescent="0.35">
      <c r="A1095" s="141" t="s">
        <v>375</v>
      </c>
      <c r="B1095" s="141" t="s">
        <v>279</v>
      </c>
      <c r="C1095" s="141" t="s">
        <v>10</v>
      </c>
    </row>
    <row r="1096" spans="1:3" x14ac:dyDescent="0.35">
      <c r="A1096" s="141" t="s">
        <v>377</v>
      </c>
      <c r="B1096" s="141" t="s">
        <v>279</v>
      </c>
      <c r="C1096" s="141" t="s">
        <v>11</v>
      </c>
    </row>
    <row r="1097" spans="1:3" x14ac:dyDescent="0.35">
      <c r="A1097" s="141" t="s">
        <v>378</v>
      </c>
      <c r="B1097" s="141" t="s">
        <v>279</v>
      </c>
      <c r="C1097" s="141" t="s">
        <v>11</v>
      </c>
    </row>
    <row r="1098" spans="1:3" x14ac:dyDescent="0.35">
      <c r="A1098" s="141" t="s">
        <v>379</v>
      </c>
      <c r="B1098" s="141" t="s">
        <v>279</v>
      </c>
      <c r="C1098" s="141" t="s">
        <v>11</v>
      </c>
    </row>
    <row r="1099" spans="1:3" x14ac:dyDescent="0.35">
      <c r="A1099" s="141" t="s">
        <v>380</v>
      </c>
      <c r="B1099" s="141" t="s">
        <v>279</v>
      </c>
      <c r="C1099" s="141" t="s">
        <v>11</v>
      </c>
    </row>
    <row r="1100" spans="1:3" x14ac:dyDescent="0.35">
      <c r="A1100" s="141" t="s">
        <v>381</v>
      </c>
      <c r="B1100" s="141" t="s">
        <v>279</v>
      </c>
      <c r="C1100" s="141" t="s">
        <v>11</v>
      </c>
    </row>
    <row r="1101" spans="1:3" x14ac:dyDescent="0.35">
      <c r="A1101" s="141" t="s">
        <v>382</v>
      </c>
      <c r="B1101" s="141" t="s">
        <v>279</v>
      </c>
      <c r="C1101" s="141" t="s">
        <v>11</v>
      </c>
    </row>
    <row r="1102" spans="1:3" x14ac:dyDescent="0.35">
      <c r="A1102" s="141" t="s">
        <v>358</v>
      </c>
      <c r="B1102" s="141" t="s">
        <v>279</v>
      </c>
      <c r="C1102" s="141" t="s">
        <v>14</v>
      </c>
    </row>
    <row r="1103" spans="1:3" x14ac:dyDescent="0.35">
      <c r="A1103" s="141" t="s">
        <v>654</v>
      </c>
      <c r="B1103" s="141" t="s">
        <v>279</v>
      </c>
      <c r="C1103" s="141" t="s">
        <v>14</v>
      </c>
    </row>
    <row r="1104" spans="1:3" x14ac:dyDescent="0.35">
      <c r="A1104" s="141" t="s">
        <v>655</v>
      </c>
      <c r="B1104" s="141" t="s">
        <v>279</v>
      </c>
      <c r="C1104" s="141" t="s">
        <v>14</v>
      </c>
    </row>
    <row r="1105" spans="1:3" x14ac:dyDescent="0.35">
      <c r="A1105" s="141" t="s">
        <v>581</v>
      </c>
      <c r="B1105" s="141" t="s">
        <v>279</v>
      </c>
      <c r="C1105" s="141" t="s">
        <v>13</v>
      </c>
    </row>
    <row r="1106" spans="1:3" x14ac:dyDescent="0.35">
      <c r="A1106" s="141" t="s">
        <v>367</v>
      </c>
      <c r="B1106" s="141" t="s">
        <v>279</v>
      </c>
      <c r="C1106" s="141" t="s">
        <v>8</v>
      </c>
    </row>
    <row r="1107" spans="1:3" x14ac:dyDescent="0.35">
      <c r="A1107" s="141" t="s">
        <v>383</v>
      </c>
      <c r="B1107" s="141" t="s">
        <v>279</v>
      </c>
      <c r="C1107" s="141" t="s">
        <v>5</v>
      </c>
    </row>
    <row r="1108" spans="1:3" x14ac:dyDescent="0.35">
      <c r="A1108" s="141" t="s">
        <v>359</v>
      </c>
      <c r="B1108" s="141" t="s">
        <v>279</v>
      </c>
      <c r="C1108" s="141" t="s">
        <v>46</v>
      </c>
    </row>
    <row r="1109" spans="1:3" x14ac:dyDescent="0.35">
      <c r="A1109" s="141" t="s">
        <v>360</v>
      </c>
      <c r="B1109" s="141" t="s">
        <v>279</v>
      </c>
      <c r="C1109" s="141" t="s">
        <v>46</v>
      </c>
    </row>
    <row r="1110" spans="1:3" x14ac:dyDescent="0.35">
      <c r="A1110" s="141" t="s">
        <v>262</v>
      </c>
      <c r="B1110" s="141" t="s">
        <v>279</v>
      </c>
      <c r="C1110" s="141" t="s">
        <v>27</v>
      </c>
    </row>
    <row r="1111" spans="1:3" x14ac:dyDescent="0.35">
      <c r="A1111" s="141" t="s">
        <v>564</v>
      </c>
      <c r="B1111" s="141" t="s">
        <v>279</v>
      </c>
      <c r="C1111" s="141" t="s">
        <v>7</v>
      </c>
    </row>
    <row r="1112" spans="1:3" x14ac:dyDescent="0.35">
      <c r="A1112" s="141" t="s">
        <v>565</v>
      </c>
      <c r="B1112" s="141" t="s">
        <v>279</v>
      </c>
      <c r="C1112" s="141" t="s">
        <v>7</v>
      </c>
    </row>
    <row r="1113" spans="1:3" x14ac:dyDescent="0.35">
      <c r="A1113" s="141" t="s">
        <v>385</v>
      </c>
      <c r="B1113" s="141" t="s">
        <v>279</v>
      </c>
      <c r="C1113" s="141" t="s">
        <v>7</v>
      </c>
    </row>
    <row r="1114" spans="1:3" x14ac:dyDescent="0.35">
      <c r="A1114" s="141" t="s">
        <v>386</v>
      </c>
      <c r="B1114" s="141" t="s">
        <v>279</v>
      </c>
      <c r="C1114" s="141" t="s">
        <v>7</v>
      </c>
    </row>
    <row r="1115" spans="1:3" x14ac:dyDescent="0.35">
      <c r="A1115" s="141" t="s">
        <v>387</v>
      </c>
      <c r="B1115" s="141" t="s">
        <v>279</v>
      </c>
      <c r="C1115" s="141" t="s">
        <v>7</v>
      </c>
    </row>
    <row r="1116" spans="1:3" x14ac:dyDescent="0.35">
      <c r="A1116" s="141" t="s">
        <v>365</v>
      </c>
      <c r="B1116" s="141" t="s">
        <v>279</v>
      </c>
      <c r="C1116" s="141" t="s">
        <v>7</v>
      </c>
    </row>
    <row r="1117" spans="1:3" x14ac:dyDescent="0.35">
      <c r="A1117" s="141" t="s">
        <v>589</v>
      </c>
      <c r="B1117" s="141" t="s">
        <v>279</v>
      </c>
      <c r="C1117" s="141" t="s">
        <v>4</v>
      </c>
    </row>
    <row r="1118" spans="1:3" x14ac:dyDescent="0.35">
      <c r="A1118" s="141" t="s">
        <v>388</v>
      </c>
      <c r="B1118" s="141" t="s">
        <v>279</v>
      </c>
      <c r="C1118" s="141" t="s">
        <v>8</v>
      </c>
    </row>
    <row r="1119" spans="1:3" x14ac:dyDescent="0.35">
      <c r="A1119" s="141" t="s">
        <v>389</v>
      </c>
      <c r="B1119" s="141" t="s">
        <v>279</v>
      </c>
      <c r="C1119" s="141" t="s">
        <v>8</v>
      </c>
    </row>
    <row r="1120" spans="1:3" x14ac:dyDescent="0.35">
      <c r="A1120" s="141" t="s">
        <v>366</v>
      </c>
      <c r="B1120" s="141" t="s">
        <v>279</v>
      </c>
      <c r="C1120" s="141" t="s">
        <v>8</v>
      </c>
    </row>
    <row r="1121" spans="1:3" x14ac:dyDescent="0.35">
      <c r="A1121" s="141" t="s">
        <v>586</v>
      </c>
      <c r="B1121" s="141" t="s">
        <v>279</v>
      </c>
      <c r="C1121" s="141" t="s">
        <v>4</v>
      </c>
    </row>
    <row r="1122" spans="1:3" x14ac:dyDescent="0.35">
      <c r="A1122" s="141" t="s">
        <v>587</v>
      </c>
      <c r="B1122" s="141" t="s">
        <v>279</v>
      </c>
      <c r="C1122" s="141" t="s">
        <v>4</v>
      </c>
    </row>
    <row r="1123" spans="1:3" x14ac:dyDescent="0.35">
      <c r="A1123" s="141" t="s">
        <v>588</v>
      </c>
      <c r="B1123" s="141" t="s">
        <v>279</v>
      </c>
      <c r="C1123" s="141" t="s">
        <v>4</v>
      </c>
    </row>
    <row r="1124" spans="1:3" x14ac:dyDescent="0.35">
      <c r="A1124" s="141" t="s">
        <v>656</v>
      </c>
      <c r="B1124" s="141" t="s">
        <v>279</v>
      </c>
      <c r="C1124" s="141" t="s">
        <v>21</v>
      </c>
    </row>
    <row r="1125" spans="1:3" x14ac:dyDescent="0.35">
      <c r="A1125" s="141" t="s">
        <v>657</v>
      </c>
      <c r="B1125" s="141" t="s">
        <v>279</v>
      </c>
      <c r="C1125" s="141" t="s">
        <v>21</v>
      </c>
    </row>
    <row r="1126" spans="1:3" x14ac:dyDescent="0.35">
      <c r="A1126" s="141" t="s">
        <v>658</v>
      </c>
      <c r="B1126" s="141" t="s">
        <v>279</v>
      </c>
      <c r="C1126" s="141" t="s">
        <v>21</v>
      </c>
    </row>
    <row r="1127" spans="1:3" x14ac:dyDescent="0.35">
      <c r="A1127" s="141" t="s">
        <v>659</v>
      </c>
      <c r="B1127" s="141" t="s">
        <v>279</v>
      </c>
      <c r="C1127" s="141" t="s">
        <v>21</v>
      </c>
    </row>
    <row r="1128" spans="1:3" x14ac:dyDescent="0.35">
      <c r="A1128" s="141" t="s">
        <v>660</v>
      </c>
      <c r="B1128" s="141" t="s">
        <v>279</v>
      </c>
      <c r="C1128" s="141" t="s">
        <v>21</v>
      </c>
    </row>
    <row r="1129" spans="1:3" x14ac:dyDescent="0.35">
      <c r="A1129" s="141" t="s">
        <v>283</v>
      </c>
      <c r="B1129" s="141" t="s">
        <v>279</v>
      </c>
      <c r="C1129" s="141" t="s">
        <v>21</v>
      </c>
    </row>
    <row r="1130" spans="1:3" x14ac:dyDescent="0.35">
      <c r="A1130" s="141" t="s">
        <v>284</v>
      </c>
      <c r="B1130" s="141" t="s">
        <v>279</v>
      </c>
      <c r="C1130" s="141" t="s">
        <v>21</v>
      </c>
    </row>
    <row r="1131" spans="1:3" x14ac:dyDescent="0.35">
      <c r="A1131" s="141" t="s">
        <v>424</v>
      </c>
      <c r="B1131" s="141" t="s">
        <v>279</v>
      </c>
      <c r="C1131" s="141" t="s">
        <v>21</v>
      </c>
    </row>
    <row r="1132" spans="1:3" x14ac:dyDescent="0.35">
      <c r="A1132" s="141" t="s">
        <v>425</v>
      </c>
      <c r="B1132" s="141" t="s">
        <v>279</v>
      </c>
      <c r="C1132" s="141" t="s">
        <v>27</v>
      </c>
    </row>
    <row r="1133" spans="1:3" x14ac:dyDescent="0.35">
      <c r="A1133" s="141" t="s">
        <v>285</v>
      </c>
      <c r="B1133" s="141" t="s">
        <v>279</v>
      </c>
      <c r="C1133" s="141" t="s">
        <v>27</v>
      </c>
    </row>
    <row r="1134" spans="1:3" x14ac:dyDescent="0.35">
      <c r="A1134" s="141" t="s">
        <v>286</v>
      </c>
      <c r="B1134" s="141" t="s">
        <v>279</v>
      </c>
      <c r="C1134" s="141" t="s">
        <v>27</v>
      </c>
    </row>
    <row r="1135" spans="1:3" x14ac:dyDescent="0.35">
      <c r="A1135" s="141" t="s">
        <v>287</v>
      </c>
      <c r="B1135" s="141" t="s">
        <v>279</v>
      </c>
      <c r="C1135" s="141" t="s">
        <v>21</v>
      </c>
    </row>
    <row r="1136" spans="1:3" x14ac:dyDescent="0.35">
      <c r="A1136" s="141" t="s">
        <v>290</v>
      </c>
      <c r="B1136" s="141" t="s">
        <v>279</v>
      </c>
      <c r="C1136" s="141" t="s">
        <v>23</v>
      </c>
    </row>
    <row r="1137" spans="1:3" x14ac:dyDescent="0.35">
      <c r="A1137" s="141" t="s">
        <v>661</v>
      </c>
      <c r="B1137" s="141" t="s">
        <v>279</v>
      </c>
      <c r="C1137" s="141" t="s">
        <v>22</v>
      </c>
    </row>
    <row r="1138" spans="1:3" x14ac:dyDescent="0.35">
      <c r="A1138" s="141" t="s">
        <v>291</v>
      </c>
      <c r="B1138" s="141" t="s">
        <v>279</v>
      </c>
      <c r="C1138" s="141" t="s">
        <v>22</v>
      </c>
    </row>
    <row r="1139" spans="1:3" x14ac:dyDescent="0.35">
      <c r="A1139" s="141" t="s">
        <v>662</v>
      </c>
      <c r="B1139" s="141" t="s">
        <v>279</v>
      </c>
      <c r="C1139" s="141" t="s">
        <v>22</v>
      </c>
    </row>
    <row r="1140" spans="1:3" x14ac:dyDescent="0.35">
      <c r="A1140" s="141" t="s">
        <v>292</v>
      </c>
      <c r="B1140" s="141" t="s">
        <v>279</v>
      </c>
      <c r="C1140" s="141" t="s">
        <v>22</v>
      </c>
    </row>
    <row r="1141" spans="1:3" x14ac:dyDescent="0.35">
      <c r="A1141" s="141" t="s">
        <v>663</v>
      </c>
      <c r="B1141" s="141" t="s">
        <v>279</v>
      </c>
      <c r="C1141" s="141" t="s">
        <v>22</v>
      </c>
    </row>
    <row r="1142" spans="1:3" x14ac:dyDescent="0.35">
      <c r="A1142" s="141" t="s">
        <v>293</v>
      </c>
      <c r="B1142" s="141" t="s">
        <v>279</v>
      </c>
      <c r="C1142" s="141" t="s">
        <v>22</v>
      </c>
    </row>
    <row r="1143" spans="1:3" x14ac:dyDescent="0.35">
      <c r="A1143" s="141" t="s">
        <v>664</v>
      </c>
      <c r="B1143" s="141" t="s">
        <v>279</v>
      </c>
      <c r="C1143" s="141" t="s">
        <v>24</v>
      </c>
    </row>
    <row r="1144" spans="1:3" x14ac:dyDescent="0.35">
      <c r="A1144" s="141" t="s">
        <v>665</v>
      </c>
      <c r="B1144" s="141" t="s">
        <v>279</v>
      </c>
      <c r="C1144" s="141" t="s">
        <v>21</v>
      </c>
    </row>
    <row r="1145" spans="1:3" x14ac:dyDescent="0.35">
      <c r="A1145" s="141" t="s">
        <v>666</v>
      </c>
      <c r="B1145" s="141" t="s">
        <v>279</v>
      </c>
      <c r="C1145" s="141" t="s">
        <v>21</v>
      </c>
    </row>
    <row r="1146" spans="1:3" x14ac:dyDescent="0.35">
      <c r="A1146" s="141" t="s">
        <v>667</v>
      </c>
      <c r="B1146" s="141" t="s">
        <v>279</v>
      </c>
      <c r="C1146" s="141" t="s">
        <v>55</v>
      </c>
    </row>
    <row r="1147" spans="1:3" x14ac:dyDescent="0.35">
      <c r="A1147" s="141" t="s">
        <v>668</v>
      </c>
      <c r="B1147" s="141" t="s">
        <v>279</v>
      </c>
      <c r="C1147" s="141" t="s">
        <v>54</v>
      </c>
    </row>
    <row r="1148" spans="1:3" x14ac:dyDescent="0.35">
      <c r="A1148" s="141" t="s">
        <v>669</v>
      </c>
      <c r="B1148" s="141" t="s">
        <v>279</v>
      </c>
      <c r="C1148" s="141" t="s">
        <v>55</v>
      </c>
    </row>
    <row r="1149" spans="1:3" x14ac:dyDescent="0.35">
      <c r="A1149" s="141" t="s">
        <v>670</v>
      </c>
      <c r="B1149" s="141" t="s">
        <v>279</v>
      </c>
      <c r="C1149" s="141" t="s">
        <v>54</v>
      </c>
    </row>
    <row r="1150" spans="1:3" x14ac:dyDescent="0.35">
      <c r="A1150" s="141" t="s">
        <v>361</v>
      </c>
      <c r="B1150" s="141" t="s">
        <v>279</v>
      </c>
      <c r="C1150" s="141" t="s">
        <v>45</v>
      </c>
    </row>
    <row r="1151" spans="1:3" x14ac:dyDescent="0.35">
      <c r="A1151" s="141" t="s">
        <v>362</v>
      </c>
      <c r="B1151" s="141" t="s">
        <v>279</v>
      </c>
      <c r="C1151" s="141" t="s">
        <v>45</v>
      </c>
    </row>
    <row r="1152" spans="1:3" x14ac:dyDescent="0.35">
      <c r="A1152" s="141" t="s">
        <v>363</v>
      </c>
      <c r="B1152" s="141" t="s">
        <v>279</v>
      </c>
      <c r="C1152" s="141" t="s">
        <v>45</v>
      </c>
    </row>
    <row r="1153" spans="1:3" x14ac:dyDescent="0.35">
      <c r="A1153" s="141" t="s">
        <v>364</v>
      </c>
      <c r="B1153" s="141" t="s">
        <v>279</v>
      </c>
      <c r="C1153" s="141" t="s">
        <v>45</v>
      </c>
    </row>
    <row r="1154" spans="1:3" x14ac:dyDescent="0.35">
      <c r="A1154" s="141" t="s">
        <v>394</v>
      </c>
      <c r="B1154" s="141" t="s">
        <v>279</v>
      </c>
      <c r="C1154" s="141" t="s">
        <v>19</v>
      </c>
    </row>
    <row r="1155" spans="1:3" x14ac:dyDescent="0.35">
      <c r="A1155" s="141" t="s">
        <v>395</v>
      </c>
      <c r="B1155" s="141" t="s">
        <v>279</v>
      </c>
      <c r="C1155" s="141" t="s">
        <v>19</v>
      </c>
    </row>
    <row r="1156" spans="1:3" x14ac:dyDescent="0.35">
      <c r="A1156" s="141" t="s">
        <v>396</v>
      </c>
      <c r="B1156" s="141" t="s">
        <v>279</v>
      </c>
      <c r="C1156" s="141" t="s">
        <v>45</v>
      </c>
    </row>
    <row r="1157" spans="1:3" x14ac:dyDescent="0.35">
      <c r="A1157" s="141" t="s">
        <v>397</v>
      </c>
      <c r="B1157" s="141" t="s">
        <v>279</v>
      </c>
      <c r="C1157" s="141" t="s">
        <v>16</v>
      </c>
    </row>
    <row r="1158" spans="1:3" x14ac:dyDescent="0.35">
      <c r="A1158" s="141" t="s">
        <v>398</v>
      </c>
      <c r="B1158" s="141" t="s">
        <v>279</v>
      </c>
      <c r="C1158" s="141" t="s">
        <v>17</v>
      </c>
    </row>
    <row r="1159" spans="1:3" x14ac:dyDescent="0.35">
      <c r="A1159" s="141" t="s">
        <v>399</v>
      </c>
      <c r="B1159" s="141" t="s">
        <v>279</v>
      </c>
      <c r="C1159" s="141" t="s">
        <v>16</v>
      </c>
    </row>
    <row r="1160" spans="1:3" x14ac:dyDescent="0.35">
      <c r="A1160" s="141" t="s">
        <v>400</v>
      </c>
      <c r="B1160" s="141" t="s">
        <v>279</v>
      </c>
      <c r="C1160" s="141" t="s">
        <v>20</v>
      </c>
    </row>
    <row r="1161" spans="1:3" x14ac:dyDescent="0.35">
      <c r="A1161" s="141" t="s">
        <v>401</v>
      </c>
      <c r="B1161" s="141" t="s">
        <v>279</v>
      </c>
      <c r="C1161" s="141" t="s">
        <v>20</v>
      </c>
    </row>
    <row r="1162" spans="1:3" x14ac:dyDescent="0.35">
      <c r="A1162" s="141" t="s">
        <v>671</v>
      </c>
      <c r="B1162" s="141" t="s">
        <v>279</v>
      </c>
      <c r="C1162" s="141" t="s">
        <v>20</v>
      </c>
    </row>
    <row r="1163" spans="1:3" x14ac:dyDescent="0.35">
      <c r="A1163" s="141" t="s">
        <v>409</v>
      </c>
      <c r="B1163" s="141" t="s">
        <v>279</v>
      </c>
      <c r="C1163" s="141" t="s">
        <v>18</v>
      </c>
    </row>
    <row r="1164" spans="1:3" x14ac:dyDescent="0.35">
      <c r="A1164" s="141" t="s">
        <v>410</v>
      </c>
      <c r="B1164" s="141" t="s">
        <v>279</v>
      </c>
      <c r="C1164" s="141" t="s">
        <v>18</v>
      </c>
    </row>
    <row r="1165" spans="1:3" x14ac:dyDescent="0.35">
      <c r="A1165" s="141" t="s">
        <v>295</v>
      </c>
      <c r="B1165" s="141" t="s">
        <v>279</v>
      </c>
      <c r="C1165" s="141" t="s">
        <v>18</v>
      </c>
    </row>
    <row r="1166" spans="1:3" x14ac:dyDescent="0.35">
      <c r="A1166" s="141" t="s">
        <v>411</v>
      </c>
      <c r="B1166" s="141" t="s">
        <v>279</v>
      </c>
      <c r="C1166" s="141" t="s">
        <v>9</v>
      </c>
    </row>
    <row r="1167" spans="1:3" x14ac:dyDescent="0.35">
      <c r="A1167" s="141" t="s">
        <v>412</v>
      </c>
      <c r="B1167" s="141" t="s">
        <v>279</v>
      </c>
      <c r="C1167" s="141" t="s">
        <v>9</v>
      </c>
    </row>
    <row r="1168" spans="1:3" x14ac:dyDescent="0.35">
      <c r="A1168" s="141" t="s">
        <v>413</v>
      </c>
      <c r="B1168" s="141" t="s">
        <v>279</v>
      </c>
      <c r="C1168" s="141" t="s">
        <v>9</v>
      </c>
    </row>
    <row r="1169" spans="1:3" x14ac:dyDescent="0.35">
      <c r="A1169" s="141" t="s">
        <v>414</v>
      </c>
      <c r="B1169" s="141" t="s">
        <v>279</v>
      </c>
      <c r="C1169" s="141" t="s">
        <v>9</v>
      </c>
    </row>
    <row r="1170" spans="1:3" x14ac:dyDescent="0.35">
      <c r="A1170" s="141" t="s">
        <v>415</v>
      </c>
      <c r="B1170" s="141" t="s">
        <v>279</v>
      </c>
      <c r="C1170" s="141" t="s">
        <v>9</v>
      </c>
    </row>
    <row r="1171" spans="1:3" x14ac:dyDescent="0.35">
      <c r="A1171" s="141" t="s">
        <v>402</v>
      </c>
      <c r="B1171" s="141" t="s">
        <v>279</v>
      </c>
      <c r="C1171" s="141" t="s">
        <v>20</v>
      </c>
    </row>
    <row r="1172" spans="1:3" x14ac:dyDescent="0.35">
      <c r="A1172" s="141" t="s">
        <v>592</v>
      </c>
      <c r="B1172" s="141" t="s">
        <v>279</v>
      </c>
      <c r="C1172" s="141" t="s">
        <v>20</v>
      </c>
    </row>
    <row r="1173" spans="1:3" x14ac:dyDescent="0.35">
      <c r="A1173" s="141" t="s">
        <v>593</v>
      </c>
      <c r="B1173" s="141" t="s">
        <v>279</v>
      </c>
      <c r="C1173" s="141" t="s">
        <v>20</v>
      </c>
    </row>
    <row r="1174" spans="1:3" x14ac:dyDescent="0.35">
      <c r="A1174" s="141" t="s">
        <v>403</v>
      </c>
      <c r="B1174" s="141" t="s">
        <v>279</v>
      </c>
      <c r="C1174" s="141" t="s">
        <v>20</v>
      </c>
    </row>
    <row r="1175" spans="1:3" x14ac:dyDescent="0.35">
      <c r="A1175" s="141" t="s">
        <v>404</v>
      </c>
      <c r="B1175" s="141" t="s">
        <v>279</v>
      </c>
      <c r="C1175" s="141" t="s">
        <v>16</v>
      </c>
    </row>
    <row r="1176" spans="1:3" x14ac:dyDescent="0.35">
      <c r="A1176" s="141" t="s">
        <v>405</v>
      </c>
      <c r="B1176" s="141" t="s">
        <v>279</v>
      </c>
      <c r="C1176" s="141" t="s">
        <v>16</v>
      </c>
    </row>
    <row r="1177" spans="1:3" x14ac:dyDescent="0.35">
      <c r="A1177" s="141" t="s">
        <v>416</v>
      </c>
      <c r="B1177" s="141" t="s">
        <v>279</v>
      </c>
      <c r="C1177" s="141" t="s">
        <v>15</v>
      </c>
    </row>
    <row r="1178" spans="1:3" x14ac:dyDescent="0.35">
      <c r="A1178" s="141" t="s">
        <v>417</v>
      </c>
      <c r="B1178" s="141" t="s">
        <v>279</v>
      </c>
      <c r="C1178" s="141" t="s">
        <v>6</v>
      </c>
    </row>
    <row r="1179" spans="1:3" x14ac:dyDescent="0.35">
      <c r="A1179" s="141" t="s">
        <v>418</v>
      </c>
      <c r="B1179" s="141" t="s">
        <v>279</v>
      </c>
      <c r="C1179" s="141" t="s">
        <v>17</v>
      </c>
    </row>
    <row r="1180" spans="1:3" x14ac:dyDescent="0.35">
      <c r="A1180" s="141" t="s">
        <v>419</v>
      </c>
      <c r="B1180" s="141" t="s">
        <v>279</v>
      </c>
      <c r="C1180" s="141" t="s">
        <v>17</v>
      </c>
    </row>
    <row r="1181" spans="1:3" x14ac:dyDescent="0.35">
      <c r="A1181" s="141" t="s">
        <v>420</v>
      </c>
      <c r="B1181" s="141" t="s">
        <v>279</v>
      </c>
      <c r="C1181" s="141" t="s">
        <v>17</v>
      </c>
    </row>
    <row r="1182" spans="1:3" x14ac:dyDescent="0.35">
      <c r="A1182" s="141" t="s">
        <v>421</v>
      </c>
      <c r="B1182" s="141" t="s">
        <v>279</v>
      </c>
      <c r="C1182" s="141" t="s">
        <v>6</v>
      </c>
    </row>
    <row r="1183" spans="1:3" x14ac:dyDescent="0.35">
      <c r="A1183" s="141" t="s">
        <v>422</v>
      </c>
      <c r="B1183" s="141" t="s">
        <v>279</v>
      </c>
      <c r="C1183" s="141" t="s">
        <v>17</v>
      </c>
    </row>
    <row r="1184" spans="1:3" x14ac:dyDescent="0.35">
      <c r="A1184" s="141" t="s">
        <v>406</v>
      </c>
      <c r="B1184" s="141" t="s">
        <v>279</v>
      </c>
      <c r="C1184" s="141" t="s">
        <v>18</v>
      </c>
    </row>
    <row r="1185" spans="1:3" x14ac:dyDescent="0.35">
      <c r="A1185" s="141" t="s">
        <v>407</v>
      </c>
      <c r="B1185" s="141" t="s">
        <v>279</v>
      </c>
      <c r="C1185" s="141" t="s">
        <v>17</v>
      </c>
    </row>
    <row r="1186" spans="1:3" x14ac:dyDescent="0.35">
      <c r="A1186" s="141" t="s">
        <v>408</v>
      </c>
      <c r="B1186" s="141" t="s">
        <v>279</v>
      </c>
      <c r="C1186" s="141" t="s">
        <v>17</v>
      </c>
    </row>
    <row r="1187" spans="1:3" x14ac:dyDescent="0.35">
      <c r="A1187" s="141" t="s">
        <v>566</v>
      </c>
      <c r="B1187" s="141" t="s">
        <v>279</v>
      </c>
      <c r="C1187" s="141" t="s">
        <v>17</v>
      </c>
    </row>
    <row r="1188" spans="1:3" x14ac:dyDescent="0.35">
      <c r="A1188" s="141" t="s">
        <v>567</v>
      </c>
      <c r="B1188" s="141" t="s">
        <v>279</v>
      </c>
      <c r="C1188" s="141" t="s">
        <v>16</v>
      </c>
    </row>
    <row r="1189" spans="1:3" x14ac:dyDescent="0.35">
      <c r="A1189" s="141" t="s">
        <v>672</v>
      </c>
      <c r="B1189" s="141" t="s">
        <v>279</v>
      </c>
      <c r="C1189" s="141" t="s">
        <v>25</v>
      </c>
    </row>
    <row r="1190" spans="1:3" x14ac:dyDescent="0.35">
      <c r="A1190" s="141" t="s">
        <v>673</v>
      </c>
      <c r="B1190" s="141" t="s">
        <v>279</v>
      </c>
      <c r="C1190" s="141" t="s">
        <v>25</v>
      </c>
    </row>
    <row r="1191" spans="1:3" x14ac:dyDescent="0.35">
      <c r="A1191" s="141" t="s">
        <v>674</v>
      </c>
      <c r="B1191" s="141" t="s">
        <v>279</v>
      </c>
      <c r="C1191" s="141" t="s">
        <v>25</v>
      </c>
    </row>
    <row r="1192" spans="1:3" x14ac:dyDescent="0.35">
      <c r="A1192" s="141" t="s">
        <v>675</v>
      </c>
      <c r="B1192" s="141" t="s">
        <v>279</v>
      </c>
      <c r="C1192" s="141" t="s">
        <v>24</v>
      </c>
    </row>
    <row r="1193" spans="1:3" x14ac:dyDescent="0.35">
      <c r="A1193" s="141" t="s">
        <v>676</v>
      </c>
      <c r="B1193" s="141" t="s">
        <v>279</v>
      </c>
      <c r="C1193" s="141" t="s">
        <v>24</v>
      </c>
    </row>
    <row r="1194" spans="1:3" x14ac:dyDescent="0.35">
      <c r="A1194" s="141" t="s">
        <v>573</v>
      </c>
      <c r="B1194" s="141" t="s">
        <v>279</v>
      </c>
      <c r="C1194" s="141" t="s">
        <v>25</v>
      </c>
    </row>
    <row r="1195" spans="1:3" x14ac:dyDescent="0.35">
      <c r="A1195" s="141" t="s">
        <v>677</v>
      </c>
      <c r="B1195" s="141" t="s">
        <v>279</v>
      </c>
      <c r="C1195" s="141" t="s">
        <v>25</v>
      </c>
    </row>
    <row r="1196" spans="1:3" x14ac:dyDescent="0.35">
      <c r="A1196" s="141" t="s">
        <v>678</v>
      </c>
      <c r="B1196" s="141" t="s">
        <v>279</v>
      </c>
      <c r="C1196" s="141" t="s">
        <v>25</v>
      </c>
    </row>
    <row r="1197" spans="1:3" x14ac:dyDescent="0.35">
      <c r="A1197" s="141" t="s">
        <v>679</v>
      </c>
      <c r="B1197" s="141" t="s">
        <v>279</v>
      </c>
      <c r="C1197" s="141" t="s">
        <v>25</v>
      </c>
    </row>
    <row r="1198" spans="1:3" x14ac:dyDescent="0.35">
      <c r="A1198" s="141" t="s">
        <v>680</v>
      </c>
      <c r="B1198" s="141" t="s">
        <v>279</v>
      </c>
      <c r="C1198" s="141" t="s">
        <v>25</v>
      </c>
    </row>
    <row r="1199" spans="1:3" x14ac:dyDescent="0.35">
      <c r="A1199" s="141" t="s">
        <v>517</v>
      </c>
      <c r="B1199" s="141" t="s">
        <v>279</v>
      </c>
      <c r="C1199" s="141" t="s">
        <v>30</v>
      </c>
    </row>
    <row r="1200" spans="1:3" x14ac:dyDescent="0.35">
      <c r="A1200" s="141" t="s">
        <v>518</v>
      </c>
      <c r="B1200" s="141" t="s">
        <v>279</v>
      </c>
      <c r="C1200" s="141" t="s">
        <v>30</v>
      </c>
    </row>
    <row r="1201" spans="1:3" x14ac:dyDescent="0.35">
      <c r="A1201" s="141" t="s">
        <v>519</v>
      </c>
      <c r="B1201" s="141" t="s">
        <v>279</v>
      </c>
      <c r="C1201" s="141" t="s">
        <v>34</v>
      </c>
    </row>
    <row r="1202" spans="1:3" x14ac:dyDescent="0.35">
      <c r="A1202" s="141" t="s">
        <v>520</v>
      </c>
      <c r="B1202" s="141" t="s">
        <v>279</v>
      </c>
      <c r="C1202" s="141" t="s">
        <v>34</v>
      </c>
    </row>
    <row r="1203" spans="1:3" x14ac:dyDescent="0.35">
      <c r="A1203" s="141" t="s">
        <v>521</v>
      </c>
      <c r="B1203" s="141" t="s">
        <v>279</v>
      </c>
      <c r="C1203" s="141" t="s">
        <v>34</v>
      </c>
    </row>
    <row r="1204" spans="1:3" x14ac:dyDescent="0.35">
      <c r="A1204" s="141" t="s">
        <v>522</v>
      </c>
      <c r="B1204" s="141" t="s">
        <v>279</v>
      </c>
      <c r="C1204" s="141" t="s">
        <v>34</v>
      </c>
    </row>
    <row r="1205" spans="1:3" x14ac:dyDescent="0.35">
      <c r="A1205" s="141" t="s">
        <v>523</v>
      </c>
      <c r="B1205" s="141" t="s">
        <v>279</v>
      </c>
      <c r="C1205" s="141" t="s">
        <v>30</v>
      </c>
    </row>
    <row r="1206" spans="1:3" x14ac:dyDescent="0.35">
      <c r="A1206" s="141" t="s">
        <v>524</v>
      </c>
      <c r="B1206" s="141" t="s">
        <v>279</v>
      </c>
      <c r="C1206" s="141" t="s">
        <v>30</v>
      </c>
    </row>
    <row r="1207" spans="1:3" x14ac:dyDescent="0.35">
      <c r="A1207" s="141" t="s">
        <v>525</v>
      </c>
      <c r="B1207" s="141" t="s">
        <v>279</v>
      </c>
      <c r="C1207" s="141" t="s">
        <v>46</v>
      </c>
    </row>
    <row r="1208" spans="1:3" x14ac:dyDescent="0.35">
      <c r="A1208" s="141" t="s">
        <v>526</v>
      </c>
      <c r="B1208" s="141" t="s">
        <v>279</v>
      </c>
      <c r="C1208" s="141" t="s">
        <v>32</v>
      </c>
    </row>
    <row r="1209" spans="1:3" x14ac:dyDescent="0.35">
      <c r="A1209" s="141" t="s">
        <v>527</v>
      </c>
      <c r="B1209" s="141" t="s">
        <v>279</v>
      </c>
      <c r="C1209" s="141" t="s">
        <v>32</v>
      </c>
    </row>
    <row r="1210" spans="1:3" x14ac:dyDescent="0.35">
      <c r="A1210" s="141" t="s">
        <v>528</v>
      </c>
      <c r="B1210" s="141" t="s">
        <v>279</v>
      </c>
      <c r="C1210" s="141" t="s">
        <v>32</v>
      </c>
    </row>
    <row r="1211" spans="1:3" x14ac:dyDescent="0.35">
      <c r="A1211" s="141" t="s">
        <v>529</v>
      </c>
      <c r="B1211" s="141" t="s">
        <v>279</v>
      </c>
      <c r="C1211" s="141" t="s">
        <v>32</v>
      </c>
    </row>
    <row r="1212" spans="1:3" x14ac:dyDescent="0.35">
      <c r="A1212" s="141" t="s">
        <v>492</v>
      </c>
      <c r="B1212" s="141" t="s">
        <v>279</v>
      </c>
      <c r="C1212" s="141" t="s">
        <v>32</v>
      </c>
    </row>
    <row r="1213" spans="1:3" x14ac:dyDescent="0.35">
      <c r="A1213" s="141" t="s">
        <v>493</v>
      </c>
      <c r="B1213" s="141" t="s">
        <v>279</v>
      </c>
      <c r="C1213" s="141" t="s">
        <v>32</v>
      </c>
    </row>
    <row r="1214" spans="1:3" x14ac:dyDescent="0.35">
      <c r="A1214" s="141" t="s">
        <v>494</v>
      </c>
      <c r="B1214" s="141" t="s">
        <v>279</v>
      </c>
      <c r="C1214" s="141" t="s">
        <v>32</v>
      </c>
    </row>
    <row r="1215" spans="1:3" x14ac:dyDescent="0.35">
      <c r="A1215" s="141" t="s">
        <v>495</v>
      </c>
      <c r="B1215" s="141" t="s">
        <v>279</v>
      </c>
      <c r="C1215" s="141" t="s">
        <v>32</v>
      </c>
    </row>
    <row r="1216" spans="1:3" x14ac:dyDescent="0.35">
      <c r="A1216" s="141" t="s">
        <v>496</v>
      </c>
      <c r="B1216" s="141" t="s">
        <v>279</v>
      </c>
      <c r="C1216" s="141" t="s">
        <v>32</v>
      </c>
    </row>
    <row r="1217" spans="1:3" x14ac:dyDescent="0.35">
      <c r="A1217" s="141" t="s">
        <v>497</v>
      </c>
      <c r="B1217" s="141" t="s">
        <v>279</v>
      </c>
      <c r="C1217" s="141" t="s">
        <v>32</v>
      </c>
    </row>
    <row r="1218" spans="1:3" x14ac:dyDescent="0.35">
      <c r="A1218" s="141" t="s">
        <v>681</v>
      </c>
      <c r="B1218" s="141" t="s">
        <v>279</v>
      </c>
      <c r="C1218" s="141" t="s">
        <v>32</v>
      </c>
    </row>
    <row r="1219" spans="1:3" x14ac:dyDescent="0.35">
      <c r="A1219" s="141" t="s">
        <v>682</v>
      </c>
      <c r="B1219" s="141" t="s">
        <v>279</v>
      </c>
      <c r="C1219" s="141" t="s">
        <v>32</v>
      </c>
    </row>
    <row r="1220" spans="1:3" x14ac:dyDescent="0.35">
      <c r="A1220" s="141" t="s">
        <v>683</v>
      </c>
      <c r="B1220" s="141" t="s">
        <v>279</v>
      </c>
      <c r="C1220" s="141" t="s">
        <v>32</v>
      </c>
    </row>
    <row r="1221" spans="1:3" x14ac:dyDescent="0.35">
      <c r="A1221" s="141" t="s">
        <v>684</v>
      </c>
      <c r="B1221" s="141" t="s">
        <v>279</v>
      </c>
      <c r="C1221" s="141" t="s">
        <v>32</v>
      </c>
    </row>
    <row r="1222" spans="1:3" x14ac:dyDescent="0.35">
      <c r="A1222" s="141" t="s">
        <v>685</v>
      </c>
      <c r="B1222" s="141" t="s">
        <v>279</v>
      </c>
      <c r="C1222" s="141" t="s">
        <v>32</v>
      </c>
    </row>
    <row r="1223" spans="1:3" x14ac:dyDescent="0.35">
      <c r="A1223" s="141" t="s">
        <v>686</v>
      </c>
      <c r="B1223" s="141" t="s">
        <v>279</v>
      </c>
      <c r="C1223" s="141" t="s">
        <v>32</v>
      </c>
    </row>
    <row r="1224" spans="1:3" x14ac:dyDescent="0.35">
      <c r="A1224" s="141" t="s">
        <v>687</v>
      </c>
      <c r="B1224" s="141" t="s">
        <v>279</v>
      </c>
      <c r="C1224" s="141" t="s">
        <v>32</v>
      </c>
    </row>
    <row r="1225" spans="1:3" x14ac:dyDescent="0.35">
      <c r="A1225" s="141" t="s">
        <v>502</v>
      </c>
      <c r="B1225" s="141" t="s">
        <v>279</v>
      </c>
      <c r="C1225" s="141" t="s">
        <v>32</v>
      </c>
    </row>
    <row r="1226" spans="1:3" x14ac:dyDescent="0.35">
      <c r="A1226" s="141" t="s">
        <v>503</v>
      </c>
      <c r="B1226" s="141" t="s">
        <v>279</v>
      </c>
      <c r="C1226" s="141" t="s">
        <v>32</v>
      </c>
    </row>
    <row r="1227" spans="1:3" x14ac:dyDescent="0.35">
      <c r="A1227" s="141" t="s">
        <v>504</v>
      </c>
      <c r="B1227" s="141" t="s">
        <v>279</v>
      </c>
      <c r="C1227" s="141" t="s">
        <v>26</v>
      </c>
    </row>
    <row r="1228" spans="1:3" x14ac:dyDescent="0.35">
      <c r="A1228" s="141" t="s">
        <v>688</v>
      </c>
      <c r="B1228" s="141" t="s">
        <v>279</v>
      </c>
      <c r="C1228" s="141" t="s">
        <v>32</v>
      </c>
    </row>
    <row r="1229" spans="1:3" x14ac:dyDescent="0.35">
      <c r="A1229" s="141" t="s">
        <v>689</v>
      </c>
      <c r="B1229" s="141" t="s">
        <v>279</v>
      </c>
      <c r="C1229" s="141" t="s">
        <v>32</v>
      </c>
    </row>
    <row r="1230" spans="1:3" x14ac:dyDescent="0.35">
      <c r="A1230" s="141" t="s">
        <v>690</v>
      </c>
      <c r="B1230" s="141" t="s">
        <v>279</v>
      </c>
      <c r="C1230" s="141" t="s">
        <v>32</v>
      </c>
    </row>
    <row r="1231" spans="1:3" x14ac:dyDescent="0.35">
      <c r="A1231" s="141" t="s">
        <v>691</v>
      </c>
      <c r="B1231" s="141" t="s">
        <v>279</v>
      </c>
      <c r="C1231" s="141" t="s">
        <v>32</v>
      </c>
    </row>
    <row r="1232" spans="1:3" x14ac:dyDescent="0.35">
      <c r="A1232" s="141" t="s">
        <v>692</v>
      </c>
      <c r="B1232" s="141" t="s">
        <v>279</v>
      </c>
      <c r="C1232" s="141" t="s">
        <v>32</v>
      </c>
    </row>
    <row r="1233" spans="1:3" x14ac:dyDescent="0.35">
      <c r="A1233" s="141" t="s">
        <v>693</v>
      </c>
      <c r="B1233" s="141" t="s">
        <v>279</v>
      </c>
      <c r="C1233" s="141" t="s">
        <v>32</v>
      </c>
    </row>
    <row r="1234" spans="1:3" x14ac:dyDescent="0.35">
      <c r="A1234" s="141" t="s">
        <v>694</v>
      </c>
      <c r="B1234" s="141" t="s">
        <v>279</v>
      </c>
      <c r="C1234" s="141" t="s">
        <v>32</v>
      </c>
    </row>
    <row r="1235" spans="1:3" x14ac:dyDescent="0.35">
      <c r="A1235" s="141" t="s">
        <v>695</v>
      </c>
      <c r="B1235" s="141" t="s">
        <v>279</v>
      </c>
      <c r="C1235" s="141" t="s">
        <v>32</v>
      </c>
    </row>
    <row r="1236" spans="1:3" x14ac:dyDescent="0.35">
      <c r="A1236" s="141" t="s">
        <v>696</v>
      </c>
      <c r="B1236" s="141" t="s">
        <v>279</v>
      </c>
      <c r="C1236" s="141" t="s">
        <v>32</v>
      </c>
    </row>
    <row r="1237" spans="1:3" x14ac:dyDescent="0.35">
      <c r="A1237" s="141" t="s">
        <v>697</v>
      </c>
      <c r="B1237" s="141" t="s">
        <v>279</v>
      </c>
      <c r="C1237" s="141" t="s">
        <v>32</v>
      </c>
    </row>
    <row r="1238" spans="1:3" x14ac:dyDescent="0.35">
      <c r="A1238" s="141" t="s">
        <v>509</v>
      </c>
      <c r="B1238" s="141" t="s">
        <v>279</v>
      </c>
      <c r="C1238" s="141" t="s">
        <v>32</v>
      </c>
    </row>
    <row r="1239" spans="1:3" x14ac:dyDescent="0.35">
      <c r="A1239" s="141" t="s">
        <v>510</v>
      </c>
      <c r="B1239" s="141" t="s">
        <v>279</v>
      </c>
      <c r="C1239" s="141" t="s">
        <v>32</v>
      </c>
    </row>
    <row r="1240" spans="1:3" x14ac:dyDescent="0.35">
      <c r="A1240" s="141" t="s">
        <v>511</v>
      </c>
      <c r="B1240" s="141" t="s">
        <v>279</v>
      </c>
      <c r="C1240" s="141" t="s">
        <v>32</v>
      </c>
    </row>
    <row r="1241" spans="1:3" x14ac:dyDescent="0.35">
      <c r="A1241" s="141" t="s">
        <v>512</v>
      </c>
      <c r="B1241" s="141" t="s">
        <v>279</v>
      </c>
      <c r="C1241" s="141" t="s">
        <v>32</v>
      </c>
    </row>
    <row r="1242" spans="1:3" x14ac:dyDescent="0.35">
      <c r="A1242" s="141" t="s">
        <v>698</v>
      </c>
      <c r="B1242" s="141" t="s">
        <v>279</v>
      </c>
      <c r="C1242" s="141" t="s">
        <v>33</v>
      </c>
    </row>
    <row r="1243" spans="1:3" x14ac:dyDescent="0.35">
      <c r="A1243" s="141" t="s">
        <v>515</v>
      </c>
      <c r="B1243" s="141" t="s">
        <v>279</v>
      </c>
      <c r="C1243" s="141" t="s">
        <v>33</v>
      </c>
    </row>
    <row r="1244" spans="1:3" x14ac:dyDescent="0.35">
      <c r="A1244" s="141" t="s">
        <v>516</v>
      </c>
      <c r="B1244" s="141" t="s">
        <v>279</v>
      </c>
      <c r="C1244" s="141" t="s">
        <v>33</v>
      </c>
    </row>
    <row r="1245" spans="1:3" x14ac:dyDescent="0.35">
      <c r="A1245" s="141" t="s">
        <v>699</v>
      </c>
      <c r="B1245" s="141" t="s">
        <v>279</v>
      </c>
      <c r="C1245" s="141" t="s">
        <v>26</v>
      </c>
    </row>
    <row r="1246" spans="1:3" x14ac:dyDescent="0.35">
      <c r="A1246" s="141" t="s">
        <v>700</v>
      </c>
      <c r="B1246" s="141" t="s">
        <v>279</v>
      </c>
      <c r="C1246" s="141" t="s">
        <v>26</v>
      </c>
    </row>
    <row r="1247" spans="1:3" x14ac:dyDescent="0.35">
      <c r="A1247" s="141" t="s">
        <v>701</v>
      </c>
      <c r="B1247" s="141" t="s">
        <v>279</v>
      </c>
      <c r="C1247" s="141" t="s">
        <v>26</v>
      </c>
    </row>
    <row r="1248" spans="1:3" x14ac:dyDescent="0.35">
      <c r="A1248" s="141" t="s">
        <v>452</v>
      </c>
      <c r="B1248" s="141" t="s">
        <v>279</v>
      </c>
      <c r="C1248" s="141" t="s">
        <v>33</v>
      </c>
    </row>
    <row r="1249" spans="1:3" x14ac:dyDescent="0.35">
      <c r="A1249" s="141" t="s">
        <v>702</v>
      </c>
      <c r="B1249" s="141" t="s">
        <v>279</v>
      </c>
      <c r="C1249" s="141" t="s">
        <v>33</v>
      </c>
    </row>
    <row r="1250" spans="1:3" x14ac:dyDescent="0.35">
      <c r="A1250" s="141" t="s">
        <v>703</v>
      </c>
      <c r="B1250" s="141" t="s">
        <v>279</v>
      </c>
      <c r="C1250" s="141" t="s">
        <v>35</v>
      </c>
    </row>
    <row r="1251" spans="1:3" x14ac:dyDescent="0.35">
      <c r="A1251" s="141" t="s">
        <v>704</v>
      </c>
      <c r="B1251" s="141" t="s">
        <v>279</v>
      </c>
      <c r="C1251" s="141" t="s">
        <v>35</v>
      </c>
    </row>
    <row r="1252" spans="1:3" x14ac:dyDescent="0.35">
      <c r="A1252" s="141" t="s">
        <v>705</v>
      </c>
      <c r="B1252" s="141" t="s">
        <v>279</v>
      </c>
      <c r="C1252" s="141" t="s">
        <v>35</v>
      </c>
    </row>
    <row r="1253" spans="1:3" x14ac:dyDescent="0.35">
      <c r="A1253" s="141" t="s">
        <v>706</v>
      </c>
      <c r="B1253" s="141" t="s">
        <v>279</v>
      </c>
      <c r="C1253" s="141" t="s">
        <v>31</v>
      </c>
    </row>
    <row r="1254" spans="1:3" x14ac:dyDescent="0.35">
      <c r="A1254" s="141" t="s">
        <v>707</v>
      </c>
      <c r="B1254" s="141" t="s">
        <v>279</v>
      </c>
      <c r="C1254" s="141" t="s">
        <v>31</v>
      </c>
    </row>
    <row r="1255" spans="1:3" x14ac:dyDescent="0.35">
      <c r="A1255" s="141" t="s">
        <v>708</v>
      </c>
      <c r="B1255" s="141" t="s">
        <v>279</v>
      </c>
      <c r="C1255" s="141" t="s">
        <v>31</v>
      </c>
    </row>
    <row r="1256" spans="1:3" x14ac:dyDescent="0.35">
      <c r="A1256" s="141" t="s">
        <v>709</v>
      </c>
      <c r="B1256" s="141" t="s">
        <v>279</v>
      </c>
      <c r="C1256" s="141" t="s">
        <v>31</v>
      </c>
    </row>
    <row r="1257" spans="1:3" x14ac:dyDescent="0.35">
      <c r="A1257" s="141" t="s">
        <v>710</v>
      </c>
      <c r="B1257" s="141" t="s">
        <v>279</v>
      </c>
      <c r="C1257" s="141" t="s">
        <v>31</v>
      </c>
    </row>
    <row r="1258" spans="1:3" x14ac:dyDescent="0.35">
      <c r="A1258" s="141" t="s">
        <v>456</v>
      </c>
      <c r="B1258" s="141" t="s">
        <v>279</v>
      </c>
      <c r="C1258" s="141" t="s">
        <v>31</v>
      </c>
    </row>
    <row r="1259" spans="1:3" x14ac:dyDescent="0.35">
      <c r="A1259" s="141" t="s">
        <v>297</v>
      </c>
      <c r="B1259" s="141" t="s">
        <v>279</v>
      </c>
      <c r="C1259" s="141" t="s">
        <v>32</v>
      </c>
    </row>
    <row r="1260" spans="1:3" x14ac:dyDescent="0.35">
      <c r="A1260" s="141" t="s">
        <v>298</v>
      </c>
      <c r="B1260" s="141" t="s">
        <v>279</v>
      </c>
      <c r="C1260" s="141" t="s">
        <v>32</v>
      </c>
    </row>
    <row r="1261" spans="1:3" x14ac:dyDescent="0.35">
      <c r="A1261" s="141" t="s">
        <v>299</v>
      </c>
      <c r="B1261" s="141" t="s">
        <v>279</v>
      </c>
      <c r="C1261" s="141" t="s">
        <v>32</v>
      </c>
    </row>
    <row r="1262" spans="1:3" x14ac:dyDescent="0.35">
      <c r="A1262" s="141" t="s">
        <v>300</v>
      </c>
      <c r="B1262" s="141" t="s">
        <v>279</v>
      </c>
      <c r="C1262" s="141" t="s">
        <v>32</v>
      </c>
    </row>
    <row r="1263" spans="1:3" x14ac:dyDescent="0.35">
      <c r="A1263" s="141" t="s">
        <v>301</v>
      </c>
      <c r="B1263" s="141" t="s">
        <v>279</v>
      </c>
      <c r="C1263" s="141" t="s">
        <v>32</v>
      </c>
    </row>
    <row r="1264" spans="1:3" x14ac:dyDescent="0.35">
      <c r="A1264" s="141" t="s">
        <v>302</v>
      </c>
      <c r="B1264" s="141" t="s">
        <v>279</v>
      </c>
      <c r="C1264" s="141" t="s">
        <v>32</v>
      </c>
    </row>
    <row r="1265" spans="1:3" x14ac:dyDescent="0.35">
      <c r="A1265" s="141" t="s">
        <v>626</v>
      </c>
      <c r="B1265" s="141" t="s">
        <v>279</v>
      </c>
      <c r="C1265" s="141" t="s">
        <v>31</v>
      </c>
    </row>
    <row r="1266" spans="1:3" x14ac:dyDescent="0.35">
      <c r="A1266" s="141" t="s">
        <v>627</v>
      </c>
      <c r="B1266" s="141" t="s">
        <v>279</v>
      </c>
      <c r="C1266" s="141" t="s">
        <v>31</v>
      </c>
    </row>
    <row r="1267" spans="1:3" x14ac:dyDescent="0.35">
      <c r="A1267" s="141" t="s">
        <v>458</v>
      </c>
      <c r="B1267" s="141" t="s">
        <v>279</v>
      </c>
      <c r="C1267" s="141" t="s">
        <v>31</v>
      </c>
    </row>
    <row r="1268" spans="1:3" x14ac:dyDescent="0.35">
      <c r="A1268" s="141" t="s">
        <v>628</v>
      </c>
      <c r="B1268" s="141" t="s">
        <v>279</v>
      </c>
      <c r="C1268" s="141" t="s">
        <v>31</v>
      </c>
    </row>
    <row r="1269" spans="1:3" x14ac:dyDescent="0.35">
      <c r="A1269" s="141" t="s">
        <v>629</v>
      </c>
      <c r="B1269" s="141" t="s">
        <v>279</v>
      </c>
      <c r="C1269" s="141" t="s">
        <v>31</v>
      </c>
    </row>
    <row r="1270" spans="1:3" x14ac:dyDescent="0.35">
      <c r="A1270" s="141" t="s">
        <v>460</v>
      </c>
      <c r="B1270" s="141" t="s">
        <v>279</v>
      </c>
      <c r="C1270" s="141" t="s">
        <v>31</v>
      </c>
    </row>
    <row r="1271" spans="1:3" x14ac:dyDescent="0.35">
      <c r="A1271" s="141" t="s">
        <v>461</v>
      </c>
      <c r="B1271" s="141" t="s">
        <v>279</v>
      </c>
      <c r="C1271" s="141" t="s">
        <v>31</v>
      </c>
    </row>
    <row r="1272" spans="1:3" x14ac:dyDescent="0.35">
      <c r="A1272" s="141" t="s">
        <v>462</v>
      </c>
      <c r="B1272" s="141" t="s">
        <v>279</v>
      </c>
      <c r="C1272" s="141" t="s">
        <v>31</v>
      </c>
    </row>
    <row r="1273" spans="1:3" x14ac:dyDescent="0.35">
      <c r="A1273" s="141" t="s">
        <v>463</v>
      </c>
      <c r="B1273" s="141" t="s">
        <v>279</v>
      </c>
      <c r="C1273" s="141" t="s">
        <v>31</v>
      </c>
    </row>
    <row r="1274" spans="1:3" x14ac:dyDescent="0.35">
      <c r="A1274" s="141" t="s">
        <v>464</v>
      </c>
      <c r="B1274" s="141" t="s">
        <v>279</v>
      </c>
      <c r="C1274" s="141" t="s">
        <v>31</v>
      </c>
    </row>
    <row r="1275" spans="1:3" x14ac:dyDescent="0.35">
      <c r="A1275" s="141" t="s">
        <v>530</v>
      </c>
      <c r="B1275" s="141" t="s">
        <v>279</v>
      </c>
      <c r="C1275" s="141" t="s">
        <v>25</v>
      </c>
    </row>
    <row r="1276" spans="1:3" x14ac:dyDescent="0.35">
      <c r="A1276" s="141" t="s">
        <v>711</v>
      </c>
      <c r="B1276" s="141" t="s">
        <v>279</v>
      </c>
      <c r="C1276" s="141" t="s">
        <v>33</v>
      </c>
    </row>
    <row r="1277" spans="1:3" x14ac:dyDescent="0.35">
      <c r="A1277" s="141" t="s">
        <v>712</v>
      </c>
      <c r="B1277" s="141" t="s">
        <v>279</v>
      </c>
      <c r="C1277" s="141" t="s">
        <v>33</v>
      </c>
    </row>
    <row r="1278" spans="1:3" x14ac:dyDescent="0.35">
      <c r="A1278" s="141" t="s">
        <v>713</v>
      </c>
      <c r="B1278" s="141" t="s">
        <v>279</v>
      </c>
      <c r="C1278" s="141" t="s">
        <v>33</v>
      </c>
    </row>
    <row r="1279" spans="1:3" x14ac:dyDescent="0.35">
      <c r="A1279" s="141" t="s">
        <v>714</v>
      </c>
      <c r="B1279" s="141" t="s">
        <v>279</v>
      </c>
      <c r="C1279" s="141" t="s">
        <v>36</v>
      </c>
    </row>
    <row r="1280" spans="1:3" x14ac:dyDescent="0.35">
      <c r="A1280" s="141" t="s">
        <v>715</v>
      </c>
      <c r="B1280" s="141" t="s">
        <v>279</v>
      </c>
      <c r="C1280" s="141" t="s">
        <v>36</v>
      </c>
    </row>
    <row r="1281" spans="1:3" x14ac:dyDescent="0.35">
      <c r="A1281" s="141" t="s">
        <v>716</v>
      </c>
      <c r="B1281" s="141" t="s">
        <v>279</v>
      </c>
      <c r="C1281" s="141" t="s">
        <v>36</v>
      </c>
    </row>
    <row r="1282" spans="1:3" x14ac:dyDescent="0.35">
      <c r="A1282" s="141" t="s">
        <v>717</v>
      </c>
      <c r="B1282" s="141" t="s">
        <v>279</v>
      </c>
      <c r="C1282" s="141" t="s">
        <v>36</v>
      </c>
    </row>
    <row r="1283" spans="1:3" x14ac:dyDescent="0.35">
      <c r="A1283" s="141" t="s">
        <v>718</v>
      </c>
      <c r="B1283" s="141" t="s">
        <v>279</v>
      </c>
      <c r="C1283" s="141" t="s">
        <v>36</v>
      </c>
    </row>
    <row r="1284" spans="1:3" x14ac:dyDescent="0.35">
      <c r="A1284" s="141" t="s">
        <v>719</v>
      </c>
      <c r="B1284" s="141" t="s">
        <v>279</v>
      </c>
      <c r="C1284" s="141" t="s">
        <v>36</v>
      </c>
    </row>
    <row r="1285" spans="1:3" x14ac:dyDescent="0.35">
      <c r="A1285" s="141" t="s">
        <v>720</v>
      </c>
      <c r="B1285" s="141" t="s">
        <v>279</v>
      </c>
      <c r="C1285" s="141" t="s">
        <v>36</v>
      </c>
    </row>
    <row r="1286" spans="1:3" x14ac:dyDescent="0.35">
      <c r="A1286" s="141" t="s">
        <v>721</v>
      </c>
      <c r="B1286" s="141" t="s">
        <v>279</v>
      </c>
      <c r="C1286" s="141" t="s">
        <v>36</v>
      </c>
    </row>
    <row r="1287" spans="1:3" x14ac:dyDescent="0.35">
      <c r="A1287" s="141" t="s">
        <v>722</v>
      </c>
      <c r="B1287" s="141" t="s">
        <v>279</v>
      </c>
      <c r="C1287" s="141" t="s">
        <v>36</v>
      </c>
    </row>
    <row r="1288" spans="1:3" x14ac:dyDescent="0.35">
      <c r="A1288" s="141" t="s">
        <v>723</v>
      </c>
      <c r="B1288" s="141" t="s">
        <v>279</v>
      </c>
      <c r="C1288" s="141" t="s">
        <v>36</v>
      </c>
    </row>
    <row r="1289" spans="1:3" x14ac:dyDescent="0.35">
      <c r="A1289" s="141" t="s">
        <v>724</v>
      </c>
      <c r="B1289" s="141" t="s">
        <v>279</v>
      </c>
      <c r="C1289" s="141" t="s">
        <v>37</v>
      </c>
    </row>
    <row r="1290" spans="1:3" x14ac:dyDescent="0.35">
      <c r="A1290" s="141" t="s">
        <v>725</v>
      </c>
      <c r="B1290" s="141" t="s">
        <v>279</v>
      </c>
      <c r="C1290" s="141" t="s">
        <v>37</v>
      </c>
    </row>
    <row r="1291" spans="1:3" x14ac:dyDescent="0.35">
      <c r="A1291" s="141" t="s">
        <v>726</v>
      </c>
      <c r="B1291" s="141" t="s">
        <v>279</v>
      </c>
      <c r="C1291" s="141" t="s">
        <v>33</v>
      </c>
    </row>
    <row r="1292" spans="1:3" x14ac:dyDescent="0.35">
      <c r="A1292" s="141" t="s">
        <v>727</v>
      </c>
      <c r="B1292" s="141" t="s">
        <v>279</v>
      </c>
      <c r="C1292" s="141" t="s">
        <v>36</v>
      </c>
    </row>
    <row r="1293" spans="1:3" x14ac:dyDescent="0.35">
      <c r="A1293" s="141" t="s">
        <v>728</v>
      </c>
      <c r="B1293" s="141" t="s">
        <v>279</v>
      </c>
      <c r="C1293" s="141" t="s">
        <v>28</v>
      </c>
    </row>
    <row r="1294" spans="1:3" x14ac:dyDescent="0.35">
      <c r="A1294" s="141" t="s">
        <v>729</v>
      </c>
      <c r="B1294" s="141" t="s">
        <v>279</v>
      </c>
      <c r="C1294" s="141" t="s">
        <v>28</v>
      </c>
    </row>
    <row r="1295" spans="1:3" x14ac:dyDescent="0.35">
      <c r="A1295" s="141" t="s">
        <v>730</v>
      </c>
      <c r="B1295" s="141" t="s">
        <v>279</v>
      </c>
      <c r="C1295" s="141" t="s">
        <v>28</v>
      </c>
    </row>
    <row r="1296" spans="1:3" x14ac:dyDescent="0.35">
      <c r="A1296" s="141" t="s">
        <v>731</v>
      </c>
      <c r="B1296" s="141" t="s">
        <v>279</v>
      </c>
      <c r="C1296" s="141" t="s">
        <v>29</v>
      </c>
    </row>
    <row r="1297" spans="1:3" x14ac:dyDescent="0.35">
      <c r="A1297" s="141" t="s">
        <v>732</v>
      </c>
      <c r="B1297" s="141" t="s">
        <v>279</v>
      </c>
      <c r="C1297" s="141" t="s">
        <v>28</v>
      </c>
    </row>
    <row r="1298" spans="1:3" x14ac:dyDescent="0.35">
      <c r="A1298" s="141" t="s">
        <v>733</v>
      </c>
      <c r="B1298" s="141" t="s">
        <v>279</v>
      </c>
      <c r="C1298" s="141" t="s">
        <v>33</v>
      </c>
    </row>
    <row r="1299" spans="1:3" x14ac:dyDescent="0.35">
      <c r="A1299" s="141" t="s">
        <v>734</v>
      </c>
      <c r="B1299" s="141" t="s">
        <v>279</v>
      </c>
      <c r="C1299" s="141" t="s">
        <v>33</v>
      </c>
    </row>
    <row r="1300" spans="1:3" x14ac:dyDescent="0.35">
      <c r="A1300" s="141" t="s">
        <v>570</v>
      </c>
      <c r="B1300" s="141" t="s">
        <v>279</v>
      </c>
      <c r="C1300" s="141" t="s">
        <v>52</v>
      </c>
    </row>
    <row r="1301" spans="1:3" x14ac:dyDescent="0.35">
      <c r="A1301" s="141" t="s">
        <v>449</v>
      </c>
      <c r="B1301" s="141" t="s">
        <v>279</v>
      </c>
      <c r="C1301" s="141" t="s">
        <v>52</v>
      </c>
    </row>
    <row r="1302" spans="1:3" x14ac:dyDescent="0.35">
      <c r="A1302" s="141" t="s">
        <v>450</v>
      </c>
      <c r="B1302" s="141" t="s">
        <v>279</v>
      </c>
      <c r="C1302" s="141" t="s">
        <v>52</v>
      </c>
    </row>
    <row r="1303" spans="1:3" x14ac:dyDescent="0.35">
      <c r="A1303" s="141" t="s">
        <v>601</v>
      </c>
      <c r="B1303" s="141" t="s">
        <v>279</v>
      </c>
      <c r="C1303" s="141" t="s">
        <v>40</v>
      </c>
    </row>
    <row r="1304" spans="1:3" x14ac:dyDescent="0.35">
      <c r="A1304" s="141" t="s">
        <v>602</v>
      </c>
      <c r="B1304" s="141" t="s">
        <v>279</v>
      </c>
      <c r="C1304" s="141" t="s">
        <v>39</v>
      </c>
    </row>
    <row r="1305" spans="1:3" x14ac:dyDescent="0.35">
      <c r="A1305" s="141" t="s">
        <v>735</v>
      </c>
      <c r="B1305" s="141" t="s">
        <v>279</v>
      </c>
      <c r="C1305" s="141" t="s">
        <v>41</v>
      </c>
    </row>
    <row r="1306" spans="1:3" x14ac:dyDescent="0.35">
      <c r="A1306" s="141" t="s">
        <v>736</v>
      </c>
      <c r="B1306" s="141" t="s">
        <v>279</v>
      </c>
      <c r="C1306" s="141" t="s">
        <v>41</v>
      </c>
    </row>
    <row r="1307" spans="1:3" x14ac:dyDescent="0.35">
      <c r="A1307" s="141" t="s">
        <v>737</v>
      </c>
      <c r="B1307" s="141" t="s">
        <v>279</v>
      </c>
      <c r="C1307" s="141" t="s">
        <v>41</v>
      </c>
    </row>
    <row r="1308" spans="1:3" x14ac:dyDescent="0.35">
      <c r="A1308" s="141" t="s">
        <v>738</v>
      </c>
      <c r="B1308" s="141" t="s">
        <v>279</v>
      </c>
      <c r="C1308" s="141" t="s">
        <v>41</v>
      </c>
    </row>
    <row r="1309" spans="1:3" x14ac:dyDescent="0.35">
      <c r="A1309" s="141" t="s">
        <v>739</v>
      </c>
      <c r="B1309" s="141" t="s">
        <v>279</v>
      </c>
      <c r="C1309" s="141" t="s">
        <v>52</v>
      </c>
    </row>
    <row r="1310" spans="1:3" x14ac:dyDescent="0.35">
      <c r="A1310" s="141" t="s">
        <v>306</v>
      </c>
      <c r="B1310" s="141" t="s">
        <v>279</v>
      </c>
      <c r="C1310" s="141" t="s">
        <v>35</v>
      </c>
    </row>
    <row r="1311" spans="1:3" x14ac:dyDescent="0.35">
      <c r="A1311" s="141" t="s">
        <v>740</v>
      </c>
      <c r="B1311" s="141" t="s">
        <v>279</v>
      </c>
      <c r="C1311" s="141" t="s">
        <v>33</v>
      </c>
    </row>
    <row r="1312" spans="1:3" x14ac:dyDescent="0.35">
      <c r="A1312" s="141" t="s">
        <v>550</v>
      </c>
      <c r="B1312" s="141" t="s">
        <v>279</v>
      </c>
      <c r="C1312" s="141" t="s">
        <v>33</v>
      </c>
    </row>
    <row r="1313" spans="1:3" x14ac:dyDescent="0.35">
      <c r="A1313" s="141" t="s">
        <v>551</v>
      </c>
      <c r="B1313" s="141" t="s">
        <v>279</v>
      </c>
      <c r="C1313" s="141" t="s">
        <v>33</v>
      </c>
    </row>
    <row r="1314" spans="1:3" x14ac:dyDescent="0.35">
      <c r="A1314" s="141" t="s">
        <v>307</v>
      </c>
      <c r="B1314" s="141" t="s">
        <v>279</v>
      </c>
      <c r="C1314" s="141" t="s">
        <v>33</v>
      </c>
    </row>
    <row r="1315" spans="1:3" x14ac:dyDescent="0.35">
      <c r="A1315" s="141" t="s">
        <v>427</v>
      </c>
      <c r="B1315" s="141" t="s">
        <v>279</v>
      </c>
      <c r="C1315" s="141" t="s">
        <v>27</v>
      </c>
    </row>
    <row r="1316" spans="1:3" x14ac:dyDescent="0.35">
      <c r="A1316" s="141" t="s">
        <v>428</v>
      </c>
      <c r="B1316" s="141" t="s">
        <v>279</v>
      </c>
      <c r="C1316" s="141" t="s">
        <v>27</v>
      </c>
    </row>
    <row r="1317" spans="1:3" x14ac:dyDescent="0.35">
      <c r="A1317" s="141" t="s">
        <v>429</v>
      </c>
      <c r="B1317" s="141" t="s">
        <v>279</v>
      </c>
      <c r="C1317" s="141" t="s">
        <v>27</v>
      </c>
    </row>
    <row r="1318" spans="1:3" x14ac:dyDescent="0.35">
      <c r="A1318" s="141" t="s">
        <v>426</v>
      </c>
      <c r="B1318" s="141" t="s">
        <v>279</v>
      </c>
      <c r="C1318" s="141" t="s">
        <v>27</v>
      </c>
    </row>
    <row r="1319" spans="1:3" x14ac:dyDescent="0.35">
      <c r="A1319" s="141" t="s">
        <v>430</v>
      </c>
      <c r="B1319" s="141" t="s">
        <v>279</v>
      </c>
      <c r="C1319" s="141" t="s">
        <v>27</v>
      </c>
    </row>
    <row r="1320" spans="1:3" x14ac:dyDescent="0.35">
      <c r="A1320" s="141" t="s">
        <v>431</v>
      </c>
      <c r="B1320" s="141" t="s">
        <v>279</v>
      </c>
      <c r="C1320" s="141" t="s">
        <v>27</v>
      </c>
    </row>
    <row r="1321" spans="1:3" x14ac:dyDescent="0.35">
      <c r="A1321" s="141" t="s">
        <v>534</v>
      </c>
      <c r="B1321" s="141" t="s">
        <v>279</v>
      </c>
      <c r="C1321" s="141" t="s">
        <v>53</v>
      </c>
    </row>
    <row r="1322" spans="1:3" x14ac:dyDescent="0.35">
      <c r="A1322" s="141" t="s">
        <v>312</v>
      </c>
      <c r="B1322" s="141" t="s">
        <v>279</v>
      </c>
      <c r="C1322" s="141" t="s">
        <v>53</v>
      </c>
    </row>
    <row r="1323" spans="1:3" x14ac:dyDescent="0.35">
      <c r="A1323" s="141" t="s">
        <v>531</v>
      </c>
      <c r="B1323" s="141" t="s">
        <v>279</v>
      </c>
      <c r="C1323" s="141" t="s">
        <v>51</v>
      </c>
    </row>
    <row r="1324" spans="1:3" x14ac:dyDescent="0.35">
      <c r="A1324" s="141" t="s">
        <v>741</v>
      </c>
      <c r="B1324" s="141" t="s">
        <v>279</v>
      </c>
      <c r="C1324" s="141" t="s">
        <v>51</v>
      </c>
    </row>
    <row r="1325" spans="1:3" x14ac:dyDescent="0.35">
      <c r="A1325" s="141" t="s">
        <v>742</v>
      </c>
      <c r="B1325" s="141" t="s">
        <v>279</v>
      </c>
      <c r="C1325" s="141" t="s">
        <v>51</v>
      </c>
    </row>
    <row r="1326" spans="1:3" x14ac:dyDescent="0.35">
      <c r="A1326" s="141" t="s">
        <v>743</v>
      </c>
      <c r="B1326" s="141" t="s">
        <v>279</v>
      </c>
      <c r="C1326" s="141" t="s">
        <v>51</v>
      </c>
    </row>
    <row r="1327" spans="1:3" x14ac:dyDescent="0.35">
      <c r="A1327" s="141" t="s">
        <v>532</v>
      </c>
      <c r="B1327" s="141" t="s">
        <v>279</v>
      </c>
      <c r="C1327" s="141" t="s">
        <v>51</v>
      </c>
    </row>
    <row r="1328" spans="1:3" x14ac:dyDescent="0.35">
      <c r="A1328" s="141" t="s">
        <v>533</v>
      </c>
      <c r="B1328" s="141" t="s">
        <v>279</v>
      </c>
      <c r="C1328" s="141" t="s">
        <v>50</v>
      </c>
    </row>
    <row r="1329" spans="1:3" x14ac:dyDescent="0.35">
      <c r="A1329" s="141" t="s">
        <v>542</v>
      </c>
      <c r="B1329" s="141" t="s">
        <v>279</v>
      </c>
      <c r="C1329" s="141" t="s">
        <v>52</v>
      </c>
    </row>
    <row r="1330" spans="1:3" x14ac:dyDescent="0.35">
      <c r="A1330" s="141" t="s">
        <v>543</v>
      </c>
      <c r="B1330" s="141" t="s">
        <v>279</v>
      </c>
      <c r="C1330" s="141" t="s">
        <v>52</v>
      </c>
    </row>
    <row r="1331" spans="1:3" x14ac:dyDescent="0.35">
      <c r="A1331" s="141" t="s">
        <v>577</v>
      </c>
      <c r="B1331" s="141" t="s">
        <v>279</v>
      </c>
      <c r="C1331" s="141" t="s">
        <v>52</v>
      </c>
    </row>
    <row r="1332" spans="1:3" x14ac:dyDescent="0.35">
      <c r="A1332" s="141" t="s">
        <v>578</v>
      </c>
      <c r="B1332" s="141" t="s">
        <v>279</v>
      </c>
      <c r="C1332" s="141" t="s">
        <v>52</v>
      </c>
    </row>
    <row r="1333" spans="1:3" x14ac:dyDescent="0.35">
      <c r="A1333" s="141" t="s">
        <v>535</v>
      </c>
      <c r="B1333" s="141" t="s">
        <v>279</v>
      </c>
      <c r="C1333" s="141" t="s">
        <v>52</v>
      </c>
    </row>
    <row r="1334" spans="1:3" x14ac:dyDescent="0.35">
      <c r="A1334" s="141" t="s">
        <v>536</v>
      </c>
      <c r="B1334" s="141" t="s">
        <v>279</v>
      </c>
      <c r="C1334" s="141" t="s">
        <v>52</v>
      </c>
    </row>
    <row r="1335" spans="1:3" x14ac:dyDescent="0.35">
      <c r="A1335" s="141" t="s">
        <v>537</v>
      </c>
      <c r="B1335" s="141" t="s">
        <v>279</v>
      </c>
      <c r="C1335" s="141" t="s">
        <v>52</v>
      </c>
    </row>
    <row r="1336" spans="1:3" x14ac:dyDescent="0.35">
      <c r="A1336" s="141" t="s">
        <v>538</v>
      </c>
      <c r="B1336" s="141" t="s">
        <v>279</v>
      </c>
      <c r="C1336" s="141" t="s">
        <v>52</v>
      </c>
    </row>
    <row r="1337" spans="1:3" x14ac:dyDescent="0.35">
      <c r="A1337" s="141" t="s">
        <v>539</v>
      </c>
      <c r="B1337" s="141" t="s">
        <v>279</v>
      </c>
      <c r="C1337" s="141" t="s">
        <v>52</v>
      </c>
    </row>
    <row r="1338" spans="1:3" x14ac:dyDescent="0.35">
      <c r="A1338" s="141" t="s">
        <v>540</v>
      </c>
      <c r="B1338" s="141" t="s">
        <v>279</v>
      </c>
      <c r="C1338" s="141" t="s">
        <v>52</v>
      </c>
    </row>
    <row r="1339" spans="1:3" x14ac:dyDescent="0.35">
      <c r="A1339" s="141" t="s">
        <v>652</v>
      </c>
      <c r="B1339" s="141" t="s">
        <v>279</v>
      </c>
      <c r="C1339" s="141" t="s">
        <v>52</v>
      </c>
    </row>
    <row r="1340" spans="1:3" x14ac:dyDescent="0.35">
      <c r="A1340" s="141" t="s">
        <v>653</v>
      </c>
      <c r="B1340" s="141" t="s">
        <v>279</v>
      </c>
      <c r="C1340" s="141" t="s">
        <v>52</v>
      </c>
    </row>
    <row r="1341" spans="1:3" x14ac:dyDescent="0.35">
      <c r="A1341" s="141" t="s">
        <v>575</v>
      </c>
      <c r="B1341" s="141" t="s">
        <v>279</v>
      </c>
      <c r="C1341" s="141" t="s">
        <v>52</v>
      </c>
    </row>
    <row r="1342" spans="1:3" x14ac:dyDescent="0.35">
      <c r="A1342" s="141" t="s">
        <v>639</v>
      </c>
      <c r="B1342" s="141" t="s">
        <v>279</v>
      </c>
      <c r="C1342" s="141" t="s">
        <v>25</v>
      </c>
    </row>
    <row r="1343" spans="1:3" x14ac:dyDescent="0.35">
      <c r="A1343" s="141" t="s">
        <v>640</v>
      </c>
      <c r="B1343" s="141" t="s">
        <v>279</v>
      </c>
      <c r="C1343" s="141" t="s">
        <v>25</v>
      </c>
    </row>
    <row r="1344" spans="1:3" x14ac:dyDescent="0.35">
      <c r="A1344" s="141" t="s">
        <v>744</v>
      </c>
      <c r="B1344" s="141" t="s">
        <v>279</v>
      </c>
      <c r="C1344" s="141" t="s">
        <v>52</v>
      </c>
    </row>
    <row r="1345" spans="1:3" x14ac:dyDescent="0.35">
      <c r="A1345" s="141" t="s">
        <v>544</v>
      </c>
      <c r="B1345" s="141" t="s">
        <v>279</v>
      </c>
      <c r="C1345" s="141" t="s">
        <v>33</v>
      </c>
    </row>
    <row r="1346" spans="1:3" x14ac:dyDescent="0.35">
      <c r="A1346" s="141" t="s">
        <v>545</v>
      </c>
      <c r="B1346" s="141" t="s">
        <v>279</v>
      </c>
      <c r="C1346" s="141" t="s">
        <v>52</v>
      </c>
    </row>
    <row r="1347" spans="1:3" x14ac:dyDescent="0.35">
      <c r="A1347" s="141" t="s">
        <v>546</v>
      </c>
      <c r="B1347" s="141" t="s">
        <v>279</v>
      </c>
      <c r="C1347" s="141" t="s">
        <v>52</v>
      </c>
    </row>
    <row r="1348" spans="1:3" x14ac:dyDescent="0.35">
      <c r="A1348" s="141" t="s">
        <v>547</v>
      </c>
      <c r="B1348" s="141" t="s">
        <v>279</v>
      </c>
      <c r="C1348" s="141" t="s">
        <v>52</v>
      </c>
    </row>
    <row r="1349" spans="1:3" x14ac:dyDescent="0.35">
      <c r="A1349" s="141" t="s">
        <v>317</v>
      </c>
      <c r="B1349" s="141" t="s">
        <v>279</v>
      </c>
      <c r="C1349" s="141" t="s">
        <v>16</v>
      </c>
    </row>
    <row r="1350" spans="1:3" x14ac:dyDescent="0.35">
      <c r="A1350" s="141" t="s">
        <v>318</v>
      </c>
      <c r="B1350" s="141" t="s">
        <v>279</v>
      </c>
      <c r="C1350" s="141" t="s">
        <v>16</v>
      </c>
    </row>
    <row r="1351" spans="1:3" x14ac:dyDescent="0.35">
      <c r="A1351" s="141" t="s">
        <v>319</v>
      </c>
      <c r="B1351" s="141" t="s">
        <v>279</v>
      </c>
      <c r="C1351" s="141" t="s">
        <v>16</v>
      </c>
    </row>
    <row r="1352" spans="1:3" x14ac:dyDescent="0.35">
      <c r="A1352" s="141" t="s">
        <v>320</v>
      </c>
      <c r="B1352" s="141" t="s">
        <v>279</v>
      </c>
      <c r="C1352" s="141" t="s">
        <v>16</v>
      </c>
    </row>
    <row r="1353" spans="1:3" x14ac:dyDescent="0.35">
      <c r="A1353" s="141" t="s">
        <v>322</v>
      </c>
      <c r="B1353" s="141" t="s">
        <v>279</v>
      </c>
      <c r="C1353" s="141" t="s">
        <v>16</v>
      </c>
    </row>
    <row r="1354" spans="1:3" x14ac:dyDescent="0.35">
      <c r="A1354" s="141" t="s">
        <v>324</v>
      </c>
      <c r="B1354" s="141" t="s">
        <v>279</v>
      </c>
      <c r="C1354" s="141" t="s">
        <v>16</v>
      </c>
    </row>
    <row r="1355" spans="1:3" x14ac:dyDescent="0.35">
      <c r="A1355" s="141" t="s">
        <v>325</v>
      </c>
      <c r="B1355" s="141" t="s">
        <v>279</v>
      </c>
      <c r="C1355" s="141" t="s">
        <v>16</v>
      </c>
    </row>
    <row r="1356" spans="1:3" x14ac:dyDescent="0.35">
      <c r="A1356" s="141" t="s">
        <v>326</v>
      </c>
      <c r="B1356" s="141" t="s">
        <v>279</v>
      </c>
      <c r="C1356" s="141" t="s">
        <v>16</v>
      </c>
    </row>
    <row r="1357" spans="1:3" x14ac:dyDescent="0.35">
      <c r="A1357" s="141" t="s">
        <v>327</v>
      </c>
      <c r="B1357" s="141" t="s">
        <v>279</v>
      </c>
      <c r="C1357" s="141" t="s">
        <v>16</v>
      </c>
    </row>
    <row r="1358" spans="1:3" x14ac:dyDescent="0.35">
      <c r="A1358" s="141" t="s">
        <v>331</v>
      </c>
      <c r="B1358" s="141" t="s">
        <v>279</v>
      </c>
      <c r="C1358" s="141" t="s">
        <v>16</v>
      </c>
    </row>
    <row r="1359" spans="1:3" x14ac:dyDescent="0.35">
      <c r="A1359" s="141" t="s">
        <v>332</v>
      </c>
      <c r="B1359" s="141" t="s">
        <v>279</v>
      </c>
      <c r="C1359" s="141" t="s">
        <v>16</v>
      </c>
    </row>
    <row r="1360" spans="1:3" x14ac:dyDescent="0.35">
      <c r="A1360" s="141" t="s">
        <v>333</v>
      </c>
      <c r="B1360" s="141" t="s">
        <v>279</v>
      </c>
      <c r="C1360" s="141" t="s">
        <v>16</v>
      </c>
    </row>
    <row r="1361" spans="1:3" x14ac:dyDescent="0.35">
      <c r="A1361" s="141" t="s">
        <v>334</v>
      </c>
      <c r="B1361" s="141" t="s">
        <v>279</v>
      </c>
      <c r="C1361" s="141" t="s">
        <v>16</v>
      </c>
    </row>
    <row r="1362" spans="1:3" x14ac:dyDescent="0.35">
      <c r="A1362" s="141" t="s">
        <v>335</v>
      </c>
      <c r="B1362" s="141" t="s">
        <v>279</v>
      </c>
      <c r="C1362" s="141" t="s">
        <v>16</v>
      </c>
    </row>
    <row r="1363" spans="1:3" x14ac:dyDescent="0.35">
      <c r="A1363" s="141" t="s">
        <v>336</v>
      </c>
      <c r="B1363" s="141" t="s">
        <v>279</v>
      </c>
      <c r="C1363" s="141" t="s">
        <v>16</v>
      </c>
    </row>
    <row r="1364" spans="1:3" x14ac:dyDescent="0.35">
      <c r="A1364" s="141" t="s">
        <v>579</v>
      </c>
      <c r="B1364" s="141" t="s">
        <v>279</v>
      </c>
      <c r="C1364" s="141" t="s">
        <v>32</v>
      </c>
    </row>
    <row r="1365" spans="1:3" x14ac:dyDescent="0.35">
      <c r="A1365" s="141" t="s">
        <v>556</v>
      </c>
      <c r="B1365" s="141" t="s">
        <v>279</v>
      </c>
      <c r="C1365" s="141" t="s">
        <v>32</v>
      </c>
    </row>
    <row r="1366" spans="1:3" x14ac:dyDescent="0.35">
      <c r="A1366" s="141" t="s">
        <v>557</v>
      </c>
      <c r="B1366" s="141" t="s">
        <v>279</v>
      </c>
      <c r="C1366" s="141" t="s">
        <v>32</v>
      </c>
    </row>
    <row r="1367" spans="1:3" x14ac:dyDescent="0.35">
      <c r="A1367" s="141" t="s">
        <v>558</v>
      </c>
      <c r="B1367" s="141" t="s">
        <v>279</v>
      </c>
      <c r="C1367" s="141" t="s">
        <v>32</v>
      </c>
    </row>
    <row r="1368" spans="1:3" x14ac:dyDescent="0.35">
      <c r="A1368" s="141" t="s">
        <v>580</v>
      </c>
      <c r="B1368" s="141" t="s">
        <v>279</v>
      </c>
      <c r="C1368" s="141" t="s">
        <v>32</v>
      </c>
    </row>
    <row r="1369" spans="1:3" x14ac:dyDescent="0.35">
      <c r="A1369" s="141" t="s">
        <v>611</v>
      </c>
      <c r="B1369" s="141" t="s">
        <v>279</v>
      </c>
      <c r="C1369" s="141" t="s">
        <v>43</v>
      </c>
    </row>
    <row r="1370" spans="1:3" x14ac:dyDescent="0.35">
      <c r="A1370" s="141" t="s">
        <v>612</v>
      </c>
      <c r="B1370" s="141" t="s">
        <v>279</v>
      </c>
      <c r="C1370" s="141" t="s">
        <v>43</v>
      </c>
    </row>
    <row r="1371" spans="1:3" x14ac:dyDescent="0.35">
      <c r="A1371" s="141" t="s">
        <v>613</v>
      </c>
      <c r="B1371" s="141" t="s">
        <v>279</v>
      </c>
      <c r="C1371" s="141" t="s">
        <v>43</v>
      </c>
    </row>
    <row r="1372" spans="1:3" x14ac:dyDescent="0.35">
      <c r="A1372" s="141" t="s">
        <v>614</v>
      </c>
      <c r="B1372" s="141" t="s">
        <v>279</v>
      </c>
      <c r="C1372" s="141" t="s">
        <v>43</v>
      </c>
    </row>
    <row r="1373" spans="1:3" x14ac:dyDescent="0.35">
      <c r="A1373" s="141" t="s">
        <v>615</v>
      </c>
      <c r="B1373" s="141" t="s">
        <v>279</v>
      </c>
      <c r="C1373" s="141" t="s">
        <v>43</v>
      </c>
    </row>
    <row r="1374" spans="1:3" x14ac:dyDescent="0.35">
      <c r="A1374" s="141" t="s">
        <v>616</v>
      </c>
      <c r="B1374" s="141" t="s">
        <v>279</v>
      </c>
      <c r="C1374" s="141" t="s">
        <v>43</v>
      </c>
    </row>
    <row r="1375" spans="1:3" x14ac:dyDescent="0.35">
      <c r="A1375" s="141" t="s">
        <v>617</v>
      </c>
      <c r="B1375" s="141" t="s">
        <v>279</v>
      </c>
      <c r="C1375" s="141" t="s">
        <v>43</v>
      </c>
    </row>
    <row r="1376" spans="1:3" x14ac:dyDescent="0.35">
      <c r="A1376" s="141" t="s">
        <v>605</v>
      </c>
      <c r="B1376" s="141" t="s">
        <v>279</v>
      </c>
      <c r="C1376" s="141" t="s">
        <v>43</v>
      </c>
    </row>
    <row r="1377" spans="1:3" x14ac:dyDescent="0.35">
      <c r="A1377" s="141" t="s">
        <v>606</v>
      </c>
      <c r="B1377" s="141" t="s">
        <v>279</v>
      </c>
      <c r="C1377" s="141" t="s">
        <v>43</v>
      </c>
    </row>
    <row r="1378" spans="1:3" x14ac:dyDescent="0.35">
      <c r="A1378" s="141" t="s">
        <v>607</v>
      </c>
      <c r="B1378" s="141" t="s">
        <v>279</v>
      </c>
      <c r="C1378" s="141" t="s">
        <v>43</v>
      </c>
    </row>
    <row r="1379" spans="1:3" x14ac:dyDescent="0.35">
      <c r="A1379" s="141" t="s">
        <v>608</v>
      </c>
      <c r="B1379" s="141" t="s">
        <v>279</v>
      </c>
      <c r="C1379" s="141" t="s">
        <v>43</v>
      </c>
    </row>
    <row r="1380" spans="1:3" x14ac:dyDescent="0.35">
      <c r="A1380" s="141" t="s">
        <v>609</v>
      </c>
      <c r="B1380" s="141" t="s">
        <v>279</v>
      </c>
      <c r="C1380" s="141" t="s">
        <v>43</v>
      </c>
    </row>
    <row r="1381" spans="1:3" x14ac:dyDescent="0.35">
      <c r="A1381" s="141" t="s">
        <v>610</v>
      </c>
      <c r="B1381" s="141" t="s">
        <v>279</v>
      </c>
      <c r="C1381" s="141" t="s">
        <v>43</v>
      </c>
    </row>
    <row r="1382" spans="1:3" x14ac:dyDescent="0.35">
      <c r="A1382" s="141" t="s">
        <v>618</v>
      </c>
      <c r="B1382" s="141" t="s">
        <v>279</v>
      </c>
      <c r="C1382" s="141" t="s">
        <v>43</v>
      </c>
    </row>
    <row r="1383" spans="1:3" x14ac:dyDescent="0.35">
      <c r="A1383" s="141" t="s">
        <v>619</v>
      </c>
      <c r="B1383" s="141" t="s">
        <v>279</v>
      </c>
      <c r="C1383" s="141" t="s">
        <v>44</v>
      </c>
    </row>
    <row r="1384" spans="1:3" x14ac:dyDescent="0.35">
      <c r="A1384" s="141" t="s">
        <v>559</v>
      </c>
      <c r="B1384" s="141" t="s">
        <v>279</v>
      </c>
      <c r="C1384" s="141" t="s">
        <v>47</v>
      </c>
    </row>
    <row r="1385" spans="1:3" x14ac:dyDescent="0.35">
      <c r="A1385" s="141" t="s">
        <v>560</v>
      </c>
      <c r="B1385" s="141" t="s">
        <v>279</v>
      </c>
      <c r="C1385" s="141" t="s">
        <v>47</v>
      </c>
    </row>
    <row r="1386" spans="1:3" x14ac:dyDescent="0.35">
      <c r="A1386" s="141" t="s">
        <v>561</v>
      </c>
      <c r="B1386" s="141" t="s">
        <v>279</v>
      </c>
      <c r="C1386" s="141" t="s">
        <v>47</v>
      </c>
    </row>
    <row r="1387" spans="1:3" x14ac:dyDescent="0.35">
      <c r="A1387" s="141" t="s">
        <v>562</v>
      </c>
      <c r="B1387" s="141" t="s">
        <v>279</v>
      </c>
      <c r="C1387" s="141" t="s">
        <v>48</v>
      </c>
    </row>
    <row r="1388" spans="1:3" x14ac:dyDescent="0.35">
      <c r="A1388" s="141" t="s">
        <v>563</v>
      </c>
      <c r="B1388" s="141" t="s">
        <v>279</v>
      </c>
      <c r="C1388" s="141" t="s">
        <v>47</v>
      </c>
    </row>
    <row r="1389" spans="1:3" x14ac:dyDescent="0.35">
      <c r="A1389" s="141" t="s">
        <v>390</v>
      </c>
      <c r="B1389" s="141" t="s">
        <v>280</v>
      </c>
      <c r="C1389" s="141" t="s">
        <v>16</v>
      </c>
    </row>
    <row r="1390" spans="1:3" x14ac:dyDescent="0.35">
      <c r="A1390" s="141" t="s">
        <v>352</v>
      </c>
      <c r="B1390" s="141" t="s">
        <v>280</v>
      </c>
      <c r="C1390" s="141" t="s">
        <v>2</v>
      </c>
    </row>
    <row r="1391" spans="1:3" x14ac:dyDescent="0.35">
      <c r="A1391" s="141" t="s">
        <v>354</v>
      </c>
      <c r="B1391" s="141" t="s">
        <v>280</v>
      </c>
      <c r="C1391" s="141" t="s">
        <v>2</v>
      </c>
    </row>
    <row r="1392" spans="1:3" x14ac:dyDescent="0.35">
      <c r="A1392" s="141" t="s">
        <v>391</v>
      </c>
      <c r="B1392" s="141" t="s">
        <v>280</v>
      </c>
      <c r="C1392" s="141" t="s">
        <v>16</v>
      </c>
    </row>
    <row r="1393" spans="1:3" x14ac:dyDescent="0.35">
      <c r="A1393" s="141" t="s">
        <v>392</v>
      </c>
      <c r="B1393" s="141" t="s">
        <v>280</v>
      </c>
      <c r="C1393" s="141" t="s">
        <v>16</v>
      </c>
    </row>
    <row r="1394" spans="1:3" x14ac:dyDescent="0.35">
      <c r="A1394" s="141" t="s">
        <v>393</v>
      </c>
      <c r="B1394" s="141" t="s">
        <v>280</v>
      </c>
      <c r="C1394" s="141" t="s">
        <v>9</v>
      </c>
    </row>
    <row r="1395" spans="1:3" x14ac:dyDescent="0.35">
      <c r="A1395" s="141" t="s">
        <v>355</v>
      </c>
      <c r="B1395" s="141" t="s">
        <v>280</v>
      </c>
      <c r="C1395" s="141" t="s">
        <v>12</v>
      </c>
    </row>
    <row r="1396" spans="1:3" x14ac:dyDescent="0.35">
      <c r="A1396" s="141" t="s">
        <v>356</v>
      </c>
      <c r="B1396" s="141" t="s">
        <v>280</v>
      </c>
      <c r="C1396" s="141" t="s">
        <v>14</v>
      </c>
    </row>
    <row r="1397" spans="1:3" x14ac:dyDescent="0.35">
      <c r="A1397" s="141" t="s">
        <v>357</v>
      </c>
      <c r="B1397" s="141" t="s">
        <v>280</v>
      </c>
      <c r="C1397" s="141" t="s">
        <v>14</v>
      </c>
    </row>
    <row r="1398" spans="1:3" x14ac:dyDescent="0.35">
      <c r="A1398" s="141" t="s">
        <v>368</v>
      </c>
      <c r="B1398" s="141" t="s">
        <v>280</v>
      </c>
      <c r="C1398" s="141" t="s">
        <v>10</v>
      </c>
    </row>
    <row r="1399" spans="1:3" x14ac:dyDescent="0.35">
      <c r="A1399" s="141" t="s">
        <v>590</v>
      </c>
      <c r="B1399" s="141" t="s">
        <v>280</v>
      </c>
      <c r="C1399" s="141" t="s">
        <v>10</v>
      </c>
    </row>
    <row r="1400" spans="1:3" x14ac:dyDescent="0.35">
      <c r="A1400" s="141" t="s">
        <v>591</v>
      </c>
      <c r="B1400" s="141" t="s">
        <v>280</v>
      </c>
      <c r="C1400" s="141" t="s">
        <v>10</v>
      </c>
    </row>
    <row r="1401" spans="1:3" x14ac:dyDescent="0.35">
      <c r="A1401" s="141" t="s">
        <v>370</v>
      </c>
      <c r="B1401" s="141" t="s">
        <v>280</v>
      </c>
      <c r="C1401" s="141" t="s">
        <v>10</v>
      </c>
    </row>
    <row r="1402" spans="1:3" x14ac:dyDescent="0.35">
      <c r="A1402" s="141" t="s">
        <v>371</v>
      </c>
      <c r="B1402" s="141" t="s">
        <v>280</v>
      </c>
      <c r="C1402" s="141" t="s">
        <v>10</v>
      </c>
    </row>
    <row r="1403" spans="1:3" x14ac:dyDescent="0.35">
      <c r="A1403" s="141" t="s">
        <v>376</v>
      </c>
      <c r="B1403" s="141" t="s">
        <v>280</v>
      </c>
      <c r="C1403" s="141" t="s">
        <v>10</v>
      </c>
    </row>
    <row r="1404" spans="1:3" x14ac:dyDescent="0.35">
      <c r="A1404" s="141" t="s">
        <v>372</v>
      </c>
      <c r="B1404" s="141" t="s">
        <v>280</v>
      </c>
      <c r="C1404" s="141" t="s">
        <v>10</v>
      </c>
    </row>
    <row r="1405" spans="1:3" x14ac:dyDescent="0.35">
      <c r="A1405" s="141" t="s">
        <v>373</v>
      </c>
      <c r="B1405" s="141" t="s">
        <v>280</v>
      </c>
      <c r="C1405" s="141" t="s">
        <v>10</v>
      </c>
    </row>
    <row r="1406" spans="1:3" x14ac:dyDescent="0.35">
      <c r="A1406" s="141" t="s">
        <v>374</v>
      </c>
      <c r="B1406" s="141" t="s">
        <v>280</v>
      </c>
      <c r="C1406" s="141" t="s">
        <v>10</v>
      </c>
    </row>
    <row r="1407" spans="1:3" x14ac:dyDescent="0.35">
      <c r="A1407" s="141" t="s">
        <v>375</v>
      </c>
      <c r="B1407" s="141" t="s">
        <v>280</v>
      </c>
      <c r="C1407" s="141" t="s">
        <v>10</v>
      </c>
    </row>
    <row r="1408" spans="1:3" x14ac:dyDescent="0.35">
      <c r="A1408" s="141" t="s">
        <v>377</v>
      </c>
      <c r="B1408" s="141" t="s">
        <v>280</v>
      </c>
      <c r="C1408" s="141" t="s">
        <v>11</v>
      </c>
    </row>
    <row r="1409" spans="1:3" x14ac:dyDescent="0.35">
      <c r="A1409" s="141" t="s">
        <v>378</v>
      </c>
      <c r="B1409" s="141" t="s">
        <v>280</v>
      </c>
      <c r="C1409" s="141" t="s">
        <v>11</v>
      </c>
    </row>
    <row r="1410" spans="1:3" x14ac:dyDescent="0.35">
      <c r="A1410" s="141" t="s">
        <v>379</v>
      </c>
      <c r="B1410" s="141" t="s">
        <v>280</v>
      </c>
      <c r="C1410" s="141" t="s">
        <v>11</v>
      </c>
    </row>
    <row r="1411" spans="1:3" x14ac:dyDescent="0.35">
      <c r="A1411" s="141" t="s">
        <v>380</v>
      </c>
      <c r="B1411" s="141" t="s">
        <v>280</v>
      </c>
      <c r="C1411" s="141" t="s">
        <v>11</v>
      </c>
    </row>
    <row r="1412" spans="1:3" x14ac:dyDescent="0.35">
      <c r="A1412" s="141" t="s">
        <v>381</v>
      </c>
      <c r="B1412" s="141" t="s">
        <v>280</v>
      </c>
      <c r="C1412" s="141" t="s">
        <v>11</v>
      </c>
    </row>
    <row r="1413" spans="1:3" x14ac:dyDescent="0.35">
      <c r="A1413" s="141" t="s">
        <v>382</v>
      </c>
      <c r="B1413" s="141" t="s">
        <v>280</v>
      </c>
      <c r="C1413" s="141" t="s">
        <v>11</v>
      </c>
    </row>
    <row r="1414" spans="1:3" x14ac:dyDescent="0.35">
      <c r="A1414" s="141" t="s">
        <v>358</v>
      </c>
      <c r="B1414" s="141" t="s">
        <v>280</v>
      </c>
      <c r="C1414" s="141" t="s">
        <v>14</v>
      </c>
    </row>
    <row r="1415" spans="1:3" x14ac:dyDescent="0.35">
      <c r="A1415" s="141" t="s">
        <v>655</v>
      </c>
      <c r="B1415" s="141" t="s">
        <v>280</v>
      </c>
      <c r="C1415" s="141" t="s">
        <v>14</v>
      </c>
    </row>
    <row r="1416" spans="1:3" x14ac:dyDescent="0.35">
      <c r="A1416" s="141" t="s">
        <v>581</v>
      </c>
      <c r="B1416" s="141" t="s">
        <v>280</v>
      </c>
      <c r="C1416" s="141" t="s">
        <v>13</v>
      </c>
    </row>
    <row r="1417" spans="1:3" x14ac:dyDescent="0.35">
      <c r="A1417" s="141" t="s">
        <v>367</v>
      </c>
      <c r="B1417" s="141" t="s">
        <v>280</v>
      </c>
      <c r="C1417" s="141" t="s">
        <v>8</v>
      </c>
    </row>
    <row r="1418" spans="1:3" x14ac:dyDescent="0.35">
      <c r="A1418" s="141" t="s">
        <v>383</v>
      </c>
      <c r="B1418" s="141" t="s">
        <v>280</v>
      </c>
      <c r="C1418" s="141" t="s">
        <v>5</v>
      </c>
    </row>
    <row r="1419" spans="1:3" x14ac:dyDescent="0.35">
      <c r="A1419" s="141" t="s">
        <v>359</v>
      </c>
      <c r="B1419" s="141" t="s">
        <v>280</v>
      </c>
      <c r="C1419" s="141" t="s">
        <v>46</v>
      </c>
    </row>
    <row r="1420" spans="1:3" x14ac:dyDescent="0.35">
      <c r="A1420" s="141" t="s">
        <v>360</v>
      </c>
      <c r="B1420" s="141" t="s">
        <v>280</v>
      </c>
      <c r="C1420" s="141" t="s">
        <v>46</v>
      </c>
    </row>
    <row r="1421" spans="1:3" x14ac:dyDescent="0.35">
      <c r="A1421" s="141" t="s">
        <v>262</v>
      </c>
      <c r="B1421" s="141" t="s">
        <v>280</v>
      </c>
      <c r="C1421" s="141" t="s">
        <v>27</v>
      </c>
    </row>
    <row r="1422" spans="1:3" x14ac:dyDescent="0.35">
      <c r="A1422" s="141" t="s">
        <v>564</v>
      </c>
      <c r="B1422" s="141" t="s">
        <v>280</v>
      </c>
      <c r="C1422" s="141" t="s">
        <v>7</v>
      </c>
    </row>
    <row r="1423" spans="1:3" x14ac:dyDescent="0.35">
      <c r="A1423" s="141" t="s">
        <v>565</v>
      </c>
      <c r="B1423" s="141" t="s">
        <v>280</v>
      </c>
      <c r="C1423" s="141" t="s">
        <v>7</v>
      </c>
    </row>
    <row r="1424" spans="1:3" x14ac:dyDescent="0.35">
      <c r="A1424" s="141" t="s">
        <v>385</v>
      </c>
      <c r="B1424" s="141" t="s">
        <v>280</v>
      </c>
      <c r="C1424" s="141" t="s">
        <v>7</v>
      </c>
    </row>
    <row r="1425" spans="1:3" x14ac:dyDescent="0.35">
      <c r="A1425" s="141" t="s">
        <v>386</v>
      </c>
      <c r="B1425" s="141" t="s">
        <v>280</v>
      </c>
      <c r="C1425" s="141" t="s">
        <v>7</v>
      </c>
    </row>
    <row r="1426" spans="1:3" x14ac:dyDescent="0.35">
      <c r="A1426" s="141" t="s">
        <v>387</v>
      </c>
      <c r="B1426" s="141" t="s">
        <v>280</v>
      </c>
      <c r="C1426" s="141" t="s">
        <v>7</v>
      </c>
    </row>
    <row r="1427" spans="1:3" x14ac:dyDescent="0.35">
      <c r="A1427" s="141" t="s">
        <v>365</v>
      </c>
      <c r="B1427" s="141" t="s">
        <v>280</v>
      </c>
      <c r="C1427" s="141" t="s">
        <v>7</v>
      </c>
    </row>
    <row r="1428" spans="1:3" x14ac:dyDescent="0.35">
      <c r="A1428" s="141" t="s">
        <v>589</v>
      </c>
      <c r="B1428" s="141" t="s">
        <v>280</v>
      </c>
      <c r="C1428" s="141" t="s">
        <v>4</v>
      </c>
    </row>
    <row r="1429" spans="1:3" x14ac:dyDescent="0.35">
      <c r="A1429" s="141" t="s">
        <v>388</v>
      </c>
      <c r="B1429" s="141" t="s">
        <v>280</v>
      </c>
      <c r="C1429" s="141" t="s">
        <v>8</v>
      </c>
    </row>
    <row r="1430" spans="1:3" x14ac:dyDescent="0.35">
      <c r="A1430" s="141" t="s">
        <v>389</v>
      </c>
      <c r="B1430" s="141" t="s">
        <v>280</v>
      </c>
      <c r="C1430" s="141" t="s">
        <v>8</v>
      </c>
    </row>
    <row r="1431" spans="1:3" x14ac:dyDescent="0.35">
      <c r="A1431" s="141" t="s">
        <v>366</v>
      </c>
      <c r="B1431" s="141" t="s">
        <v>280</v>
      </c>
      <c r="C1431" s="141" t="s">
        <v>8</v>
      </c>
    </row>
    <row r="1432" spans="1:3" x14ac:dyDescent="0.35">
      <c r="A1432" s="141" t="s">
        <v>586</v>
      </c>
      <c r="B1432" s="141" t="s">
        <v>280</v>
      </c>
      <c r="C1432" s="141" t="s">
        <v>4</v>
      </c>
    </row>
    <row r="1433" spans="1:3" x14ac:dyDescent="0.35">
      <c r="A1433" s="141" t="s">
        <v>587</v>
      </c>
      <c r="B1433" s="141" t="s">
        <v>280</v>
      </c>
      <c r="C1433" s="141" t="s">
        <v>4</v>
      </c>
    </row>
    <row r="1434" spans="1:3" x14ac:dyDescent="0.35">
      <c r="A1434" s="141" t="s">
        <v>588</v>
      </c>
      <c r="B1434" s="141" t="s">
        <v>280</v>
      </c>
      <c r="C1434" s="141" t="s">
        <v>4</v>
      </c>
    </row>
    <row r="1435" spans="1:3" x14ac:dyDescent="0.35">
      <c r="A1435" s="141" t="s">
        <v>656</v>
      </c>
      <c r="B1435" s="141" t="s">
        <v>280</v>
      </c>
      <c r="C1435" s="141" t="s">
        <v>21</v>
      </c>
    </row>
    <row r="1436" spans="1:3" x14ac:dyDescent="0.35">
      <c r="A1436" s="141" t="s">
        <v>657</v>
      </c>
      <c r="B1436" s="141" t="s">
        <v>280</v>
      </c>
      <c r="C1436" s="141" t="s">
        <v>21</v>
      </c>
    </row>
    <row r="1437" spans="1:3" x14ac:dyDescent="0.35">
      <c r="A1437" s="141" t="s">
        <v>658</v>
      </c>
      <c r="B1437" s="141" t="s">
        <v>280</v>
      </c>
      <c r="C1437" s="141" t="s">
        <v>21</v>
      </c>
    </row>
    <row r="1438" spans="1:3" x14ac:dyDescent="0.35">
      <c r="A1438" s="141" t="s">
        <v>659</v>
      </c>
      <c r="B1438" s="141" t="s">
        <v>280</v>
      </c>
      <c r="C1438" s="141" t="s">
        <v>21</v>
      </c>
    </row>
    <row r="1439" spans="1:3" x14ac:dyDescent="0.35">
      <c r="A1439" s="141" t="s">
        <v>660</v>
      </c>
      <c r="B1439" s="141" t="s">
        <v>280</v>
      </c>
      <c r="C1439" s="141" t="s">
        <v>21</v>
      </c>
    </row>
    <row r="1440" spans="1:3" x14ac:dyDescent="0.35">
      <c r="A1440" s="141" t="s">
        <v>283</v>
      </c>
      <c r="B1440" s="141" t="s">
        <v>280</v>
      </c>
      <c r="C1440" s="141" t="s">
        <v>21</v>
      </c>
    </row>
    <row r="1441" spans="1:3" x14ac:dyDescent="0.35">
      <c r="A1441" s="141" t="s">
        <v>284</v>
      </c>
      <c r="B1441" s="141" t="s">
        <v>280</v>
      </c>
      <c r="C1441" s="141" t="s">
        <v>21</v>
      </c>
    </row>
    <row r="1442" spans="1:3" x14ac:dyDescent="0.35">
      <c r="A1442" s="141" t="s">
        <v>424</v>
      </c>
      <c r="B1442" s="141" t="s">
        <v>280</v>
      </c>
      <c r="C1442" s="141" t="s">
        <v>21</v>
      </c>
    </row>
    <row r="1443" spans="1:3" x14ac:dyDescent="0.35">
      <c r="A1443" s="141" t="s">
        <v>425</v>
      </c>
      <c r="B1443" s="141" t="s">
        <v>280</v>
      </c>
      <c r="C1443" s="141" t="s">
        <v>27</v>
      </c>
    </row>
    <row r="1444" spans="1:3" x14ac:dyDescent="0.35">
      <c r="A1444" s="141" t="s">
        <v>285</v>
      </c>
      <c r="B1444" s="141" t="s">
        <v>280</v>
      </c>
      <c r="C1444" s="141" t="s">
        <v>27</v>
      </c>
    </row>
    <row r="1445" spans="1:3" x14ac:dyDescent="0.35">
      <c r="A1445" s="141" t="s">
        <v>286</v>
      </c>
      <c r="B1445" s="141" t="s">
        <v>280</v>
      </c>
      <c r="C1445" s="141" t="s">
        <v>27</v>
      </c>
    </row>
    <row r="1446" spans="1:3" x14ac:dyDescent="0.35">
      <c r="A1446" s="141" t="s">
        <v>287</v>
      </c>
      <c r="B1446" s="141" t="s">
        <v>280</v>
      </c>
      <c r="C1446" s="141" t="s">
        <v>21</v>
      </c>
    </row>
    <row r="1447" spans="1:3" x14ac:dyDescent="0.35">
      <c r="A1447" s="141" t="s">
        <v>290</v>
      </c>
      <c r="B1447" s="141" t="s">
        <v>280</v>
      </c>
      <c r="C1447" s="141" t="s">
        <v>23</v>
      </c>
    </row>
    <row r="1448" spans="1:3" x14ac:dyDescent="0.35">
      <c r="A1448" s="141" t="s">
        <v>661</v>
      </c>
      <c r="B1448" s="141" t="s">
        <v>280</v>
      </c>
      <c r="C1448" s="141" t="s">
        <v>22</v>
      </c>
    </row>
    <row r="1449" spans="1:3" x14ac:dyDescent="0.35">
      <c r="A1449" s="141" t="s">
        <v>291</v>
      </c>
      <c r="B1449" s="141" t="s">
        <v>280</v>
      </c>
      <c r="C1449" s="141" t="s">
        <v>22</v>
      </c>
    </row>
    <row r="1450" spans="1:3" x14ac:dyDescent="0.35">
      <c r="A1450" s="141" t="s">
        <v>662</v>
      </c>
      <c r="B1450" s="141" t="s">
        <v>280</v>
      </c>
      <c r="C1450" s="141" t="s">
        <v>22</v>
      </c>
    </row>
    <row r="1451" spans="1:3" x14ac:dyDescent="0.35">
      <c r="A1451" s="141" t="s">
        <v>292</v>
      </c>
      <c r="B1451" s="141" t="s">
        <v>280</v>
      </c>
      <c r="C1451" s="141" t="s">
        <v>22</v>
      </c>
    </row>
    <row r="1452" spans="1:3" x14ac:dyDescent="0.35">
      <c r="A1452" s="141" t="s">
        <v>663</v>
      </c>
      <c r="B1452" s="141" t="s">
        <v>280</v>
      </c>
      <c r="C1452" s="141" t="s">
        <v>22</v>
      </c>
    </row>
    <row r="1453" spans="1:3" x14ac:dyDescent="0.35">
      <c r="A1453" s="141" t="s">
        <v>293</v>
      </c>
      <c r="B1453" s="141" t="s">
        <v>280</v>
      </c>
      <c r="C1453" s="141" t="s">
        <v>22</v>
      </c>
    </row>
    <row r="1454" spans="1:3" x14ac:dyDescent="0.35">
      <c r="A1454" s="141" t="s">
        <v>664</v>
      </c>
      <c r="B1454" s="141" t="s">
        <v>280</v>
      </c>
      <c r="C1454" s="141" t="s">
        <v>24</v>
      </c>
    </row>
    <row r="1455" spans="1:3" x14ac:dyDescent="0.35">
      <c r="A1455" s="141" t="s">
        <v>665</v>
      </c>
      <c r="B1455" s="141" t="s">
        <v>280</v>
      </c>
      <c r="C1455" s="141" t="s">
        <v>21</v>
      </c>
    </row>
    <row r="1456" spans="1:3" x14ac:dyDescent="0.35">
      <c r="A1456" s="141" t="s">
        <v>666</v>
      </c>
      <c r="B1456" s="141" t="s">
        <v>280</v>
      </c>
      <c r="C1456" s="141" t="s">
        <v>21</v>
      </c>
    </row>
    <row r="1457" spans="1:3" x14ac:dyDescent="0.35">
      <c r="A1457" s="141" t="s">
        <v>667</v>
      </c>
      <c r="B1457" s="141" t="s">
        <v>280</v>
      </c>
      <c r="C1457" s="141" t="s">
        <v>55</v>
      </c>
    </row>
    <row r="1458" spans="1:3" x14ac:dyDescent="0.35">
      <c r="A1458" s="141" t="s">
        <v>668</v>
      </c>
      <c r="B1458" s="141" t="s">
        <v>280</v>
      </c>
      <c r="C1458" s="141" t="s">
        <v>54</v>
      </c>
    </row>
    <row r="1459" spans="1:3" x14ac:dyDescent="0.35">
      <c r="A1459" s="141" t="s">
        <v>669</v>
      </c>
      <c r="B1459" s="141" t="s">
        <v>280</v>
      </c>
      <c r="C1459" s="141" t="s">
        <v>55</v>
      </c>
    </row>
    <row r="1460" spans="1:3" x14ac:dyDescent="0.35">
      <c r="A1460" s="141" t="s">
        <v>670</v>
      </c>
      <c r="B1460" s="141" t="s">
        <v>280</v>
      </c>
      <c r="C1460" s="141" t="s">
        <v>54</v>
      </c>
    </row>
    <row r="1461" spans="1:3" x14ac:dyDescent="0.35">
      <c r="A1461" s="141" t="s">
        <v>361</v>
      </c>
      <c r="B1461" s="141" t="s">
        <v>280</v>
      </c>
      <c r="C1461" s="141" t="s">
        <v>45</v>
      </c>
    </row>
    <row r="1462" spans="1:3" x14ac:dyDescent="0.35">
      <c r="A1462" s="141" t="s">
        <v>362</v>
      </c>
      <c r="B1462" s="141" t="s">
        <v>280</v>
      </c>
      <c r="C1462" s="141" t="s">
        <v>45</v>
      </c>
    </row>
    <row r="1463" spans="1:3" x14ac:dyDescent="0.35">
      <c r="A1463" s="141" t="s">
        <v>363</v>
      </c>
      <c r="B1463" s="141" t="s">
        <v>280</v>
      </c>
      <c r="C1463" s="141" t="s">
        <v>45</v>
      </c>
    </row>
    <row r="1464" spans="1:3" x14ac:dyDescent="0.35">
      <c r="A1464" s="141" t="s">
        <v>364</v>
      </c>
      <c r="B1464" s="141" t="s">
        <v>280</v>
      </c>
      <c r="C1464" s="141" t="s">
        <v>45</v>
      </c>
    </row>
    <row r="1465" spans="1:3" x14ac:dyDescent="0.35">
      <c r="A1465" s="141" t="s">
        <v>394</v>
      </c>
      <c r="B1465" s="141" t="s">
        <v>280</v>
      </c>
      <c r="C1465" s="141" t="s">
        <v>19</v>
      </c>
    </row>
    <row r="1466" spans="1:3" x14ac:dyDescent="0.35">
      <c r="A1466" s="141" t="s">
        <v>395</v>
      </c>
      <c r="B1466" s="141" t="s">
        <v>280</v>
      </c>
      <c r="C1466" s="141" t="s">
        <v>19</v>
      </c>
    </row>
    <row r="1467" spans="1:3" x14ac:dyDescent="0.35">
      <c r="A1467" s="141" t="s">
        <v>396</v>
      </c>
      <c r="B1467" s="141" t="s">
        <v>280</v>
      </c>
      <c r="C1467" s="141" t="s">
        <v>45</v>
      </c>
    </row>
    <row r="1468" spans="1:3" x14ac:dyDescent="0.35">
      <c r="A1468" s="141" t="s">
        <v>397</v>
      </c>
      <c r="B1468" s="141" t="s">
        <v>280</v>
      </c>
      <c r="C1468" s="141" t="s">
        <v>16</v>
      </c>
    </row>
    <row r="1469" spans="1:3" x14ac:dyDescent="0.35">
      <c r="A1469" s="141" t="s">
        <v>398</v>
      </c>
      <c r="B1469" s="141" t="s">
        <v>280</v>
      </c>
      <c r="C1469" s="141" t="s">
        <v>17</v>
      </c>
    </row>
    <row r="1470" spans="1:3" x14ac:dyDescent="0.35">
      <c r="A1470" s="141" t="s">
        <v>399</v>
      </c>
      <c r="B1470" s="141" t="s">
        <v>280</v>
      </c>
      <c r="C1470" s="141" t="s">
        <v>16</v>
      </c>
    </row>
    <row r="1471" spans="1:3" x14ac:dyDescent="0.35">
      <c r="A1471" s="141" t="s">
        <v>400</v>
      </c>
      <c r="B1471" s="141" t="s">
        <v>280</v>
      </c>
      <c r="C1471" s="141" t="s">
        <v>20</v>
      </c>
    </row>
    <row r="1472" spans="1:3" x14ac:dyDescent="0.35">
      <c r="A1472" s="141" t="s">
        <v>401</v>
      </c>
      <c r="B1472" s="141" t="s">
        <v>280</v>
      </c>
      <c r="C1472" s="141" t="s">
        <v>20</v>
      </c>
    </row>
    <row r="1473" spans="1:3" x14ac:dyDescent="0.35">
      <c r="A1473" s="141" t="s">
        <v>671</v>
      </c>
      <c r="B1473" s="141" t="s">
        <v>280</v>
      </c>
      <c r="C1473" s="141" t="s">
        <v>20</v>
      </c>
    </row>
    <row r="1474" spans="1:3" x14ac:dyDescent="0.35">
      <c r="A1474" s="141" t="s">
        <v>409</v>
      </c>
      <c r="B1474" s="141" t="s">
        <v>280</v>
      </c>
      <c r="C1474" s="141" t="s">
        <v>18</v>
      </c>
    </row>
    <row r="1475" spans="1:3" x14ac:dyDescent="0.35">
      <c r="A1475" s="141" t="s">
        <v>410</v>
      </c>
      <c r="B1475" s="141" t="s">
        <v>280</v>
      </c>
      <c r="C1475" s="141" t="s">
        <v>18</v>
      </c>
    </row>
    <row r="1476" spans="1:3" x14ac:dyDescent="0.35">
      <c r="A1476" s="141" t="s">
        <v>745</v>
      </c>
      <c r="B1476" s="141" t="s">
        <v>280</v>
      </c>
      <c r="C1476" s="141" t="s">
        <v>18</v>
      </c>
    </row>
    <row r="1477" spans="1:3" x14ac:dyDescent="0.35">
      <c r="A1477" s="141" t="s">
        <v>746</v>
      </c>
      <c r="B1477" s="141" t="s">
        <v>280</v>
      </c>
      <c r="C1477" s="141" t="s">
        <v>18</v>
      </c>
    </row>
    <row r="1478" spans="1:3" x14ac:dyDescent="0.35">
      <c r="A1478" s="141" t="s">
        <v>411</v>
      </c>
      <c r="B1478" s="141" t="s">
        <v>280</v>
      </c>
      <c r="C1478" s="141" t="s">
        <v>9</v>
      </c>
    </row>
    <row r="1479" spans="1:3" x14ac:dyDescent="0.35">
      <c r="A1479" s="141" t="s">
        <v>412</v>
      </c>
      <c r="B1479" s="141" t="s">
        <v>280</v>
      </c>
      <c r="C1479" s="141" t="s">
        <v>9</v>
      </c>
    </row>
    <row r="1480" spans="1:3" x14ac:dyDescent="0.35">
      <c r="A1480" s="141" t="s">
        <v>413</v>
      </c>
      <c r="B1480" s="141" t="s">
        <v>280</v>
      </c>
      <c r="C1480" s="141" t="s">
        <v>9</v>
      </c>
    </row>
    <row r="1481" spans="1:3" x14ac:dyDescent="0.35">
      <c r="A1481" s="141" t="s">
        <v>414</v>
      </c>
      <c r="B1481" s="141" t="s">
        <v>280</v>
      </c>
      <c r="C1481" s="141" t="s">
        <v>9</v>
      </c>
    </row>
    <row r="1482" spans="1:3" x14ac:dyDescent="0.35">
      <c r="A1482" s="141" t="s">
        <v>415</v>
      </c>
      <c r="B1482" s="141" t="s">
        <v>280</v>
      </c>
      <c r="C1482" s="141" t="s">
        <v>9</v>
      </c>
    </row>
    <row r="1483" spans="1:3" x14ac:dyDescent="0.35">
      <c r="A1483" s="141" t="s">
        <v>402</v>
      </c>
      <c r="B1483" s="141" t="s">
        <v>280</v>
      </c>
      <c r="C1483" s="141" t="s">
        <v>20</v>
      </c>
    </row>
    <row r="1484" spans="1:3" x14ac:dyDescent="0.35">
      <c r="A1484" s="141" t="s">
        <v>592</v>
      </c>
      <c r="B1484" s="141" t="s">
        <v>280</v>
      </c>
      <c r="C1484" s="141" t="s">
        <v>20</v>
      </c>
    </row>
    <row r="1485" spans="1:3" x14ac:dyDescent="0.35">
      <c r="A1485" s="141" t="s">
        <v>593</v>
      </c>
      <c r="B1485" s="141" t="s">
        <v>280</v>
      </c>
      <c r="C1485" s="141" t="s">
        <v>20</v>
      </c>
    </row>
    <row r="1486" spans="1:3" x14ac:dyDescent="0.35">
      <c r="A1486" s="141" t="s">
        <v>403</v>
      </c>
      <c r="B1486" s="141" t="s">
        <v>280</v>
      </c>
      <c r="C1486" s="141" t="s">
        <v>20</v>
      </c>
    </row>
    <row r="1487" spans="1:3" x14ac:dyDescent="0.35">
      <c r="A1487" s="141" t="s">
        <v>404</v>
      </c>
      <c r="B1487" s="141" t="s">
        <v>280</v>
      </c>
      <c r="C1487" s="141" t="s">
        <v>16</v>
      </c>
    </row>
    <row r="1488" spans="1:3" x14ac:dyDescent="0.35">
      <c r="A1488" s="141" t="s">
        <v>405</v>
      </c>
      <c r="B1488" s="141" t="s">
        <v>280</v>
      </c>
      <c r="C1488" s="141" t="s">
        <v>16</v>
      </c>
    </row>
    <row r="1489" spans="1:3" x14ac:dyDescent="0.35">
      <c r="A1489" s="141" t="s">
        <v>416</v>
      </c>
      <c r="B1489" s="141" t="s">
        <v>280</v>
      </c>
      <c r="C1489" s="141" t="s">
        <v>15</v>
      </c>
    </row>
    <row r="1490" spans="1:3" x14ac:dyDescent="0.35">
      <c r="A1490" s="141" t="s">
        <v>417</v>
      </c>
      <c r="B1490" s="141" t="s">
        <v>280</v>
      </c>
      <c r="C1490" s="141" t="s">
        <v>6</v>
      </c>
    </row>
    <row r="1491" spans="1:3" x14ac:dyDescent="0.35">
      <c r="A1491" s="141" t="s">
        <v>418</v>
      </c>
      <c r="B1491" s="141" t="s">
        <v>280</v>
      </c>
      <c r="C1491" s="141" t="s">
        <v>17</v>
      </c>
    </row>
    <row r="1492" spans="1:3" x14ac:dyDescent="0.35">
      <c r="A1492" s="141" t="s">
        <v>419</v>
      </c>
      <c r="B1492" s="141" t="s">
        <v>280</v>
      </c>
      <c r="C1492" s="141" t="s">
        <v>17</v>
      </c>
    </row>
    <row r="1493" spans="1:3" x14ac:dyDescent="0.35">
      <c r="A1493" s="141" t="s">
        <v>420</v>
      </c>
      <c r="B1493" s="141" t="s">
        <v>280</v>
      </c>
      <c r="C1493" s="141" t="s">
        <v>17</v>
      </c>
    </row>
    <row r="1494" spans="1:3" x14ac:dyDescent="0.35">
      <c r="A1494" s="141" t="s">
        <v>421</v>
      </c>
      <c r="B1494" s="141" t="s">
        <v>280</v>
      </c>
      <c r="C1494" s="141" t="s">
        <v>6</v>
      </c>
    </row>
    <row r="1495" spans="1:3" x14ac:dyDescent="0.35">
      <c r="A1495" s="141" t="s">
        <v>422</v>
      </c>
      <c r="B1495" s="141" t="s">
        <v>280</v>
      </c>
      <c r="C1495" s="141" t="s">
        <v>17</v>
      </c>
    </row>
    <row r="1496" spans="1:3" x14ac:dyDescent="0.35">
      <c r="A1496" s="141" t="s">
        <v>406</v>
      </c>
      <c r="B1496" s="141" t="s">
        <v>280</v>
      </c>
      <c r="C1496" s="141" t="s">
        <v>18</v>
      </c>
    </row>
    <row r="1497" spans="1:3" x14ac:dyDescent="0.35">
      <c r="A1497" s="141" t="s">
        <v>407</v>
      </c>
      <c r="B1497" s="141" t="s">
        <v>280</v>
      </c>
      <c r="C1497" s="141" t="s">
        <v>17</v>
      </c>
    </row>
    <row r="1498" spans="1:3" x14ac:dyDescent="0.35">
      <c r="A1498" s="141" t="s">
        <v>408</v>
      </c>
      <c r="B1498" s="141" t="s">
        <v>280</v>
      </c>
      <c r="C1498" s="141" t="s">
        <v>17</v>
      </c>
    </row>
    <row r="1499" spans="1:3" x14ac:dyDescent="0.35">
      <c r="A1499" s="141" t="s">
        <v>566</v>
      </c>
      <c r="B1499" s="141" t="s">
        <v>280</v>
      </c>
      <c r="C1499" s="141" t="s">
        <v>17</v>
      </c>
    </row>
    <row r="1500" spans="1:3" x14ac:dyDescent="0.35">
      <c r="A1500" s="141" t="s">
        <v>567</v>
      </c>
      <c r="B1500" s="141" t="s">
        <v>280</v>
      </c>
      <c r="C1500" s="141" t="s">
        <v>16</v>
      </c>
    </row>
    <row r="1501" spans="1:3" x14ac:dyDescent="0.35">
      <c r="A1501" s="141" t="s">
        <v>672</v>
      </c>
      <c r="B1501" s="141" t="s">
        <v>280</v>
      </c>
      <c r="C1501" s="141" t="s">
        <v>25</v>
      </c>
    </row>
    <row r="1502" spans="1:3" x14ac:dyDescent="0.35">
      <c r="A1502" s="141" t="s">
        <v>673</v>
      </c>
      <c r="B1502" s="141" t="s">
        <v>280</v>
      </c>
      <c r="C1502" s="141" t="s">
        <v>25</v>
      </c>
    </row>
    <row r="1503" spans="1:3" x14ac:dyDescent="0.35">
      <c r="A1503" s="141" t="s">
        <v>674</v>
      </c>
      <c r="B1503" s="141" t="s">
        <v>280</v>
      </c>
      <c r="C1503" s="141" t="s">
        <v>25</v>
      </c>
    </row>
    <row r="1504" spans="1:3" x14ac:dyDescent="0.35">
      <c r="A1504" s="141" t="s">
        <v>675</v>
      </c>
      <c r="B1504" s="141" t="s">
        <v>280</v>
      </c>
      <c r="C1504" s="141" t="s">
        <v>24</v>
      </c>
    </row>
    <row r="1505" spans="1:3" x14ac:dyDescent="0.35">
      <c r="A1505" s="141" t="s">
        <v>676</v>
      </c>
      <c r="B1505" s="141" t="s">
        <v>280</v>
      </c>
      <c r="C1505" s="141" t="s">
        <v>24</v>
      </c>
    </row>
    <row r="1506" spans="1:3" x14ac:dyDescent="0.35">
      <c r="A1506" s="141" t="s">
        <v>573</v>
      </c>
      <c r="B1506" s="141" t="s">
        <v>280</v>
      </c>
      <c r="C1506" s="141" t="s">
        <v>25</v>
      </c>
    </row>
    <row r="1507" spans="1:3" x14ac:dyDescent="0.35">
      <c r="A1507" s="141" t="s">
        <v>677</v>
      </c>
      <c r="B1507" s="141" t="s">
        <v>280</v>
      </c>
      <c r="C1507" s="141" t="s">
        <v>25</v>
      </c>
    </row>
    <row r="1508" spans="1:3" x14ac:dyDescent="0.35">
      <c r="A1508" s="141" t="s">
        <v>678</v>
      </c>
      <c r="B1508" s="141" t="s">
        <v>280</v>
      </c>
      <c r="C1508" s="141" t="s">
        <v>25</v>
      </c>
    </row>
    <row r="1509" spans="1:3" x14ac:dyDescent="0.35">
      <c r="A1509" s="141" t="s">
        <v>679</v>
      </c>
      <c r="B1509" s="141" t="s">
        <v>280</v>
      </c>
      <c r="C1509" s="141" t="s">
        <v>25</v>
      </c>
    </row>
    <row r="1510" spans="1:3" x14ac:dyDescent="0.35">
      <c r="A1510" s="141" t="s">
        <v>680</v>
      </c>
      <c r="B1510" s="141" t="s">
        <v>280</v>
      </c>
      <c r="C1510" s="141" t="s">
        <v>25</v>
      </c>
    </row>
    <row r="1511" spans="1:3" x14ac:dyDescent="0.35">
      <c r="A1511" s="141" t="s">
        <v>517</v>
      </c>
      <c r="B1511" s="141" t="s">
        <v>280</v>
      </c>
      <c r="C1511" s="141" t="s">
        <v>30</v>
      </c>
    </row>
    <row r="1512" spans="1:3" x14ac:dyDescent="0.35">
      <c r="A1512" s="141" t="s">
        <v>518</v>
      </c>
      <c r="B1512" s="141" t="s">
        <v>280</v>
      </c>
      <c r="C1512" s="141" t="s">
        <v>30</v>
      </c>
    </row>
    <row r="1513" spans="1:3" x14ac:dyDescent="0.35">
      <c r="A1513" s="141" t="s">
        <v>519</v>
      </c>
      <c r="B1513" s="141" t="s">
        <v>280</v>
      </c>
      <c r="C1513" s="141" t="s">
        <v>34</v>
      </c>
    </row>
    <row r="1514" spans="1:3" x14ac:dyDescent="0.35">
      <c r="A1514" s="141" t="s">
        <v>520</v>
      </c>
      <c r="B1514" s="141" t="s">
        <v>280</v>
      </c>
      <c r="C1514" s="141" t="s">
        <v>34</v>
      </c>
    </row>
    <row r="1515" spans="1:3" x14ac:dyDescent="0.35">
      <c r="A1515" s="141" t="s">
        <v>521</v>
      </c>
      <c r="B1515" s="141" t="s">
        <v>280</v>
      </c>
      <c r="C1515" s="141" t="s">
        <v>34</v>
      </c>
    </row>
    <row r="1516" spans="1:3" x14ac:dyDescent="0.35">
      <c r="A1516" s="141" t="s">
        <v>522</v>
      </c>
      <c r="B1516" s="141" t="s">
        <v>280</v>
      </c>
      <c r="C1516" s="141" t="s">
        <v>34</v>
      </c>
    </row>
    <row r="1517" spans="1:3" x14ac:dyDescent="0.35">
      <c r="A1517" s="141" t="s">
        <v>523</v>
      </c>
      <c r="B1517" s="141" t="s">
        <v>280</v>
      </c>
      <c r="C1517" s="141" t="s">
        <v>30</v>
      </c>
    </row>
    <row r="1518" spans="1:3" x14ac:dyDescent="0.35">
      <c r="A1518" s="141" t="s">
        <v>524</v>
      </c>
      <c r="B1518" s="141" t="s">
        <v>280</v>
      </c>
      <c r="C1518" s="141" t="s">
        <v>30</v>
      </c>
    </row>
    <row r="1519" spans="1:3" x14ac:dyDescent="0.35">
      <c r="A1519" s="141" t="s">
        <v>525</v>
      </c>
      <c r="B1519" s="141" t="s">
        <v>280</v>
      </c>
      <c r="C1519" s="141" t="s">
        <v>46</v>
      </c>
    </row>
    <row r="1520" spans="1:3" x14ac:dyDescent="0.35">
      <c r="A1520" s="141" t="s">
        <v>526</v>
      </c>
      <c r="B1520" s="141" t="s">
        <v>280</v>
      </c>
      <c r="C1520" s="141" t="s">
        <v>32</v>
      </c>
    </row>
    <row r="1521" spans="1:3" x14ac:dyDescent="0.35">
      <c r="A1521" s="141" t="s">
        <v>527</v>
      </c>
      <c r="B1521" s="141" t="s">
        <v>280</v>
      </c>
      <c r="C1521" s="141" t="s">
        <v>32</v>
      </c>
    </row>
    <row r="1522" spans="1:3" x14ac:dyDescent="0.35">
      <c r="A1522" s="141" t="s">
        <v>528</v>
      </c>
      <c r="B1522" s="141" t="s">
        <v>280</v>
      </c>
      <c r="C1522" s="141" t="s">
        <v>32</v>
      </c>
    </row>
    <row r="1523" spans="1:3" x14ac:dyDescent="0.35">
      <c r="A1523" s="141" t="s">
        <v>529</v>
      </c>
      <c r="B1523" s="141" t="s">
        <v>280</v>
      </c>
      <c r="C1523" s="141" t="s">
        <v>32</v>
      </c>
    </row>
    <row r="1524" spans="1:3" x14ac:dyDescent="0.35">
      <c r="A1524" s="141" t="s">
        <v>492</v>
      </c>
      <c r="B1524" s="141" t="s">
        <v>280</v>
      </c>
      <c r="C1524" s="141" t="s">
        <v>32</v>
      </c>
    </row>
    <row r="1525" spans="1:3" x14ac:dyDescent="0.35">
      <c r="A1525" s="141" t="s">
        <v>493</v>
      </c>
      <c r="B1525" s="141" t="s">
        <v>280</v>
      </c>
      <c r="C1525" s="141" t="s">
        <v>32</v>
      </c>
    </row>
    <row r="1526" spans="1:3" x14ac:dyDescent="0.35">
      <c r="A1526" s="141" t="s">
        <v>494</v>
      </c>
      <c r="B1526" s="141" t="s">
        <v>280</v>
      </c>
      <c r="C1526" s="141" t="s">
        <v>32</v>
      </c>
    </row>
    <row r="1527" spans="1:3" x14ac:dyDescent="0.35">
      <c r="A1527" s="141" t="s">
        <v>495</v>
      </c>
      <c r="B1527" s="141" t="s">
        <v>280</v>
      </c>
      <c r="C1527" s="141" t="s">
        <v>32</v>
      </c>
    </row>
    <row r="1528" spans="1:3" x14ac:dyDescent="0.35">
      <c r="A1528" s="141" t="s">
        <v>496</v>
      </c>
      <c r="B1528" s="141" t="s">
        <v>280</v>
      </c>
      <c r="C1528" s="141" t="s">
        <v>32</v>
      </c>
    </row>
    <row r="1529" spans="1:3" x14ac:dyDescent="0.35">
      <c r="A1529" s="141" t="s">
        <v>497</v>
      </c>
      <c r="B1529" s="141" t="s">
        <v>280</v>
      </c>
      <c r="C1529" s="141" t="s">
        <v>32</v>
      </c>
    </row>
    <row r="1530" spans="1:3" x14ac:dyDescent="0.35">
      <c r="A1530" s="141" t="s">
        <v>681</v>
      </c>
      <c r="B1530" s="141" t="s">
        <v>280</v>
      </c>
      <c r="C1530" s="141" t="s">
        <v>32</v>
      </c>
    </row>
    <row r="1531" spans="1:3" x14ac:dyDescent="0.35">
      <c r="A1531" s="141" t="s">
        <v>682</v>
      </c>
      <c r="B1531" s="141" t="s">
        <v>280</v>
      </c>
      <c r="C1531" s="141" t="s">
        <v>32</v>
      </c>
    </row>
    <row r="1532" spans="1:3" x14ac:dyDescent="0.35">
      <c r="A1532" s="141" t="s">
        <v>683</v>
      </c>
      <c r="B1532" s="141" t="s">
        <v>280</v>
      </c>
      <c r="C1532" s="141" t="s">
        <v>32</v>
      </c>
    </row>
    <row r="1533" spans="1:3" x14ac:dyDescent="0.35">
      <c r="A1533" s="141" t="s">
        <v>684</v>
      </c>
      <c r="B1533" s="141" t="s">
        <v>280</v>
      </c>
      <c r="C1533" s="141" t="s">
        <v>32</v>
      </c>
    </row>
    <row r="1534" spans="1:3" x14ac:dyDescent="0.35">
      <c r="A1534" s="141" t="s">
        <v>685</v>
      </c>
      <c r="B1534" s="141" t="s">
        <v>280</v>
      </c>
      <c r="C1534" s="141" t="s">
        <v>32</v>
      </c>
    </row>
    <row r="1535" spans="1:3" x14ac:dyDescent="0.35">
      <c r="A1535" s="141" t="s">
        <v>686</v>
      </c>
      <c r="B1535" s="141" t="s">
        <v>280</v>
      </c>
      <c r="C1535" s="141" t="s">
        <v>32</v>
      </c>
    </row>
    <row r="1536" spans="1:3" x14ac:dyDescent="0.35">
      <c r="A1536" s="141" t="s">
        <v>687</v>
      </c>
      <c r="B1536" s="141" t="s">
        <v>280</v>
      </c>
      <c r="C1536" s="141" t="s">
        <v>32</v>
      </c>
    </row>
    <row r="1537" spans="1:3" x14ac:dyDescent="0.35">
      <c r="A1537" s="141" t="s">
        <v>502</v>
      </c>
      <c r="B1537" s="141" t="s">
        <v>280</v>
      </c>
      <c r="C1537" s="141" t="s">
        <v>32</v>
      </c>
    </row>
    <row r="1538" spans="1:3" x14ac:dyDescent="0.35">
      <c r="A1538" s="141" t="s">
        <v>503</v>
      </c>
      <c r="B1538" s="141" t="s">
        <v>280</v>
      </c>
      <c r="C1538" s="141" t="s">
        <v>32</v>
      </c>
    </row>
    <row r="1539" spans="1:3" x14ac:dyDescent="0.35">
      <c r="A1539" s="141" t="s">
        <v>504</v>
      </c>
      <c r="B1539" s="141" t="s">
        <v>280</v>
      </c>
      <c r="C1539" s="141" t="s">
        <v>26</v>
      </c>
    </row>
    <row r="1540" spans="1:3" x14ac:dyDescent="0.35">
      <c r="A1540" s="141" t="s">
        <v>688</v>
      </c>
      <c r="B1540" s="141" t="s">
        <v>280</v>
      </c>
      <c r="C1540" s="141" t="s">
        <v>32</v>
      </c>
    </row>
    <row r="1541" spans="1:3" x14ac:dyDescent="0.35">
      <c r="A1541" s="141" t="s">
        <v>689</v>
      </c>
      <c r="B1541" s="141" t="s">
        <v>280</v>
      </c>
      <c r="C1541" s="141" t="s">
        <v>32</v>
      </c>
    </row>
    <row r="1542" spans="1:3" x14ac:dyDescent="0.35">
      <c r="A1542" s="141" t="s">
        <v>690</v>
      </c>
      <c r="B1542" s="141" t="s">
        <v>280</v>
      </c>
      <c r="C1542" s="141" t="s">
        <v>32</v>
      </c>
    </row>
    <row r="1543" spans="1:3" x14ac:dyDescent="0.35">
      <c r="A1543" s="141" t="s">
        <v>691</v>
      </c>
      <c r="B1543" s="141" t="s">
        <v>280</v>
      </c>
      <c r="C1543" s="141" t="s">
        <v>32</v>
      </c>
    </row>
    <row r="1544" spans="1:3" x14ac:dyDescent="0.35">
      <c r="A1544" s="141" t="s">
        <v>692</v>
      </c>
      <c r="B1544" s="141" t="s">
        <v>280</v>
      </c>
      <c r="C1544" s="141" t="s">
        <v>32</v>
      </c>
    </row>
    <row r="1545" spans="1:3" x14ac:dyDescent="0.35">
      <c r="A1545" s="141" t="s">
        <v>693</v>
      </c>
      <c r="B1545" s="141" t="s">
        <v>280</v>
      </c>
      <c r="C1545" s="141" t="s">
        <v>32</v>
      </c>
    </row>
    <row r="1546" spans="1:3" x14ac:dyDescent="0.35">
      <c r="A1546" s="141" t="s">
        <v>694</v>
      </c>
      <c r="B1546" s="141" t="s">
        <v>280</v>
      </c>
      <c r="C1546" s="141" t="s">
        <v>32</v>
      </c>
    </row>
    <row r="1547" spans="1:3" x14ac:dyDescent="0.35">
      <c r="A1547" s="141" t="s">
        <v>695</v>
      </c>
      <c r="B1547" s="141" t="s">
        <v>280</v>
      </c>
      <c r="C1547" s="141" t="s">
        <v>32</v>
      </c>
    </row>
    <row r="1548" spans="1:3" x14ac:dyDescent="0.35">
      <c r="A1548" s="141" t="s">
        <v>696</v>
      </c>
      <c r="B1548" s="141" t="s">
        <v>280</v>
      </c>
      <c r="C1548" s="141" t="s">
        <v>32</v>
      </c>
    </row>
    <row r="1549" spans="1:3" x14ac:dyDescent="0.35">
      <c r="A1549" s="141" t="s">
        <v>697</v>
      </c>
      <c r="B1549" s="141" t="s">
        <v>280</v>
      </c>
      <c r="C1549" s="141" t="s">
        <v>32</v>
      </c>
    </row>
    <row r="1550" spans="1:3" x14ac:dyDescent="0.35">
      <c r="A1550" s="141" t="s">
        <v>509</v>
      </c>
      <c r="B1550" s="141" t="s">
        <v>280</v>
      </c>
      <c r="C1550" s="141" t="s">
        <v>32</v>
      </c>
    </row>
    <row r="1551" spans="1:3" x14ac:dyDescent="0.35">
      <c r="A1551" s="141" t="s">
        <v>510</v>
      </c>
      <c r="B1551" s="141" t="s">
        <v>280</v>
      </c>
      <c r="C1551" s="141" t="s">
        <v>32</v>
      </c>
    </row>
    <row r="1552" spans="1:3" x14ac:dyDescent="0.35">
      <c r="A1552" s="141" t="s">
        <v>511</v>
      </c>
      <c r="B1552" s="141" t="s">
        <v>280</v>
      </c>
      <c r="C1552" s="141" t="s">
        <v>32</v>
      </c>
    </row>
    <row r="1553" spans="1:3" x14ac:dyDescent="0.35">
      <c r="A1553" s="141" t="s">
        <v>512</v>
      </c>
      <c r="B1553" s="141" t="s">
        <v>280</v>
      </c>
      <c r="C1553" s="141" t="s">
        <v>32</v>
      </c>
    </row>
    <row r="1554" spans="1:3" x14ac:dyDescent="0.35">
      <c r="A1554" s="141" t="s">
        <v>698</v>
      </c>
      <c r="B1554" s="141" t="s">
        <v>280</v>
      </c>
      <c r="C1554" s="141" t="s">
        <v>33</v>
      </c>
    </row>
    <row r="1555" spans="1:3" x14ac:dyDescent="0.35">
      <c r="A1555" s="141" t="s">
        <v>515</v>
      </c>
      <c r="B1555" s="141" t="s">
        <v>280</v>
      </c>
      <c r="C1555" s="141" t="s">
        <v>33</v>
      </c>
    </row>
    <row r="1556" spans="1:3" x14ac:dyDescent="0.35">
      <c r="A1556" s="141" t="s">
        <v>516</v>
      </c>
      <c r="B1556" s="141" t="s">
        <v>280</v>
      </c>
      <c r="C1556" s="141" t="s">
        <v>33</v>
      </c>
    </row>
    <row r="1557" spans="1:3" x14ac:dyDescent="0.35">
      <c r="A1557" s="141" t="s">
        <v>699</v>
      </c>
      <c r="B1557" s="141" t="s">
        <v>280</v>
      </c>
      <c r="C1557" s="141" t="s">
        <v>26</v>
      </c>
    </row>
    <row r="1558" spans="1:3" x14ac:dyDescent="0.35">
      <c r="A1558" s="141" t="s">
        <v>700</v>
      </c>
      <c r="B1558" s="141" t="s">
        <v>280</v>
      </c>
      <c r="C1558" s="141" t="s">
        <v>26</v>
      </c>
    </row>
    <row r="1559" spans="1:3" x14ac:dyDescent="0.35">
      <c r="A1559" s="141" t="s">
        <v>701</v>
      </c>
      <c r="B1559" s="141" t="s">
        <v>280</v>
      </c>
      <c r="C1559" s="141" t="s">
        <v>26</v>
      </c>
    </row>
    <row r="1560" spans="1:3" x14ac:dyDescent="0.35">
      <c r="A1560" s="141" t="s">
        <v>452</v>
      </c>
      <c r="B1560" s="141" t="s">
        <v>280</v>
      </c>
      <c r="C1560" s="141" t="s">
        <v>33</v>
      </c>
    </row>
    <row r="1561" spans="1:3" x14ac:dyDescent="0.35">
      <c r="A1561" s="141" t="s">
        <v>702</v>
      </c>
      <c r="B1561" s="141" t="s">
        <v>280</v>
      </c>
      <c r="C1561" s="141" t="s">
        <v>33</v>
      </c>
    </row>
    <row r="1562" spans="1:3" x14ac:dyDescent="0.35">
      <c r="A1562" s="141" t="s">
        <v>703</v>
      </c>
      <c r="B1562" s="141" t="s">
        <v>280</v>
      </c>
      <c r="C1562" s="141" t="s">
        <v>35</v>
      </c>
    </row>
    <row r="1563" spans="1:3" x14ac:dyDescent="0.35">
      <c r="A1563" s="141" t="s">
        <v>704</v>
      </c>
      <c r="B1563" s="141" t="s">
        <v>280</v>
      </c>
      <c r="C1563" s="141" t="s">
        <v>35</v>
      </c>
    </row>
    <row r="1564" spans="1:3" x14ac:dyDescent="0.35">
      <c r="A1564" s="141" t="s">
        <v>705</v>
      </c>
      <c r="B1564" s="141" t="s">
        <v>280</v>
      </c>
      <c r="C1564" s="141" t="s">
        <v>35</v>
      </c>
    </row>
    <row r="1565" spans="1:3" x14ac:dyDescent="0.35">
      <c r="A1565" s="141" t="s">
        <v>706</v>
      </c>
      <c r="B1565" s="141" t="s">
        <v>280</v>
      </c>
      <c r="C1565" s="141" t="s">
        <v>31</v>
      </c>
    </row>
    <row r="1566" spans="1:3" x14ac:dyDescent="0.35">
      <c r="A1566" s="141" t="s">
        <v>707</v>
      </c>
      <c r="B1566" s="141" t="s">
        <v>280</v>
      </c>
      <c r="C1566" s="141" t="s">
        <v>31</v>
      </c>
    </row>
    <row r="1567" spans="1:3" x14ac:dyDescent="0.35">
      <c r="A1567" s="141" t="s">
        <v>708</v>
      </c>
      <c r="B1567" s="141" t="s">
        <v>280</v>
      </c>
      <c r="C1567" s="141" t="s">
        <v>31</v>
      </c>
    </row>
    <row r="1568" spans="1:3" x14ac:dyDescent="0.35">
      <c r="A1568" s="141" t="s">
        <v>709</v>
      </c>
      <c r="B1568" s="141" t="s">
        <v>280</v>
      </c>
      <c r="C1568" s="141" t="s">
        <v>31</v>
      </c>
    </row>
    <row r="1569" spans="1:3" x14ac:dyDescent="0.35">
      <c r="A1569" s="141" t="s">
        <v>710</v>
      </c>
      <c r="B1569" s="141" t="s">
        <v>280</v>
      </c>
      <c r="C1569" s="141" t="s">
        <v>31</v>
      </c>
    </row>
    <row r="1570" spans="1:3" x14ac:dyDescent="0.35">
      <c r="A1570" s="141" t="s">
        <v>456</v>
      </c>
      <c r="B1570" s="141" t="s">
        <v>280</v>
      </c>
      <c r="C1570" s="141" t="s">
        <v>31</v>
      </c>
    </row>
    <row r="1571" spans="1:3" x14ac:dyDescent="0.35">
      <c r="A1571" s="141" t="s">
        <v>297</v>
      </c>
      <c r="B1571" s="141" t="s">
        <v>280</v>
      </c>
      <c r="C1571" s="141" t="s">
        <v>32</v>
      </c>
    </row>
    <row r="1572" spans="1:3" x14ac:dyDescent="0.35">
      <c r="A1572" s="141" t="s">
        <v>298</v>
      </c>
      <c r="B1572" s="141" t="s">
        <v>280</v>
      </c>
      <c r="C1572" s="141" t="s">
        <v>32</v>
      </c>
    </row>
    <row r="1573" spans="1:3" x14ac:dyDescent="0.35">
      <c r="A1573" s="141" t="s">
        <v>299</v>
      </c>
      <c r="B1573" s="141" t="s">
        <v>280</v>
      </c>
      <c r="C1573" s="141" t="s">
        <v>32</v>
      </c>
    </row>
    <row r="1574" spans="1:3" x14ac:dyDescent="0.35">
      <c r="A1574" s="141" t="s">
        <v>300</v>
      </c>
      <c r="B1574" s="141" t="s">
        <v>280</v>
      </c>
      <c r="C1574" s="141" t="s">
        <v>32</v>
      </c>
    </row>
    <row r="1575" spans="1:3" x14ac:dyDescent="0.35">
      <c r="A1575" s="141" t="s">
        <v>301</v>
      </c>
      <c r="B1575" s="141" t="s">
        <v>280</v>
      </c>
      <c r="C1575" s="141" t="s">
        <v>32</v>
      </c>
    </row>
    <row r="1576" spans="1:3" x14ac:dyDescent="0.35">
      <c r="A1576" s="141" t="s">
        <v>302</v>
      </c>
      <c r="B1576" s="141" t="s">
        <v>280</v>
      </c>
      <c r="C1576" s="141" t="s">
        <v>32</v>
      </c>
    </row>
    <row r="1577" spans="1:3" x14ac:dyDescent="0.35">
      <c r="A1577" s="141" t="s">
        <v>626</v>
      </c>
      <c r="B1577" s="141" t="s">
        <v>280</v>
      </c>
      <c r="C1577" s="141" t="s">
        <v>31</v>
      </c>
    </row>
    <row r="1578" spans="1:3" x14ac:dyDescent="0.35">
      <c r="A1578" s="141" t="s">
        <v>627</v>
      </c>
      <c r="B1578" s="141" t="s">
        <v>280</v>
      </c>
      <c r="C1578" s="141" t="s">
        <v>31</v>
      </c>
    </row>
    <row r="1579" spans="1:3" x14ac:dyDescent="0.35">
      <c r="A1579" s="141" t="s">
        <v>458</v>
      </c>
      <c r="B1579" s="141" t="s">
        <v>280</v>
      </c>
      <c r="C1579" s="141" t="s">
        <v>31</v>
      </c>
    </row>
    <row r="1580" spans="1:3" x14ac:dyDescent="0.35">
      <c r="A1580" s="141" t="s">
        <v>628</v>
      </c>
      <c r="B1580" s="141" t="s">
        <v>280</v>
      </c>
      <c r="C1580" s="141" t="s">
        <v>31</v>
      </c>
    </row>
    <row r="1581" spans="1:3" x14ac:dyDescent="0.35">
      <c r="A1581" s="141" t="s">
        <v>629</v>
      </c>
      <c r="B1581" s="141" t="s">
        <v>280</v>
      </c>
      <c r="C1581" s="141" t="s">
        <v>31</v>
      </c>
    </row>
    <row r="1582" spans="1:3" x14ac:dyDescent="0.35">
      <c r="A1582" s="141" t="s">
        <v>460</v>
      </c>
      <c r="B1582" s="141" t="s">
        <v>280</v>
      </c>
      <c r="C1582" s="141" t="s">
        <v>31</v>
      </c>
    </row>
    <row r="1583" spans="1:3" x14ac:dyDescent="0.35">
      <c r="A1583" s="141" t="s">
        <v>461</v>
      </c>
      <c r="B1583" s="141" t="s">
        <v>280</v>
      </c>
      <c r="C1583" s="141" t="s">
        <v>31</v>
      </c>
    </row>
    <row r="1584" spans="1:3" x14ac:dyDescent="0.35">
      <c r="A1584" s="141" t="s">
        <v>462</v>
      </c>
      <c r="B1584" s="141" t="s">
        <v>280</v>
      </c>
      <c r="C1584" s="141" t="s">
        <v>31</v>
      </c>
    </row>
    <row r="1585" spans="1:3" x14ac:dyDescent="0.35">
      <c r="A1585" s="141" t="s">
        <v>463</v>
      </c>
      <c r="B1585" s="141" t="s">
        <v>280</v>
      </c>
      <c r="C1585" s="141" t="s">
        <v>31</v>
      </c>
    </row>
    <row r="1586" spans="1:3" x14ac:dyDescent="0.35">
      <c r="A1586" s="141" t="s">
        <v>464</v>
      </c>
      <c r="B1586" s="141" t="s">
        <v>280</v>
      </c>
      <c r="C1586" s="141" t="s">
        <v>31</v>
      </c>
    </row>
    <row r="1587" spans="1:3" x14ac:dyDescent="0.35">
      <c r="A1587" s="141" t="s">
        <v>303</v>
      </c>
      <c r="B1587" s="141" t="s">
        <v>280</v>
      </c>
      <c r="C1587" s="141" t="s">
        <v>25</v>
      </c>
    </row>
    <row r="1588" spans="1:3" x14ac:dyDescent="0.35">
      <c r="A1588" s="141" t="s">
        <v>530</v>
      </c>
      <c r="B1588" s="141" t="s">
        <v>280</v>
      </c>
      <c r="C1588" s="141" t="s">
        <v>25</v>
      </c>
    </row>
    <row r="1589" spans="1:3" x14ac:dyDescent="0.35">
      <c r="A1589" s="141" t="s">
        <v>711</v>
      </c>
      <c r="B1589" s="141" t="s">
        <v>280</v>
      </c>
      <c r="C1589" s="141" t="s">
        <v>33</v>
      </c>
    </row>
    <row r="1590" spans="1:3" x14ac:dyDescent="0.35">
      <c r="A1590" s="141" t="s">
        <v>712</v>
      </c>
      <c r="B1590" s="141" t="s">
        <v>280</v>
      </c>
      <c r="C1590" s="141" t="s">
        <v>33</v>
      </c>
    </row>
    <row r="1591" spans="1:3" x14ac:dyDescent="0.35">
      <c r="A1591" s="141" t="s">
        <v>713</v>
      </c>
      <c r="B1591" s="141" t="s">
        <v>280</v>
      </c>
      <c r="C1591" s="141" t="s">
        <v>33</v>
      </c>
    </row>
    <row r="1592" spans="1:3" x14ac:dyDescent="0.35">
      <c r="A1592" s="141" t="s">
        <v>714</v>
      </c>
      <c r="B1592" s="141" t="s">
        <v>280</v>
      </c>
      <c r="C1592" s="141" t="s">
        <v>36</v>
      </c>
    </row>
    <row r="1593" spans="1:3" x14ac:dyDescent="0.35">
      <c r="A1593" s="141" t="s">
        <v>715</v>
      </c>
      <c r="B1593" s="141" t="s">
        <v>280</v>
      </c>
      <c r="C1593" s="141" t="s">
        <v>36</v>
      </c>
    </row>
    <row r="1594" spans="1:3" x14ac:dyDescent="0.35">
      <c r="A1594" s="141" t="s">
        <v>716</v>
      </c>
      <c r="B1594" s="141" t="s">
        <v>280</v>
      </c>
      <c r="C1594" s="141" t="s">
        <v>36</v>
      </c>
    </row>
    <row r="1595" spans="1:3" x14ac:dyDescent="0.35">
      <c r="A1595" s="141" t="s">
        <v>717</v>
      </c>
      <c r="B1595" s="141" t="s">
        <v>280</v>
      </c>
      <c r="C1595" s="141" t="s">
        <v>36</v>
      </c>
    </row>
    <row r="1596" spans="1:3" x14ac:dyDescent="0.35">
      <c r="A1596" s="141" t="s">
        <v>718</v>
      </c>
      <c r="B1596" s="141" t="s">
        <v>280</v>
      </c>
      <c r="C1596" s="141" t="s">
        <v>36</v>
      </c>
    </row>
    <row r="1597" spans="1:3" x14ac:dyDescent="0.35">
      <c r="A1597" s="141" t="s">
        <v>719</v>
      </c>
      <c r="B1597" s="141" t="s">
        <v>280</v>
      </c>
      <c r="C1597" s="141" t="s">
        <v>36</v>
      </c>
    </row>
    <row r="1598" spans="1:3" x14ac:dyDescent="0.35">
      <c r="A1598" s="141" t="s">
        <v>720</v>
      </c>
      <c r="B1598" s="141" t="s">
        <v>280</v>
      </c>
      <c r="C1598" s="141" t="s">
        <v>36</v>
      </c>
    </row>
    <row r="1599" spans="1:3" x14ac:dyDescent="0.35">
      <c r="A1599" s="141" t="s">
        <v>721</v>
      </c>
      <c r="B1599" s="141" t="s">
        <v>280</v>
      </c>
      <c r="C1599" s="141" t="s">
        <v>36</v>
      </c>
    </row>
    <row r="1600" spans="1:3" x14ac:dyDescent="0.35">
      <c r="A1600" s="141" t="s">
        <v>722</v>
      </c>
      <c r="B1600" s="141" t="s">
        <v>280</v>
      </c>
      <c r="C1600" s="141" t="s">
        <v>36</v>
      </c>
    </row>
    <row r="1601" spans="1:3" x14ac:dyDescent="0.35">
      <c r="A1601" s="141" t="s">
        <v>723</v>
      </c>
      <c r="B1601" s="141" t="s">
        <v>280</v>
      </c>
      <c r="C1601" s="141" t="s">
        <v>36</v>
      </c>
    </row>
    <row r="1602" spans="1:3" x14ac:dyDescent="0.35">
      <c r="A1602" s="141" t="s">
        <v>724</v>
      </c>
      <c r="B1602" s="141" t="s">
        <v>280</v>
      </c>
      <c r="C1602" s="141" t="s">
        <v>37</v>
      </c>
    </row>
    <row r="1603" spans="1:3" x14ac:dyDescent="0.35">
      <c r="A1603" s="141" t="s">
        <v>725</v>
      </c>
      <c r="B1603" s="141" t="s">
        <v>280</v>
      </c>
      <c r="C1603" s="141" t="s">
        <v>37</v>
      </c>
    </row>
    <row r="1604" spans="1:3" x14ac:dyDescent="0.35">
      <c r="A1604" s="141" t="s">
        <v>726</v>
      </c>
      <c r="B1604" s="141" t="s">
        <v>280</v>
      </c>
      <c r="C1604" s="141" t="s">
        <v>33</v>
      </c>
    </row>
    <row r="1605" spans="1:3" x14ac:dyDescent="0.35">
      <c r="A1605" s="141" t="s">
        <v>727</v>
      </c>
      <c r="B1605" s="141" t="s">
        <v>280</v>
      </c>
      <c r="C1605" s="141" t="s">
        <v>36</v>
      </c>
    </row>
    <row r="1606" spans="1:3" x14ac:dyDescent="0.35">
      <c r="A1606" s="141" t="s">
        <v>728</v>
      </c>
      <c r="B1606" s="141" t="s">
        <v>280</v>
      </c>
      <c r="C1606" s="141" t="s">
        <v>28</v>
      </c>
    </row>
    <row r="1607" spans="1:3" x14ac:dyDescent="0.35">
      <c r="A1607" s="141" t="s">
        <v>729</v>
      </c>
      <c r="B1607" s="141" t="s">
        <v>280</v>
      </c>
      <c r="C1607" s="141" t="s">
        <v>28</v>
      </c>
    </row>
    <row r="1608" spans="1:3" x14ac:dyDescent="0.35">
      <c r="A1608" s="141" t="s">
        <v>730</v>
      </c>
      <c r="B1608" s="141" t="s">
        <v>280</v>
      </c>
      <c r="C1608" s="141" t="s">
        <v>28</v>
      </c>
    </row>
    <row r="1609" spans="1:3" x14ac:dyDescent="0.35">
      <c r="A1609" s="141" t="s">
        <v>731</v>
      </c>
      <c r="B1609" s="141" t="s">
        <v>280</v>
      </c>
      <c r="C1609" s="141" t="s">
        <v>29</v>
      </c>
    </row>
    <row r="1610" spans="1:3" x14ac:dyDescent="0.35">
      <c r="A1610" s="141" t="s">
        <v>732</v>
      </c>
      <c r="B1610" s="141" t="s">
        <v>280</v>
      </c>
      <c r="C1610" s="141" t="s">
        <v>28</v>
      </c>
    </row>
    <row r="1611" spans="1:3" x14ac:dyDescent="0.35">
      <c r="A1611" s="141" t="s">
        <v>733</v>
      </c>
      <c r="B1611" s="141" t="s">
        <v>280</v>
      </c>
      <c r="C1611" s="141" t="s">
        <v>33</v>
      </c>
    </row>
    <row r="1612" spans="1:3" x14ac:dyDescent="0.35">
      <c r="A1612" s="141" t="s">
        <v>734</v>
      </c>
      <c r="B1612" s="141" t="s">
        <v>280</v>
      </c>
      <c r="C1612" s="141" t="s">
        <v>33</v>
      </c>
    </row>
    <row r="1613" spans="1:3" x14ac:dyDescent="0.35">
      <c r="A1613" s="141" t="s">
        <v>570</v>
      </c>
      <c r="B1613" s="141" t="s">
        <v>280</v>
      </c>
      <c r="C1613" s="141" t="s">
        <v>52</v>
      </c>
    </row>
    <row r="1614" spans="1:3" x14ac:dyDescent="0.35">
      <c r="A1614" s="141" t="s">
        <v>449</v>
      </c>
      <c r="B1614" s="141" t="s">
        <v>280</v>
      </c>
      <c r="C1614" s="141" t="s">
        <v>52</v>
      </c>
    </row>
    <row r="1615" spans="1:3" x14ac:dyDescent="0.35">
      <c r="A1615" s="141" t="s">
        <v>450</v>
      </c>
      <c r="B1615" s="141" t="s">
        <v>280</v>
      </c>
      <c r="C1615" s="141" t="s">
        <v>52</v>
      </c>
    </row>
    <row r="1616" spans="1:3" x14ac:dyDescent="0.35">
      <c r="A1616" s="141" t="s">
        <v>601</v>
      </c>
      <c r="B1616" s="141" t="s">
        <v>280</v>
      </c>
      <c r="C1616" s="141" t="s">
        <v>40</v>
      </c>
    </row>
    <row r="1617" spans="1:3" x14ac:dyDescent="0.35">
      <c r="A1617" s="141" t="s">
        <v>602</v>
      </c>
      <c r="B1617" s="141" t="s">
        <v>280</v>
      </c>
      <c r="C1617" s="141" t="s">
        <v>39</v>
      </c>
    </row>
    <row r="1618" spans="1:3" x14ac:dyDescent="0.35">
      <c r="A1618" s="141" t="s">
        <v>735</v>
      </c>
      <c r="B1618" s="141" t="s">
        <v>280</v>
      </c>
      <c r="C1618" s="141" t="s">
        <v>41</v>
      </c>
    </row>
    <row r="1619" spans="1:3" x14ac:dyDescent="0.35">
      <c r="A1619" s="141" t="s">
        <v>736</v>
      </c>
      <c r="B1619" s="141" t="s">
        <v>280</v>
      </c>
      <c r="C1619" s="141" t="s">
        <v>41</v>
      </c>
    </row>
    <row r="1620" spans="1:3" x14ac:dyDescent="0.35">
      <c r="A1620" s="141" t="s">
        <v>737</v>
      </c>
      <c r="B1620" s="141" t="s">
        <v>280</v>
      </c>
      <c r="C1620" s="141" t="s">
        <v>41</v>
      </c>
    </row>
    <row r="1621" spans="1:3" x14ac:dyDescent="0.35">
      <c r="A1621" s="141" t="s">
        <v>738</v>
      </c>
      <c r="B1621" s="141" t="s">
        <v>280</v>
      </c>
      <c r="C1621" s="141" t="s">
        <v>41</v>
      </c>
    </row>
    <row r="1622" spans="1:3" x14ac:dyDescent="0.35">
      <c r="A1622" s="141" t="s">
        <v>739</v>
      </c>
      <c r="B1622" s="141" t="s">
        <v>280</v>
      </c>
      <c r="C1622" s="141" t="s">
        <v>52</v>
      </c>
    </row>
    <row r="1623" spans="1:3" x14ac:dyDescent="0.35">
      <c r="A1623" s="141" t="s">
        <v>306</v>
      </c>
      <c r="B1623" s="141" t="s">
        <v>280</v>
      </c>
      <c r="C1623" s="141" t="s">
        <v>35</v>
      </c>
    </row>
    <row r="1624" spans="1:3" x14ac:dyDescent="0.35">
      <c r="A1624" s="141" t="s">
        <v>740</v>
      </c>
      <c r="B1624" s="141" t="s">
        <v>280</v>
      </c>
      <c r="C1624" s="141" t="s">
        <v>33</v>
      </c>
    </row>
    <row r="1625" spans="1:3" x14ac:dyDescent="0.35">
      <c r="A1625" s="141" t="s">
        <v>550</v>
      </c>
      <c r="B1625" s="141" t="s">
        <v>280</v>
      </c>
      <c r="C1625" s="141" t="s">
        <v>33</v>
      </c>
    </row>
    <row r="1626" spans="1:3" x14ac:dyDescent="0.35">
      <c r="A1626" s="141" t="s">
        <v>551</v>
      </c>
      <c r="B1626" s="141" t="s">
        <v>280</v>
      </c>
      <c r="C1626" s="141" t="s">
        <v>33</v>
      </c>
    </row>
    <row r="1627" spans="1:3" x14ac:dyDescent="0.35">
      <c r="A1627" s="141" t="s">
        <v>307</v>
      </c>
      <c r="B1627" s="141" t="s">
        <v>280</v>
      </c>
      <c r="C1627" s="141" t="s">
        <v>33</v>
      </c>
    </row>
    <row r="1628" spans="1:3" x14ac:dyDescent="0.35">
      <c r="A1628" s="141" t="s">
        <v>427</v>
      </c>
      <c r="B1628" s="141" t="s">
        <v>280</v>
      </c>
      <c r="C1628" s="141" t="s">
        <v>27</v>
      </c>
    </row>
    <row r="1629" spans="1:3" x14ac:dyDescent="0.35">
      <c r="A1629" s="141" t="s">
        <v>428</v>
      </c>
      <c r="B1629" s="141" t="s">
        <v>280</v>
      </c>
      <c r="C1629" s="141" t="s">
        <v>27</v>
      </c>
    </row>
    <row r="1630" spans="1:3" x14ac:dyDescent="0.35">
      <c r="A1630" s="141" t="s">
        <v>429</v>
      </c>
      <c r="B1630" s="141" t="s">
        <v>280</v>
      </c>
      <c r="C1630" s="141" t="s">
        <v>27</v>
      </c>
    </row>
    <row r="1631" spans="1:3" x14ac:dyDescent="0.35">
      <c r="A1631" s="141" t="s">
        <v>426</v>
      </c>
      <c r="B1631" s="141" t="s">
        <v>280</v>
      </c>
      <c r="C1631" s="141" t="s">
        <v>27</v>
      </c>
    </row>
    <row r="1632" spans="1:3" x14ac:dyDescent="0.35">
      <c r="A1632" s="141" t="s">
        <v>430</v>
      </c>
      <c r="B1632" s="141" t="s">
        <v>280</v>
      </c>
      <c r="C1632" s="141" t="s">
        <v>27</v>
      </c>
    </row>
    <row r="1633" spans="1:3" x14ac:dyDescent="0.35">
      <c r="A1633" s="141" t="s">
        <v>431</v>
      </c>
      <c r="B1633" s="141" t="s">
        <v>280</v>
      </c>
      <c r="C1633" s="141" t="s">
        <v>27</v>
      </c>
    </row>
    <row r="1634" spans="1:3" x14ac:dyDescent="0.35">
      <c r="A1634" s="141" t="s">
        <v>534</v>
      </c>
      <c r="B1634" s="141" t="s">
        <v>280</v>
      </c>
      <c r="C1634" s="141" t="s">
        <v>53</v>
      </c>
    </row>
    <row r="1635" spans="1:3" x14ac:dyDescent="0.35">
      <c r="A1635" s="141" t="s">
        <v>312</v>
      </c>
      <c r="B1635" s="141" t="s">
        <v>280</v>
      </c>
      <c r="C1635" s="141" t="s">
        <v>53</v>
      </c>
    </row>
    <row r="1636" spans="1:3" x14ac:dyDescent="0.35">
      <c r="A1636" s="141" t="s">
        <v>531</v>
      </c>
      <c r="B1636" s="141" t="s">
        <v>280</v>
      </c>
      <c r="C1636" s="141" t="s">
        <v>51</v>
      </c>
    </row>
    <row r="1637" spans="1:3" x14ac:dyDescent="0.35">
      <c r="A1637" s="141" t="s">
        <v>741</v>
      </c>
      <c r="B1637" s="141" t="s">
        <v>280</v>
      </c>
      <c r="C1637" s="141" t="s">
        <v>51</v>
      </c>
    </row>
    <row r="1638" spans="1:3" x14ac:dyDescent="0.35">
      <c r="A1638" s="141" t="s">
        <v>742</v>
      </c>
      <c r="B1638" s="141" t="s">
        <v>280</v>
      </c>
      <c r="C1638" s="141" t="s">
        <v>51</v>
      </c>
    </row>
    <row r="1639" spans="1:3" x14ac:dyDescent="0.35">
      <c r="A1639" s="141" t="s">
        <v>743</v>
      </c>
      <c r="B1639" s="141" t="s">
        <v>280</v>
      </c>
      <c r="C1639" s="141" t="s">
        <v>51</v>
      </c>
    </row>
    <row r="1640" spans="1:3" x14ac:dyDescent="0.35">
      <c r="A1640" s="141" t="s">
        <v>747</v>
      </c>
      <c r="B1640" s="141" t="s">
        <v>280</v>
      </c>
      <c r="C1640" s="141" t="s">
        <v>51</v>
      </c>
    </row>
    <row r="1641" spans="1:3" x14ac:dyDescent="0.35">
      <c r="A1641" s="141" t="s">
        <v>748</v>
      </c>
      <c r="B1641" s="141" t="s">
        <v>280</v>
      </c>
      <c r="C1641" s="141" t="s">
        <v>51</v>
      </c>
    </row>
    <row r="1642" spans="1:3" x14ac:dyDescent="0.35">
      <c r="A1642" s="141" t="s">
        <v>533</v>
      </c>
      <c r="B1642" s="141" t="s">
        <v>280</v>
      </c>
      <c r="C1642" s="141" t="s">
        <v>50</v>
      </c>
    </row>
    <row r="1643" spans="1:3" x14ac:dyDescent="0.35">
      <c r="A1643" s="141" t="s">
        <v>542</v>
      </c>
      <c r="B1643" s="141" t="s">
        <v>280</v>
      </c>
      <c r="C1643" s="141" t="s">
        <v>52</v>
      </c>
    </row>
    <row r="1644" spans="1:3" x14ac:dyDescent="0.35">
      <c r="A1644" s="141" t="s">
        <v>543</v>
      </c>
      <c r="B1644" s="141" t="s">
        <v>280</v>
      </c>
      <c r="C1644" s="141" t="s">
        <v>52</v>
      </c>
    </row>
    <row r="1645" spans="1:3" x14ac:dyDescent="0.35">
      <c r="A1645" s="141" t="s">
        <v>577</v>
      </c>
      <c r="B1645" s="141" t="s">
        <v>280</v>
      </c>
      <c r="C1645" s="141" t="s">
        <v>52</v>
      </c>
    </row>
    <row r="1646" spans="1:3" x14ac:dyDescent="0.35">
      <c r="A1646" s="141" t="s">
        <v>578</v>
      </c>
      <c r="B1646" s="141" t="s">
        <v>280</v>
      </c>
      <c r="C1646" s="141" t="s">
        <v>52</v>
      </c>
    </row>
    <row r="1647" spans="1:3" x14ac:dyDescent="0.35">
      <c r="A1647" s="141" t="s">
        <v>535</v>
      </c>
      <c r="B1647" s="141" t="s">
        <v>280</v>
      </c>
      <c r="C1647" s="141" t="s">
        <v>52</v>
      </c>
    </row>
    <row r="1648" spans="1:3" x14ac:dyDescent="0.35">
      <c r="A1648" s="141" t="s">
        <v>536</v>
      </c>
      <c r="B1648" s="141" t="s">
        <v>280</v>
      </c>
      <c r="C1648" s="141" t="s">
        <v>52</v>
      </c>
    </row>
    <row r="1649" spans="1:3" x14ac:dyDescent="0.35">
      <c r="A1649" s="141" t="s">
        <v>537</v>
      </c>
      <c r="B1649" s="141" t="s">
        <v>280</v>
      </c>
      <c r="C1649" s="141" t="s">
        <v>52</v>
      </c>
    </row>
    <row r="1650" spans="1:3" x14ac:dyDescent="0.35">
      <c r="A1650" s="141" t="s">
        <v>538</v>
      </c>
      <c r="B1650" s="141" t="s">
        <v>280</v>
      </c>
      <c r="C1650" s="141" t="s">
        <v>52</v>
      </c>
    </row>
    <row r="1651" spans="1:3" x14ac:dyDescent="0.35">
      <c r="A1651" s="141" t="s">
        <v>539</v>
      </c>
      <c r="B1651" s="141" t="s">
        <v>280</v>
      </c>
      <c r="C1651" s="141" t="s">
        <v>52</v>
      </c>
    </row>
    <row r="1652" spans="1:3" x14ac:dyDescent="0.35">
      <c r="A1652" s="141" t="s">
        <v>540</v>
      </c>
      <c r="B1652" s="141" t="s">
        <v>280</v>
      </c>
      <c r="C1652" s="141" t="s">
        <v>52</v>
      </c>
    </row>
    <row r="1653" spans="1:3" x14ac:dyDescent="0.35">
      <c r="A1653" s="141" t="s">
        <v>652</v>
      </c>
      <c r="B1653" s="141" t="s">
        <v>280</v>
      </c>
      <c r="C1653" s="141" t="s">
        <v>52</v>
      </c>
    </row>
    <row r="1654" spans="1:3" x14ac:dyDescent="0.35">
      <c r="A1654" s="141" t="s">
        <v>653</v>
      </c>
      <c r="B1654" s="141" t="s">
        <v>280</v>
      </c>
      <c r="C1654" s="141" t="s">
        <v>52</v>
      </c>
    </row>
    <row r="1655" spans="1:3" x14ac:dyDescent="0.35">
      <c r="A1655" s="141" t="s">
        <v>575</v>
      </c>
      <c r="B1655" s="141" t="s">
        <v>280</v>
      </c>
      <c r="C1655" s="141" t="s">
        <v>52</v>
      </c>
    </row>
    <row r="1656" spans="1:3" x14ac:dyDescent="0.35">
      <c r="A1656" s="141" t="s">
        <v>639</v>
      </c>
      <c r="B1656" s="141" t="s">
        <v>280</v>
      </c>
      <c r="C1656" s="141" t="s">
        <v>25</v>
      </c>
    </row>
    <row r="1657" spans="1:3" x14ac:dyDescent="0.35">
      <c r="A1657" s="141" t="s">
        <v>640</v>
      </c>
      <c r="B1657" s="141" t="s">
        <v>280</v>
      </c>
      <c r="C1657" s="141" t="s">
        <v>25</v>
      </c>
    </row>
    <row r="1658" spans="1:3" x14ac:dyDescent="0.35">
      <c r="A1658" s="141" t="s">
        <v>744</v>
      </c>
      <c r="B1658" s="141" t="s">
        <v>280</v>
      </c>
      <c r="C1658" s="141" t="s">
        <v>52</v>
      </c>
    </row>
    <row r="1659" spans="1:3" x14ac:dyDescent="0.35">
      <c r="A1659" s="141" t="s">
        <v>544</v>
      </c>
      <c r="B1659" s="141" t="s">
        <v>280</v>
      </c>
      <c r="C1659" s="141" t="s">
        <v>33</v>
      </c>
    </row>
    <row r="1660" spans="1:3" x14ac:dyDescent="0.35">
      <c r="A1660" s="141" t="s">
        <v>545</v>
      </c>
      <c r="B1660" s="141" t="s">
        <v>280</v>
      </c>
      <c r="C1660" s="141" t="s">
        <v>52</v>
      </c>
    </row>
    <row r="1661" spans="1:3" x14ac:dyDescent="0.35">
      <c r="A1661" s="141" t="s">
        <v>546</v>
      </c>
      <c r="B1661" s="141" t="s">
        <v>280</v>
      </c>
      <c r="C1661" s="141" t="s">
        <v>52</v>
      </c>
    </row>
    <row r="1662" spans="1:3" x14ac:dyDescent="0.35">
      <c r="A1662" s="141" t="s">
        <v>547</v>
      </c>
      <c r="B1662" s="141" t="s">
        <v>280</v>
      </c>
      <c r="C1662" s="141" t="s">
        <v>52</v>
      </c>
    </row>
    <row r="1663" spans="1:3" x14ac:dyDescent="0.35">
      <c r="A1663" s="141" t="s">
        <v>314</v>
      </c>
      <c r="B1663" s="141" t="s">
        <v>280</v>
      </c>
      <c r="C1663" s="141" t="s">
        <v>16</v>
      </c>
    </row>
    <row r="1664" spans="1:3" x14ac:dyDescent="0.35">
      <c r="A1664" s="141" t="s">
        <v>315</v>
      </c>
      <c r="B1664" s="141" t="s">
        <v>280</v>
      </c>
      <c r="C1664" s="141" t="s">
        <v>16</v>
      </c>
    </row>
    <row r="1665" spans="1:3" x14ac:dyDescent="0.35">
      <c r="A1665" s="141" t="s">
        <v>331</v>
      </c>
      <c r="B1665" s="141" t="s">
        <v>280</v>
      </c>
      <c r="C1665" s="141" t="s">
        <v>16</v>
      </c>
    </row>
    <row r="1666" spans="1:3" x14ac:dyDescent="0.35">
      <c r="A1666" s="141" t="s">
        <v>332</v>
      </c>
      <c r="B1666" s="141" t="s">
        <v>280</v>
      </c>
      <c r="C1666" s="141" t="s">
        <v>16</v>
      </c>
    </row>
    <row r="1667" spans="1:3" x14ac:dyDescent="0.35">
      <c r="A1667" s="141" t="s">
        <v>333</v>
      </c>
      <c r="B1667" s="141" t="s">
        <v>280</v>
      </c>
      <c r="C1667" s="141" t="s">
        <v>16</v>
      </c>
    </row>
    <row r="1668" spans="1:3" x14ac:dyDescent="0.35">
      <c r="A1668" s="141" t="s">
        <v>334</v>
      </c>
      <c r="B1668" s="141" t="s">
        <v>280</v>
      </c>
      <c r="C1668" s="141" t="s">
        <v>16</v>
      </c>
    </row>
    <row r="1669" spans="1:3" x14ac:dyDescent="0.35">
      <c r="A1669" s="141" t="s">
        <v>335</v>
      </c>
      <c r="B1669" s="141" t="s">
        <v>280</v>
      </c>
      <c r="C1669" s="141" t="s">
        <v>16</v>
      </c>
    </row>
    <row r="1670" spans="1:3" x14ac:dyDescent="0.35">
      <c r="A1670" s="141" t="s">
        <v>336</v>
      </c>
      <c r="B1670" s="141" t="s">
        <v>280</v>
      </c>
      <c r="C1670" s="141" t="s">
        <v>16</v>
      </c>
    </row>
    <row r="1671" spans="1:3" x14ac:dyDescent="0.35">
      <c r="A1671" s="141" t="s">
        <v>579</v>
      </c>
      <c r="B1671" s="141" t="s">
        <v>280</v>
      </c>
      <c r="C1671" s="141" t="s">
        <v>32</v>
      </c>
    </row>
    <row r="1672" spans="1:3" x14ac:dyDescent="0.35">
      <c r="A1672" s="141" t="s">
        <v>556</v>
      </c>
      <c r="B1672" s="141" t="s">
        <v>280</v>
      </c>
      <c r="C1672" s="141" t="s">
        <v>32</v>
      </c>
    </row>
    <row r="1673" spans="1:3" x14ac:dyDescent="0.35">
      <c r="A1673" s="141" t="s">
        <v>557</v>
      </c>
      <c r="B1673" s="141" t="s">
        <v>280</v>
      </c>
      <c r="C1673" s="141" t="s">
        <v>32</v>
      </c>
    </row>
    <row r="1674" spans="1:3" x14ac:dyDescent="0.35">
      <c r="A1674" s="141" t="s">
        <v>558</v>
      </c>
      <c r="B1674" s="141" t="s">
        <v>280</v>
      </c>
      <c r="C1674" s="141" t="s">
        <v>32</v>
      </c>
    </row>
    <row r="1675" spans="1:3" x14ac:dyDescent="0.35">
      <c r="A1675" s="141" t="s">
        <v>580</v>
      </c>
      <c r="B1675" s="141" t="s">
        <v>280</v>
      </c>
      <c r="C1675" s="141" t="s">
        <v>32</v>
      </c>
    </row>
    <row r="1676" spans="1:3" x14ac:dyDescent="0.35">
      <c r="A1676" s="141" t="s">
        <v>611</v>
      </c>
      <c r="B1676" s="141" t="s">
        <v>280</v>
      </c>
      <c r="C1676" s="141" t="s">
        <v>43</v>
      </c>
    </row>
    <row r="1677" spans="1:3" x14ac:dyDescent="0.35">
      <c r="A1677" s="141" t="s">
        <v>612</v>
      </c>
      <c r="B1677" s="141" t="s">
        <v>280</v>
      </c>
      <c r="C1677" s="141" t="s">
        <v>43</v>
      </c>
    </row>
    <row r="1678" spans="1:3" x14ac:dyDescent="0.35">
      <c r="A1678" s="141" t="s">
        <v>613</v>
      </c>
      <c r="B1678" s="141" t="s">
        <v>280</v>
      </c>
      <c r="C1678" s="141" t="s">
        <v>43</v>
      </c>
    </row>
    <row r="1679" spans="1:3" x14ac:dyDescent="0.35">
      <c r="A1679" s="141" t="s">
        <v>614</v>
      </c>
      <c r="B1679" s="141" t="s">
        <v>280</v>
      </c>
      <c r="C1679" s="141" t="s">
        <v>43</v>
      </c>
    </row>
    <row r="1680" spans="1:3" x14ac:dyDescent="0.35">
      <c r="A1680" s="141" t="s">
        <v>615</v>
      </c>
      <c r="B1680" s="141" t="s">
        <v>280</v>
      </c>
      <c r="C1680" s="141" t="s">
        <v>43</v>
      </c>
    </row>
    <row r="1681" spans="1:3" x14ac:dyDescent="0.35">
      <c r="A1681" s="141" t="s">
        <v>616</v>
      </c>
      <c r="B1681" s="141" t="s">
        <v>280</v>
      </c>
      <c r="C1681" s="141" t="s">
        <v>43</v>
      </c>
    </row>
    <row r="1682" spans="1:3" x14ac:dyDescent="0.35">
      <c r="A1682" s="141" t="s">
        <v>617</v>
      </c>
      <c r="B1682" s="141" t="s">
        <v>280</v>
      </c>
      <c r="C1682" s="141" t="s">
        <v>43</v>
      </c>
    </row>
    <row r="1683" spans="1:3" x14ac:dyDescent="0.35">
      <c r="A1683" s="141" t="s">
        <v>605</v>
      </c>
      <c r="B1683" s="141" t="s">
        <v>280</v>
      </c>
      <c r="C1683" s="141" t="s">
        <v>43</v>
      </c>
    </row>
    <row r="1684" spans="1:3" x14ac:dyDescent="0.35">
      <c r="A1684" s="141" t="s">
        <v>606</v>
      </c>
      <c r="B1684" s="141" t="s">
        <v>280</v>
      </c>
      <c r="C1684" s="141" t="s">
        <v>43</v>
      </c>
    </row>
    <row r="1685" spans="1:3" x14ac:dyDescent="0.35">
      <c r="A1685" s="141" t="s">
        <v>607</v>
      </c>
      <c r="B1685" s="141" t="s">
        <v>280</v>
      </c>
      <c r="C1685" s="141" t="s">
        <v>43</v>
      </c>
    </row>
    <row r="1686" spans="1:3" x14ac:dyDescent="0.35">
      <c r="A1686" s="141" t="s">
        <v>608</v>
      </c>
      <c r="B1686" s="141" t="s">
        <v>280</v>
      </c>
      <c r="C1686" s="141" t="s">
        <v>43</v>
      </c>
    </row>
    <row r="1687" spans="1:3" x14ac:dyDescent="0.35">
      <c r="A1687" s="141" t="s">
        <v>609</v>
      </c>
      <c r="B1687" s="141" t="s">
        <v>280</v>
      </c>
      <c r="C1687" s="141" t="s">
        <v>43</v>
      </c>
    </row>
    <row r="1688" spans="1:3" x14ac:dyDescent="0.35">
      <c r="A1688" s="141" t="s">
        <v>610</v>
      </c>
      <c r="B1688" s="141" t="s">
        <v>280</v>
      </c>
      <c r="C1688" s="141" t="s">
        <v>43</v>
      </c>
    </row>
    <row r="1689" spans="1:3" x14ac:dyDescent="0.35">
      <c r="A1689" s="141" t="s">
        <v>618</v>
      </c>
      <c r="B1689" s="141" t="s">
        <v>280</v>
      </c>
      <c r="C1689" s="141" t="s">
        <v>43</v>
      </c>
    </row>
    <row r="1690" spans="1:3" x14ac:dyDescent="0.35">
      <c r="A1690" s="141" t="s">
        <v>619</v>
      </c>
      <c r="B1690" s="141" t="s">
        <v>280</v>
      </c>
      <c r="C1690" s="141" t="s">
        <v>44</v>
      </c>
    </row>
    <row r="1691" spans="1:3" x14ac:dyDescent="0.35">
      <c r="A1691" s="141" t="s">
        <v>559</v>
      </c>
      <c r="B1691" s="141" t="s">
        <v>280</v>
      </c>
      <c r="C1691" s="141" t="s">
        <v>47</v>
      </c>
    </row>
    <row r="1692" spans="1:3" x14ac:dyDescent="0.35">
      <c r="A1692" s="141" t="s">
        <v>560</v>
      </c>
      <c r="B1692" s="141" t="s">
        <v>280</v>
      </c>
      <c r="C1692" s="141" t="s">
        <v>47</v>
      </c>
    </row>
    <row r="1693" spans="1:3" x14ac:dyDescent="0.35">
      <c r="A1693" s="141" t="s">
        <v>561</v>
      </c>
      <c r="B1693" s="141" t="s">
        <v>280</v>
      </c>
      <c r="C1693" s="141" t="s">
        <v>47</v>
      </c>
    </row>
    <row r="1694" spans="1:3" x14ac:dyDescent="0.35">
      <c r="A1694" s="141" t="s">
        <v>562</v>
      </c>
      <c r="B1694" s="141" t="s">
        <v>280</v>
      </c>
      <c r="C1694" s="141" t="s">
        <v>48</v>
      </c>
    </row>
    <row r="1695" spans="1:3" x14ac:dyDescent="0.35">
      <c r="A1695" s="141" t="s">
        <v>563</v>
      </c>
      <c r="B1695" s="141" t="s">
        <v>280</v>
      </c>
      <c r="C1695" s="141" t="s">
        <v>47</v>
      </c>
    </row>
    <row r="1696" spans="1:3" x14ac:dyDescent="0.35">
      <c r="A1696" s="141" t="s">
        <v>390</v>
      </c>
      <c r="B1696" s="141" t="s">
        <v>281</v>
      </c>
      <c r="C1696" s="141" t="s">
        <v>16</v>
      </c>
    </row>
    <row r="1697" spans="1:3" x14ac:dyDescent="0.35">
      <c r="A1697" s="141" t="s">
        <v>352</v>
      </c>
      <c r="B1697" s="141" t="s">
        <v>281</v>
      </c>
      <c r="C1697" s="141" t="s">
        <v>2</v>
      </c>
    </row>
    <row r="1698" spans="1:3" x14ac:dyDescent="0.35">
      <c r="A1698" s="141" t="s">
        <v>354</v>
      </c>
      <c r="B1698" s="141" t="s">
        <v>281</v>
      </c>
      <c r="C1698" s="141" t="s">
        <v>2</v>
      </c>
    </row>
    <row r="1699" spans="1:3" x14ac:dyDescent="0.35">
      <c r="A1699" s="141" t="s">
        <v>391</v>
      </c>
      <c r="B1699" s="141" t="s">
        <v>281</v>
      </c>
      <c r="C1699" s="141" t="s">
        <v>16</v>
      </c>
    </row>
    <row r="1700" spans="1:3" x14ac:dyDescent="0.35">
      <c r="A1700" s="141" t="s">
        <v>392</v>
      </c>
      <c r="B1700" s="141" t="s">
        <v>281</v>
      </c>
      <c r="C1700" s="141" t="s">
        <v>16</v>
      </c>
    </row>
    <row r="1701" spans="1:3" x14ac:dyDescent="0.35">
      <c r="A1701" s="141" t="s">
        <v>393</v>
      </c>
      <c r="B1701" s="141" t="s">
        <v>281</v>
      </c>
      <c r="C1701" s="141" t="s">
        <v>9</v>
      </c>
    </row>
    <row r="1702" spans="1:3" x14ac:dyDescent="0.35">
      <c r="A1702" s="141" t="s">
        <v>355</v>
      </c>
      <c r="B1702" s="141" t="s">
        <v>281</v>
      </c>
      <c r="C1702" s="141" t="s">
        <v>12</v>
      </c>
    </row>
    <row r="1703" spans="1:3" x14ac:dyDescent="0.35">
      <c r="A1703" s="141" t="s">
        <v>356</v>
      </c>
      <c r="B1703" s="141" t="s">
        <v>281</v>
      </c>
      <c r="C1703" s="141" t="s">
        <v>14</v>
      </c>
    </row>
    <row r="1704" spans="1:3" x14ac:dyDescent="0.35">
      <c r="A1704" s="141" t="s">
        <v>357</v>
      </c>
      <c r="B1704" s="141" t="s">
        <v>281</v>
      </c>
      <c r="C1704" s="141" t="s">
        <v>14</v>
      </c>
    </row>
    <row r="1705" spans="1:3" x14ac:dyDescent="0.35">
      <c r="A1705" s="141" t="s">
        <v>368</v>
      </c>
      <c r="B1705" s="141" t="s">
        <v>281</v>
      </c>
      <c r="C1705" s="141" t="s">
        <v>10</v>
      </c>
    </row>
    <row r="1706" spans="1:3" x14ac:dyDescent="0.35">
      <c r="A1706" s="141" t="s">
        <v>590</v>
      </c>
      <c r="B1706" s="141" t="s">
        <v>281</v>
      </c>
      <c r="C1706" s="141" t="s">
        <v>10</v>
      </c>
    </row>
    <row r="1707" spans="1:3" x14ac:dyDescent="0.35">
      <c r="A1707" s="141" t="s">
        <v>591</v>
      </c>
      <c r="B1707" s="141" t="s">
        <v>281</v>
      </c>
      <c r="C1707" s="141" t="s">
        <v>10</v>
      </c>
    </row>
    <row r="1708" spans="1:3" x14ac:dyDescent="0.35">
      <c r="A1708" s="141" t="s">
        <v>370</v>
      </c>
      <c r="B1708" s="141" t="s">
        <v>281</v>
      </c>
      <c r="C1708" s="141" t="s">
        <v>10</v>
      </c>
    </row>
    <row r="1709" spans="1:3" x14ac:dyDescent="0.35">
      <c r="A1709" s="141" t="s">
        <v>371</v>
      </c>
      <c r="B1709" s="141" t="s">
        <v>281</v>
      </c>
      <c r="C1709" s="141" t="s">
        <v>10</v>
      </c>
    </row>
    <row r="1710" spans="1:3" x14ac:dyDescent="0.35">
      <c r="A1710" s="141" t="s">
        <v>376</v>
      </c>
      <c r="B1710" s="141" t="s">
        <v>281</v>
      </c>
      <c r="C1710" s="141" t="s">
        <v>10</v>
      </c>
    </row>
    <row r="1711" spans="1:3" x14ac:dyDescent="0.35">
      <c r="A1711" s="141" t="s">
        <v>372</v>
      </c>
      <c r="B1711" s="141" t="s">
        <v>281</v>
      </c>
      <c r="C1711" s="141" t="s">
        <v>10</v>
      </c>
    </row>
    <row r="1712" spans="1:3" x14ac:dyDescent="0.35">
      <c r="A1712" s="141" t="s">
        <v>373</v>
      </c>
      <c r="B1712" s="141" t="s">
        <v>281</v>
      </c>
      <c r="C1712" s="141" t="s">
        <v>10</v>
      </c>
    </row>
    <row r="1713" spans="1:3" x14ac:dyDescent="0.35">
      <c r="A1713" s="141" t="s">
        <v>374</v>
      </c>
      <c r="B1713" s="141" t="s">
        <v>281</v>
      </c>
      <c r="C1713" s="141" t="s">
        <v>10</v>
      </c>
    </row>
    <row r="1714" spans="1:3" x14ac:dyDescent="0.35">
      <c r="A1714" s="141" t="s">
        <v>375</v>
      </c>
      <c r="B1714" s="141" t="s">
        <v>281</v>
      </c>
      <c r="C1714" s="141" t="s">
        <v>10</v>
      </c>
    </row>
    <row r="1715" spans="1:3" x14ac:dyDescent="0.35">
      <c r="A1715" s="141" t="s">
        <v>377</v>
      </c>
      <c r="B1715" s="141" t="s">
        <v>281</v>
      </c>
      <c r="C1715" s="141" t="s">
        <v>11</v>
      </c>
    </row>
    <row r="1716" spans="1:3" x14ac:dyDescent="0.35">
      <c r="A1716" s="141" t="s">
        <v>378</v>
      </c>
      <c r="B1716" s="141" t="s">
        <v>281</v>
      </c>
      <c r="C1716" s="141" t="s">
        <v>11</v>
      </c>
    </row>
    <row r="1717" spans="1:3" x14ac:dyDescent="0.35">
      <c r="A1717" s="141" t="s">
        <v>379</v>
      </c>
      <c r="B1717" s="141" t="s">
        <v>281</v>
      </c>
      <c r="C1717" s="141" t="s">
        <v>11</v>
      </c>
    </row>
    <row r="1718" spans="1:3" x14ac:dyDescent="0.35">
      <c r="A1718" s="141" t="s">
        <v>380</v>
      </c>
      <c r="B1718" s="141" t="s">
        <v>281</v>
      </c>
      <c r="C1718" s="141" t="s">
        <v>11</v>
      </c>
    </row>
    <row r="1719" spans="1:3" x14ac:dyDescent="0.35">
      <c r="A1719" s="141" t="s">
        <v>381</v>
      </c>
      <c r="B1719" s="141" t="s">
        <v>281</v>
      </c>
      <c r="C1719" s="141" t="s">
        <v>11</v>
      </c>
    </row>
    <row r="1720" spans="1:3" x14ac:dyDescent="0.35">
      <c r="A1720" s="141" t="s">
        <v>382</v>
      </c>
      <c r="B1720" s="141" t="s">
        <v>281</v>
      </c>
      <c r="C1720" s="141" t="s">
        <v>11</v>
      </c>
    </row>
    <row r="1721" spans="1:3" x14ac:dyDescent="0.35">
      <c r="A1721" s="141" t="s">
        <v>358</v>
      </c>
      <c r="B1721" s="141" t="s">
        <v>281</v>
      </c>
      <c r="C1721" s="141" t="s">
        <v>14</v>
      </c>
    </row>
    <row r="1722" spans="1:3" x14ac:dyDescent="0.35">
      <c r="A1722" s="141" t="s">
        <v>654</v>
      </c>
      <c r="B1722" s="141" t="s">
        <v>281</v>
      </c>
      <c r="C1722" s="141" t="s">
        <v>14</v>
      </c>
    </row>
    <row r="1723" spans="1:3" x14ac:dyDescent="0.35">
      <c r="A1723" s="141" t="s">
        <v>655</v>
      </c>
      <c r="B1723" s="141" t="s">
        <v>281</v>
      </c>
      <c r="C1723" s="141" t="s">
        <v>14</v>
      </c>
    </row>
    <row r="1724" spans="1:3" x14ac:dyDescent="0.35">
      <c r="A1724" s="141" t="s">
        <v>749</v>
      </c>
      <c r="B1724" s="141" t="s">
        <v>281</v>
      </c>
      <c r="C1724" s="141" t="s">
        <v>14</v>
      </c>
    </row>
    <row r="1725" spans="1:3" x14ac:dyDescent="0.35">
      <c r="A1725" s="141" t="s">
        <v>750</v>
      </c>
      <c r="B1725" s="141" t="s">
        <v>281</v>
      </c>
      <c r="C1725" s="141" t="s">
        <v>13</v>
      </c>
    </row>
    <row r="1726" spans="1:3" x14ac:dyDescent="0.35">
      <c r="A1726" s="141" t="s">
        <v>751</v>
      </c>
      <c r="B1726" s="141" t="s">
        <v>281</v>
      </c>
      <c r="C1726" s="141" t="s">
        <v>13</v>
      </c>
    </row>
    <row r="1727" spans="1:3" x14ac:dyDescent="0.35">
      <c r="A1727" s="141" t="s">
        <v>581</v>
      </c>
      <c r="B1727" s="141" t="s">
        <v>281</v>
      </c>
      <c r="C1727" s="141" t="s">
        <v>13</v>
      </c>
    </row>
    <row r="1728" spans="1:3" x14ac:dyDescent="0.35">
      <c r="A1728" s="141" t="s">
        <v>367</v>
      </c>
      <c r="B1728" s="141" t="s">
        <v>281</v>
      </c>
      <c r="C1728" s="141" t="s">
        <v>8</v>
      </c>
    </row>
    <row r="1729" spans="1:3" x14ac:dyDescent="0.35">
      <c r="A1729" s="141" t="s">
        <v>383</v>
      </c>
      <c r="B1729" s="141" t="s">
        <v>281</v>
      </c>
      <c r="C1729" s="141" t="s">
        <v>5</v>
      </c>
    </row>
    <row r="1730" spans="1:3" x14ac:dyDescent="0.35">
      <c r="A1730" s="141" t="s">
        <v>359</v>
      </c>
      <c r="B1730" s="141" t="s">
        <v>281</v>
      </c>
      <c r="C1730" s="141" t="s">
        <v>46</v>
      </c>
    </row>
    <row r="1731" spans="1:3" x14ac:dyDescent="0.35">
      <c r="A1731" s="141" t="s">
        <v>360</v>
      </c>
      <c r="B1731" s="141" t="s">
        <v>281</v>
      </c>
      <c r="C1731" s="141" t="s">
        <v>46</v>
      </c>
    </row>
    <row r="1732" spans="1:3" x14ac:dyDescent="0.35">
      <c r="A1732" s="141" t="s">
        <v>564</v>
      </c>
      <c r="B1732" s="141" t="s">
        <v>281</v>
      </c>
      <c r="C1732" s="141" t="s">
        <v>7</v>
      </c>
    </row>
    <row r="1733" spans="1:3" x14ac:dyDescent="0.35">
      <c r="A1733" s="141" t="s">
        <v>565</v>
      </c>
      <c r="B1733" s="141" t="s">
        <v>281</v>
      </c>
      <c r="C1733" s="141" t="s">
        <v>7</v>
      </c>
    </row>
    <row r="1734" spans="1:3" x14ac:dyDescent="0.35">
      <c r="A1734" s="141" t="s">
        <v>385</v>
      </c>
      <c r="B1734" s="141" t="s">
        <v>281</v>
      </c>
      <c r="C1734" s="141" t="s">
        <v>7</v>
      </c>
    </row>
    <row r="1735" spans="1:3" x14ac:dyDescent="0.35">
      <c r="A1735" s="141" t="s">
        <v>386</v>
      </c>
      <c r="B1735" s="141" t="s">
        <v>281</v>
      </c>
      <c r="C1735" s="141" t="s">
        <v>7</v>
      </c>
    </row>
    <row r="1736" spans="1:3" x14ac:dyDescent="0.35">
      <c r="A1736" s="141" t="s">
        <v>387</v>
      </c>
      <c r="B1736" s="141" t="s">
        <v>281</v>
      </c>
      <c r="C1736" s="141" t="s">
        <v>7</v>
      </c>
    </row>
    <row r="1737" spans="1:3" x14ac:dyDescent="0.35">
      <c r="A1737" s="141" t="s">
        <v>365</v>
      </c>
      <c r="B1737" s="141" t="s">
        <v>281</v>
      </c>
      <c r="C1737" s="141" t="s">
        <v>7</v>
      </c>
    </row>
    <row r="1738" spans="1:3" x14ac:dyDescent="0.35">
      <c r="A1738" s="141" t="s">
        <v>589</v>
      </c>
      <c r="B1738" s="141" t="s">
        <v>281</v>
      </c>
      <c r="C1738" s="141" t="s">
        <v>4</v>
      </c>
    </row>
    <row r="1739" spans="1:3" x14ac:dyDescent="0.35">
      <c r="A1739" s="141" t="s">
        <v>388</v>
      </c>
      <c r="B1739" s="141" t="s">
        <v>281</v>
      </c>
      <c r="C1739" s="141" t="s">
        <v>8</v>
      </c>
    </row>
    <row r="1740" spans="1:3" x14ac:dyDescent="0.35">
      <c r="A1740" s="141" t="s">
        <v>389</v>
      </c>
      <c r="B1740" s="141" t="s">
        <v>281</v>
      </c>
      <c r="C1740" s="141" t="s">
        <v>8</v>
      </c>
    </row>
    <row r="1741" spans="1:3" x14ac:dyDescent="0.35">
      <c r="A1741" s="141" t="s">
        <v>366</v>
      </c>
      <c r="B1741" s="141" t="s">
        <v>281</v>
      </c>
      <c r="C1741" s="141" t="s">
        <v>8</v>
      </c>
    </row>
    <row r="1742" spans="1:3" x14ac:dyDescent="0.35">
      <c r="A1742" s="141" t="s">
        <v>586</v>
      </c>
      <c r="B1742" s="141" t="s">
        <v>281</v>
      </c>
      <c r="C1742" s="141" t="s">
        <v>4</v>
      </c>
    </row>
    <row r="1743" spans="1:3" x14ac:dyDescent="0.35">
      <c r="A1743" s="141" t="s">
        <v>587</v>
      </c>
      <c r="B1743" s="141" t="s">
        <v>281</v>
      </c>
      <c r="C1743" s="141" t="s">
        <v>4</v>
      </c>
    </row>
    <row r="1744" spans="1:3" x14ac:dyDescent="0.35">
      <c r="A1744" s="141" t="s">
        <v>588</v>
      </c>
      <c r="B1744" s="141" t="s">
        <v>281</v>
      </c>
      <c r="C1744" s="141" t="s">
        <v>4</v>
      </c>
    </row>
    <row r="1745" spans="1:3" x14ac:dyDescent="0.35">
      <c r="A1745" s="141" t="s">
        <v>656</v>
      </c>
      <c r="B1745" s="141" t="s">
        <v>281</v>
      </c>
      <c r="C1745" s="141" t="s">
        <v>21</v>
      </c>
    </row>
    <row r="1746" spans="1:3" x14ac:dyDescent="0.35">
      <c r="A1746" s="141" t="s">
        <v>657</v>
      </c>
      <c r="B1746" s="141" t="s">
        <v>281</v>
      </c>
      <c r="C1746" s="141" t="s">
        <v>21</v>
      </c>
    </row>
    <row r="1747" spans="1:3" x14ac:dyDescent="0.35">
      <c r="A1747" s="141" t="s">
        <v>658</v>
      </c>
      <c r="B1747" s="141" t="s">
        <v>281</v>
      </c>
      <c r="C1747" s="141" t="s">
        <v>21</v>
      </c>
    </row>
    <row r="1748" spans="1:3" x14ac:dyDescent="0.35">
      <c r="A1748" s="141" t="s">
        <v>659</v>
      </c>
      <c r="B1748" s="141" t="s">
        <v>281</v>
      </c>
      <c r="C1748" s="141" t="s">
        <v>21</v>
      </c>
    </row>
    <row r="1749" spans="1:3" x14ac:dyDescent="0.35">
      <c r="A1749" s="141" t="s">
        <v>660</v>
      </c>
      <c r="B1749" s="141" t="s">
        <v>281</v>
      </c>
      <c r="C1749" s="141" t="s">
        <v>21</v>
      </c>
    </row>
    <row r="1750" spans="1:3" x14ac:dyDescent="0.35">
      <c r="A1750" s="141" t="s">
        <v>283</v>
      </c>
      <c r="B1750" s="141" t="s">
        <v>281</v>
      </c>
      <c r="C1750" s="141" t="s">
        <v>21</v>
      </c>
    </row>
    <row r="1751" spans="1:3" x14ac:dyDescent="0.35">
      <c r="A1751" s="141" t="s">
        <v>284</v>
      </c>
      <c r="B1751" s="141" t="s">
        <v>281</v>
      </c>
      <c r="C1751" s="141" t="s">
        <v>21</v>
      </c>
    </row>
    <row r="1752" spans="1:3" x14ac:dyDescent="0.35">
      <c r="A1752" s="141" t="s">
        <v>424</v>
      </c>
      <c r="B1752" s="141" t="s">
        <v>281</v>
      </c>
      <c r="C1752" s="141" t="s">
        <v>21</v>
      </c>
    </row>
    <row r="1753" spans="1:3" x14ac:dyDescent="0.35">
      <c r="A1753" s="141" t="s">
        <v>425</v>
      </c>
      <c r="B1753" s="141" t="s">
        <v>281</v>
      </c>
      <c r="C1753" s="141" t="s">
        <v>27</v>
      </c>
    </row>
    <row r="1754" spans="1:3" x14ac:dyDescent="0.35">
      <c r="A1754" s="141" t="s">
        <v>285</v>
      </c>
      <c r="B1754" s="141" t="s">
        <v>281</v>
      </c>
      <c r="C1754" s="141" t="s">
        <v>27</v>
      </c>
    </row>
    <row r="1755" spans="1:3" x14ac:dyDescent="0.35">
      <c r="A1755" s="141" t="s">
        <v>286</v>
      </c>
      <c r="B1755" s="141" t="s">
        <v>281</v>
      </c>
      <c r="C1755" s="141" t="s">
        <v>27</v>
      </c>
    </row>
    <row r="1756" spans="1:3" x14ac:dyDescent="0.35">
      <c r="A1756" s="141" t="s">
        <v>287</v>
      </c>
      <c r="B1756" s="141" t="s">
        <v>281</v>
      </c>
      <c r="C1756" s="141" t="s">
        <v>21</v>
      </c>
    </row>
    <row r="1757" spans="1:3" x14ac:dyDescent="0.35">
      <c r="A1757" s="141" t="s">
        <v>752</v>
      </c>
      <c r="B1757" s="141" t="s">
        <v>281</v>
      </c>
      <c r="C1757" s="141" t="s">
        <v>23</v>
      </c>
    </row>
    <row r="1758" spans="1:3" x14ac:dyDescent="0.35">
      <c r="A1758" s="141" t="s">
        <v>753</v>
      </c>
      <c r="B1758" s="141" t="s">
        <v>281</v>
      </c>
      <c r="C1758" s="141" t="s">
        <v>23</v>
      </c>
    </row>
    <row r="1759" spans="1:3" x14ac:dyDescent="0.35">
      <c r="A1759" s="141" t="s">
        <v>754</v>
      </c>
      <c r="B1759" s="141" t="s">
        <v>281</v>
      </c>
      <c r="C1759" s="141" t="s">
        <v>23</v>
      </c>
    </row>
    <row r="1760" spans="1:3" x14ac:dyDescent="0.35">
      <c r="A1760" s="141" t="s">
        <v>661</v>
      </c>
      <c r="B1760" s="141" t="s">
        <v>281</v>
      </c>
      <c r="C1760" s="141" t="s">
        <v>22</v>
      </c>
    </row>
    <row r="1761" spans="1:3" x14ac:dyDescent="0.35">
      <c r="A1761" s="141" t="s">
        <v>755</v>
      </c>
      <c r="B1761" s="141" t="s">
        <v>281</v>
      </c>
      <c r="C1761" s="141" t="s">
        <v>22</v>
      </c>
    </row>
    <row r="1762" spans="1:3" x14ac:dyDescent="0.35">
      <c r="A1762" s="141" t="s">
        <v>756</v>
      </c>
      <c r="B1762" s="141" t="s">
        <v>281</v>
      </c>
      <c r="C1762" s="141" t="s">
        <v>22</v>
      </c>
    </row>
    <row r="1763" spans="1:3" x14ac:dyDescent="0.35">
      <c r="A1763" s="141" t="s">
        <v>757</v>
      </c>
      <c r="B1763" s="141" t="s">
        <v>281</v>
      </c>
      <c r="C1763" s="141" t="s">
        <v>22</v>
      </c>
    </row>
    <row r="1764" spans="1:3" x14ac:dyDescent="0.35">
      <c r="A1764" s="141" t="s">
        <v>662</v>
      </c>
      <c r="B1764" s="141" t="s">
        <v>281</v>
      </c>
      <c r="C1764" s="141" t="s">
        <v>22</v>
      </c>
    </row>
    <row r="1765" spans="1:3" x14ac:dyDescent="0.35">
      <c r="A1765" s="141" t="s">
        <v>758</v>
      </c>
      <c r="B1765" s="141" t="s">
        <v>281</v>
      </c>
      <c r="C1765" s="141" t="s">
        <v>22</v>
      </c>
    </row>
    <row r="1766" spans="1:3" x14ac:dyDescent="0.35">
      <c r="A1766" s="141" t="s">
        <v>759</v>
      </c>
      <c r="B1766" s="141" t="s">
        <v>281</v>
      </c>
      <c r="C1766" s="141" t="s">
        <v>22</v>
      </c>
    </row>
    <row r="1767" spans="1:3" x14ac:dyDescent="0.35">
      <c r="A1767" s="141" t="s">
        <v>760</v>
      </c>
      <c r="B1767" s="141" t="s">
        <v>281</v>
      </c>
      <c r="C1767" s="141" t="s">
        <v>22</v>
      </c>
    </row>
    <row r="1768" spans="1:3" x14ac:dyDescent="0.35">
      <c r="A1768" s="141" t="s">
        <v>663</v>
      </c>
      <c r="B1768" s="141" t="s">
        <v>281</v>
      </c>
      <c r="C1768" s="141" t="s">
        <v>22</v>
      </c>
    </row>
    <row r="1769" spans="1:3" x14ac:dyDescent="0.35">
      <c r="A1769" s="141" t="s">
        <v>761</v>
      </c>
      <c r="B1769" s="141" t="s">
        <v>281</v>
      </c>
      <c r="C1769" s="141" t="s">
        <v>22</v>
      </c>
    </row>
    <row r="1770" spans="1:3" x14ac:dyDescent="0.35">
      <c r="A1770" s="141" t="s">
        <v>762</v>
      </c>
      <c r="B1770" s="141" t="s">
        <v>281</v>
      </c>
      <c r="C1770" s="141" t="s">
        <v>22</v>
      </c>
    </row>
    <row r="1771" spans="1:3" x14ac:dyDescent="0.35">
      <c r="A1771" s="141" t="s">
        <v>763</v>
      </c>
      <c r="B1771" s="141" t="s">
        <v>281</v>
      </c>
      <c r="C1771" s="141" t="s">
        <v>22</v>
      </c>
    </row>
    <row r="1772" spans="1:3" x14ac:dyDescent="0.35">
      <c r="A1772" s="141" t="s">
        <v>664</v>
      </c>
      <c r="B1772" s="141" t="s">
        <v>281</v>
      </c>
      <c r="C1772" s="141" t="s">
        <v>24</v>
      </c>
    </row>
    <row r="1773" spans="1:3" x14ac:dyDescent="0.35">
      <c r="A1773" s="141" t="s">
        <v>665</v>
      </c>
      <c r="B1773" s="141" t="s">
        <v>281</v>
      </c>
      <c r="C1773" s="141" t="s">
        <v>21</v>
      </c>
    </row>
    <row r="1774" spans="1:3" x14ac:dyDescent="0.35">
      <c r="A1774" s="141" t="s">
        <v>666</v>
      </c>
      <c r="B1774" s="141" t="s">
        <v>281</v>
      </c>
      <c r="C1774" s="141" t="s">
        <v>21</v>
      </c>
    </row>
    <row r="1775" spans="1:3" x14ac:dyDescent="0.35">
      <c r="A1775" s="141" t="s">
        <v>667</v>
      </c>
      <c r="B1775" s="141" t="s">
        <v>281</v>
      </c>
      <c r="C1775" s="141" t="s">
        <v>55</v>
      </c>
    </row>
    <row r="1776" spans="1:3" x14ac:dyDescent="0.35">
      <c r="A1776" s="141" t="s">
        <v>668</v>
      </c>
      <c r="B1776" s="141" t="s">
        <v>281</v>
      </c>
      <c r="C1776" s="141" t="s">
        <v>54</v>
      </c>
    </row>
    <row r="1777" spans="1:3" x14ac:dyDescent="0.35">
      <c r="A1777" s="141" t="s">
        <v>669</v>
      </c>
      <c r="B1777" s="141" t="s">
        <v>281</v>
      </c>
      <c r="C1777" s="141" t="s">
        <v>55</v>
      </c>
    </row>
    <row r="1778" spans="1:3" x14ac:dyDescent="0.35">
      <c r="A1778" s="141" t="s">
        <v>670</v>
      </c>
      <c r="B1778" s="141" t="s">
        <v>281</v>
      </c>
      <c r="C1778" s="141" t="s">
        <v>54</v>
      </c>
    </row>
    <row r="1779" spans="1:3" x14ac:dyDescent="0.35">
      <c r="A1779" s="141" t="s">
        <v>764</v>
      </c>
      <c r="B1779" s="141" t="s">
        <v>281</v>
      </c>
      <c r="C1779" s="141" t="s">
        <v>45</v>
      </c>
    </row>
    <row r="1780" spans="1:3" x14ac:dyDescent="0.35">
      <c r="A1780" s="141" t="s">
        <v>765</v>
      </c>
      <c r="B1780" s="141" t="s">
        <v>281</v>
      </c>
      <c r="C1780" s="141" t="s">
        <v>45</v>
      </c>
    </row>
    <row r="1781" spans="1:3" x14ac:dyDescent="0.35">
      <c r="A1781" s="141" t="s">
        <v>766</v>
      </c>
      <c r="B1781" s="141" t="s">
        <v>281</v>
      </c>
      <c r="C1781" s="141" t="s">
        <v>45</v>
      </c>
    </row>
    <row r="1782" spans="1:3" x14ac:dyDescent="0.35">
      <c r="A1782" s="141" t="s">
        <v>767</v>
      </c>
      <c r="B1782" s="141" t="s">
        <v>281</v>
      </c>
      <c r="C1782" s="141" t="s">
        <v>45</v>
      </c>
    </row>
    <row r="1783" spans="1:3" x14ac:dyDescent="0.35">
      <c r="A1783" s="141" t="s">
        <v>768</v>
      </c>
      <c r="B1783" s="141" t="s">
        <v>281</v>
      </c>
      <c r="C1783" s="141" t="s">
        <v>45</v>
      </c>
    </row>
    <row r="1784" spans="1:3" x14ac:dyDescent="0.35">
      <c r="A1784" s="141" t="s">
        <v>769</v>
      </c>
      <c r="B1784" s="141" t="s">
        <v>281</v>
      </c>
      <c r="C1784" s="141" t="s">
        <v>45</v>
      </c>
    </row>
    <row r="1785" spans="1:3" x14ac:dyDescent="0.35">
      <c r="A1785" s="141" t="s">
        <v>361</v>
      </c>
      <c r="B1785" s="141" t="s">
        <v>281</v>
      </c>
      <c r="C1785" s="141" t="s">
        <v>45</v>
      </c>
    </row>
    <row r="1786" spans="1:3" x14ac:dyDescent="0.35">
      <c r="A1786" s="141" t="s">
        <v>362</v>
      </c>
      <c r="B1786" s="141" t="s">
        <v>281</v>
      </c>
      <c r="C1786" s="141" t="s">
        <v>45</v>
      </c>
    </row>
    <row r="1787" spans="1:3" x14ac:dyDescent="0.35">
      <c r="A1787" s="141" t="s">
        <v>770</v>
      </c>
      <c r="B1787" s="141" t="s">
        <v>281</v>
      </c>
      <c r="C1787" s="141" t="s">
        <v>45</v>
      </c>
    </row>
    <row r="1788" spans="1:3" x14ac:dyDescent="0.35">
      <c r="A1788" s="141" t="s">
        <v>771</v>
      </c>
      <c r="B1788" s="141" t="s">
        <v>281</v>
      </c>
      <c r="C1788" s="141" t="s">
        <v>45</v>
      </c>
    </row>
    <row r="1789" spans="1:3" x14ac:dyDescent="0.35">
      <c r="A1789" s="141" t="s">
        <v>772</v>
      </c>
      <c r="B1789" s="141" t="s">
        <v>281</v>
      </c>
      <c r="C1789" s="141" t="s">
        <v>45</v>
      </c>
    </row>
    <row r="1790" spans="1:3" x14ac:dyDescent="0.35">
      <c r="A1790" s="141" t="s">
        <v>773</v>
      </c>
      <c r="B1790" s="141" t="s">
        <v>281</v>
      </c>
      <c r="C1790" s="141" t="s">
        <v>45</v>
      </c>
    </row>
    <row r="1791" spans="1:3" x14ac:dyDescent="0.35">
      <c r="A1791" s="141" t="s">
        <v>363</v>
      </c>
      <c r="B1791" s="141" t="s">
        <v>281</v>
      </c>
      <c r="C1791" s="141" t="s">
        <v>45</v>
      </c>
    </row>
    <row r="1792" spans="1:3" x14ac:dyDescent="0.35">
      <c r="A1792" s="141" t="s">
        <v>364</v>
      </c>
      <c r="B1792" s="141" t="s">
        <v>281</v>
      </c>
      <c r="C1792" s="141" t="s">
        <v>45</v>
      </c>
    </row>
    <row r="1793" spans="1:3" x14ac:dyDescent="0.35">
      <c r="A1793" s="141" t="s">
        <v>394</v>
      </c>
      <c r="B1793" s="141" t="s">
        <v>281</v>
      </c>
      <c r="C1793" s="141" t="s">
        <v>19</v>
      </c>
    </row>
    <row r="1794" spans="1:3" x14ac:dyDescent="0.35">
      <c r="A1794" s="141" t="s">
        <v>395</v>
      </c>
      <c r="B1794" s="141" t="s">
        <v>281</v>
      </c>
      <c r="C1794" s="141" t="s">
        <v>19</v>
      </c>
    </row>
    <row r="1795" spans="1:3" x14ac:dyDescent="0.35">
      <c r="A1795" s="141" t="s">
        <v>396</v>
      </c>
      <c r="B1795" s="141" t="s">
        <v>281</v>
      </c>
      <c r="C1795" s="141" t="s">
        <v>45</v>
      </c>
    </row>
    <row r="1796" spans="1:3" x14ac:dyDescent="0.35">
      <c r="A1796" s="141" t="s">
        <v>397</v>
      </c>
      <c r="B1796" s="141" t="s">
        <v>281</v>
      </c>
      <c r="C1796" s="141" t="s">
        <v>16</v>
      </c>
    </row>
    <row r="1797" spans="1:3" x14ac:dyDescent="0.35">
      <c r="A1797" s="141" t="s">
        <v>398</v>
      </c>
      <c r="B1797" s="141" t="s">
        <v>281</v>
      </c>
      <c r="C1797" s="141" t="s">
        <v>17</v>
      </c>
    </row>
    <row r="1798" spans="1:3" x14ac:dyDescent="0.35">
      <c r="A1798" s="141" t="s">
        <v>399</v>
      </c>
      <c r="B1798" s="141" t="s">
        <v>281</v>
      </c>
      <c r="C1798" s="141" t="s">
        <v>16</v>
      </c>
    </row>
    <row r="1799" spans="1:3" x14ac:dyDescent="0.35">
      <c r="A1799" s="141" t="s">
        <v>400</v>
      </c>
      <c r="B1799" s="141" t="s">
        <v>281</v>
      </c>
      <c r="C1799" s="141" t="s">
        <v>20</v>
      </c>
    </row>
    <row r="1800" spans="1:3" x14ac:dyDescent="0.35">
      <c r="A1800" s="141" t="s">
        <v>401</v>
      </c>
      <c r="B1800" s="141" t="s">
        <v>281</v>
      </c>
      <c r="C1800" s="141" t="s">
        <v>20</v>
      </c>
    </row>
    <row r="1801" spans="1:3" x14ac:dyDescent="0.35">
      <c r="A1801" s="141" t="s">
        <v>671</v>
      </c>
      <c r="B1801" s="141" t="s">
        <v>281</v>
      </c>
      <c r="C1801" s="141" t="s">
        <v>20</v>
      </c>
    </row>
    <row r="1802" spans="1:3" x14ac:dyDescent="0.35">
      <c r="A1802" s="141" t="s">
        <v>774</v>
      </c>
      <c r="B1802" s="141" t="s">
        <v>281</v>
      </c>
      <c r="C1802" s="141" t="s">
        <v>43</v>
      </c>
    </row>
    <row r="1803" spans="1:3" x14ac:dyDescent="0.35">
      <c r="A1803" s="141" t="s">
        <v>775</v>
      </c>
      <c r="B1803" s="141" t="s">
        <v>281</v>
      </c>
      <c r="C1803" s="141" t="s">
        <v>38</v>
      </c>
    </row>
    <row r="1804" spans="1:3" x14ac:dyDescent="0.35">
      <c r="A1804" s="141" t="s">
        <v>776</v>
      </c>
      <c r="B1804" s="141" t="s">
        <v>281</v>
      </c>
      <c r="C1804" s="141" t="s">
        <v>45</v>
      </c>
    </row>
    <row r="1805" spans="1:3" x14ac:dyDescent="0.35">
      <c r="A1805" s="141" t="s">
        <v>777</v>
      </c>
      <c r="B1805" s="141" t="s">
        <v>281</v>
      </c>
      <c r="C1805" s="141" t="s">
        <v>46</v>
      </c>
    </row>
    <row r="1806" spans="1:3" x14ac:dyDescent="0.35">
      <c r="A1806" s="141" t="s">
        <v>778</v>
      </c>
      <c r="B1806" s="141" t="s">
        <v>281</v>
      </c>
      <c r="C1806" s="141" t="s">
        <v>45</v>
      </c>
    </row>
    <row r="1807" spans="1:3" x14ac:dyDescent="0.35">
      <c r="A1807" s="141" t="s">
        <v>779</v>
      </c>
      <c r="B1807" s="141" t="s">
        <v>281</v>
      </c>
      <c r="C1807" s="141" t="s">
        <v>45</v>
      </c>
    </row>
    <row r="1808" spans="1:3" x14ac:dyDescent="0.35">
      <c r="A1808" s="141" t="s">
        <v>780</v>
      </c>
      <c r="B1808" s="141" t="s">
        <v>281</v>
      </c>
      <c r="C1808" s="141" t="s">
        <v>45</v>
      </c>
    </row>
    <row r="1809" spans="1:3" x14ac:dyDescent="0.35">
      <c r="A1809" s="141" t="s">
        <v>781</v>
      </c>
      <c r="B1809" s="141" t="s">
        <v>281</v>
      </c>
      <c r="C1809" s="141" t="s">
        <v>45</v>
      </c>
    </row>
    <row r="1810" spans="1:3" x14ac:dyDescent="0.35">
      <c r="A1810" s="141" t="s">
        <v>409</v>
      </c>
      <c r="B1810" s="141" t="s">
        <v>281</v>
      </c>
      <c r="C1810" s="141" t="s">
        <v>18</v>
      </c>
    </row>
    <row r="1811" spans="1:3" x14ac:dyDescent="0.35">
      <c r="A1811" s="141" t="s">
        <v>410</v>
      </c>
      <c r="B1811" s="141" t="s">
        <v>281</v>
      </c>
      <c r="C1811" s="141" t="s">
        <v>18</v>
      </c>
    </row>
    <row r="1812" spans="1:3" x14ac:dyDescent="0.35">
      <c r="A1812" s="141" t="s">
        <v>745</v>
      </c>
      <c r="B1812" s="141" t="s">
        <v>281</v>
      </c>
      <c r="C1812" s="141" t="s">
        <v>18</v>
      </c>
    </row>
    <row r="1813" spans="1:3" x14ac:dyDescent="0.35">
      <c r="A1813" s="141" t="s">
        <v>746</v>
      </c>
      <c r="B1813" s="141" t="s">
        <v>281</v>
      </c>
      <c r="C1813" s="141" t="s">
        <v>18</v>
      </c>
    </row>
    <row r="1814" spans="1:3" x14ac:dyDescent="0.35">
      <c r="A1814" s="141" t="s">
        <v>411</v>
      </c>
      <c r="B1814" s="141" t="s">
        <v>281</v>
      </c>
      <c r="C1814" s="141" t="s">
        <v>9</v>
      </c>
    </row>
    <row r="1815" spans="1:3" x14ac:dyDescent="0.35">
      <c r="A1815" s="141" t="s">
        <v>412</v>
      </c>
      <c r="B1815" s="141" t="s">
        <v>281</v>
      </c>
      <c r="C1815" s="141" t="s">
        <v>9</v>
      </c>
    </row>
    <row r="1816" spans="1:3" x14ac:dyDescent="0.35">
      <c r="A1816" s="141" t="s">
        <v>413</v>
      </c>
      <c r="B1816" s="141" t="s">
        <v>281</v>
      </c>
      <c r="C1816" s="141" t="s">
        <v>9</v>
      </c>
    </row>
    <row r="1817" spans="1:3" x14ac:dyDescent="0.35">
      <c r="A1817" s="141" t="s">
        <v>414</v>
      </c>
      <c r="B1817" s="141" t="s">
        <v>281</v>
      </c>
      <c r="C1817" s="141" t="s">
        <v>9</v>
      </c>
    </row>
    <row r="1818" spans="1:3" x14ac:dyDescent="0.35">
      <c r="A1818" s="141" t="s">
        <v>415</v>
      </c>
      <c r="B1818" s="141" t="s">
        <v>281</v>
      </c>
      <c r="C1818" s="141" t="s">
        <v>9</v>
      </c>
    </row>
    <row r="1819" spans="1:3" x14ac:dyDescent="0.35">
      <c r="A1819" s="141" t="s">
        <v>402</v>
      </c>
      <c r="B1819" s="141" t="s">
        <v>281</v>
      </c>
      <c r="C1819" s="141" t="s">
        <v>20</v>
      </c>
    </row>
    <row r="1820" spans="1:3" x14ac:dyDescent="0.35">
      <c r="A1820" s="141" t="s">
        <v>592</v>
      </c>
      <c r="B1820" s="141" t="s">
        <v>281</v>
      </c>
      <c r="C1820" s="141" t="s">
        <v>20</v>
      </c>
    </row>
    <row r="1821" spans="1:3" x14ac:dyDescent="0.35">
      <c r="A1821" s="141" t="s">
        <v>593</v>
      </c>
      <c r="B1821" s="141" t="s">
        <v>281</v>
      </c>
      <c r="C1821" s="141" t="s">
        <v>20</v>
      </c>
    </row>
    <row r="1822" spans="1:3" x14ac:dyDescent="0.35">
      <c r="A1822" s="141" t="s">
        <v>403</v>
      </c>
      <c r="B1822" s="141" t="s">
        <v>281</v>
      </c>
      <c r="C1822" s="141" t="s">
        <v>20</v>
      </c>
    </row>
    <row r="1823" spans="1:3" x14ac:dyDescent="0.35">
      <c r="A1823" s="141" t="s">
        <v>404</v>
      </c>
      <c r="B1823" s="141" t="s">
        <v>281</v>
      </c>
      <c r="C1823" s="141" t="s">
        <v>16</v>
      </c>
    </row>
    <row r="1824" spans="1:3" x14ac:dyDescent="0.35">
      <c r="A1824" s="141" t="s">
        <v>405</v>
      </c>
      <c r="B1824" s="141" t="s">
        <v>281</v>
      </c>
      <c r="C1824" s="141" t="s">
        <v>16</v>
      </c>
    </row>
    <row r="1825" spans="1:3" x14ac:dyDescent="0.35">
      <c r="A1825" s="141" t="s">
        <v>416</v>
      </c>
      <c r="B1825" s="141" t="s">
        <v>281</v>
      </c>
      <c r="C1825" s="141" t="s">
        <v>15</v>
      </c>
    </row>
    <row r="1826" spans="1:3" x14ac:dyDescent="0.35">
      <c r="A1826" s="141" t="s">
        <v>417</v>
      </c>
      <c r="B1826" s="141" t="s">
        <v>281</v>
      </c>
      <c r="C1826" s="141" t="s">
        <v>6</v>
      </c>
    </row>
    <row r="1827" spans="1:3" x14ac:dyDescent="0.35">
      <c r="A1827" s="141" t="s">
        <v>418</v>
      </c>
      <c r="B1827" s="141" t="s">
        <v>281</v>
      </c>
      <c r="C1827" s="141" t="s">
        <v>17</v>
      </c>
    </row>
    <row r="1828" spans="1:3" x14ac:dyDescent="0.35">
      <c r="A1828" s="141" t="s">
        <v>419</v>
      </c>
      <c r="B1828" s="141" t="s">
        <v>281</v>
      </c>
      <c r="C1828" s="141" t="s">
        <v>17</v>
      </c>
    </row>
    <row r="1829" spans="1:3" x14ac:dyDescent="0.35">
      <c r="A1829" s="141" t="s">
        <v>420</v>
      </c>
      <c r="B1829" s="141" t="s">
        <v>281</v>
      </c>
      <c r="C1829" s="141" t="s">
        <v>17</v>
      </c>
    </row>
    <row r="1830" spans="1:3" x14ac:dyDescent="0.35">
      <c r="A1830" s="141" t="s">
        <v>421</v>
      </c>
      <c r="B1830" s="141" t="s">
        <v>281</v>
      </c>
      <c r="C1830" s="141" t="s">
        <v>6</v>
      </c>
    </row>
    <row r="1831" spans="1:3" x14ac:dyDescent="0.35">
      <c r="A1831" s="141" t="s">
        <v>422</v>
      </c>
      <c r="B1831" s="141" t="s">
        <v>281</v>
      </c>
      <c r="C1831" s="141" t="s">
        <v>17</v>
      </c>
    </row>
    <row r="1832" spans="1:3" x14ac:dyDescent="0.35">
      <c r="A1832" s="141" t="s">
        <v>406</v>
      </c>
      <c r="B1832" s="141" t="s">
        <v>281</v>
      </c>
      <c r="C1832" s="141" t="s">
        <v>18</v>
      </c>
    </row>
    <row r="1833" spans="1:3" x14ac:dyDescent="0.35">
      <c r="A1833" s="141" t="s">
        <v>407</v>
      </c>
      <c r="B1833" s="141" t="s">
        <v>281</v>
      </c>
      <c r="C1833" s="141" t="s">
        <v>17</v>
      </c>
    </row>
    <row r="1834" spans="1:3" x14ac:dyDescent="0.35">
      <c r="A1834" s="141" t="s">
        <v>408</v>
      </c>
      <c r="B1834" s="141" t="s">
        <v>281</v>
      </c>
      <c r="C1834" s="141" t="s">
        <v>17</v>
      </c>
    </row>
    <row r="1835" spans="1:3" x14ac:dyDescent="0.35">
      <c r="A1835" s="141" t="s">
        <v>566</v>
      </c>
      <c r="B1835" s="141" t="s">
        <v>281</v>
      </c>
      <c r="C1835" s="141" t="s">
        <v>17</v>
      </c>
    </row>
    <row r="1836" spans="1:3" x14ac:dyDescent="0.35">
      <c r="A1836" s="141" t="s">
        <v>567</v>
      </c>
      <c r="B1836" s="141" t="s">
        <v>281</v>
      </c>
      <c r="C1836" s="141" t="s">
        <v>16</v>
      </c>
    </row>
    <row r="1837" spans="1:3" x14ac:dyDescent="0.35">
      <c r="A1837" s="141" t="s">
        <v>672</v>
      </c>
      <c r="B1837" s="141" t="s">
        <v>281</v>
      </c>
      <c r="C1837" s="141" t="s">
        <v>25</v>
      </c>
    </row>
    <row r="1838" spans="1:3" x14ac:dyDescent="0.35">
      <c r="A1838" s="141" t="s">
        <v>673</v>
      </c>
      <c r="B1838" s="141" t="s">
        <v>281</v>
      </c>
      <c r="C1838" s="141" t="s">
        <v>25</v>
      </c>
    </row>
    <row r="1839" spans="1:3" x14ac:dyDescent="0.35">
      <c r="A1839" s="141" t="s">
        <v>674</v>
      </c>
      <c r="B1839" s="141" t="s">
        <v>281</v>
      </c>
      <c r="C1839" s="141" t="s">
        <v>25</v>
      </c>
    </row>
    <row r="1840" spans="1:3" x14ac:dyDescent="0.35">
      <c r="A1840" s="141" t="s">
        <v>675</v>
      </c>
      <c r="B1840" s="141" t="s">
        <v>281</v>
      </c>
      <c r="C1840" s="141" t="s">
        <v>24</v>
      </c>
    </row>
    <row r="1841" spans="1:3" x14ac:dyDescent="0.35">
      <c r="A1841" s="141" t="s">
        <v>676</v>
      </c>
      <c r="B1841" s="141" t="s">
        <v>281</v>
      </c>
      <c r="C1841" s="141" t="s">
        <v>24</v>
      </c>
    </row>
    <row r="1842" spans="1:3" x14ac:dyDescent="0.35">
      <c r="A1842" s="141" t="s">
        <v>573</v>
      </c>
      <c r="B1842" s="141" t="s">
        <v>281</v>
      </c>
      <c r="C1842" s="141" t="s">
        <v>25</v>
      </c>
    </row>
    <row r="1843" spans="1:3" x14ac:dyDescent="0.35">
      <c r="A1843" s="141" t="s">
        <v>677</v>
      </c>
      <c r="B1843" s="141" t="s">
        <v>281</v>
      </c>
      <c r="C1843" s="141" t="s">
        <v>25</v>
      </c>
    </row>
    <row r="1844" spans="1:3" x14ac:dyDescent="0.35">
      <c r="A1844" s="141" t="s">
        <v>678</v>
      </c>
      <c r="B1844" s="141" t="s">
        <v>281</v>
      </c>
      <c r="C1844" s="141" t="s">
        <v>25</v>
      </c>
    </row>
    <row r="1845" spans="1:3" x14ac:dyDescent="0.35">
      <c r="A1845" s="141" t="s">
        <v>679</v>
      </c>
      <c r="B1845" s="141" t="s">
        <v>281</v>
      </c>
      <c r="C1845" s="141" t="s">
        <v>25</v>
      </c>
    </row>
    <row r="1846" spans="1:3" x14ac:dyDescent="0.35">
      <c r="A1846" s="141" t="s">
        <v>680</v>
      </c>
      <c r="B1846" s="141" t="s">
        <v>281</v>
      </c>
      <c r="C1846" s="141" t="s">
        <v>25</v>
      </c>
    </row>
    <row r="1847" spans="1:3" x14ac:dyDescent="0.35">
      <c r="A1847" s="141" t="s">
        <v>517</v>
      </c>
      <c r="B1847" s="141" t="s">
        <v>281</v>
      </c>
      <c r="C1847" s="141" t="s">
        <v>30</v>
      </c>
    </row>
    <row r="1848" spans="1:3" x14ac:dyDescent="0.35">
      <c r="A1848" s="141" t="s">
        <v>782</v>
      </c>
      <c r="B1848" s="141" t="s">
        <v>281</v>
      </c>
      <c r="C1848" s="141" t="s">
        <v>30</v>
      </c>
    </row>
    <row r="1849" spans="1:3" x14ac:dyDescent="0.35">
      <c r="A1849" s="141" t="s">
        <v>783</v>
      </c>
      <c r="B1849" s="141" t="s">
        <v>281</v>
      </c>
      <c r="C1849" s="141" t="s">
        <v>30</v>
      </c>
    </row>
    <row r="1850" spans="1:3" x14ac:dyDescent="0.35">
      <c r="A1850" s="141" t="s">
        <v>519</v>
      </c>
      <c r="B1850" s="141" t="s">
        <v>281</v>
      </c>
      <c r="C1850" s="141" t="s">
        <v>34</v>
      </c>
    </row>
    <row r="1851" spans="1:3" x14ac:dyDescent="0.35">
      <c r="A1851" s="141" t="s">
        <v>520</v>
      </c>
      <c r="B1851" s="141" t="s">
        <v>281</v>
      </c>
      <c r="C1851" s="141" t="s">
        <v>34</v>
      </c>
    </row>
    <row r="1852" spans="1:3" x14ac:dyDescent="0.35">
      <c r="A1852" s="141" t="s">
        <v>521</v>
      </c>
      <c r="B1852" s="141" t="s">
        <v>281</v>
      </c>
      <c r="C1852" s="141" t="s">
        <v>34</v>
      </c>
    </row>
    <row r="1853" spans="1:3" x14ac:dyDescent="0.35">
      <c r="A1853" s="141" t="s">
        <v>522</v>
      </c>
      <c r="B1853" s="141" t="s">
        <v>281</v>
      </c>
      <c r="C1853" s="141" t="s">
        <v>34</v>
      </c>
    </row>
    <row r="1854" spans="1:3" x14ac:dyDescent="0.35">
      <c r="A1854" s="141" t="s">
        <v>523</v>
      </c>
      <c r="B1854" s="141" t="s">
        <v>281</v>
      </c>
      <c r="C1854" s="141" t="s">
        <v>30</v>
      </c>
    </row>
    <row r="1855" spans="1:3" x14ac:dyDescent="0.35">
      <c r="A1855" s="141" t="s">
        <v>784</v>
      </c>
      <c r="B1855" s="141" t="s">
        <v>281</v>
      </c>
      <c r="C1855" s="141" t="s">
        <v>30</v>
      </c>
    </row>
    <row r="1856" spans="1:3" x14ac:dyDescent="0.35">
      <c r="A1856" s="141" t="s">
        <v>785</v>
      </c>
      <c r="B1856" s="141" t="s">
        <v>281</v>
      </c>
      <c r="C1856" s="141" t="s">
        <v>30</v>
      </c>
    </row>
    <row r="1857" spans="1:3" x14ac:dyDescent="0.35">
      <c r="A1857" s="141" t="s">
        <v>525</v>
      </c>
      <c r="B1857" s="141" t="s">
        <v>281</v>
      </c>
      <c r="C1857" s="141" t="s">
        <v>46</v>
      </c>
    </row>
    <row r="1858" spans="1:3" x14ac:dyDescent="0.35">
      <c r="A1858" s="141" t="s">
        <v>526</v>
      </c>
      <c r="B1858" s="141" t="s">
        <v>281</v>
      </c>
      <c r="C1858" s="141" t="s">
        <v>32</v>
      </c>
    </row>
    <row r="1859" spans="1:3" x14ac:dyDescent="0.35">
      <c r="A1859" s="141" t="s">
        <v>527</v>
      </c>
      <c r="B1859" s="141" t="s">
        <v>281</v>
      </c>
      <c r="C1859" s="141" t="s">
        <v>32</v>
      </c>
    </row>
    <row r="1860" spans="1:3" x14ac:dyDescent="0.35">
      <c r="A1860" s="141" t="s">
        <v>528</v>
      </c>
      <c r="B1860" s="141" t="s">
        <v>281</v>
      </c>
      <c r="C1860" s="141" t="s">
        <v>32</v>
      </c>
    </row>
    <row r="1861" spans="1:3" x14ac:dyDescent="0.35">
      <c r="A1861" s="141" t="s">
        <v>529</v>
      </c>
      <c r="B1861" s="141" t="s">
        <v>281</v>
      </c>
      <c r="C1861" s="141" t="s">
        <v>32</v>
      </c>
    </row>
    <row r="1862" spans="1:3" x14ac:dyDescent="0.35">
      <c r="A1862" s="141" t="s">
        <v>492</v>
      </c>
      <c r="B1862" s="141" t="s">
        <v>281</v>
      </c>
      <c r="C1862" s="141" t="s">
        <v>32</v>
      </c>
    </row>
    <row r="1863" spans="1:3" x14ac:dyDescent="0.35">
      <c r="A1863" s="141" t="s">
        <v>493</v>
      </c>
      <c r="B1863" s="141" t="s">
        <v>281</v>
      </c>
      <c r="C1863" s="141" t="s">
        <v>32</v>
      </c>
    </row>
    <row r="1864" spans="1:3" x14ac:dyDescent="0.35">
      <c r="A1864" s="141" t="s">
        <v>494</v>
      </c>
      <c r="B1864" s="141" t="s">
        <v>281</v>
      </c>
      <c r="C1864" s="141" t="s">
        <v>32</v>
      </c>
    </row>
    <row r="1865" spans="1:3" x14ac:dyDescent="0.35">
      <c r="A1865" s="141" t="s">
        <v>495</v>
      </c>
      <c r="B1865" s="141" t="s">
        <v>281</v>
      </c>
      <c r="C1865" s="141" t="s">
        <v>32</v>
      </c>
    </row>
    <row r="1866" spans="1:3" x14ac:dyDescent="0.35">
      <c r="A1866" s="141" t="s">
        <v>496</v>
      </c>
      <c r="B1866" s="141" t="s">
        <v>281</v>
      </c>
      <c r="C1866" s="141" t="s">
        <v>32</v>
      </c>
    </row>
    <row r="1867" spans="1:3" x14ac:dyDescent="0.35">
      <c r="A1867" s="141" t="s">
        <v>497</v>
      </c>
      <c r="B1867" s="141" t="s">
        <v>281</v>
      </c>
      <c r="C1867" s="141" t="s">
        <v>32</v>
      </c>
    </row>
    <row r="1868" spans="1:3" x14ac:dyDescent="0.35">
      <c r="A1868" s="141" t="s">
        <v>681</v>
      </c>
      <c r="B1868" s="141" t="s">
        <v>281</v>
      </c>
      <c r="C1868" s="141" t="s">
        <v>32</v>
      </c>
    </row>
    <row r="1869" spans="1:3" x14ac:dyDescent="0.35">
      <c r="A1869" s="141" t="s">
        <v>682</v>
      </c>
      <c r="B1869" s="141" t="s">
        <v>281</v>
      </c>
      <c r="C1869" s="141" t="s">
        <v>32</v>
      </c>
    </row>
    <row r="1870" spans="1:3" x14ac:dyDescent="0.35">
      <c r="A1870" s="141" t="s">
        <v>683</v>
      </c>
      <c r="B1870" s="141" t="s">
        <v>281</v>
      </c>
      <c r="C1870" s="141" t="s">
        <v>32</v>
      </c>
    </row>
    <row r="1871" spans="1:3" x14ac:dyDescent="0.35">
      <c r="A1871" s="141" t="s">
        <v>684</v>
      </c>
      <c r="B1871" s="141" t="s">
        <v>281</v>
      </c>
      <c r="C1871" s="141" t="s">
        <v>32</v>
      </c>
    </row>
    <row r="1872" spans="1:3" x14ac:dyDescent="0.35">
      <c r="A1872" s="141" t="s">
        <v>685</v>
      </c>
      <c r="B1872" s="141" t="s">
        <v>281</v>
      </c>
      <c r="C1872" s="141" t="s">
        <v>32</v>
      </c>
    </row>
    <row r="1873" spans="1:3" x14ac:dyDescent="0.35">
      <c r="A1873" s="141" t="s">
        <v>686</v>
      </c>
      <c r="B1873" s="141" t="s">
        <v>281</v>
      </c>
      <c r="C1873" s="141" t="s">
        <v>32</v>
      </c>
    </row>
    <row r="1874" spans="1:3" x14ac:dyDescent="0.35">
      <c r="A1874" s="141" t="s">
        <v>687</v>
      </c>
      <c r="B1874" s="141" t="s">
        <v>281</v>
      </c>
      <c r="C1874" s="141" t="s">
        <v>32</v>
      </c>
    </row>
    <row r="1875" spans="1:3" x14ac:dyDescent="0.35">
      <c r="A1875" s="141" t="s">
        <v>502</v>
      </c>
      <c r="B1875" s="141" t="s">
        <v>281</v>
      </c>
      <c r="C1875" s="141" t="s">
        <v>32</v>
      </c>
    </row>
    <row r="1876" spans="1:3" x14ac:dyDescent="0.35">
      <c r="A1876" s="141" t="s">
        <v>503</v>
      </c>
      <c r="B1876" s="141" t="s">
        <v>281</v>
      </c>
      <c r="C1876" s="141" t="s">
        <v>32</v>
      </c>
    </row>
    <row r="1877" spans="1:3" x14ac:dyDescent="0.35">
      <c r="A1877" s="141" t="s">
        <v>504</v>
      </c>
      <c r="B1877" s="141" t="s">
        <v>281</v>
      </c>
      <c r="C1877" s="141" t="s">
        <v>26</v>
      </c>
    </row>
    <row r="1878" spans="1:3" x14ac:dyDescent="0.35">
      <c r="A1878" s="141" t="s">
        <v>688</v>
      </c>
      <c r="B1878" s="141" t="s">
        <v>281</v>
      </c>
      <c r="C1878" s="141" t="s">
        <v>32</v>
      </c>
    </row>
    <row r="1879" spans="1:3" x14ac:dyDescent="0.35">
      <c r="A1879" s="141" t="s">
        <v>689</v>
      </c>
      <c r="B1879" s="141" t="s">
        <v>281</v>
      </c>
      <c r="C1879" s="141" t="s">
        <v>32</v>
      </c>
    </row>
    <row r="1880" spans="1:3" x14ac:dyDescent="0.35">
      <c r="A1880" s="141" t="s">
        <v>690</v>
      </c>
      <c r="B1880" s="141" t="s">
        <v>281</v>
      </c>
      <c r="C1880" s="141" t="s">
        <v>32</v>
      </c>
    </row>
    <row r="1881" spans="1:3" x14ac:dyDescent="0.35">
      <c r="A1881" s="141" t="s">
        <v>691</v>
      </c>
      <c r="B1881" s="141" t="s">
        <v>281</v>
      </c>
      <c r="C1881" s="141" t="s">
        <v>32</v>
      </c>
    </row>
    <row r="1882" spans="1:3" x14ac:dyDescent="0.35">
      <c r="A1882" s="141" t="s">
        <v>692</v>
      </c>
      <c r="B1882" s="141" t="s">
        <v>281</v>
      </c>
      <c r="C1882" s="141" t="s">
        <v>32</v>
      </c>
    </row>
    <row r="1883" spans="1:3" x14ac:dyDescent="0.35">
      <c r="A1883" s="141" t="s">
        <v>693</v>
      </c>
      <c r="B1883" s="141" t="s">
        <v>281</v>
      </c>
      <c r="C1883" s="141" t="s">
        <v>32</v>
      </c>
    </row>
    <row r="1884" spans="1:3" x14ac:dyDescent="0.35">
      <c r="A1884" s="141" t="s">
        <v>694</v>
      </c>
      <c r="B1884" s="141" t="s">
        <v>281</v>
      </c>
      <c r="C1884" s="141" t="s">
        <v>32</v>
      </c>
    </row>
    <row r="1885" spans="1:3" x14ac:dyDescent="0.35">
      <c r="A1885" s="141" t="s">
        <v>695</v>
      </c>
      <c r="B1885" s="141" t="s">
        <v>281</v>
      </c>
      <c r="C1885" s="141" t="s">
        <v>32</v>
      </c>
    </row>
    <row r="1886" spans="1:3" x14ac:dyDescent="0.35">
      <c r="A1886" s="141" t="s">
        <v>696</v>
      </c>
      <c r="B1886" s="141" t="s">
        <v>281</v>
      </c>
      <c r="C1886" s="141" t="s">
        <v>32</v>
      </c>
    </row>
    <row r="1887" spans="1:3" x14ac:dyDescent="0.35">
      <c r="A1887" s="141" t="s">
        <v>697</v>
      </c>
      <c r="B1887" s="141" t="s">
        <v>281</v>
      </c>
      <c r="C1887" s="141" t="s">
        <v>32</v>
      </c>
    </row>
    <row r="1888" spans="1:3" x14ac:dyDescent="0.35">
      <c r="A1888" s="141" t="s">
        <v>509</v>
      </c>
      <c r="B1888" s="141" t="s">
        <v>281</v>
      </c>
      <c r="C1888" s="141" t="s">
        <v>32</v>
      </c>
    </row>
    <row r="1889" spans="1:3" x14ac:dyDescent="0.35">
      <c r="A1889" s="141" t="s">
        <v>510</v>
      </c>
      <c r="B1889" s="141" t="s">
        <v>281</v>
      </c>
      <c r="C1889" s="141" t="s">
        <v>32</v>
      </c>
    </row>
    <row r="1890" spans="1:3" x14ac:dyDescent="0.35">
      <c r="A1890" s="141" t="s">
        <v>511</v>
      </c>
      <c r="B1890" s="141" t="s">
        <v>281</v>
      </c>
      <c r="C1890" s="141" t="s">
        <v>32</v>
      </c>
    </row>
    <row r="1891" spans="1:3" x14ac:dyDescent="0.35">
      <c r="A1891" s="141" t="s">
        <v>512</v>
      </c>
      <c r="B1891" s="141" t="s">
        <v>281</v>
      </c>
      <c r="C1891" s="141" t="s">
        <v>32</v>
      </c>
    </row>
    <row r="1892" spans="1:3" x14ac:dyDescent="0.35">
      <c r="A1892" s="141" t="s">
        <v>698</v>
      </c>
      <c r="B1892" s="141" t="s">
        <v>281</v>
      </c>
      <c r="C1892" s="141" t="s">
        <v>33</v>
      </c>
    </row>
    <row r="1893" spans="1:3" x14ac:dyDescent="0.35">
      <c r="A1893" s="141" t="s">
        <v>515</v>
      </c>
      <c r="B1893" s="141" t="s">
        <v>281</v>
      </c>
      <c r="C1893" s="141" t="s">
        <v>33</v>
      </c>
    </row>
    <row r="1894" spans="1:3" x14ac:dyDescent="0.35">
      <c r="A1894" s="141" t="s">
        <v>516</v>
      </c>
      <c r="B1894" s="141" t="s">
        <v>281</v>
      </c>
      <c r="C1894" s="141" t="s">
        <v>33</v>
      </c>
    </row>
    <row r="1895" spans="1:3" x14ac:dyDescent="0.35">
      <c r="A1895" s="141" t="s">
        <v>699</v>
      </c>
      <c r="B1895" s="141" t="s">
        <v>281</v>
      </c>
      <c r="C1895" s="141" t="s">
        <v>26</v>
      </c>
    </row>
    <row r="1896" spans="1:3" x14ac:dyDescent="0.35">
      <c r="A1896" s="141" t="s">
        <v>700</v>
      </c>
      <c r="B1896" s="141" t="s">
        <v>281</v>
      </c>
      <c r="C1896" s="141" t="s">
        <v>26</v>
      </c>
    </row>
    <row r="1897" spans="1:3" x14ac:dyDescent="0.35">
      <c r="A1897" s="141" t="s">
        <v>701</v>
      </c>
      <c r="B1897" s="141" t="s">
        <v>281</v>
      </c>
      <c r="C1897" s="141" t="s">
        <v>26</v>
      </c>
    </row>
    <row r="1898" spans="1:3" x14ac:dyDescent="0.35">
      <c r="A1898" s="141" t="s">
        <v>452</v>
      </c>
      <c r="B1898" s="141" t="s">
        <v>281</v>
      </c>
      <c r="C1898" s="141" t="s">
        <v>33</v>
      </c>
    </row>
    <row r="1899" spans="1:3" x14ac:dyDescent="0.35">
      <c r="A1899" s="141" t="s">
        <v>702</v>
      </c>
      <c r="B1899" s="141" t="s">
        <v>281</v>
      </c>
      <c r="C1899" s="141" t="s">
        <v>33</v>
      </c>
    </row>
    <row r="1900" spans="1:3" x14ac:dyDescent="0.35">
      <c r="A1900" s="141" t="s">
        <v>786</v>
      </c>
      <c r="B1900" s="141" t="s">
        <v>281</v>
      </c>
      <c r="C1900" s="141" t="s">
        <v>35</v>
      </c>
    </row>
    <row r="1901" spans="1:3" x14ac:dyDescent="0.35">
      <c r="A1901" s="141" t="s">
        <v>787</v>
      </c>
      <c r="B1901" s="141" t="s">
        <v>281</v>
      </c>
      <c r="C1901" s="141" t="s">
        <v>35</v>
      </c>
    </row>
    <row r="1902" spans="1:3" x14ac:dyDescent="0.35">
      <c r="A1902" s="141" t="s">
        <v>704</v>
      </c>
      <c r="B1902" s="141" t="s">
        <v>281</v>
      </c>
      <c r="C1902" s="141" t="s">
        <v>35</v>
      </c>
    </row>
    <row r="1903" spans="1:3" x14ac:dyDescent="0.35">
      <c r="A1903" s="141" t="s">
        <v>705</v>
      </c>
      <c r="B1903" s="141" t="s">
        <v>281</v>
      </c>
      <c r="C1903" s="141" t="s">
        <v>35</v>
      </c>
    </row>
    <row r="1904" spans="1:3" x14ac:dyDescent="0.35">
      <c r="A1904" s="141" t="s">
        <v>706</v>
      </c>
      <c r="B1904" s="141" t="s">
        <v>281</v>
      </c>
      <c r="C1904" s="141" t="s">
        <v>31</v>
      </c>
    </row>
    <row r="1905" spans="1:3" x14ac:dyDescent="0.35">
      <c r="A1905" s="141" t="s">
        <v>707</v>
      </c>
      <c r="B1905" s="141" t="s">
        <v>281</v>
      </c>
      <c r="C1905" s="141" t="s">
        <v>31</v>
      </c>
    </row>
    <row r="1906" spans="1:3" x14ac:dyDescent="0.35">
      <c r="A1906" s="141" t="s">
        <v>708</v>
      </c>
      <c r="B1906" s="141" t="s">
        <v>281</v>
      </c>
      <c r="C1906" s="141" t="s">
        <v>31</v>
      </c>
    </row>
    <row r="1907" spans="1:3" x14ac:dyDescent="0.35">
      <c r="A1907" s="141" t="s">
        <v>709</v>
      </c>
      <c r="B1907" s="141" t="s">
        <v>281</v>
      </c>
      <c r="C1907" s="141" t="s">
        <v>31</v>
      </c>
    </row>
    <row r="1908" spans="1:3" x14ac:dyDescent="0.35">
      <c r="A1908" s="141" t="s">
        <v>710</v>
      </c>
      <c r="B1908" s="141" t="s">
        <v>281</v>
      </c>
      <c r="C1908" s="141" t="s">
        <v>31</v>
      </c>
    </row>
    <row r="1909" spans="1:3" x14ac:dyDescent="0.35">
      <c r="A1909" s="141" t="s">
        <v>456</v>
      </c>
      <c r="B1909" s="141" t="s">
        <v>281</v>
      </c>
      <c r="C1909" s="141" t="s">
        <v>31</v>
      </c>
    </row>
    <row r="1910" spans="1:3" x14ac:dyDescent="0.35">
      <c r="A1910" s="141" t="s">
        <v>297</v>
      </c>
      <c r="B1910" s="141" t="s">
        <v>281</v>
      </c>
      <c r="C1910" s="141" t="s">
        <v>32</v>
      </c>
    </row>
    <row r="1911" spans="1:3" x14ac:dyDescent="0.35">
      <c r="A1911" s="141" t="s">
        <v>298</v>
      </c>
      <c r="B1911" s="141" t="s">
        <v>281</v>
      </c>
      <c r="C1911" s="141" t="s">
        <v>32</v>
      </c>
    </row>
    <row r="1912" spans="1:3" x14ac:dyDescent="0.35">
      <c r="A1912" s="141" t="s">
        <v>299</v>
      </c>
      <c r="B1912" s="141" t="s">
        <v>281</v>
      </c>
      <c r="C1912" s="141" t="s">
        <v>32</v>
      </c>
    </row>
    <row r="1913" spans="1:3" x14ac:dyDescent="0.35">
      <c r="A1913" s="141" t="s">
        <v>300</v>
      </c>
      <c r="B1913" s="141" t="s">
        <v>281</v>
      </c>
      <c r="C1913" s="141" t="s">
        <v>32</v>
      </c>
    </row>
    <row r="1914" spans="1:3" x14ac:dyDescent="0.35">
      <c r="A1914" s="141" t="s">
        <v>301</v>
      </c>
      <c r="B1914" s="141" t="s">
        <v>281</v>
      </c>
      <c r="C1914" s="141" t="s">
        <v>32</v>
      </c>
    </row>
    <row r="1915" spans="1:3" x14ac:dyDescent="0.35">
      <c r="A1915" s="141" t="s">
        <v>302</v>
      </c>
      <c r="B1915" s="141" t="s">
        <v>281</v>
      </c>
      <c r="C1915" s="141" t="s">
        <v>32</v>
      </c>
    </row>
    <row r="1916" spans="1:3" x14ac:dyDescent="0.35">
      <c r="A1916" s="141" t="s">
        <v>626</v>
      </c>
      <c r="B1916" s="141" t="s">
        <v>281</v>
      </c>
      <c r="C1916" s="141" t="s">
        <v>31</v>
      </c>
    </row>
    <row r="1917" spans="1:3" x14ac:dyDescent="0.35">
      <c r="A1917" s="141" t="s">
        <v>627</v>
      </c>
      <c r="B1917" s="141" t="s">
        <v>281</v>
      </c>
      <c r="C1917" s="141" t="s">
        <v>31</v>
      </c>
    </row>
    <row r="1918" spans="1:3" x14ac:dyDescent="0.35">
      <c r="A1918" s="141" t="s">
        <v>458</v>
      </c>
      <c r="B1918" s="141" t="s">
        <v>281</v>
      </c>
      <c r="C1918" s="141" t="s">
        <v>31</v>
      </c>
    </row>
    <row r="1919" spans="1:3" x14ac:dyDescent="0.35">
      <c r="A1919" s="141" t="s">
        <v>628</v>
      </c>
      <c r="B1919" s="141" t="s">
        <v>281</v>
      </c>
      <c r="C1919" s="141" t="s">
        <v>31</v>
      </c>
    </row>
    <row r="1920" spans="1:3" x14ac:dyDescent="0.35">
      <c r="A1920" s="141" t="s">
        <v>629</v>
      </c>
      <c r="B1920" s="141" t="s">
        <v>281</v>
      </c>
      <c r="C1920" s="141" t="s">
        <v>31</v>
      </c>
    </row>
    <row r="1921" spans="1:3" x14ac:dyDescent="0.35">
      <c r="A1921" s="141" t="s">
        <v>460</v>
      </c>
      <c r="B1921" s="141" t="s">
        <v>281</v>
      </c>
      <c r="C1921" s="141" t="s">
        <v>31</v>
      </c>
    </row>
    <row r="1922" spans="1:3" x14ac:dyDescent="0.35">
      <c r="A1922" s="141" t="s">
        <v>461</v>
      </c>
      <c r="B1922" s="141" t="s">
        <v>281</v>
      </c>
      <c r="C1922" s="141" t="s">
        <v>31</v>
      </c>
    </row>
    <row r="1923" spans="1:3" x14ac:dyDescent="0.35">
      <c r="A1923" s="141" t="s">
        <v>462</v>
      </c>
      <c r="B1923" s="141" t="s">
        <v>281</v>
      </c>
      <c r="C1923" s="141" t="s">
        <v>31</v>
      </c>
    </row>
    <row r="1924" spans="1:3" x14ac:dyDescent="0.35">
      <c r="A1924" s="141" t="s">
        <v>463</v>
      </c>
      <c r="B1924" s="141" t="s">
        <v>281</v>
      </c>
      <c r="C1924" s="141" t="s">
        <v>31</v>
      </c>
    </row>
    <row r="1925" spans="1:3" x14ac:dyDescent="0.35">
      <c r="A1925" s="141" t="s">
        <v>464</v>
      </c>
      <c r="B1925" s="141" t="s">
        <v>281</v>
      </c>
      <c r="C1925" s="141" t="s">
        <v>31</v>
      </c>
    </row>
    <row r="1926" spans="1:3" x14ac:dyDescent="0.35">
      <c r="A1926" s="141" t="s">
        <v>788</v>
      </c>
      <c r="B1926" s="141" t="s">
        <v>281</v>
      </c>
      <c r="C1926" s="141" t="s">
        <v>25</v>
      </c>
    </row>
    <row r="1927" spans="1:3" x14ac:dyDescent="0.35">
      <c r="A1927" s="141" t="s">
        <v>789</v>
      </c>
      <c r="B1927" s="141" t="s">
        <v>281</v>
      </c>
      <c r="C1927" s="141" t="s">
        <v>25</v>
      </c>
    </row>
    <row r="1928" spans="1:3" x14ac:dyDescent="0.35">
      <c r="A1928" s="141" t="s">
        <v>711</v>
      </c>
      <c r="B1928" s="141" t="s">
        <v>281</v>
      </c>
      <c r="C1928" s="141" t="s">
        <v>33</v>
      </c>
    </row>
    <row r="1929" spans="1:3" x14ac:dyDescent="0.35">
      <c r="A1929" s="141" t="s">
        <v>712</v>
      </c>
      <c r="B1929" s="141" t="s">
        <v>281</v>
      </c>
      <c r="C1929" s="141" t="s">
        <v>33</v>
      </c>
    </row>
    <row r="1930" spans="1:3" x14ac:dyDescent="0.35">
      <c r="A1930" s="141" t="s">
        <v>713</v>
      </c>
      <c r="B1930" s="141" t="s">
        <v>281</v>
      </c>
      <c r="C1930" s="141" t="s">
        <v>33</v>
      </c>
    </row>
    <row r="1931" spans="1:3" x14ac:dyDescent="0.35">
      <c r="A1931" s="141" t="s">
        <v>714</v>
      </c>
      <c r="B1931" s="141" t="s">
        <v>281</v>
      </c>
      <c r="C1931" s="141" t="s">
        <v>36</v>
      </c>
    </row>
    <row r="1932" spans="1:3" x14ac:dyDescent="0.35">
      <c r="A1932" s="141" t="s">
        <v>715</v>
      </c>
      <c r="B1932" s="141" t="s">
        <v>281</v>
      </c>
      <c r="C1932" s="141" t="s">
        <v>36</v>
      </c>
    </row>
    <row r="1933" spans="1:3" x14ac:dyDescent="0.35">
      <c r="A1933" s="141" t="s">
        <v>716</v>
      </c>
      <c r="B1933" s="141" t="s">
        <v>281</v>
      </c>
      <c r="C1933" s="141" t="s">
        <v>36</v>
      </c>
    </row>
    <row r="1934" spans="1:3" x14ac:dyDescent="0.35">
      <c r="A1934" s="141" t="s">
        <v>717</v>
      </c>
      <c r="B1934" s="141" t="s">
        <v>281</v>
      </c>
      <c r="C1934" s="141" t="s">
        <v>36</v>
      </c>
    </row>
    <row r="1935" spans="1:3" x14ac:dyDescent="0.35">
      <c r="A1935" s="141" t="s">
        <v>718</v>
      </c>
      <c r="B1935" s="141" t="s">
        <v>281</v>
      </c>
      <c r="C1935" s="141" t="s">
        <v>36</v>
      </c>
    </row>
    <row r="1936" spans="1:3" x14ac:dyDescent="0.35">
      <c r="A1936" s="141" t="s">
        <v>719</v>
      </c>
      <c r="B1936" s="141" t="s">
        <v>281</v>
      </c>
      <c r="C1936" s="141" t="s">
        <v>36</v>
      </c>
    </row>
    <row r="1937" spans="1:3" x14ac:dyDescent="0.35">
      <c r="A1937" s="141" t="s">
        <v>720</v>
      </c>
      <c r="B1937" s="141" t="s">
        <v>281</v>
      </c>
      <c r="C1937" s="141" t="s">
        <v>36</v>
      </c>
    </row>
    <row r="1938" spans="1:3" x14ac:dyDescent="0.35">
      <c r="A1938" s="141" t="s">
        <v>721</v>
      </c>
      <c r="B1938" s="141" t="s">
        <v>281</v>
      </c>
      <c r="C1938" s="141" t="s">
        <v>36</v>
      </c>
    </row>
    <row r="1939" spans="1:3" x14ac:dyDescent="0.35">
      <c r="A1939" s="141" t="s">
        <v>722</v>
      </c>
      <c r="B1939" s="141" t="s">
        <v>281</v>
      </c>
      <c r="C1939" s="141" t="s">
        <v>36</v>
      </c>
    </row>
    <row r="1940" spans="1:3" x14ac:dyDescent="0.35">
      <c r="A1940" s="141" t="s">
        <v>723</v>
      </c>
      <c r="B1940" s="141" t="s">
        <v>281</v>
      </c>
      <c r="C1940" s="141" t="s">
        <v>36</v>
      </c>
    </row>
    <row r="1941" spans="1:3" x14ac:dyDescent="0.35">
      <c r="A1941" s="141" t="s">
        <v>724</v>
      </c>
      <c r="B1941" s="141" t="s">
        <v>281</v>
      </c>
      <c r="C1941" s="141" t="s">
        <v>37</v>
      </c>
    </row>
    <row r="1942" spans="1:3" x14ac:dyDescent="0.35">
      <c r="A1942" s="141" t="s">
        <v>725</v>
      </c>
      <c r="B1942" s="141" t="s">
        <v>281</v>
      </c>
      <c r="C1942" s="141" t="s">
        <v>37</v>
      </c>
    </row>
    <row r="1943" spans="1:3" x14ac:dyDescent="0.35">
      <c r="A1943" s="141" t="s">
        <v>726</v>
      </c>
      <c r="B1943" s="141" t="s">
        <v>281</v>
      </c>
      <c r="C1943" s="141" t="s">
        <v>33</v>
      </c>
    </row>
    <row r="1944" spans="1:3" x14ac:dyDescent="0.35">
      <c r="A1944" s="141" t="s">
        <v>727</v>
      </c>
      <c r="B1944" s="141" t="s">
        <v>281</v>
      </c>
      <c r="C1944" s="141" t="s">
        <v>36</v>
      </c>
    </row>
    <row r="1945" spans="1:3" x14ac:dyDescent="0.35">
      <c r="A1945" s="141" t="s">
        <v>728</v>
      </c>
      <c r="B1945" s="141" t="s">
        <v>281</v>
      </c>
      <c r="C1945" s="141" t="s">
        <v>28</v>
      </c>
    </row>
    <row r="1946" spans="1:3" x14ac:dyDescent="0.35">
      <c r="A1946" s="141" t="s">
        <v>729</v>
      </c>
      <c r="B1946" s="141" t="s">
        <v>281</v>
      </c>
      <c r="C1946" s="141" t="s">
        <v>28</v>
      </c>
    </row>
    <row r="1947" spans="1:3" x14ac:dyDescent="0.35">
      <c r="A1947" s="141" t="s">
        <v>730</v>
      </c>
      <c r="B1947" s="141" t="s">
        <v>281</v>
      </c>
      <c r="C1947" s="141" t="s">
        <v>28</v>
      </c>
    </row>
    <row r="1948" spans="1:3" x14ac:dyDescent="0.35">
      <c r="A1948" s="141" t="s">
        <v>731</v>
      </c>
      <c r="B1948" s="141" t="s">
        <v>281</v>
      </c>
      <c r="C1948" s="141" t="s">
        <v>29</v>
      </c>
    </row>
    <row r="1949" spans="1:3" x14ac:dyDescent="0.35">
      <c r="A1949" s="141" t="s">
        <v>732</v>
      </c>
      <c r="B1949" s="141" t="s">
        <v>281</v>
      </c>
      <c r="C1949" s="141" t="s">
        <v>28</v>
      </c>
    </row>
    <row r="1950" spans="1:3" x14ac:dyDescent="0.35">
      <c r="A1950" s="141" t="s">
        <v>790</v>
      </c>
      <c r="B1950" s="141" t="s">
        <v>281</v>
      </c>
      <c r="C1950" s="141" t="s">
        <v>33</v>
      </c>
    </row>
    <row r="1951" spans="1:3" x14ac:dyDescent="0.35">
      <c r="A1951" s="141" t="s">
        <v>791</v>
      </c>
      <c r="B1951" s="141" t="s">
        <v>281</v>
      </c>
      <c r="C1951" s="141" t="s">
        <v>33</v>
      </c>
    </row>
    <row r="1952" spans="1:3" x14ac:dyDescent="0.35">
      <c r="A1952" s="141" t="s">
        <v>734</v>
      </c>
      <c r="B1952" s="141" t="s">
        <v>281</v>
      </c>
      <c r="C1952" s="141" t="s">
        <v>33</v>
      </c>
    </row>
    <row r="1953" spans="1:3" x14ac:dyDescent="0.35">
      <c r="A1953" s="141" t="s">
        <v>570</v>
      </c>
      <c r="B1953" s="141" t="s">
        <v>281</v>
      </c>
      <c r="C1953" s="141" t="s">
        <v>52</v>
      </c>
    </row>
    <row r="1954" spans="1:3" x14ac:dyDescent="0.35">
      <c r="A1954" s="141" t="s">
        <v>792</v>
      </c>
      <c r="B1954" s="141" t="s">
        <v>281</v>
      </c>
      <c r="C1954" s="141" t="s">
        <v>52</v>
      </c>
    </row>
    <row r="1955" spans="1:3" x14ac:dyDescent="0.35">
      <c r="A1955" s="141" t="s">
        <v>449</v>
      </c>
      <c r="B1955" s="141" t="s">
        <v>281</v>
      </c>
      <c r="C1955" s="141" t="s">
        <v>52</v>
      </c>
    </row>
    <row r="1956" spans="1:3" x14ac:dyDescent="0.35">
      <c r="A1956" s="141" t="s">
        <v>793</v>
      </c>
      <c r="B1956" s="141" t="s">
        <v>281</v>
      </c>
      <c r="C1956" s="141" t="s">
        <v>52</v>
      </c>
    </row>
    <row r="1957" spans="1:3" x14ac:dyDescent="0.35">
      <c r="A1957" s="141" t="s">
        <v>794</v>
      </c>
      <c r="B1957" s="141" t="s">
        <v>281</v>
      </c>
      <c r="C1957" s="141" t="s">
        <v>52</v>
      </c>
    </row>
    <row r="1958" spans="1:3" x14ac:dyDescent="0.35">
      <c r="A1958" s="141" t="s">
        <v>304</v>
      </c>
      <c r="B1958" s="141" t="s">
        <v>281</v>
      </c>
      <c r="C1958" s="141"/>
    </row>
    <row r="1959" spans="1:3" x14ac:dyDescent="0.35">
      <c r="A1959" s="141" t="s">
        <v>795</v>
      </c>
      <c r="B1959" s="141" t="s">
        <v>281</v>
      </c>
      <c r="C1959" s="141"/>
    </row>
    <row r="1960" spans="1:3" x14ac:dyDescent="0.35">
      <c r="A1960" s="141" t="s">
        <v>796</v>
      </c>
      <c r="B1960" s="141" t="s">
        <v>281</v>
      </c>
      <c r="C1960" s="141"/>
    </row>
    <row r="1961" spans="1:3" x14ac:dyDescent="0.35">
      <c r="A1961" s="141" t="s">
        <v>601</v>
      </c>
      <c r="B1961" s="141" t="s">
        <v>281</v>
      </c>
      <c r="C1961" s="141" t="s">
        <v>40</v>
      </c>
    </row>
    <row r="1962" spans="1:3" x14ac:dyDescent="0.35">
      <c r="A1962" s="141" t="s">
        <v>602</v>
      </c>
      <c r="B1962" s="141" t="s">
        <v>281</v>
      </c>
      <c r="C1962" s="141" t="s">
        <v>39</v>
      </c>
    </row>
    <row r="1963" spans="1:3" x14ac:dyDescent="0.35">
      <c r="A1963" s="141" t="s">
        <v>735</v>
      </c>
      <c r="B1963" s="141" t="s">
        <v>281</v>
      </c>
      <c r="C1963" s="141" t="s">
        <v>41</v>
      </c>
    </row>
    <row r="1964" spans="1:3" x14ac:dyDescent="0.35">
      <c r="A1964" s="141" t="s">
        <v>736</v>
      </c>
      <c r="B1964" s="141" t="s">
        <v>281</v>
      </c>
      <c r="C1964" s="141" t="s">
        <v>41</v>
      </c>
    </row>
    <row r="1965" spans="1:3" x14ac:dyDescent="0.35">
      <c r="A1965" s="141" t="s">
        <v>737</v>
      </c>
      <c r="B1965" s="141" t="s">
        <v>281</v>
      </c>
      <c r="C1965" s="141" t="s">
        <v>41</v>
      </c>
    </row>
    <row r="1966" spans="1:3" x14ac:dyDescent="0.35">
      <c r="A1966" s="141" t="s">
        <v>738</v>
      </c>
      <c r="B1966" s="141" t="s">
        <v>281</v>
      </c>
      <c r="C1966" s="141" t="s">
        <v>41</v>
      </c>
    </row>
    <row r="1967" spans="1:3" x14ac:dyDescent="0.35">
      <c r="A1967" s="141" t="s">
        <v>797</v>
      </c>
      <c r="B1967" s="141" t="s">
        <v>281</v>
      </c>
      <c r="C1967" s="141" t="s">
        <v>41</v>
      </c>
    </row>
    <row r="1968" spans="1:3" x14ac:dyDescent="0.35">
      <c r="A1968" s="141" t="s">
        <v>798</v>
      </c>
      <c r="B1968" s="141" t="s">
        <v>281</v>
      </c>
      <c r="C1968" s="141" t="s">
        <v>40</v>
      </c>
    </row>
    <row r="1969" spans="1:3" x14ac:dyDescent="0.35">
      <c r="A1969" s="141" t="s">
        <v>799</v>
      </c>
      <c r="B1969" s="141" t="s">
        <v>281</v>
      </c>
      <c r="C1969" s="141" t="s">
        <v>40</v>
      </c>
    </row>
    <row r="1970" spans="1:3" x14ac:dyDescent="0.35">
      <c r="A1970" s="141" t="s">
        <v>739</v>
      </c>
      <c r="B1970" s="141" t="s">
        <v>281</v>
      </c>
      <c r="C1970" s="141" t="s">
        <v>52</v>
      </c>
    </row>
    <row r="1971" spans="1:3" x14ac:dyDescent="0.35">
      <c r="A1971" s="141" t="s">
        <v>800</v>
      </c>
      <c r="B1971" s="141" t="s">
        <v>281</v>
      </c>
      <c r="C1971" s="141" t="s">
        <v>21</v>
      </c>
    </row>
    <row r="1972" spans="1:3" x14ac:dyDescent="0.35">
      <c r="A1972" s="141" t="s">
        <v>306</v>
      </c>
      <c r="B1972" s="141" t="s">
        <v>281</v>
      </c>
      <c r="C1972" s="141" t="s">
        <v>35</v>
      </c>
    </row>
    <row r="1973" spans="1:3" x14ac:dyDescent="0.35">
      <c r="A1973" s="141" t="s">
        <v>740</v>
      </c>
      <c r="B1973" s="141" t="s">
        <v>281</v>
      </c>
      <c r="C1973" s="141" t="s">
        <v>33</v>
      </c>
    </row>
    <row r="1974" spans="1:3" x14ac:dyDescent="0.35">
      <c r="A1974" s="141" t="s">
        <v>550</v>
      </c>
      <c r="B1974" s="141" t="s">
        <v>281</v>
      </c>
      <c r="C1974" s="141" t="s">
        <v>33</v>
      </c>
    </row>
    <row r="1975" spans="1:3" x14ac:dyDescent="0.35">
      <c r="A1975" s="141" t="s">
        <v>551</v>
      </c>
      <c r="B1975" s="141" t="s">
        <v>281</v>
      </c>
      <c r="C1975" s="141" t="s">
        <v>33</v>
      </c>
    </row>
    <row r="1976" spans="1:3" x14ac:dyDescent="0.35">
      <c r="A1976" s="141" t="s">
        <v>307</v>
      </c>
      <c r="B1976" s="141" t="s">
        <v>281</v>
      </c>
      <c r="C1976" s="141" t="s">
        <v>33</v>
      </c>
    </row>
    <row r="1977" spans="1:3" x14ac:dyDescent="0.35">
      <c r="A1977" s="141" t="s">
        <v>427</v>
      </c>
      <c r="B1977" s="141" t="s">
        <v>281</v>
      </c>
      <c r="C1977" s="141" t="s">
        <v>27</v>
      </c>
    </row>
    <row r="1978" spans="1:3" x14ac:dyDescent="0.35">
      <c r="A1978" s="141" t="s">
        <v>428</v>
      </c>
      <c r="B1978" s="141" t="s">
        <v>281</v>
      </c>
      <c r="C1978" s="141" t="s">
        <v>27</v>
      </c>
    </row>
    <row r="1979" spans="1:3" x14ac:dyDescent="0.35">
      <c r="A1979" s="141" t="s">
        <v>429</v>
      </c>
      <c r="B1979" s="141" t="s">
        <v>281</v>
      </c>
      <c r="C1979" s="141" t="s">
        <v>27</v>
      </c>
    </row>
    <row r="1980" spans="1:3" x14ac:dyDescent="0.35">
      <c r="A1980" s="141" t="s">
        <v>426</v>
      </c>
      <c r="B1980" s="141" t="s">
        <v>281</v>
      </c>
      <c r="C1980" s="141" t="s">
        <v>27</v>
      </c>
    </row>
    <row r="1981" spans="1:3" x14ac:dyDescent="0.35">
      <c r="A1981" s="141" t="s">
        <v>430</v>
      </c>
      <c r="B1981" s="141" t="s">
        <v>281</v>
      </c>
      <c r="C1981" s="141" t="s">
        <v>27</v>
      </c>
    </row>
    <row r="1982" spans="1:3" x14ac:dyDescent="0.35">
      <c r="A1982" s="141" t="s">
        <v>431</v>
      </c>
      <c r="B1982" s="141" t="s">
        <v>281</v>
      </c>
      <c r="C1982" s="141" t="s">
        <v>27</v>
      </c>
    </row>
    <row r="1983" spans="1:3" x14ac:dyDescent="0.35">
      <c r="A1983" s="141" t="s">
        <v>308</v>
      </c>
      <c r="B1983" s="141" t="s">
        <v>281</v>
      </c>
      <c r="C1983" s="141" t="s">
        <v>53</v>
      </c>
    </row>
    <row r="1984" spans="1:3" x14ac:dyDescent="0.35">
      <c r="A1984" s="141" t="s">
        <v>309</v>
      </c>
      <c r="B1984" s="141" t="s">
        <v>281</v>
      </c>
      <c r="C1984" s="141" t="s">
        <v>53</v>
      </c>
    </row>
    <row r="1985" spans="1:3" x14ac:dyDescent="0.35">
      <c r="A1985" s="141" t="s">
        <v>310</v>
      </c>
      <c r="B1985" s="141" t="s">
        <v>281</v>
      </c>
      <c r="C1985" s="141" t="s">
        <v>53</v>
      </c>
    </row>
    <row r="1986" spans="1:3" x14ac:dyDescent="0.35">
      <c r="A1986" s="141" t="s">
        <v>311</v>
      </c>
      <c r="B1986" s="141" t="s">
        <v>281</v>
      </c>
      <c r="C1986" s="141" t="s">
        <v>53</v>
      </c>
    </row>
    <row r="1987" spans="1:3" x14ac:dyDescent="0.35">
      <c r="A1987" s="141" t="s">
        <v>534</v>
      </c>
      <c r="B1987" s="141" t="s">
        <v>281</v>
      </c>
      <c r="C1987" s="141" t="s">
        <v>53</v>
      </c>
    </row>
    <row r="1988" spans="1:3" x14ac:dyDescent="0.35">
      <c r="A1988" s="141" t="s">
        <v>312</v>
      </c>
      <c r="B1988" s="141" t="s">
        <v>281</v>
      </c>
      <c r="C1988" s="141" t="s">
        <v>53</v>
      </c>
    </row>
    <row r="1989" spans="1:3" x14ac:dyDescent="0.35">
      <c r="A1989" s="141" t="s">
        <v>801</v>
      </c>
      <c r="B1989" s="141" t="s">
        <v>281</v>
      </c>
      <c r="C1989" s="141" t="s">
        <v>52</v>
      </c>
    </row>
    <row r="1990" spans="1:3" x14ac:dyDescent="0.35">
      <c r="A1990" s="141" t="s">
        <v>531</v>
      </c>
      <c r="B1990" s="141" t="s">
        <v>281</v>
      </c>
      <c r="C1990" s="141" t="s">
        <v>51</v>
      </c>
    </row>
    <row r="1991" spans="1:3" x14ac:dyDescent="0.35">
      <c r="A1991" s="141" t="s">
        <v>741</v>
      </c>
      <c r="B1991" s="141" t="s">
        <v>281</v>
      </c>
      <c r="C1991" s="141" t="s">
        <v>51</v>
      </c>
    </row>
    <row r="1992" spans="1:3" x14ac:dyDescent="0.35">
      <c r="A1992" s="141" t="s">
        <v>742</v>
      </c>
      <c r="B1992" s="141" t="s">
        <v>281</v>
      </c>
      <c r="C1992" s="141" t="s">
        <v>51</v>
      </c>
    </row>
    <row r="1993" spans="1:3" x14ac:dyDescent="0.35">
      <c r="A1993" s="141" t="s">
        <v>743</v>
      </c>
      <c r="B1993" s="141" t="s">
        <v>281</v>
      </c>
      <c r="C1993" s="141" t="s">
        <v>51</v>
      </c>
    </row>
    <row r="1994" spans="1:3" x14ac:dyDescent="0.35">
      <c r="A1994" s="141" t="s">
        <v>747</v>
      </c>
      <c r="B1994" s="141" t="s">
        <v>281</v>
      </c>
      <c r="C1994" s="141" t="s">
        <v>51</v>
      </c>
    </row>
    <row r="1995" spans="1:3" x14ac:dyDescent="0.35">
      <c r="A1995" s="141" t="s">
        <v>748</v>
      </c>
      <c r="B1995" s="141" t="s">
        <v>281</v>
      </c>
      <c r="C1995" s="141" t="s">
        <v>51</v>
      </c>
    </row>
    <row r="1996" spans="1:3" x14ac:dyDescent="0.35">
      <c r="A1996" s="141" t="s">
        <v>313</v>
      </c>
      <c r="B1996" s="141" t="s">
        <v>281</v>
      </c>
      <c r="C1996" s="141" t="s">
        <v>51</v>
      </c>
    </row>
    <row r="1997" spans="1:3" x14ac:dyDescent="0.35">
      <c r="A1997" s="141" t="s">
        <v>533</v>
      </c>
      <c r="B1997" s="141" t="s">
        <v>281</v>
      </c>
      <c r="C1997" s="141" t="s">
        <v>50</v>
      </c>
    </row>
    <row r="1998" spans="1:3" x14ac:dyDescent="0.35">
      <c r="A1998" s="141" t="s">
        <v>542</v>
      </c>
      <c r="B1998" s="141" t="s">
        <v>281</v>
      </c>
      <c r="C1998" s="141" t="s">
        <v>52</v>
      </c>
    </row>
    <row r="1999" spans="1:3" x14ac:dyDescent="0.35">
      <c r="A1999" s="141" t="s">
        <v>543</v>
      </c>
      <c r="B1999" s="141" t="s">
        <v>281</v>
      </c>
      <c r="C1999" s="141" t="s">
        <v>52</v>
      </c>
    </row>
    <row r="2000" spans="1:3" x14ac:dyDescent="0.35">
      <c r="A2000" s="141" t="s">
        <v>577</v>
      </c>
      <c r="B2000" s="141" t="s">
        <v>281</v>
      </c>
      <c r="C2000" s="141" t="s">
        <v>52</v>
      </c>
    </row>
    <row r="2001" spans="1:3" x14ac:dyDescent="0.35">
      <c r="A2001" s="141" t="s">
        <v>578</v>
      </c>
      <c r="B2001" s="141" t="s">
        <v>281</v>
      </c>
      <c r="C2001" s="141" t="s">
        <v>52</v>
      </c>
    </row>
    <row r="2002" spans="1:3" x14ac:dyDescent="0.35">
      <c r="A2002" s="141" t="s">
        <v>535</v>
      </c>
      <c r="B2002" s="141" t="s">
        <v>281</v>
      </c>
      <c r="C2002" s="141" t="s">
        <v>52</v>
      </c>
    </row>
    <row r="2003" spans="1:3" x14ac:dyDescent="0.35">
      <c r="A2003" s="141" t="s">
        <v>536</v>
      </c>
      <c r="B2003" s="141" t="s">
        <v>281</v>
      </c>
      <c r="C2003" s="141" t="s">
        <v>52</v>
      </c>
    </row>
    <row r="2004" spans="1:3" x14ac:dyDescent="0.35">
      <c r="A2004" s="141" t="s">
        <v>537</v>
      </c>
      <c r="B2004" s="141" t="s">
        <v>281</v>
      </c>
      <c r="C2004" s="141" t="s">
        <v>52</v>
      </c>
    </row>
    <row r="2005" spans="1:3" x14ac:dyDescent="0.35">
      <c r="A2005" s="141" t="s">
        <v>538</v>
      </c>
      <c r="B2005" s="141" t="s">
        <v>281</v>
      </c>
      <c r="C2005" s="141" t="s">
        <v>52</v>
      </c>
    </row>
    <row r="2006" spans="1:3" x14ac:dyDescent="0.35">
      <c r="A2006" s="141" t="s">
        <v>539</v>
      </c>
      <c r="B2006" s="141" t="s">
        <v>281</v>
      </c>
      <c r="C2006" s="141" t="s">
        <v>52</v>
      </c>
    </row>
    <row r="2007" spans="1:3" x14ac:dyDescent="0.35">
      <c r="A2007" s="141" t="s">
        <v>540</v>
      </c>
      <c r="B2007" s="141" t="s">
        <v>281</v>
      </c>
      <c r="C2007" s="141" t="s">
        <v>52</v>
      </c>
    </row>
    <row r="2008" spans="1:3" x14ac:dyDescent="0.35">
      <c r="A2008" s="141" t="s">
        <v>652</v>
      </c>
      <c r="B2008" s="141" t="s">
        <v>281</v>
      </c>
      <c r="C2008" s="141" t="s">
        <v>52</v>
      </c>
    </row>
    <row r="2009" spans="1:3" x14ac:dyDescent="0.35">
      <c r="A2009" s="141" t="s">
        <v>802</v>
      </c>
      <c r="B2009" s="141" t="s">
        <v>281</v>
      </c>
      <c r="C2009" s="141" t="s">
        <v>52</v>
      </c>
    </row>
    <row r="2010" spans="1:3" x14ac:dyDescent="0.35">
      <c r="A2010" s="141" t="s">
        <v>803</v>
      </c>
      <c r="B2010" s="141" t="s">
        <v>281</v>
      </c>
      <c r="C2010" s="141" t="s">
        <v>52</v>
      </c>
    </row>
    <row r="2011" spans="1:3" x14ac:dyDescent="0.35">
      <c r="A2011" s="141" t="s">
        <v>575</v>
      </c>
      <c r="B2011" s="141" t="s">
        <v>281</v>
      </c>
      <c r="C2011" s="141" t="s">
        <v>52</v>
      </c>
    </row>
    <row r="2012" spans="1:3" x14ac:dyDescent="0.35">
      <c r="A2012" s="141" t="s">
        <v>639</v>
      </c>
      <c r="B2012" s="141" t="s">
        <v>281</v>
      </c>
      <c r="C2012" s="141" t="s">
        <v>25</v>
      </c>
    </row>
    <row r="2013" spans="1:3" x14ac:dyDescent="0.35">
      <c r="A2013" s="141" t="s">
        <v>640</v>
      </c>
      <c r="B2013" s="141" t="s">
        <v>281</v>
      </c>
      <c r="C2013" s="141" t="s">
        <v>25</v>
      </c>
    </row>
    <row r="2014" spans="1:3" x14ac:dyDescent="0.35">
      <c r="A2014" s="141" t="s">
        <v>744</v>
      </c>
      <c r="B2014" s="141" t="s">
        <v>281</v>
      </c>
      <c r="C2014" s="141" t="s">
        <v>52</v>
      </c>
    </row>
    <row r="2015" spans="1:3" x14ac:dyDescent="0.35">
      <c r="A2015" s="141" t="s">
        <v>544</v>
      </c>
      <c r="B2015" s="141" t="s">
        <v>281</v>
      </c>
      <c r="C2015" s="141" t="s">
        <v>33</v>
      </c>
    </row>
    <row r="2016" spans="1:3" x14ac:dyDescent="0.35">
      <c r="A2016" s="141" t="s">
        <v>804</v>
      </c>
      <c r="B2016" s="141" t="s">
        <v>281</v>
      </c>
      <c r="C2016" s="141" t="s">
        <v>53</v>
      </c>
    </row>
    <row r="2017" spans="1:3" x14ac:dyDescent="0.35">
      <c r="A2017" s="141" t="s">
        <v>805</v>
      </c>
      <c r="B2017" s="141" t="s">
        <v>281</v>
      </c>
      <c r="C2017" s="141" t="s">
        <v>52</v>
      </c>
    </row>
    <row r="2018" spans="1:3" x14ac:dyDescent="0.35">
      <c r="A2018" s="141" t="s">
        <v>546</v>
      </c>
      <c r="B2018" s="141" t="s">
        <v>281</v>
      </c>
      <c r="C2018" s="141" t="s">
        <v>52</v>
      </c>
    </row>
    <row r="2019" spans="1:3" x14ac:dyDescent="0.35">
      <c r="A2019" s="141" t="s">
        <v>547</v>
      </c>
      <c r="B2019" s="141" t="s">
        <v>281</v>
      </c>
      <c r="C2019" s="141" t="s">
        <v>52</v>
      </c>
    </row>
    <row r="2020" spans="1:3" x14ac:dyDescent="0.35">
      <c r="A2020" s="141" t="s">
        <v>314</v>
      </c>
      <c r="B2020" s="141" t="s">
        <v>281</v>
      </c>
      <c r="C2020" s="141" t="s">
        <v>16</v>
      </c>
    </row>
    <row r="2021" spans="1:3" x14ac:dyDescent="0.35">
      <c r="A2021" s="141" t="s">
        <v>315</v>
      </c>
      <c r="B2021" s="141" t="s">
        <v>281</v>
      </c>
      <c r="C2021" s="141" t="s">
        <v>16</v>
      </c>
    </row>
    <row r="2022" spans="1:3" x14ac:dyDescent="0.35">
      <c r="A2022" s="141" t="s">
        <v>316</v>
      </c>
      <c r="B2022" s="141" t="s">
        <v>281</v>
      </c>
      <c r="C2022" s="141" t="s">
        <v>16</v>
      </c>
    </row>
    <row r="2023" spans="1:3" x14ac:dyDescent="0.35">
      <c r="A2023" s="141" t="s">
        <v>317</v>
      </c>
      <c r="B2023" s="141" t="s">
        <v>281</v>
      </c>
      <c r="C2023" s="141" t="s">
        <v>16</v>
      </c>
    </row>
    <row r="2024" spans="1:3" x14ac:dyDescent="0.35">
      <c r="A2024" s="141" t="s">
        <v>318</v>
      </c>
      <c r="B2024" s="141" t="s">
        <v>281</v>
      </c>
      <c r="C2024" s="141" t="s">
        <v>16</v>
      </c>
    </row>
    <row r="2025" spans="1:3" x14ac:dyDescent="0.35">
      <c r="A2025" s="141" t="s">
        <v>319</v>
      </c>
      <c r="B2025" s="141" t="s">
        <v>281</v>
      </c>
      <c r="C2025" s="141" t="s">
        <v>16</v>
      </c>
    </row>
    <row r="2026" spans="1:3" x14ac:dyDescent="0.35">
      <c r="A2026" s="141" t="s">
        <v>320</v>
      </c>
      <c r="B2026" s="141" t="s">
        <v>281</v>
      </c>
      <c r="C2026" s="141" t="s">
        <v>16</v>
      </c>
    </row>
    <row r="2027" spans="1:3" x14ac:dyDescent="0.35">
      <c r="A2027" s="141" t="s">
        <v>322</v>
      </c>
      <c r="B2027" s="141" t="s">
        <v>281</v>
      </c>
      <c r="C2027" s="141" t="s">
        <v>16</v>
      </c>
    </row>
    <row r="2028" spans="1:3" x14ac:dyDescent="0.35">
      <c r="A2028" s="141" t="s">
        <v>324</v>
      </c>
      <c r="B2028" s="141" t="s">
        <v>281</v>
      </c>
      <c r="C2028" s="141" t="s">
        <v>16</v>
      </c>
    </row>
    <row r="2029" spans="1:3" x14ac:dyDescent="0.35">
      <c r="A2029" s="141" t="s">
        <v>325</v>
      </c>
      <c r="B2029" s="141" t="s">
        <v>281</v>
      </c>
      <c r="C2029" s="141" t="s">
        <v>16</v>
      </c>
    </row>
    <row r="2030" spans="1:3" x14ac:dyDescent="0.35">
      <c r="A2030" s="141" t="s">
        <v>326</v>
      </c>
      <c r="B2030" s="141" t="s">
        <v>281</v>
      </c>
      <c r="C2030" s="141" t="s">
        <v>16</v>
      </c>
    </row>
    <row r="2031" spans="1:3" x14ac:dyDescent="0.35">
      <c r="A2031" s="141" t="s">
        <v>327</v>
      </c>
      <c r="B2031" s="141" t="s">
        <v>281</v>
      </c>
      <c r="C2031" s="141" t="s">
        <v>16</v>
      </c>
    </row>
    <row r="2032" spans="1:3" x14ac:dyDescent="0.35">
      <c r="A2032" s="141" t="s">
        <v>328</v>
      </c>
      <c r="B2032" s="141" t="s">
        <v>281</v>
      </c>
      <c r="C2032" s="141" t="s">
        <v>16</v>
      </c>
    </row>
    <row r="2033" spans="1:3" x14ac:dyDescent="0.35">
      <c r="A2033" s="141" t="s">
        <v>330</v>
      </c>
      <c r="B2033" s="141" t="s">
        <v>281</v>
      </c>
      <c r="C2033" s="141" t="s">
        <v>16</v>
      </c>
    </row>
    <row r="2034" spans="1:3" x14ac:dyDescent="0.35">
      <c r="A2034" s="141" t="s">
        <v>331</v>
      </c>
      <c r="B2034" s="141" t="s">
        <v>281</v>
      </c>
      <c r="C2034" s="141" t="s">
        <v>16</v>
      </c>
    </row>
    <row r="2035" spans="1:3" x14ac:dyDescent="0.35">
      <c r="A2035" s="141" t="s">
        <v>332</v>
      </c>
      <c r="B2035" s="141" t="s">
        <v>281</v>
      </c>
      <c r="C2035" s="141" t="s">
        <v>16</v>
      </c>
    </row>
    <row r="2036" spans="1:3" x14ac:dyDescent="0.35">
      <c r="A2036" s="141" t="s">
        <v>333</v>
      </c>
      <c r="B2036" s="141" t="s">
        <v>281</v>
      </c>
      <c r="C2036" s="141" t="s">
        <v>16</v>
      </c>
    </row>
    <row r="2037" spans="1:3" x14ac:dyDescent="0.35">
      <c r="A2037" s="141" t="s">
        <v>334</v>
      </c>
      <c r="B2037" s="141" t="s">
        <v>281</v>
      </c>
      <c r="C2037" s="141" t="s">
        <v>16</v>
      </c>
    </row>
    <row r="2038" spans="1:3" x14ac:dyDescent="0.35">
      <c r="A2038" s="141" t="s">
        <v>335</v>
      </c>
      <c r="B2038" s="141" t="s">
        <v>281</v>
      </c>
      <c r="C2038" s="141" t="s">
        <v>16</v>
      </c>
    </row>
    <row r="2039" spans="1:3" x14ac:dyDescent="0.35">
      <c r="A2039" s="141" t="s">
        <v>336</v>
      </c>
      <c r="B2039" s="141" t="s">
        <v>281</v>
      </c>
      <c r="C2039" s="141" t="s">
        <v>16</v>
      </c>
    </row>
    <row r="2040" spans="1:3" x14ac:dyDescent="0.35">
      <c r="A2040" s="141" t="s">
        <v>806</v>
      </c>
      <c r="B2040" s="141" t="s">
        <v>281</v>
      </c>
      <c r="C2040" s="141" t="s">
        <v>32</v>
      </c>
    </row>
    <row r="2041" spans="1:3" x14ac:dyDescent="0.35">
      <c r="A2041" s="141" t="s">
        <v>579</v>
      </c>
      <c r="B2041" s="141" t="s">
        <v>281</v>
      </c>
      <c r="C2041" s="141" t="s">
        <v>32</v>
      </c>
    </row>
    <row r="2042" spans="1:3" x14ac:dyDescent="0.35">
      <c r="A2042" s="141" t="s">
        <v>556</v>
      </c>
      <c r="B2042" s="141" t="s">
        <v>281</v>
      </c>
      <c r="C2042" s="141" t="s">
        <v>32</v>
      </c>
    </row>
    <row r="2043" spans="1:3" x14ac:dyDescent="0.35">
      <c r="A2043" s="141" t="s">
        <v>557</v>
      </c>
      <c r="B2043" s="141" t="s">
        <v>281</v>
      </c>
      <c r="C2043" s="141" t="s">
        <v>32</v>
      </c>
    </row>
    <row r="2044" spans="1:3" x14ac:dyDescent="0.35">
      <c r="A2044" s="141" t="s">
        <v>558</v>
      </c>
      <c r="B2044" s="141" t="s">
        <v>281</v>
      </c>
      <c r="C2044" s="141" t="s">
        <v>32</v>
      </c>
    </row>
    <row r="2045" spans="1:3" x14ac:dyDescent="0.35">
      <c r="A2045" s="141" t="s">
        <v>580</v>
      </c>
      <c r="B2045" s="141" t="s">
        <v>281</v>
      </c>
      <c r="C2045" s="141" t="s">
        <v>32</v>
      </c>
    </row>
    <row r="2046" spans="1:3" x14ac:dyDescent="0.35">
      <c r="A2046" s="141" t="s">
        <v>611</v>
      </c>
      <c r="B2046" s="141" t="s">
        <v>281</v>
      </c>
      <c r="C2046" s="141" t="s">
        <v>43</v>
      </c>
    </row>
    <row r="2047" spans="1:3" x14ac:dyDescent="0.35">
      <c r="A2047" s="141" t="s">
        <v>612</v>
      </c>
      <c r="B2047" s="141" t="s">
        <v>281</v>
      </c>
      <c r="C2047" s="141" t="s">
        <v>43</v>
      </c>
    </row>
    <row r="2048" spans="1:3" x14ac:dyDescent="0.35">
      <c r="A2048" s="141" t="s">
        <v>613</v>
      </c>
      <c r="B2048" s="141" t="s">
        <v>281</v>
      </c>
      <c r="C2048" s="141" t="s">
        <v>43</v>
      </c>
    </row>
    <row r="2049" spans="1:3" x14ac:dyDescent="0.35">
      <c r="A2049" s="141" t="s">
        <v>614</v>
      </c>
      <c r="B2049" s="141" t="s">
        <v>281</v>
      </c>
      <c r="C2049" s="141" t="s">
        <v>43</v>
      </c>
    </row>
    <row r="2050" spans="1:3" x14ac:dyDescent="0.35">
      <c r="A2050" s="141" t="s">
        <v>615</v>
      </c>
      <c r="B2050" s="141" t="s">
        <v>281</v>
      </c>
      <c r="C2050" s="141" t="s">
        <v>43</v>
      </c>
    </row>
    <row r="2051" spans="1:3" x14ac:dyDescent="0.35">
      <c r="A2051" s="141" t="s">
        <v>616</v>
      </c>
      <c r="B2051" s="141" t="s">
        <v>281</v>
      </c>
      <c r="C2051" s="141" t="s">
        <v>43</v>
      </c>
    </row>
    <row r="2052" spans="1:3" x14ac:dyDescent="0.35">
      <c r="A2052" s="141" t="s">
        <v>617</v>
      </c>
      <c r="B2052" s="141" t="s">
        <v>281</v>
      </c>
      <c r="C2052" s="141" t="s">
        <v>43</v>
      </c>
    </row>
    <row r="2053" spans="1:3" x14ac:dyDescent="0.35">
      <c r="A2053" s="141" t="s">
        <v>605</v>
      </c>
      <c r="B2053" s="141" t="s">
        <v>281</v>
      </c>
      <c r="C2053" s="141" t="s">
        <v>43</v>
      </c>
    </row>
    <row r="2054" spans="1:3" x14ac:dyDescent="0.35">
      <c r="A2054" s="141" t="s">
        <v>606</v>
      </c>
      <c r="B2054" s="141" t="s">
        <v>281</v>
      </c>
      <c r="C2054" s="141" t="s">
        <v>43</v>
      </c>
    </row>
    <row r="2055" spans="1:3" x14ac:dyDescent="0.35">
      <c r="A2055" s="141" t="s">
        <v>607</v>
      </c>
      <c r="B2055" s="141" t="s">
        <v>281</v>
      </c>
      <c r="C2055" s="141" t="s">
        <v>43</v>
      </c>
    </row>
    <row r="2056" spans="1:3" x14ac:dyDescent="0.35">
      <c r="A2056" s="141" t="s">
        <v>608</v>
      </c>
      <c r="B2056" s="141" t="s">
        <v>281</v>
      </c>
      <c r="C2056" s="141" t="s">
        <v>43</v>
      </c>
    </row>
    <row r="2057" spans="1:3" x14ac:dyDescent="0.35">
      <c r="A2057" s="141" t="s">
        <v>609</v>
      </c>
      <c r="B2057" s="141" t="s">
        <v>281</v>
      </c>
      <c r="C2057" s="141" t="s">
        <v>43</v>
      </c>
    </row>
    <row r="2058" spans="1:3" x14ac:dyDescent="0.35">
      <c r="A2058" s="141" t="s">
        <v>610</v>
      </c>
      <c r="B2058" s="141" t="s">
        <v>281</v>
      </c>
      <c r="C2058" s="141" t="s">
        <v>43</v>
      </c>
    </row>
    <row r="2059" spans="1:3" x14ac:dyDescent="0.35">
      <c r="A2059" s="141" t="s">
        <v>618</v>
      </c>
      <c r="B2059" s="141" t="s">
        <v>281</v>
      </c>
      <c r="C2059" s="141" t="s">
        <v>43</v>
      </c>
    </row>
    <row r="2060" spans="1:3" x14ac:dyDescent="0.35">
      <c r="A2060" s="141" t="s">
        <v>619</v>
      </c>
      <c r="B2060" s="141" t="s">
        <v>281</v>
      </c>
      <c r="C2060" s="141" t="s">
        <v>44</v>
      </c>
    </row>
    <row r="2061" spans="1:3" x14ac:dyDescent="0.35">
      <c r="A2061" s="141" t="s">
        <v>559</v>
      </c>
      <c r="B2061" s="141" t="s">
        <v>281</v>
      </c>
      <c r="C2061" s="141" t="s">
        <v>47</v>
      </c>
    </row>
    <row r="2062" spans="1:3" x14ac:dyDescent="0.35">
      <c r="A2062" s="141" t="s">
        <v>560</v>
      </c>
      <c r="B2062" s="141" t="s">
        <v>281</v>
      </c>
      <c r="C2062" s="141" t="s">
        <v>47</v>
      </c>
    </row>
    <row r="2063" spans="1:3" x14ac:dyDescent="0.35">
      <c r="A2063" s="141" t="s">
        <v>561</v>
      </c>
      <c r="B2063" s="141" t="s">
        <v>281</v>
      </c>
      <c r="C2063" s="141" t="s">
        <v>47</v>
      </c>
    </row>
    <row r="2064" spans="1:3" x14ac:dyDescent="0.35">
      <c r="A2064" s="141" t="s">
        <v>562</v>
      </c>
      <c r="B2064" s="141" t="s">
        <v>281</v>
      </c>
      <c r="C2064" s="141" t="s">
        <v>48</v>
      </c>
    </row>
    <row r="2065" spans="1:3" x14ac:dyDescent="0.35">
      <c r="A2065" s="141" t="s">
        <v>563</v>
      </c>
      <c r="B2065" s="141" t="s">
        <v>281</v>
      </c>
      <c r="C2065" s="141" t="s">
        <v>47</v>
      </c>
    </row>
    <row r="2066" spans="1:3" x14ac:dyDescent="0.35">
      <c r="A2066" s="141" t="s">
        <v>352</v>
      </c>
      <c r="B2066" s="141" t="s">
        <v>282</v>
      </c>
      <c r="C2066" s="141" t="s">
        <v>2</v>
      </c>
    </row>
    <row r="2067" spans="1:3" x14ac:dyDescent="0.35">
      <c r="A2067" s="141" t="s">
        <v>354</v>
      </c>
      <c r="B2067" s="141" t="s">
        <v>282</v>
      </c>
      <c r="C2067" s="141" t="s">
        <v>2</v>
      </c>
    </row>
    <row r="2068" spans="1:3" x14ac:dyDescent="0.35">
      <c r="A2068" s="141" t="s">
        <v>355</v>
      </c>
      <c r="B2068" s="141" t="s">
        <v>282</v>
      </c>
      <c r="C2068" s="141" t="s">
        <v>12</v>
      </c>
    </row>
    <row r="2069" spans="1:3" x14ac:dyDescent="0.35">
      <c r="A2069" s="141" t="s">
        <v>356</v>
      </c>
      <c r="B2069" s="141" t="s">
        <v>282</v>
      </c>
      <c r="C2069" s="141" t="s">
        <v>14</v>
      </c>
    </row>
    <row r="2070" spans="1:3" x14ac:dyDescent="0.35">
      <c r="A2070" s="141" t="s">
        <v>357</v>
      </c>
      <c r="B2070" s="141" t="s">
        <v>282</v>
      </c>
      <c r="C2070" s="141" t="s">
        <v>14</v>
      </c>
    </row>
    <row r="2071" spans="1:3" x14ac:dyDescent="0.35">
      <c r="A2071" s="141" t="s">
        <v>358</v>
      </c>
      <c r="B2071" s="141" t="s">
        <v>282</v>
      </c>
      <c r="C2071" s="141" t="s">
        <v>14</v>
      </c>
    </row>
    <row r="2072" spans="1:3" x14ac:dyDescent="0.35">
      <c r="A2072" s="141" t="s">
        <v>654</v>
      </c>
      <c r="B2072" s="141" t="s">
        <v>282</v>
      </c>
      <c r="C2072" s="141" t="s">
        <v>14</v>
      </c>
    </row>
    <row r="2073" spans="1:3" x14ac:dyDescent="0.35">
      <c r="A2073" s="141" t="s">
        <v>655</v>
      </c>
      <c r="B2073" s="141" t="s">
        <v>282</v>
      </c>
      <c r="C2073" s="141" t="s">
        <v>14</v>
      </c>
    </row>
    <row r="2074" spans="1:3" x14ac:dyDescent="0.35">
      <c r="A2074" s="141" t="s">
        <v>749</v>
      </c>
      <c r="B2074" s="141" t="s">
        <v>282</v>
      </c>
      <c r="C2074" s="141" t="s">
        <v>14</v>
      </c>
    </row>
    <row r="2075" spans="1:3" x14ac:dyDescent="0.35">
      <c r="A2075" s="141" t="s">
        <v>750</v>
      </c>
      <c r="B2075" s="141" t="s">
        <v>282</v>
      </c>
      <c r="C2075" s="141" t="s">
        <v>13</v>
      </c>
    </row>
    <row r="2076" spans="1:3" x14ac:dyDescent="0.35">
      <c r="A2076" s="141" t="s">
        <v>751</v>
      </c>
      <c r="B2076" s="141" t="s">
        <v>282</v>
      </c>
      <c r="C2076" s="141" t="s">
        <v>13</v>
      </c>
    </row>
    <row r="2077" spans="1:3" x14ac:dyDescent="0.35">
      <c r="A2077" s="141" t="s">
        <v>581</v>
      </c>
      <c r="B2077" s="141" t="s">
        <v>282</v>
      </c>
      <c r="C2077" s="141" t="s">
        <v>13</v>
      </c>
    </row>
    <row r="2078" spans="1:3" x14ac:dyDescent="0.35">
      <c r="A2078" s="141" t="s">
        <v>667</v>
      </c>
      <c r="B2078" s="141" t="s">
        <v>282</v>
      </c>
      <c r="C2078" s="141" t="s">
        <v>55</v>
      </c>
    </row>
    <row r="2079" spans="1:3" x14ac:dyDescent="0.35">
      <c r="A2079" s="141" t="s">
        <v>669</v>
      </c>
      <c r="B2079" s="141" t="s">
        <v>282</v>
      </c>
      <c r="C2079" s="141" t="s">
        <v>55</v>
      </c>
    </row>
    <row r="2080" spans="1:3" x14ac:dyDescent="0.35">
      <c r="A2080" s="141" t="s">
        <v>668</v>
      </c>
      <c r="B2080" s="141" t="s">
        <v>282</v>
      </c>
      <c r="C2080" s="141" t="s">
        <v>54</v>
      </c>
    </row>
    <row r="2081" spans="1:3" x14ac:dyDescent="0.35">
      <c r="A2081" s="141" t="s">
        <v>670</v>
      </c>
      <c r="B2081" s="141" t="s">
        <v>282</v>
      </c>
      <c r="C2081" s="141" t="s">
        <v>54</v>
      </c>
    </row>
    <row r="2082" spans="1:3" x14ac:dyDescent="0.35">
      <c r="A2082" s="141" t="s">
        <v>359</v>
      </c>
      <c r="B2082" s="141" t="s">
        <v>282</v>
      </c>
      <c r="C2082" s="141" t="s">
        <v>46</v>
      </c>
    </row>
    <row r="2083" spans="1:3" x14ac:dyDescent="0.35">
      <c r="A2083" s="141" t="s">
        <v>360</v>
      </c>
      <c r="B2083" s="141" t="s">
        <v>282</v>
      </c>
      <c r="C2083" s="141" t="s">
        <v>46</v>
      </c>
    </row>
    <row r="2084" spans="1:3" x14ac:dyDescent="0.35">
      <c r="A2084" s="141" t="s">
        <v>764</v>
      </c>
      <c r="B2084" s="141" t="s">
        <v>282</v>
      </c>
      <c r="C2084" s="141" t="s">
        <v>45</v>
      </c>
    </row>
    <row r="2085" spans="1:3" x14ac:dyDescent="0.35">
      <c r="A2085" s="141" t="s">
        <v>765</v>
      </c>
      <c r="B2085" s="141" t="s">
        <v>282</v>
      </c>
      <c r="C2085" s="141" t="s">
        <v>45</v>
      </c>
    </row>
    <row r="2086" spans="1:3" x14ac:dyDescent="0.35">
      <c r="A2086" s="141" t="s">
        <v>766</v>
      </c>
      <c r="B2086" s="141" t="s">
        <v>282</v>
      </c>
      <c r="C2086" s="141" t="s">
        <v>45</v>
      </c>
    </row>
    <row r="2087" spans="1:3" x14ac:dyDescent="0.35">
      <c r="A2087" s="141" t="s">
        <v>767</v>
      </c>
      <c r="B2087" s="141" t="s">
        <v>282</v>
      </c>
      <c r="C2087" s="141" t="s">
        <v>45</v>
      </c>
    </row>
    <row r="2088" spans="1:3" x14ac:dyDescent="0.35">
      <c r="A2088" s="141" t="s">
        <v>768</v>
      </c>
      <c r="B2088" s="141" t="s">
        <v>282</v>
      </c>
      <c r="C2088" s="141" t="s">
        <v>45</v>
      </c>
    </row>
    <row r="2089" spans="1:3" x14ac:dyDescent="0.35">
      <c r="A2089" s="141" t="s">
        <v>769</v>
      </c>
      <c r="B2089" s="141" t="s">
        <v>282</v>
      </c>
      <c r="C2089" s="141" t="s">
        <v>45</v>
      </c>
    </row>
    <row r="2090" spans="1:3" x14ac:dyDescent="0.35">
      <c r="A2090" s="141" t="s">
        <v>361</v>
      </c>
      <c r="B2090" s="141" t="s">
        <v>282</v>
      </c>
      <c r="C2090" s="141" t="s">
        <v>45</v>
      </c>
    </row>
    <row r="2091" spans="1:3" x14ac:dyDescent="0.35">
      <c r="A2091" s="141" t="s">
        <v>362</v>
      </c>
      <c r="B2091" s="141" t="s">
        <v>282</v>
      </c>
      <c r="C2091" s="141" t="s">
        <v>45</v>
      </c>
    </row>
    <row r="2092" spans="1:3" x14ac:dyDescent="0.35">
      <c r="A2092" s="141" t="s">
        <v>770</v>
      </c>
      <c r="B2092" s="141" t="s">
        <v>282</v>
      </c>
      <c r="C2092" s="141" t="s">
        <v>45</v>
      </c>
    </row>
    <row r="2093" spans="1:3" x14ac:dyDescent="0.35">
      <c r="A2093" s="141" t="s">
        <v>771</v>
      </c>
      <c r="B2093" s="141" t="s">
        <v>282</v>
      </c>
      <c r="C2093" s="141" t="s">
        <v>45</v>
      </c>
    </row>
    <row r="2094" spans="1:3" x14ac:dyDescent="0.35">
      <c r="A2094" s="141" t="s">
        <v>772</v>
      </c>
      <c r="B2094" s="141" t="s">
        <v>282</v>
      </c>
      <c r="C2094" s="141" t="s">
        <v>45</v>
      </c>
    </row>
    <row r="2095" spans="1:3" x14ac:dyDescent="0.35">
      <c r="A2095" s="141" t="s">
        <v>773</v>
      </c>
      <c r="B2095" s="141" t="s">
        <v>282</v>
      </c>
      <c r="C2095" s="141" t="s">
        <v>45</v>
      </c>
    </row>
    <row r="2096" spans="1:3" x14ac:dyDescent="0.35">
      <c r="A2096" s="141" t="s">
        <v>363</v>
      </c>
      <c r="B2096" s="141" t="s">
        <v>282</v>
      </c>
      <c r="C2096" s="141" t="s">
        <v>45</v>
      </c>
    </row>
    <row r="2097" spans="1:3" x14ac:dyDescent="0.35">
      <c r="A2097" s="141" t="s">
        <v>364</v>
      </c>
      <c r="B2097" s="141" t="s">
        <v>282</v>
      </c>
      <c r="C2097" s="141" t="s">
        <v>45</v>
      </c>
    </row>
    <row r="2098" spans="1:3" x14ac:dyDescent="0.35">
      <c r="A2098" s="141" t="s">
        <v>776</v>
      </c>
      <c r="B2098" s="141" t="s">
        <v>282</v>
      </c>
      <c r="C2098" s="141" t="s">
        <v>45</v>
      </c>
    </row>
    <row r="2099" spans="1:3" x14ac:dyDescent="0.35">
      <c r="A2099" s="141" t="s">
        <v>777</v>
      </c>
      <c r="B2099" s="141" t="s">
        <v>282</v>
      </c>
      <c r="C2099" s="141" t="s">
        <v>46</v>
      </c>
    </row>
    <row r="2100" spans="1:3" x14ac:dyDescent="0.35">
      <c r="A2100" s="141" t="s">
        <v>778</v>
      </c>
      <c r="B2100" s="141" t="s">
        <v>282</v>
      </c>
      <c r="C2100" s="141" t="s">
        <v>45</v>
      </c>
    </row>
    <row r="2101" spans="1:3" x14ac:dyDescent="0.35">
      <c r="A2101" s="141" t="s">
        <v>779</v>
      </c>
      <c r="B2101" s="141" t="s">
        <v>282</v>
      </c>
      <c r="C2101" s="141" t="s">
        <v>45</v>
      </c>
    </row>
    <row r="2102" spans="1:3" x14ac:dyDescent="0.35">
      <c r="A2102" s="141" t="s">
        <v>780</v>
      </c>
      <c r="B2102" s="141" t="s">
        <v>282</v>
      </c>
      <c r="C2102" s="141" t="s">
        <v>45</v>
      </c>
    </row>
    <row r="2103" spans="1:3" x14ac:dyDescent="0.35">
      <c r="A2103" s="141" t="s">
        <v>781</v>
      </c>
      <c r="B2103" s="141" t="s">
        <v>282</v>
      </c>
      <c r="C2103" s="141" t="s">
        <v>45</v>
      </c>
    </row>
    <row r="2104" spans="1:3" x14ac:dyDescent="0.35">
      <c r="A2104" s="141" t="s">
        <v>586</v>
      </c>
      <c r="B2104" s="141" t="s">
        <v>282</v>
      </c>
      <c r="C2104" s="141" t="s">
        <v>4</v>
      </c>
    </row>
    <row r="2105" spans="1:3" x14ac:dyDescent="0.35">
      <c r="A2105" s="141" t="s">
        <v>587</v>
      </c>
      <c r="B2105" s="141" t="s">
        <v>282</v>
      </c>
      <c r="C2105" s="141" t="s">
        <v>4</v>
      </c>
    </row>
    <row r="2106" spans="1:3" x14ac:dyDescent="0.35">
      <c r="A2106" s="141" t="s">
        <v>588</v>
      </c>
      <c r="B2106" s="141" t="s">
        <v>282</v>
      </c>
      <c r="C2106" s="141" t="s">
        <v>4</v>
      </c>
    </row>
    <row r="2107" spans="1:3" x14ac:dyDescent="0.35">
      <c r="A2107" s="141" t="s">
        <v>365</v>
      </c>
      <c r="B2107" s="141" t="s">
        <v>282</v>
      </c>
      <c r="C2107" s="141" t="s">
        <v>7</v>
      </c>
    </row>
    <row r="2108" spans="1:3" x14ac:dyDescent="0.35">
      <c r="A2108" s="141" t="s">
        <v>589</v>
      </c>
      <c r="B2108" s="141" t="s">
        <v>282</v>
      </c>
      <c r="C2108" s="141" t="s">
        <v>4</v>
      </c>
    </row>
    <row r="2109" spans="1:3" x14ac:dyDescent="0.35">
      <c r="A2109" s="141" t="s">
        <v>366</v>
      </c>
      <c r="B2109" s="141" t="s">
        <v>282</v>
      </c>
      <c r="C2109" s="141" t="s">
        <v>8</v>
      </c>
    </row>
    <row r="2110" spans="1:3" x14ac:dyDescent="0.35">
      <c r="A2110" s="141" t="s">
        <v>367</v>
      </c>
      <c r="B2110" s="141" t="s">
        <v>282</v>
      </c>
      <c r="C2110" s="141" t="s">
        <v>8</v>
      </c>
    </row>
    <row r="2111" spans="1:3" x14ac:dyDescent="0.35">
      <c r="A2111" s="141" t="s">
        <v>368</v>
      </c>
      <c r="B2111" s="141" t="s">
        <v>282</v>
      </c>
      <c r="C2111" s="141" t="s">
        <v>10</v>
      </c>
    </row>
    <row r="2112" spans="1:3" x14ac:dyDescent="0.35">
      <c r="A2112" s="141" t="s">
        <v>590</v>
      </c>
      <c r="B2112" s="141" t="s">
        <v>282</v>
      </c>
      <c r="C2112" s="141" t="s">
        <v>10</v>
      </c>
    </row>
    <row r="2113" spans="1:3" x14ac:dyDescent="0.35">
      <c r="A2113" s="141" t="s">
        <v>591</v>
      </c>
      <c r="B2113" s="141" t="s">
        <v>282</v>
      </c>
      <c r="C2113" s="141" t="s">
        <v>10</v>
      </c>
    </row>
    <row r="2114" spans="1:3" x14ac:dyDescent="0.35">
      <c r="A2114" s="141" t="s">
        <v>370</v>
      </c>
      <c r="B2114" s="141" t="s">
        <v>282</v>
      </c>
      <c r="C2114" s="141" t="s">
        <v>10</v>
      </c>
    </row>
    <row r="2115" spans="1:3" x14ac:dyDescent="0.35">
      <c r="A2115" s="141" t="s">
        <v>371</v>
      </c>
      <c r="B2115" s="141" t="s">
        <v>282</v>
      </c>
      <c r="C2115" s="141" t="s">
        <v>10</v>
      </c>
    </row>
    <row r="2116" spans="1:3" x14ac:dyDescent="0.35">
      <c r="A2116" s="141" t="s">
        <v>372</v>
      </c>
      <c r="B2116" s="141" t="s">
        <v>282</v>
      </c>
      <c r="C2116" s="141" t="s">
        <v>10</v>
      </c>
    </row>
    <row r="2117" spans="1:3" x14ac:dyDescent="0.35">
      <c r="A2117" s="141" t="s">
        <v>373</v>
      </c>
      <c r="B2117" s="141" t="s">
        <v>282</v>
      </c>
      <c r="C2117" s="141" t="s">
        <v>10</v>
      </c>
    </row>
    <row r="2118" spans="1:3" x14ac:dyDescent="0.35">
      <c r="A2118" s="141" t="s">
        <v>374</v>
      </c>
      <c r="B2118" s="141" t="s">
        <v>282</v>
      </c>
      <c r="C2118" s="141" t="s">
        <v>10</v>
      </c>
    </row>
    <row r="2119" spans="1:3" x14ac:dyDescent="0.35">
      <c r="A2119" s="141" t="s">
        <v>375</v>
      </c>
      <c r="B2119" s="141" t="s">
        <v>282</v>
      </c>
      <c r="C2119" s="141" t="s">
        <v>10</v>
      </c>
    </row>
    <row r="2120" spans="1:3" x14ac:dyDescent="0.35">
      <c r="A2120" s="141" t="s">
        <v>376</v>
      </c>
      <c r="B2120" s="141" t="s">
        <v>282</v>
      </c>
      <c r="C2120" s="141" t="s">
        <v>10</v>
      </c>
    </row>
    <row r="2121" spans="1:3" x14ac:dyDescent="0.35">
      <c r="A2121" s="141" t="s">
        <v>377</v>
      </c>
      <c r="B2121" s="141" t="s">
        <v>282</v>
      </c>
      <c r="C2121" s="141" t="s">
        <v>11</v>
      </c>
    </row>
    <row r="2122" spans="1:3" x14ac:dyDescent="0.35">
      <c r="A2122" s="141" t="s">
        <v>378</v>
      </c>
      <c r="B2122" s="141" t="s">
        <v>282</v>
      </c>
      <c r="C2122" s="141" t="s">
        <v>11</v>
      </c>
    </row>
    <row r="2123" spans="1:3" x14ac:dyDescent="0.35">
      <c r="A2123" s="141" t="s">
        <v>379</v>
      </c>
      <c r="B2123" s="141" t="s">
        <v>282</v>
      </c>
      <c r="C2123" s="141" t="s">
        <v>11</v>
      </c>
    </row>
    <row r="2124" spans="1:3" x14ac:dyDescent="0.35">
      <c r="A2124" s="141" t="s">
        <v>380</v>
      </c>
      <c r="B2124" s="141" t="s">
        <v>282</v>
      </c>
      <c r="C2124" s="141" t="s">
        <v>11</v>
      </c>
    </row>
    <row r="2125" spans="1:3" x14ac:dyDescent="0.35">
      <c r="A2125" s="141" t="s">
        <v>381</v>
      </c>
      <c r="B2125" s="141" t="s">
        <v>282</v>
      </c>
      <c r="C2125" s="141" t="s">
        <v>11</v>
      </c>
    </row>
    <row r="2126" spans="1:3" x14ac:dyDescent="0.35">
      <c r="A2126" s="141" t="s">
        <v>382</v>
      </c>
      <c r="B2126" s="141" t="s">
        <v>282</v>
      </c>
      <c r="C2126" s="141" t="s">
        <v>11</v>
      </c>
    </row>
    <row r="2127" spans="1:3" x14ac:dyDescent="0.35">
      <c r="A2127" s="141" t="s">
        <v>383</v>
      </c>
      <c r="B2127" s="141" t="s">
        <v>282</v>
      </c>
      <c r="C2127" s="141" t="s">
        <v>5</v>
      </c>
    </row>
    <row r="2128" spans="1:3" x14ac:dyDescent="0.35">
      <c r="A2128" s="141" t="s">
        <v>564</v>
      </c>
      <c r="B2128" s="141" t="s">
        <v>282</v>
      </c>
      <c r="C2128" s="141" t="s">
        <v>7</v>
      </c>
    </row>
    <row r="2129" spans="1:3" x14ac:dyDescent="0.35">
      <c r="A2129" s="141" t="s">
        <v>565</v>
      </c>
      <c r="B2129" s="141" t="s">
        <v>282</v>
      </c>
      <c r="C2129" s="141" t="s">
        <v>7</v>
      </c>
    </row>
    <row r="2130" spans="1:3" x14ac:dyDescent="0.35">
      <c r="A2130" s="141" t="s">
        <v>385</v>
      </c>
      <c r="B2130" s="141" t="s">
        <v>282</v>
      </c>
      <c r="C2130" s="141" t="s">
        <v>7</v>
      </c>
    </row>
    <row r="2131" spans="1:3" x14ac:dyDescent="0.35">
      <c r="A2131" s="141" t="s">
        <v>386</v>
      </c>
      <c r="B2131" s="141" t="s">
        <v>282</v>
      </c>
      <c r="C2131" s="141" t="s">
        <v>7</v>
      </c>
    </row>
    <row r="2132" spans="1:3" x14ac:dyDescent="0.35">
      <c r="A2132" s="141" t="s">
        <v>387</v>
      </c>
      <c r="B2132" s="141" t="s">
        <v>282</v>
      </c>
      <c r="C2132" s="141" t="s">
        <v>7</v>
      </c>
    </row>
    <row r="2133" spans="1:3" x14ac:dyDescent="0.35">
      <c r="A2133" s="141" t="s">
        <v>388</v>
      </c>
      <c r="B2133" s="141" t="s">
        <v>282</v>
      </c>
      <c r="C2133" s="141" t="s">
        <v>8</v>
      </c>
    </row>
    <row r="2134" spans="1:3" x14ac:dyDescent="0.35">
      <c r="A2134" s="141" t="s">
        <v>389</v>
      </c>
      <c r="B2134" s="141" t="s">
        <v>282</v>
      </c>
      <c r="C2134" s="141" t="s">
        <v>8</v>
      </c>
    </row>
    <row r="2135" spans="1:3" x14ac:dyDescent="0.35">
      <c r="A2135" s="141" t="s">
        <v>390</v>
      </c>
      <c r="B2135" s="141" t="s">
        <v>282</v>
      </c>
      <c r="C2135" s="141" t="s">
        <v>16</v>
      </c>
    </row>
    <row r="2136" spans="1:3" x14ac:dyDescent="0.35">
      <c r="A2136" s="141" t="s">
        <v>391</v>
      </c>
      <c r="B2136" s="141" t="s">
        <v>282</v>
      </c>
      <c r="C2136" s="141" t="s">
        <v>16</v>
      </c>
    </row>
    <row r="2137" spans="1:3" x14ac:dyDescent="0.35">
      <c r="A2137" s="141" t="s">
        <v>392</v>
      </c>
      <c r="B2137" s="141" t="s">
        <v>282</v>
      </c>
      <c r="C2137" s="141" t="s">
        <v>16</v>
      </c>
    </row>
    <row r="2138" spans="1:3" x14ac:dyDescent="0.35">
      <c r="A2138" s="141" t="s">
        <v>393</v>
      </c>
      <c r="B2138" s="141" t="s">
        <v>282</v>
      </c>
      <c r="C2138" s="141" t="s">
        <v>9</v>
      </c>
    </row>
    <row r="2139" spans="1:3" x14ac:dyDescent="0.35">
      <c r="A2139" s="141" t="s">
        <v>394</v>
      </c>
      <c r="B2139" s="141" t="s">
        <v>282</v>
      </c>
      <c r="C2139" s="141" t="s">
        <v>19</v>
      </c>
    </row>
    <row r="2140" spans="1:3" x14ac:dyDescent="0.35">
      <c r="A2140" s="141" t="s">
        <v>395</v>
      </c>
      <c r="B2140" s="141" t="s">
        <v>282</v>
      </c>
      <c r="C2140" s="141" t="s">
        <v>19</v>
      </c>
    </row>
    <row r="2141" spans="1:3" x14ac:dyDescent="0.35">
      <c r="A2141" s="141" t="s">
        <v>396</v>
      </c>
      <c r="B2141" s="141" t="s">
        <v>282</v>
      </c>
      <c r="C2141" s="141" t="s">
        <v>45</v>
      </c>
    </row>
    <row r="2142" spans="1:3" x14ac:dyDescent="0.35">
      <c r="A2142" s="141" t="s">
        <v>397</v>
      </c>
      <c r="B2142" s="141" t="s">
        <v>282</v>
      </c>
      <c r="C2142" s="141" t="s">
        <v>16</v>
      </c>
    </row>
    <row r="2143" spans="1:3" x14ac:dyDescent="0.35">
      <c r="A2143" s="141" t="s">
        <v>398</v>
      </c>
      <c r="B2143" s="141" t="s">
        <v>282</v>
      </c>
      <c r="C2143" s="141" t="s">
        <v>17</v>
      </c>
    </row>
    <row r="2144" spans="1:3" x14ac:dyDescent="0.35">
      <c r="A2144" s="141" t="s">
        <v>399</v>
      </c>
      <c r="B2144" s="141" t="s">
        <v>282</v>
      </c>
      <c r="C2144" s="141" t="s">
        <v>16</v>
      </c>
    </row>
    <row r="2145" spans="1:3" x14ac:dyDescent="0.35">
      <c r="A2145" s="141" t="s">
        <v>400</v>
      </c>
      <c r="B2145" s="141" t="s">
        <v>282</v>
      </c>
      <c r="C2145" s="141" t="s">
        <v>20</v>
      </c>
    </row>
    <row r="2146" spans="1:3" x14ac:dyDescent="0.35">
      <c r="A2146" s="141" t="s">
        <v>401</v>
      </c>
      <c r="B2146" s="141" t="s">
        <v>282</v>
      </c>
      <c r="C2146" s="141" t="s">
        <v>20</v>
      </c>
    </row>
    <row r="2147" spans="1:3" x14ac:dyDescent="0.35">
      <c r="A2147" s="141" t="s">
        <v>671</v>
      </c>
      <c r="B2147" s="141" t="s">
        <v>282</v>
      </c>
      <c r="C2147" s="141" t="s">
        <v>20</v>
      </c>
    </row>
    <row r="2148" spans="1:3" x14ac:dyDescent="0.35">
      <c r="A2148" s="141" t="s">
        <v>402</v>
      </c>
      <c r="B2148" s="141" t="s">
        <v>282</v>
      </c>
      <c r="C2148" s="141" t="s">
        <v>20</v>
      </c>
    </row>
    <row r="2149" spans="1:3" x14ac:dyDescent="0.35">
      <c r="A2149" s="141" t="s">
        <v>592</v>
      </c>
      <c r="B2149" s="141" t="s">
        <v>282</v>
      </c>
      <c r="C2149" s="141" t="s">
        <v>20</v>
      </c>
    </row>
    <row r="2150" spans="1:3" x14ac:dyDescent="0.35">
      <c r="A2150" s="141" t="s">
        <v>593</v>
      </c>
      <c r="B2150" s="141" t="s">
        <v>282</v>
      </c>
      <c r="C2150" s="141" t="s">
        <v>20</v>
      </c>
    </row>
    <row r="2151" spans="1:3" x14ac:dyDescent="0.35">
      <c r="A2151" s="141" t="s">
        <v>403</v>
      </c>
      <c r="B2151" s="141" t="s">
        <v>282</v>
      </c>
      <c r="C2151" s="141" t="s">
        <v>20</v>
      </c>
    </row>
    <row r="2152" spans="1:3" x14ac:dyDescent="0.35">
      <c r="A2152" s="141" t="s">
        <v>404</v>
      </c>
      <c r="B2152" s="141" t="s">
        <v>282</v>
      </c>
      <c r="C2152" s="141" t="s">
        <v>16</v>
      </c>
    </row>
    <row r="2153" spans="1:3" x14ac:dyDescent="0.35">
      <c r="A2153" s="141" t="s">
        <v>405</v>
      </c>
      <c r="B2153" s="141" t="s">
        <v>282</v>
      </c>
      <c r="C2153" s="141" t="s">
        <v>16</v>
      </c>
    </row>
    <row r="2154" spans="1:3" x14ac:dyDescent="0.35">
      <c r="A2154" s="141" t="s">
        <v>406</v>
      </c>
      <c r="B2154" s="141" t="s">
        <v>282</v>
      </c>
      <c r="C2154" s="141" t="s">
        <v>18</v>
      </c>
    </row>
    <row r="2155" spans="1:3" x14ac:dyDescent="0.35">
      <c r="A2155" s="141" t="s">
        <v>407</v>
      </c>
      <c r="B2155" s="141" t="s">
        <v>282</v>
      </c>
      <c r="C2155" s="141" t="s">
        <v>17</v>
      </c>
    </row>
    <row r="2156" spans="1:3" x14ac:dyDescent="0.35">
      <c r="A2156" s="141" t="s">
        <v>408</v>
      </c>
      <c r="B2156" s="141" t="s">
        <v>282</v>
      </c>
      <c r="C2156" s="141" t="s">
        <v>17</v>
      </c>
    </row>
    <row r="2157" spans="1:3" x14ac:dyDescent="0.35">
      <c r="A2157" s="141" t="s">
        <v>566</v>
      </c>
      <c r="B2157" s="141" t="s">
        <v>282</v>
      </c>
      <c r="C2157" s="141" t="s">
        <v>17</v>
      </c>
    </row>
    <row r="2158" spans="1:3" x14ac:dyDescent="0.35">
      <c r="A2158" s="141" t="s">
        <v>567</v>
      </c>
      <c r="B2158" s="141" t="s">
        <v>282</v>
      </c>
      <c r="C2158" s="141" t="s">
        <v>16</v>
      </c>
    </row>
    <row r="2159" spans="1:3" x14ac:dyDescent="0.35">
      <c r="A2159" s="141" t="s">
        <v>409</v>
      </c>
      <c r="B2159" s="141" t="s">
        <v>282</v>
      </c>
      <c r="C2159" s="141" t="s">
        <v>18</v>
      </c>
    </row>
    <row r="2160" spans="1:3" x14ac:dyDescent="0.35">
      <c r="A2160" s="141" t="s">
        <v>410</v>
      </c>
      <c r="B2160" s="141" t="s">
        <v>282</v>
      </c>
      <c r="C2160" s="141" t="s">
        <v>18</v>
      </c>
    </row>
    <row r="2161" spans="1:3" x14ac:dyDescent="0.35">
      <c r="A2161" s="141" t="s">
        <v>745</v>
      </c>
      <c r="B2161" s="141" t="s">
        <v>282</v>
      </c>
      <c r="C2161" s="141" t="s">
        <v>18</v>
      </c>
    </row>
    <row r="2162" spans="1:3" x14ac:dyDescent="0.35">
      <c r="A2162" s="141" t="s">
        <v>746</v>
      </c>
      <c r="B2162" s="141" t="s">
        <v>282</v>
      </c>
      <c r="C2162" s="141" t="s">
        <v>18</v>
      </c>
    </row>
    <row r="2163" spans="1:3" x14ac:dyDescent="0.35">
      <c r="A2163" s="141" t="s">
        <v>411</v>
      </c>
      <c r="B2163" s="141" t="s">
        <v>282</v>
      </c>
      <c r="C2163" s="141" t="s">
        <v>9</v>
      </c>
    </row>
    <row r="2164" spans="1:3" x14ac:dyDescent="0.35">
      <c r="A2164" s="141" t="s">
        <v>412</v>
      </c>
      <c r="B2164" s="141" t="s">
        <v>282</v>
      </c>
      <c r="C2164" s="141" t="s">
        <v>9</v>
      </c>
    </row>
    <row r="2165" spans="1:3" x14ac:dyDescent="0.35">
      <c r="A2165" s="141" t="s">
        <v>413</v>
      </c>
      <c r="B2165" s="141" t="s">
        <v>282</v>
      </c>
      <c r="C2165" s="141" t="s">
        <v>9</v>
      </c>
    </row>
    <row r="2166" spans="1:3" x14ac:dyDescent="0.35">
      <c r="A2166" s="141" t="s">
        <v>414</v>
      </c>
      <c r="B2166" s="141" t="s">
        <v>282</v>
      </c>
      <c r="C2166" s="141" t="s">
        <v>9</v>
      </c>
    </row>
    <row r="2167" spans="1:3" x14ac:dyDescent="0.35">
      <c r="A2167" s="141" t="s">
        <v>415</v>
      </c>
      <c r="B2167" s="141" t="s">
        <v>282</v>
      </c>
      <c r="C2167" s="141" t="s">
        <v>9</v>
      </c>
    </row>
    <row r="2168" spans="1:3" x14ac:dyDescent="0.35">
      <c r="A2168" s="141" t="s">
        <v>416</v>
      </c>
      <c r="B2168" s="141" t="s">
        <v>282</v>
      </c>
      <c r="C2168" s="141" t="s">
        <v>15</v>
      </c>
    </row>
    <row r="2169" spans="1:3" x14ac:dyDescent="0.35">
      <c r="A2169" s="141" t="s">
        <v>417</v>
      </c>
      <c r="B2169" s="141" t="s">
        <v>282</v>
      </c>
      <c r="C2169" s="141" t="s">
        <v>6</v>
      </c>
    </row>
    <row r="2170" spans="1:3" x14ac:dyDescent="0.35">
      <c r="A2170" s="141" t="s">
        <v>418</v>
      </c>
      <c r="B2170" s="141" t="s">
        <v>282</v>
      </c>
      <c r="C2170" s="141" t="s">
        <v>17</v>
      </c>
    </row>
    <row r="2171" spans="1:3" x14ac:dyDescent="0.35">
      <c r="A2171" s="141" t="s">
        <v>419</v>
      </c>
      <c r="B2171" s="141" t="s">
        <v>282</v>
      </c>
      <c r="C2171" s="141" t="s">
        <v>17</v>
      </c>
    </row>
    <row r="2172" spans="1:3" x14ac:dyDescent="0.35">
      <c r="A2172" s="141" t="s">
        <v>420</v>
      </c>
      <c r="B2172" s="141" t="s">
        <v>282</v>
      </c>
      <c r="C2172" s="141" t="s">
        <v>17</v>
      </c>
    </row>
    <row r="2173" spans="1:3" x14ac:dyDescent="0.35">
      <c r="A2173" s="141" t="s">
        <v>421</v>
      </c>
      <c r="B2173" s="141" t="s">
        <v>282</v>
      </c>
      <c r="C2173" s="141" t="s">
        <v>6</v>
      </c>
    </row>
    <row r="2174" spans="1:3" x14ac:dyDescent="0.35">
      <c r="A2174" s="141" t="s">
        <v>422</v>
      </c>
      <c r="B2174" s="141" t="s">
        <v>282</v>
      </c>
      <c r="C2174" s="141" t="s">
        <v>17</v>
      </c>
    </row>
    <row r="2175" spans="1:3" x14ac:dyDescent="0.35">
      <c r="A2175" s="141" t="s">
        <v>656</v>
      </c>
      <c r="B2175" s="141" t="s">
        <v>282</v>
      </c>
      <c r="C2175" s="141" t="s">
        <v>21</v>
      </c>
    </row>
    <row r="2176" spans="1:3" x14ac:dyDescent="0.35">
      <c r="A2176" s="141" t="s">
        <v>657</v>
      </c>
      <c r="B2176" s="141" t="s">
        <v>282</v>
      </c>
      <c r="C2176" s="141" t="s">
        <v>21</v>
      </c>
    </row>
    <row r="2177" spans="1:3" x14ac:dyDescent="0.35">
      <c r="A2177" s="141" t="s">
        <v>658</v>
      </c>
      <c r="B2177" s="141" t="s">
        <v>282</v>
      </c>
      <c r="C2177" s="141" t="s">
        <v>21</v>
      </c>
    </row>
    <row r="2178" spans="1:3" x14ac:dyDescent="0.35">
      <c r="A2178" s="141" t="s">
        <v>659</v>
      </c>
      <c r="B2178" s="141" t="s">
        <v>282</v>
      </c>
      <c r="C2178" s="141" t="s">
        <v>21</v>
      </c>
    </row>
    <row r="2179" spans="1:3" x14ac:dyDescent="0.35">
      <c r="A2179" s="141" t="s">
        <v>660</v>
      </c>
      <c r="B2179" s="141" t="s">
        <v>282</v>
      </c>
      <c r="C2179" s="141" t="s">
        <v>21</v>
      </c>
    </row>
    <row r="2180" spans="1:3" x14ac:dyDescent="0.35">
      <c r="A2180" s="141" t="s">
        <v>283</v>
      </c>
      <c r="B2180" s="141" t="s">
        <v>282</v>
      </c>
      <c r="C2180" s="141" t="s">
        <v>21</v>
      </c>
    </row>
    <row r="2181" spans="1:3" x14ac:dyDescent="0.35">
      <c r="A2181" s="141" t="s">
        <v>284</v>
      </c>
      <c r="B2181" s="141" t="s">
        <v>282</v>
      </c>
      <c r="C2181" s="141" t="s">
        <v>21</v>
      </c>
    </row>
    <row r="2182" spans="1:3" x14ac:dyDescent="0.35">
      <c r="A2182" s="141" t="s">
        <v>424</v>
      </c>
      <c r="B2182" s="141" t="s">
        <v>282</v>
      </c>
      <c r="C2182" s="141" t="s">
        <v>21</v>
      </c>
    </row>
    <row r="2183" spans="1:3" x14ac:dyDescent="0.35">
      <c r="A2183" s="141" t="s">
        <v>425</v>
      </c>
      <c r="B2183" s="141" t="s">
        <v>282</v>
      </c>
      <c r="C2183" s="141" t="s">
        <v>27</v>
      </c>
    </row>
    <row r="2184" spans="1:3" x14ac:dyDescent="0.35">
      <c r="A2184" s="141" t="s">
        <v>285</v>
      </c>
      <c r="B2184" s="141" t="s">
        <v>282</v>
      </c>
      <c r="C2184" s="141" t="s">
        <v>27</v>
      </c>
    </row>
    <row r="2185" spans="1:3" x14ac:dyDescent="0.35">
      <c r="A2185" s="141" t="s">
        <v>286</v>
      </c>
      <c r="B2185" s="141" t="s">
        <v>282</v>
      </c>
      <c r="C2185" s="141" t="s">
        <v>27</v>
      </c>
    </row>
    <row r="2186" spans="1:3" x14ac:dyDescent="0.35">
      <c r="A2186" s="141" t="s">
        <v>426</v>
      </c>
      <c r="B2186" s="141" t="s">
        <v>282</v>
      </c>
      <c r="C2186" s="141" t="s">
        <v>27</v>
      </c>
    </row>
    <row r="2187" spans="1:3" x14ac:dyDescent="0.35">
      <c r="A2187" s="141" t="s">
        <v>427</v>
      </c>
      <c r="B2187" s="141" t="s">
        <v>282</v>
      </c>
      <c r="C2187" s="141" t="s">
        <v>27</v>
      </c>
    </row>
    <row r="2188" spans="1:3" x14ac:dyDescent="0.35">
      <c r="A2188" s="141" t="s">
        <v>428</v>
      </c>
      <c r="B2188" s="141" t="s">
        <v>282</v>
      </c>
      <c r="C2188" s="141" t="s">
        <v>27</v>
      </c>
    </row>
    <row r="2189" spans="1:3" x14ac:dyDescent="0.35">
      <c r="A2189" s="141" t="s">
        <v>429</v>
      </c>
      <c r="B2189" s="141" t="s">
        <v>282</v>
      </c>
      <c r="C2189" s="141" t="s">
        <v>27</v>
      </c>
    </row>
    <row r="2190" spans="1:3" x14ac:dyDescent="0.35">
      <c r="A2190" s="141" t="s">
        <v>430</v>
      </c>
      <c r="B2190" s="141" t="s">
        <v>282</v>
      </c>
      <c r="C2190" s="141" t="s">
        <v>27</v>
      </c>
    </row>
    <row r="2191" spans="1:3" x14ac:dyDescent="0.35">
      <c r="A2191" s="141" t="s">
        <v>431</v>
      </c>
      <c r="B2191" s="141" t="s">
        <v>282</v>
      </c>
      <c r="C2191" s="141" t="s">
        <v>27</v>
      </c>
    </row>
    <row r="2192" spans="1:3" x14ac:dyDescent="0.35">
      <c r="A2192" s="141" t="s">
        <v>287</v>
      </c>
      <c r="B2192" s="141" t="s">
        <v>282</v>
      </c>
      <c r="C2192" s="141" t="s">
        <v>21</v>
      </c>
    </row>
    <row r="2193" spans="1:3" x14ac:dyDescent="0.35">
      <c r="A2193" s="141" t="s">
        <v>752</v>
      </c>
      <c r="B2193" s="141" t="s">
        <v>282</v>
      </c>
      <c r="C2193" s="141" t="s">
        <v>23</v>
      </c>
    </row>
    <row r="2194" spans="1:3" x14ac:dyDescent="0.35">
      <c r="A2194" s="141" t="s">
        <v>753</v>
      </c>
      <c r="B2194" s="141" t="s">
        <v>282</v>
      </c>
      <c r="C2194" s="141" t="s">
        <v>23</v>
      </c>
    </row>
    <row r="2195" spans="1:3" x14ac:dyDescent="0.35">
      <c r="A2195" s="141" t="s">
        <v>754</v>
      </c>
      <c r="B2195" s="141" t="s">
        <v>282</v>
      </c>
      <c r="C2195" s="141" t="s">
        <v>23</v>
      </c>
    </row>
    <row r="2196" spans="1:3" x14ac:dyDescent="0.35">
      <c r="A2196" s="141" t="s">
        <v>661</v>
      </c>
      <c r="B2196" s="141" t="s">
        <v>282</v>
      </c>
      <c r="C2196" s="141" t="s">
        <v>22</v>
      </c>
    </row>
    <row r="2197" spans="1:3" x14ac:dyDescent="0.35">
      <c r="A2197" s="141" t="s">
        <v>755</v>
      </c>
      <c r="B2197" s="141" t="s">
        <v>282</v>
      </c>
      <c r="C2197" s="141" t="s">
        <v>22</v>
      </c>
    </row>
    <row r="2198" spans="1:3" x14ac:dyDescent="0.35">
      <c r="A2198" s="141" t="s">
        <v>756</v>
      </c>
      <c r="B2198" s="141" t="s">
        <v>282</v>
      </c>
      <c r="C2198" s="141" t="s">
        <v>22</v>
      </c>
    </row>
    <row r="2199" spans="1:3" x14ac:dyDescent="0.35">
      <c r="A2199" s="141" t="s">
        <v>757</v>
      </c>
      <c r="B2199" s="141" t="s">
        <v>282</v>
      </c>
      <c r="C2199" s="141" t="s">
        <v>22</v>
      </c>
    </row>
    <row r="2200" spans="1:3" x14ac:dyDescent="0.35">
      <c r="A2200" s="141" t="s">
        <v>662</v>
      </c>
      <c r="B2200" s="141" t="s">
        <v>282</v>
      </c>
      <c r="C2200" s="141" t="s">
        <v>22</v>
      </c>
    </row>
    <row r="2201" spans="1:3" x14ac:dyDescent="0.35">
      <c r="A2201" s="141" t="s">
        <v>758</v>
      </c>
      <c r="B2201" s="141" t="s">
        <v>282</v>
      </c>
      <c r="C2201" s="141" t="s">
        <v>22</v>
      </c>
    </row>
    <row r="2202" spans="1:3" x14ac:dyDescent="0.35">
      <c r="A2202" s="141" t="s">
        <v>759</v>
      </c>
      <c r="B2202" s="141" t="s">
        <v>282</v>
      </c>
      <c r="C2202" s="141" t="s">
        <v>22</v>
      </c>
    </row>
    <row r="2203" spans="1:3" x14ac:dyDescent="0.35">
      <c r="A2203" s="141" t="s">
        <v>760</v>
      </c>
      <c r="B2203" s="141" t="s">
        <v>282</v>
      </c>
      <c r="C2203" s="141" t="s">
        <v>22</v>
      </c>
    </row>
    <row r="2204" spans="1:3" x14ac:dyDescent="0.35">
      <c r="A2204" s="141" t="s">
        <v>663</v>
      </c>
      <c r="B2204" s="141" t="s">
        <v>282</v>
      </c>
      <c r="C2204" s="141" t="s">
        <v>22</v>
      </c>
    </row>
    <row r="2205" spans="1:3" x14ac:dyDescent="0.35">
      <c r="A2205" s="141" t="s">
        <v>761</v>
      </c>
      <c r="B2205" s="141" t="s">
        <v>282</v>
      </c>
      <c r="C2205" s="141" t="s">
        <v>22</v>
      </c>
    </row>
    <row r="2206" spans="1:3" x14ac:dyDescent="0.35">
      <c r="A2206" s="141" t="s">
        <v>762</v>
      </c>
      <c r="B2206" s="141" t="s">
        <v>282</v>
      </c>
      <c r="C2206" s="141" t="s">
        <v>22</v>
      </c>
    </row>
    <row r="2207" spans="1:3" x14ac:dyDescent="0.35">
      <c r="A2207" s="141" t="s">
        <v>763</v>
      </c>
      <c r="B2207" s="141" t="s">
        <v>282</v>
      </c>
      <c r="C2207" s="141" t="s">
        <v>22</v>
      </c>
    </row>
    <row r="2208" spans="1:3" x14ac:dyDescent="0.35">
      <c r="A2208" s="141" t="s">
        <v>664</v>
      </c>
      <c r="B2208" s="141" t="s">
        <v>282</v>
      </c>
      <c r="C2208" s="141" t="s">
        <v>24</v>
      </c>
    </row>
    <row r="2209" spans="1:3" x14ac:dyDescent="0.35">
      <c r="A2209" s="141" t="s">
        <v>665</v>
      </c>
      <c r="B2209" s="141" t="s">
        <v>282</v>
      </c>
      <c r="C2209" s="141" t="s">
        <v>21</v>
      </c>
    </row>
    <row r="2210" spans="1:3" x14ac:dyDescent="0.35">
      <c r="A2210" s="141" t="s">
        <v>666</v>
      </c>
      <c r="B2210" s="141" t="s">
        <v>282</v>
      </c>
      <c r="C2210" s="141" t="s">
        <v>21</v>
      </c>
    </row>
    <row r="2211" spans="1:3" x14ac:dyDescent="0.35">
      <c r="A2211" s="141" t="s">
        <v>304</v>
      </c>
      <c r="B2211" s="141" t="s">
        <v>282</v>
      </c>
      <c r="C2211" s="141"/>
    </row>
    <row r="2212" spans="1:3" x14ac:dyDescent="0.35">
      <c r="A2212" s="141" t="s">
        <v>795</v>
      </c>
      <c r="B2212" s="141" t="s">
        <v>282</v>
      </c>
      <c r="C2212" s="141"/>
    </row>
    <row r="2213" spans="1:3" x14ac:dyDescent="0.35">
      <c r="A2213" s="141" t="s">
        <v>796</v>
      </c>
      <c r="B2213" s="141" t="s">
        <v>282</v>
      </c>
      <c r="C2213" s="141"/>
    </row>
    <row r="2214" spans="1:3" x14ac:dyDescent="0.35">
      <c r="A2214" s="141" t="s">
        <v>601</v>
      </c>
      <c r="B2214" s="141" t="s">
        <v>282</v>
      </c>
      <c r="C2214" s="141" t="s">
        <v>40</v>
      </c>
    </row>
    <row r="2215" spans="1:3" x14ac:dyDescent="0.35">
      <c r="A2215" s="141" t="s">
        <v>602</v>
      </c>
      <c r="B2215" s="141" t="s">
        <v>282</v>
      </c>
      <c r="C2215" s="141" t="s">
        <v>39</v>
      </c>
    </row>
    <row r="2216" spans="1:3" x14ac:dyDescent="0.35">
      <c r="A2216" s="141" t="s">
        <v>735</v>
      </c>
      <c r="B2216" s="141" t="s">
        <v>282</v>
      </c>
      <c r="C2216" s="141" t="s">
        <v>41</v>
      </c>
    </row>
    <row r="2217" spans="1:3" x14ac:dyDescent="0.35">
      <c r="A2217" s="141" t="s">
        <v>736</v>
      </c>
      <c r="B2217" s="141" t="s">
        <v>282</v>
      </c>
      <c r="C2217" s="141" t="s">
        <v>41</v>
      </c>
    </row>
    <row r="2218" spans="1:3" x14ac:dyDescent="0.35">
      <c r="A2218" s="141" t="s">
        <v>737</v>
      </c>
      <c r="B2218" s="141" t="s">
        <v>282</v>
      </c>
      <c r="C2218" s="141" t="s">
        <v>41</v>
      </c>
    </row>
    <row r="2219" spans="1:3" x14ac:dyDescent="0.35">
      <c r="A2219" s="141" t="s">
        <v>738</v>
      </c>
      <c r="B2219" s="141" t="s">
        <v>282</v>
      </c>
      <c r="C2219" s="141" t="s">
        <v>41</v>
      </c>
    </row>
    <row r="2220" spans="1:3" x14ac:dyDescent="0.35">
      <c r="A2220" s="141" t="s">
        <v>797</v>
      </c>
      <c r="B2220" s="141" t="s">
        <v>282</v>
      </c>
      <c r="C2220" s="141" t="s">
        <v>41</v>
      </c>
    </row>
    <row r="2221" spans="1:3" x14ac:dyDescent="0.35">
      <c r="A2221" s="141" t="s">
        <v>798</v>
      </c>
      <c r="B2221" s="141" t="s">
        <v>282</v>
      </c>
      <c r="C2221" s="141" t="s">
        <v>40</v>
      </c>
    </row>
    <row r="2222" spans="1:3" x14ac:dyDescent="0.35">
      <c r="A2222" s="141" t="s">
        <v>799</v>
      </c>
      <c r="B2222" s="141" t="s">
        <v>282</v>
      </c>
      <c r="C2222" s="141" t="s">
        <v>40</v>
      </c>
    </row>
    <row r="2223" spans="1:3" x14ac:dyDescent="0.35">
      <c r="A2223" s="141" t="s">
        <v>775</v>
      </c>
      <c r="B2223" s="141" t="s">
        <v>282</v>
      </c>
      <c r="C2223" s="141" t="s">
        <v>38</v>
      </c>
    </row>
    <row r="2224" spans="1:3" x14ac:dyDescent="0.35">
      <c r="A2224" s="141" t="s">
        <v>605</v>
      </c>
      <c r="B2224" s="141" t="s">
        <v>282</v>
      </c>
      <c r="C2224" s="141" t="s">
        <v>43</v>
      </c>
    </row>
    <row r="2225" spans="1:3" x14ac:dyDescent="0.35">
      <c r="A2225" s="141" t="s">
        <v>606</v>
      </c>
      <c r="B2225" s="141" t="s">
        <v>282</v>
      </c>
      <c r="C2225" s="141" t="s">
        <v>43</v>
      </c>
    </row>
    <row r="2226" spans="1:3" x14ac:dyDescent="0.35">
      <c r="A2226" s="141" t="s">
        <v>607</v>
      </c>
      <c r="B2226" s="141" t="s">
        <v>282</v>
      </c>
      <c r="C2226" s="141" t="s">
        <v>43</v>
      </c>
    </row>
    <row r="2227" spans="1:3" x14ac:dyDescent="0.35">
      <c r="A2227" s="141" t="s">
        <v>608</v>
      </c>
      <c r="B2227" s="141" t="s">
        <v>282</v>
      </c>
      <c r="C2227" s="141" t="s">
        <v>43</v>
      </c>
    </row>
    <row r="2228" spans="1:3" x14ac:dyDescent="0.35">
      <c r="A2228" s="141" t="s">
        <v>609</v>
      </c>
      <c r="B2228" s="141" t="s">
        <v>282</v>
      </c>
      <c r="C2228" s="141" t="s">
        <v>43</v>
      </c>
    </row>
    <row r="2229" spans="1:3" x14ac:dyDescent="0.35">
      <c r="A2229" s="141" t="s">
        <v>610</v>
      </c>
      <c r="B2229" s="141" t="s">
        <v>282</v>
      </c>
      <c r="C2229" s="141" t="s">
        <v>43</v>
      </c>
    </row>
    <row r="2230" spans="1:3" x14ac:dyDescent="0.35">
      <c r="A2230" s="141" t="s">
        <v>611</v>
      </c>
      <c r="B2230" s="141" t="s">
        <v>282</v>
      </c>
      <c r="C2230" s="141" t="s">
        <v>43</v>
      </c>
    </row>
    <row r="2231" spans="1:3" x14ac:dyDescent="0.35">
      <c r="A2231" s="141" t="s">
        <v>612</v>
      </c>
      <c r="B2231" s="141" t="s">
        <v>282</v>
      </c>
      <c r="C2231" s="141" t="s">
        <v>43</v>
      </c>
    </row>
    <row r="2232" spans="1:3" x14ac:dyDescent="0.35">
      <c r="A2232" s="141" t="s">
        <v>613</v>
      </c>
      <c r="B2232" s="141" t="s">
        <v>282</v>
      </c>
      <c r="C2232" s="141" t="s">
        <v>43</v>
      </c>
    </row>
    <row r="2233" spans="1:3" x14ac:dyDescent="0.35">
      <c r="A2233" s="141" t="s">
        <v>614</v>
      </c>
      <c r="B2233" s="141" t="s">
        <v>282</v>
      </c>
      <c r="C2233" s="141" t="s">
        <v>43</v>
      </c>
    </row>
    <row r="2234" spans="1:3" x14ac:dyDescent="0.35">
      <c r="A2234" s="141" t="s">
        <v>615</v>
      </c>
      <c r="B2234" s="141" t="s">
        <v>282</v>
      </c>
      <c r="C2234" s="141" t="s">
        <v>43</v>
      </c>
    </row>
    <row r="2235" spans="1:3" x14ac:dyDescent="0.35">
      <c r="A2235" s="141" t="s">
        <v>616</v>
      </c>
      <c r="B2235" s="141" t="s">
        <v>282</v>
      </c>
      <c r="C2235" s="141" t="s">
        <v>43</v>
      </c>
    </row>
    <row r="2236" spans="1:3" x14ac:dyDescent="0.35">
      <c r="A2236" s="141" t="s">
        <v>617</v>
      </c>
      <c r="B2236" s="141" t="s">
        <v>282</v>
      </c>
      <c r="C2236" s="141" t="s">
        <v>43</v>
      </c>
    </row>
    <row r="2237" spans="1:3" x14ac:dyDescent="0.35">
      <c r="A2237" s="141" t="s">
        <v>618</v>
      </c>
      <c r="B2237" s="141" t="s">
        <v>282</v>
      </c>
      <c r="C2237" s="141" t="s">
        <v>43</v>
      </c>
    </row>
    <row r="2238" spans="1:3" x14ac:dyDescent="0.35">
      <c r="A2238" s="141" t="s">
        <v>619</v>
      </c>
      <c r="B2238" s="141" t="s">
        <v>282</v>
      </c>
      <c r="C2238" s="141" t="s">
        <v>44</v>
      </c>
    </row>
    <row r="2239" spans="1:3" x14ac:dyDescent="0.35">
      <c r="A2239" s="141" t="s">
        <v>774</v>
      </c>
      <c r="B2239" s="141" t="s">
        <v>282</v>
      </c>
      <c r="C2239" s="141" t="s">
        <v>43</v>
      </c>
    </row>
    <row r="2240" spans="1:3" x14ac:dyDescent="0.35">
      <c r="A2240" s="141" t="s">
        <v>792</v>
      </c>
      <c r="B2240" s="141" t="s">
        <v>282</v>
      </c>
      <c r="C2240" s="141" t="s">
        <v>52</v>
      </c>
    </row>
    <row r="2241" spans="1:3" x14ac:dyDescent="0.35">
      <c r="A2241" s="141" t="s">
        <v>570</v>
      </c>
      <c r="B2241" s="141" t="s">
        <v>282</v>
      </c>
      <c r="C2241" s="141" t="s">
        <v>52</v>
      </c>
    </row>
    <row r="2242" spans="1:3" x14ac:dyDescent="0.35">
      <c r="A2242" s="141" t="s">
        <v>449</v>
      </c>
      <c r="B2242" s="141" t="s">
        <v>282</v>
      </c>
      <c r="C2242" s="141" t="s">
        <v>52</v>
      </c>
    </row>
    <row r="2243" spans="1:3" x14ac:dyDescent="0.35">
      <c r="A2243" s="141" t="s">
        <v>793</v>
      </c>
      <c r="B2243" s="141" t="s">
        <v>282</v>
      </c>
      <c r="C2243" s="141" t="s">
        <v>52</v>
      </c>
    </row>
    <row r="2244" spans="1:3" x14ac:dyDescent="0.35">
      <c r="A2244" s="141" t="s">
        <v>794</v>
      </c>
      <c r="B2244" s="141" t="s">
        <v>282</v>
      </c>
      <c r="C2244" s="141" t="s">
        <v>52</v>
      </c>
    </row>
    <row r="2245" spans="1:3" x14ac:dyDescent="0.35">
      <c r="A2245" s="141" t="s">
        <v>739</v>
      </c>
      <c r="B2245" s="141" t="s">
        <v>282</v>
      </c>
      <c r="C2245" s="141" t="s">
        <v>52</v>
      </c>
    </row>
    <row r="2246" spans="1:3" x14ac:dyDescent="0.35">
      <c r="A2246" s="141" t="s">
        <v>800</v>
      </c>
      <c r="B2246" s="141" t="s">
        <v>282</v>
      </c>
      <c r="C2246" s="141" t="s">
        <v>21</v>
      </c>
    </row>
    <row r="2247" spans="1:3" x14ac:dyDescent="0.35">
      <c r="A2247" s="141" t="s">
        <v>807</v>
      </c>
      <c r="B2247" s="141" t="s">
        <v>282</v>
      </c>
      <c r="C2247" s="141" t="s">
        <v>3</v>
      </c>
    </row>
    <row r="2248" spans="1:3" x14ac:dyDescent="0.35">
      <c r="A2248" s="141" t="s">
        <v>699</v>
      </c>
      <c r="B2248" s="141" t="s">
        <v>282</v>
      </c>
      <c r="C2248" s="141" t="s">
        <v>26</v>
      </c>
    </row>
    <row r="2249" spans="1:3" x14ac:dyDescent="0.35">
      <c r="A2249" s="141" t="s">
        <v>700</v>
      </c>
      <c r="B2249" s="141" t="s">
        <v>282</v>
      </c>
      <c r="C2249" s="141" t="s">
        <v>26</v>
      </c>
    </row>
    <row r="2250" spans="1:3" x14ac:dyDescent="0.35">
      <c r="A2250" s="141" t="s">
        <v>701</v>
      </c>
      <c r="B2250" s="141" t="s">
        <v>282</v>
      </c>
      <c r="C2250" s="141" t="s">
        <v>26</v>
      </c>
    </row>
    <row r="2251" spans="1:3" x14ac:dyDescent="0.35">
      <c r="A2251" s="141" t="s">
        <v>452</v>
      </c>
      <c r="B2251" s="141" t="s">
        <v>282</v>
      </c>
      <c r="C2251" s="141" t="s">
        <v>33</v>
      </c>
    </row>
    <row r="2252" spans="1:3" x14ac:dyDescent="0.35">
      <c r="A2252" s="141" t="s">
        <v>702</v>
      </c>
      <c r="B2252" s="141" t="s">
        <v>282</v>
      </c>
      <c r="C2252" s="141" t="s">
        <v>33</v>
      </c>
    </row>
    <row r="2253" spans="1:3" x14ac:dyDescent="0.35">
      <c r="A2253" s="141" t="s">
        <v>672</v>
      </c>
      <c r="B2253" s="141" t="s">
        <v>282</v>
      </c>
      <c r="C2253" s="141" t="s">
        <v>25</v>
      </c>
    </row>
    <row r="2254" spans="1:3" x14ac:dyDescent="0.35">
      <c r="A2254" s="141" t="s">
        <v>673</v>
      </c>
      <c r="B2254" s="141" t="s">
        <v>282</v>
      </c>
      <c r="C2254" s="141" t="s">
        <v>25</v>
      </c>
    </row>
    <row r="2255" spans="1:3" x14ac:dyDescent="0.35">
      <c r="A2255" s="141" t="s">
        <v>674</v>
      </c>
      <c r="B2255" s="141" t="s">
        <v>282</v>
      </c>
      <c r="C2255" s="141" t="s">
        <v>25</v>
      </c>
    </row>
    <row r="2256" spans="1:3" x14ac:dyDescent="0.35">
      <c r="A2256" s="141" t="s">
        <v>676</v>
      </c>
      <c r="B2256" s="141" t="s">
        <v>282</v>
      </c>
      <c r="C2256" s="141" t="s">
        <v>24</v>
      </c>
    </row>
    <row r="2257" spans="1:3" x14ac:dyDescent="0.35">
      <c r="A2257" s="141" t="s">
        <v>573</v>
      </c>
      <c r="B2257" s="141" t="s">
        <v>282</v>
      </c>
      <c r="C2257" s="141" t="s">
        <v>25</v>
      </c>
    </row>
    <row r="2258" spans="1:3" x14ac:dyDescent="0.35">
      <c r="A2258" s="141" t="s">
        <v>677</v>
      </c>
      <c r="B2258" s="141" t="s">
        <v>282</v>
      </c>
      <c r="C2258" s="141" t="s">
        <v>25</v>
      </c>
    </row>
    <row r="2259" spans="1:3" x14ac:dyDescent="0.35">
      <c r="A2259" s="141" t="s">
        <v>678</v>
      </c>
      <c r="B2259" s="141" t="s">
        <v>282</v>
      </c>
      <c r="C2259" s="141" t="s">
        <v>25</v>
      </c>
    </row>
    <row r="2260" spans="1:3" x14ac:dyDescent="0.35">
      <c r="A2260" s="141" t="s">
        <v>679</v>
      </c>
      <c r="B2260" s="141" t="s">
        <v>282</v>
      </c>
      <c r="C2260" s="141" t="s">
        <v>25</v>
      </c>
    </row>
    <row r="2261" spans="1:3" x14ac:dyDescent="0.35">
      <c r="A2261" s="141" t="s">
        <v>680</v>
      </c>
      <c r="B2261" s="141" t="s">
        <v>282</v>
      </c>
      <c r="C2261" s="141" t="s">
        <v>25</v>
      </c>
    </row>
    <row r="2262" spans="1:3" x14ac:dyDescent="0.35">
      <c r="A2262" s="141" t="s">
        <v>675</v>
      </c>
      <c r="B2262" s="141" t="s">
        <v>282</v>
      </c>
      <c r="C2262" s="141" t="s">
        <v>24</v>
      </c>
    </row>
    <row r="2263" spans="1:3" x14ac:dyDescent="0.35">
      <c r="A2263" s="141" t="s">
        <v>706</v>
      </c>
      <c r="B2263" s="141" t="s">
        <v>282</v>
      </c>
      <c r="C2263" s="141" t="s">
        <v>31</v>
      </c>
    </row>
    <row r="2264" spans="1:3" x14ac:dyDescent="0.35">
      <c r="A2264" s="141" t="s">
        <v>707</v>
      </c>
      <c r="B2264" s="141" t="s">
        <v>282</v>
      </c>
      <c r="C2264" s="141" t="s">
        <v>31</v>
      </c>
    </row>
    <row r="2265" spans="1:3" x14ac:dyDescent="0.35">
      <c r="A2265" s="141" t="s">
        <v>708</v>
      </c>
      <c r="B2265" s="141" t="s">
        <v>282</v>
      </c>
      <c r="C2265" s="141" t="s">
        <v>31</v>
      </c>
    </row>
    <row r="2266" spans="1:3" x14ac:dyDescent="0.35">
      <c r="A2266" s="141" t="s">
        <v>709</v>
      </c>
      <c r="B2266" s="141" t="s">
        <v>282</v>
      </c>
      <c r="C2266" s="141" t="s">
        <v>31</v>
      </c>
    </row>
    <row r="2267" spans="1:3" x14ac:dyDescent="0.35">
      <c r="A2267" s="141" t="s">
        <v>710</v>
      </c>
      <c r="B2267" s="141" t="s">
        <v>282</v>
      </c>
      <c r="C2267" s="141" t="s">
        <v>31</v>
      </c>
    </row>
    <row r="2268" spans="1:3" x14ac:dyDescent="0.35">
      <c r="A2268" s="141" t="s">
        <v>456</v>
      </c>
      <c r="B2268" s="141" t="s">
        <v>282</v>
      </c>
      <c r="C2268" s="141" t="s">
        <v>31</v>
      </c>
    </row>
    <row r="2269" spans="1:3" x14ac:dyDescent="0.35">
      <c r="A2269" s="141" t="s">
        <v>626</v>
      </c>
      <c r="B2269" s="141" t="s">
        <v>282</v>
      </c>
      <c r="C2269" s="141" t="s">
        <v>31</v>
      </c>
    </row>
    <row r="2270" spans="1:3" x14ac:dyDescent="0.35">
      <c r="A2270" s="141" t="s">
        <v>627</v>
      </c>
      <c r="B2270" s="141" t="s">
        <v>282</v>
      </c>
      <c r="C2270" s="141" t="s">
        <v>31</v>
      </c>
    </row>
    <row r="2271" spans="1:3" x14ac:dyDescent="0.35">
      <c r="A2271" s="141" t="s">
        <v>458</v>
      </c>
      <c r="B2271" s="141" t="s">
        <v>282</v>
      </c>
      <c r="C2271" s="141" t="s">
        <v>31</v>
      </c>
    </row>
    <row r="2272" spans="1:3" x14ac:dyDescent="0.35">
      <c r="A2272" s="141" t="s">
        <v>628</v>
      </c>
      <c r="B2272" s="141" t="s">
        <v>282</v>
      </c>
      <c r="C2272" s="141" t="s">
        <v>31</v>
      </c>
    </row>
    <row r="2273" spans="1:3" x14ac:dyDescent="0.35">
      <c r="A2273" s="141" t="s">
        <v>629</v>
      </c>
      <c r="B2273" s="141" t="s">
        <v>282</v>
      </c>
      <c r="C2273" s="141" t="s">
        <v>31</v>
      </c>
    </row>
    <row r="2274" spans="1:3" x14ac:dyDescent="0.35">
      <c r="A2274" s="141" t="s">
        <v>460</v>
      </c>
      <c r="B2274" s="141" t="s">
        <v>282</v>
      </c>
      <c r="C2274" s="141" t="s">
        <v>31</v>
      </c>
    </row>
    <row r="2275" spans="1:3" x14ac:dyDescent="0.35">
      <c r="A2275" s="141" t="s">
        <v>461</v>
      </c>
      <c r="B2275" s="141" t="s">
        <v>282</v>
      </c>
      <c r="C2275" s="141" t="s">
        <v>31</v>
      </c>
    </row>
    <row r="2276" spans="1:3" x14ac:dyDescent="0.35">
      <c r="A2276" s="141" t="s">
        <v>462</v>
      </c>
      <c r="B2276" s="141" t="s">
        <v>282</v>
      </c>
      <c r="C2276" s="141" t="s">
        <v>31</v>
      </c>
    </row>
    <row r="2277" spans="1:3" x14ac:dyDescent="0.35">
      <c r="A2277" s="141" t="s">
        <v>463</v>
      </c>
      <c r="B2277" s="141" t="s">
        <v>282</v>
      </c>
      <c r="C2277" s="141" t="s">
        <v>31</v>
      </c>
    </row>
    <row r="2278" spans="1:3" x14ac:dyDescent="0.35">
      <c r="A2278" s="141" t="s">
        <v>464</v>
      </c>
      <c r="B2278" s="141" t="s">
        <v>282</v>
      </c>
      <c r="C2278" s="141" t="s">
        <v>31</v>
      </c>
    </row>
    <row r="2279" spans="1:3" x14ac:dyDescent="0.35">
      <c r="A2279" s="141" t="s">
        <v>297</v>
      </c>
      <c r="B2279" s="141" t="s">
        <v>282</v>
      </c>
      <c r="C2279" s="141" t="s">
        <v>32</v>
      </c>
    </row>
    <row r="2280" spans="1:3" x14ac:dyDescent="0.35">
      <c r="A2280" s="141" t="s">
        <v>298</v>
      </c>
      <c r="B2280" s="141" t="s">
        <v>282</v>
      </c>
      <c r="C2280" s="141" t="s">
        <v>32</v>
      </c>
    </row>
    <row r="2281" spans="1:3" x14ac:dyDescent="0.35">
      <c r="A2281" s="141" t="s">
        <v>299</v>
      </c>
      <c r="B2281" s="141" t="s">
        <v>282</v>
      </c>
      <c r="C2281" s="141" t="s">
        <v>32</v>
      </c>
    </row>
    <row r="2282" spans="1:3" x14ac:dyDescent="0.35">
      <c r="A2282" s="141" t="s">
        <v>300</v>
      </c>
      <c r="B2282" s="141" t="s">
        <v>282</v>
      </c>
      <c r="C2282" s="141" t="s">
        <v>32</v>
      </c>
    </row>
    <row r="2283" spans="1:3" x14ac:dyDescent="0.35">
      <c r="A2283" s="141" t="s">
        <v>301</v>
      </c>
      <c r="B2283" s="141" t="s">
        <v>282</v>
      </c>
      <c r="C2283" s="141" t="s">
        <v>32</v>
      </c>
    </row>
    <row r="2284" spans="1:3" x14ac:dyDescent="0.35">
      <c r="A2284" s="141" t="s">
        <v>302</v>
      </c>
      <c r="B2284" s="141" t="s">
        <v>282</v>
      </c>
      <c r="C2284" s="141" t="s">
        <v>32</v>
      </c>
    </row>
    <row r="2285" spans="1:3" x14ac:dyDescent="0.35">
      <c r="A2285" s="141" t="s">
        <v>711</v>
      </c>
      <c r="B2285" s="141" t="s">
        <v>282</v>
      </c>
      <c r="C2285" s="141" t="s">
        <v>33</v>
      </c>
    </row>
    <row r="2286" spans="1:3" x14ac:dyDescent="0.35">
      <c r="A2286" s="141" t="s">
        <v>712</v>
      </c>
      <c r="B2286" s="141" t="s">
        <v>282</v>
      </c>
      <c r="C2286" s="141" t="s">
        <v>33</v>
      </c>
    </row>
    <row r="2287" spans="1:3" x14ac:dyDescent="0.35">
      <c r="A2287" s="141" t="s">
        <v>713</v>
      </c>
      <c r="B2287" s="141" t="s">
        <v>282</v>
      </c>
      <c r="C2287" s="141" t="s">
        <v>33</v>
      </c>
    </row>
    <row r="2288" spans="1:3" x14ac:dyDescent="0.35">
      <c r="A2288" s="141" t="s">
        <v>790</v>
      </c>
      <c r="B2288" s="141" t="s">
        <v>282</v>
      </c>
      <c r="C2288" s="141" t="s">
        <v>33</v>
      </c>
    </row>
    <row r="2289" spans="1:3" x14ac:dyDescent="0.35">
      <c r="A2289" s="141" t="s">
        <v>791</v>
      </c>
      <c r="B2289" s="141" t="s">
        <v>282</v>
      </c>
      <c r="C2289" s="141" t="s">
        <v>33</v>
      </c>
    </row>
    <row r="2290" spans="1:3" x14ac:dyDescent="0.35">
      <c r="A2290" s="141" t="s">
        <v>734</v>
      </c>
      <c r="B2290" s="141" t="s">
        <v>282</v>
      </c>
      <c r="C2290" s="141" t="s">
        <v>33</v>
      </c>
    </row>
    <row r="2291" spans="1:3" x14ac:dyDescent="0.35">
      <c r="A2291" s="141" t="s">
        <v>714</v>
      </c>
      <c r="B2291" s="141" t="s">
        <v>282</v>
      </c>
      <c r="C2291" s="141" t="s">
        <v>36</v>
      </c>
    </row>
    <row r="2292" spans="1:3" x14ac:dyDescent="0.35">
      <c r="A2292" s="141" t="s">
        <v>715</v>
      </c>
      <c r="B2292" s="141" t="s">
        <v>282</v>
      </c>
      <c r="C2292" s="141" t="s">
        <v>36</v>
      </c>
    </row>
    <row r="2293" spans="1:3" x14ac:dyDescent="0.35">
      <c r="A2293" s="141" t="s">
        <v>728</v>
      </c>
      <c r="B2293" s="141" t="s">
        <v>282</v>
      </c>
      <c r="C2293" s="141" t="s">
        <v>28</v>
      </c>
    </row>
    <row r="2294" spans="1:3" x14ac:dyDescent="0.35">
      <c r="A2294" s="141" t="s">
        <v>729</v>
      </c>
      <c r="B2294" s="141" t="s">
        <v>282</v>
      </c>
      <c r="C2294" s="141" t="s">
        <v>28</v>
      </c>
    </row>
    <row r="2295" spans="1:3" x14ac:dyDescent="0.35">
      <c r="A2295" s="141" t="s">
        <v>730</v>
      </c>
      <c r="B2295" s="141" t="s">
        <v>282</v>
      </c>
      <c r="C2295" s="141" t="s">
        <v>28</v>
      </c>
    </row>
    <row r="2296" spans="1:3" x14ac:dyDescent="0.35">
      <c r="A2296" s="141" t="s">
        <v>731</v>
      </c>
      <c r="B2296" s="141" t="s">
        <v>282</v>
      </c>
      <c r="C2296" s="141" t="s">
        <v>29</v>
      </c>
    </row>
    <row r="2297" spans="1:3" x14ac:dyDescent="0.35">
      <c r="A2297" s="141" t="s">
        <v>716</v>
      </c>
      <c r="B2297" s="141" t="s">
        <v>282</v>
      </c>
      <c r="C2297" s="141" t="s">
        <v>36</v>
      </c>
    </row>
    <row r="2298" spans="1:3" x14ac:dyDescent="0.35">
      <c r="A2298" s="141" t="s">
        <v>717</v>
      </c>
      <c r="B2298" s="141" t="s">
        <v>282</v>
      </c>
      <c r="C2298" s="141" t="s">
        <v>36</v>
      </c>
    </row>
    <row r="2299" spans="1:3" x14ac:dyDescent="0.35">
      <c r="A2299" s="141" t="s">
        <v>718</v>
      </c>
      <c r="B2299" s="141" t="s">
        <v>282</v>
      </c>
      <c r="C2299" s="141" t="s">
        <v>36</v>
      </c>
    </row>
    <row r="2300" spans="1:3" x14ac:dyDescent="0.35">
      <c r="A2300" s="141" t="s">
        <v>719</v>
      </c>
      <c r="B2300" s="141" t="s">
        <v>282</v>
      </c>
      <c r="C2300" s="141" t="s">
        <v>36</v>
      </c>
    </row>
    <row r="2301" spans="1:3" x14ac:dyDescent="0.35">
      <c r="A2301" s="141" t="s">
        <v>720</v>
      </c>
      <c r="B2301" s="141" t="s">
        <v>282</v>
      </c>
      <c r="C2301" s="141" t="s">
        <v>36</v>
      </c>
    </row>
    <row r="2302" spans="1:3" x14ac:dyDescent="0.35">
      <c r="A2302" s="141" t="s">
        <v>721</v>
      </c>
      <c r="B2302" s="141" t="s">
        <v>282</v>
      </c>
      <c r="C2302" s="141" t="s">
        <v>36</v>
      </c>
    </row>
    <row r="2303" spans="1:3" x14ac:dyDescent="0.35">
      <c r="A2303" s="141" t="s">
        <v>722</v>
      </c>
      <c r="B2303" s="141" t="s">
        <v>282</v>
      </c>
      <c r="C2303" s="141" t="s">
        <v>36</v>
      </c>
    </row>
    <row r="2304" spans="1:3" x14ac:dyDescent="0.35">
      <c r="A2304" s="141" t="s">
        <v>723</v>
      </c>
      <c r="B2304" s="141" t="s">
        <v>282</v>
      </c>
      <c r="C2304" s="141" t="s">
        <v>36</v>
      </c>
    </row>
    <row r="2305" spans="1:3" x14ac:dyDescent="0.35">
      <c r="A2305" s="141" t="s">
        <v>724</v>
      </c>
      <c r="B2305" s="141" t="s">
        <v>282</v>
      </c>
      <c r="C2305" s="141" t="s">
        <v>37</v>
      </c>
    </row>
    <row r="2306" spans="1:3" x14ac:dyDescent="0.35">
      <c r="A2306" s="141" t="s">
        <v>725</v>
      </c>
      <c r="B2306" s="141" t="s">
        <v>282</v>
      </c>
      <c r="C2306" s="141" t="s">
        <v>37</v>
      </c>
    </row>
    <row r="2307" spans="1:3" x14ac:dyDescent="0.35">
      <c r="A2307" s="141" t="s">
        <v>726</v>
      </c>
      <c r="B2307" s="141" t="s">
        <v>282</v>
      </c>
      <c r="C2307" s="141" t="s">
        <v>33</v>
      </c>
    </row>
    <row r="2308" spans="1:3" x14ac:dyDescent="0.35">
      <c r="A2308" s="141" t="s">
        <v>732</v>
      </c>
      <c r="B2308" s="141" t="s">
        <v>282</v>
      </c>
      <c r="C2308" s="141" t="s">
        <v>28</v>
      </c>
    </row>
    <row r="2309" spans="1:3" x14ac:dyDescent="0.35">
      <c r="A2309" s="141" t="s">
        <v>727</v>
      </c>
      <c r="B2309" s="141" t="s">
        <v>282</v>
      </c>
      <c r="C2309" s="141" t="s">
        <v>36</v>
      </c>
    </row>
    <row r="2310" spans="1:3" x14ac:dyDescent="0.35">
      <c r="A2310" s="141" t="s">
        <v>492</v>
      </c>
      <c r="B2310" s="141" t="s">
        <v>282</v>
      </c>
      <c r="C2310" s="141" t="s">
        <v>32</v>
      </c>
    </row>
    <row r="2311" spans="1:3" x14ac:dyDescent="0.35">
      <c r="A2311" s="141" t="s">
        <v>493</v>
      </c>
      <c r="B2311" s="141" t="s">
        <v>282</v>
      </c>
      <c r="C2311" s="141" t="s">
        <v>32</v>
      </c>
    </row>
    <row r="2312" spans="1:3" x14ac:dyDescent="0.35">
      <c r="A2312" s="141" t="s">
        <v>494</v>
      </c>
      <c r="B2312" s="141" t="s">
        <v>282</v>
      </c>
      <c r="C2312" s="141" t="s">
        <v>32</v>
      </c>
    </row>
    <row r="2313" spans="1:3" x14ac:dyDescent="0.35">
      <c r="A2313" s="141" t="s">
        <v>495</v>
      </c>
      <c r="B2313" s="141" t="s">
        <v>282</v>
      </c>
      <c r="C2313" s="141" t="s">
        <v>32</v>
      </c>
    </row>
    <row r="2314" spans="1:3" x14ac:dyDescent="0.35">
      <c r="A2314" s="141" t="s">
        <v>496</v>
      </c>
      <c r="B2314" s="141" t="s">
        <v>282</v>
      </c>
      <c r="C2314" s="141" t="s">
        <v>32</v>
      </c>
    </row>
    <row r="2315" spans="1:3" x14ac:dyDescent="0.35">
      <c r="A2315" s="141" t="s">
        <v>497</v>
      </c>
      <c r="B2315" s="141" t="s">
        <v>282</v>
      </c>
      <c r="C2315" s="141" t="s">
        <v>32</v>
      </c>
    </row>
    <row r="2316" spans="1:3" x14ac:dyDescent="0.35">
      <c r="A2316" s="141" t="s">
        <v>681</v>
      </c>
      <c r="B2316" s="141" t="s">
        <v>282</v>
      </c>
      <c r="C2316" s="141" t="s">
        <v>32</v>
      </c>
    </row>
    <row r="2317" spans="1:3" x14ac:dyDescent="0.35">
      <c r="A2317" s="141" t="s">
        <v>682</v>
      </c>
      <c r="B2317" s="141" t="s">
        <v>282</v>
      </c>
      <c r="C2317" s="141" t="s">
        <v>32</v>
      </c>
    </row>
    <row r="2318" spans="1:3" x14ac:dyDescent="0.35">
      <c r="A2318" s="141" t="s">
        <v>683</v>
      </c>
      <c r="B2318" s="141" t="s">
        <v>282</v>
      </c>
      <c r="C2318" s="141" t="s">
        <v>32</v>
      </c>
    </row>
    <row r="2319" spans="1:3" x14ac:dyDescent="0.35">
      <c r="A2319" s="141" t="s">
        <v>684</v>
      </c>
      <c r="B2319" s="141" t="s">
        <v>282</v>
      </c>
      <c r="C2319" s="141" t="s">
        <v>32</v>
      </c>
    </row>
    <row r="2320" spans="1:3" x14ac:dyDescent="0.35">
      <c r="A2320" s="141" t="s">
        <v>685</v>
      </c>
      <c r="B2320" s="141" t="s">
        <v>282</v>
      </c>
      <c r="C2320" s="141" t="s">
        <v>32</v>
      </c>
    </row>
    <row r="2321" spans="1:3" x14ac:dyDescent="0.35">
      <c r="A2321" s="141" t="s">
        <v>686</v>
      </c>
      <c r="B2321" s="141" t="s">
        <v>282</v>
      </c>
      <c r="C2321" s="141" t="s">
        <v>32</v>
      </c>
    </row>
    <row r="2322" spans="1:3" x14ac:dyDescent="0.35">
      <c r="A2322" s="141" t="s">
        <v>687</v>
      </c>
      <c r="B2322" s="141" t="s">
        <v>282</v>
      </c>
      <c r="C2322" s="141" t="s">
        <v>32</v>
      </c>
    </row>
    <row r="2323" spans="1:3" x14ac:dyDescent="0.35">
      <c r="A2323" s="141" t="s">
        <v>502</v>
      </c>
      <c r="B2323" s="141" t="s">
        <v>282</v>
      </c>
      <c r="C2323" s="141" t="s">
        <v>32</v>
      </c>
    </row>
    <row r="2324" spans="1:3" x14ac:dyDescent="0.35">
      <c r="A2324" s="141" t="s">
        <v>503</v>
      </c>
      <c r="B2324" s="141" t="s">
        <v>282</v>
      </c>
      <c r="C2324" s="141" t="s">
        <v>32</v>
      </c>
    </row>
    <row r="2325" spans="1:3" x14ac:dyDescent="0.35">
      <c r="A2325" s="141" t="s">
        <v>504</v>
      </c>
      <c r="B2325" s="141" t="s">
        <v>282</v>
      </c>
      <c r="C2325" s="141" t="s">
        <v>26</v>
      </c>
    </row>
    <row r="2326" spans="1:3" x14ac:dyDescent="0.35">
      <c r="A2326" s="141" t="s">
        <v>688</v>
      </c>
      <c r="B2326" s="141" t="s">
        <v>282</v>
      </c>
      <c r="C2326" s="141" t="s">
        <v>32</v>
      </c>
    </row>
    <row r="2327" spans="1:3" x14ac:dyDescent="0.35">
      <c r="A2327" s="141" t="s">
        <v>689</v>
      </c>
      <c r="B2327" s="141" t="s">
        <v>282</v>
      </c>
      <c r="C2327" s="141" t="s">
        <v>32</v>
      </c>
    </row>
    <row r="2328" spans="1:3" x14ac:dyDescent="0.35">
      <c r="A2328" s="141" t="s">
        <v>690</v>
      </c>
      <c r="B2328" s="141" t="s">
        <v>282</v>
      </c>
      <c r="C2328" s="141" t="s">
        <v>32</v>
      </c>
    </row>
    <row r="2329" spans="1:3" x14ac:dyDescent="0.35">
      <c r="A2329" s="141" t="s">
        <v>691</v>
      </c>
      <c r="B2329" s="141" t="s">
        <v>282</v>
      </c>
      <c r="C2329" s="141" t="s">
        <v>32</v>
      </c>
    </row>
    <row r="2330" spans="1:3" x14ac:dyDescent="0.35">
      <c r="A2330" s="141" t="s">
        <v>694</v>
      </c>
      <c r="B2330" s="141" t="s">
        <v>282</v>
      </c>
      <c r="C2330" s="141" t="s">
        <v>32</v>
      </c>
    </row>
    <row r="2331" spans="1:3" x14ac:dyDescent="0.35">
      <c r="A2331" s="141" t="s">
        <v>695</v>
      </c>
      <c r="B2331" s="141" t="s">
        <v>282</v>
      </c>
      <c r="C2331" s="141" t="s">
        <v>32</v>
      </c>
    </row>
    <row r="2332" spans="1:3" x14ac:dyDescent="0.35">
      <c r="A2332" s="141" t="s">
        <v>696</v>
      </c>
      <c r="B2332" s="141" t="s">
        <v>282</v>
      </c>
      <c r="C2332" s="141" t="s">
        <v>32</v>
      </c>
    </row>
    <row r="2333" spans="1:3" x14ac:dyDescent="0.35">
      <c r="A2333" s="141" t="s">
        <v>697</v>
      </c>
      <c r="B2333" s="141" t="s">
        <v>282</v>
      </c>
      <c r="C2333" s="141" t="s">
        <v>32</v>
      </c>
    </row>
    <row r="2334" spans="1:3" x14ac:dyDescent="0.35">
      <c r="A2334" s="141" t="s">
        <v>692</v>
      </c>
      <c r="B2334" s="141" t="s">
        <v>282</v>
      </c>
      <c r="C2334" s="141" t="s">
        <v>32</v>
      </c>
    </row>
    <row r="2335" spans="1:3" x14ac:dyDescent="0.35">
      <c r="A2335" s="141" t="s">
        <v>693</v>
      </c>
      <c r="B2335" s="141" t="s">
        <v>282</v>
      </c>
      <c r="C2335" s="141" t="s">
        <v>32</v>
      </c>
    </row>
    <row r="2336" spans="1:3" x14ac:dyDescent="0.35">
      <c r="A2336" s="141" t="s">
        <v>509</v>
      </c>
      <c r="B2336" s="141" t="s">
        <v>282</v>
      </c>
      <c r="C2336" s="141" t="s">
        <v>32</v>
      </c>
    </row>
    <row r="2337" spans="1:3" x14ac:dyDescent="0.35">
      <c r="A2337" s="141" t="s">
        <v>510</v>
      </c>
      <c r="B2337" s="141" t="s">
        <v>282</v>
      </c>
      <c r="C2337" s="141" t="s">
        <v>32</v>
      </c>
    </row>
    <row r="2338" spans="1:3" x14ac:dyDescent="0.35">
      <c r="A2338" s="141" t="s">
        <v>511</v>
      </c>
      <c r="B2338" s="141" t="s">
        <v>282</v>
      </c>
      <c r="C2338" s="141" t="s">
        <v>32</v>
      </c>
    </row>
    <row r="2339" spans="1:3" x14ac:dyDescent="0.35">
      <c r="A2339" s="141" t="s">
        <v>512</v>
      </c>
      <c r="B2339" s="141" t="s">
        <v>282</v>
      </c>
      <c r="C2339" s="141" t="s">
        <v>32</v>
      </c>
    </row>
    <row r="2340" spans="1:3" x14ac:dyDescent="0.35">
      <c r="A2340" s="141" t="s">
        <v>786</v>
      </c>
      <c r="B2340" s="141" t="s">
        <v>282</v>
      </c>
      <c r="C2340" s="141" t="s">
        <v>35</v>
      </c>
    </row>
    <row r="2341" spans="1:3" x14ac:dyDescent="0.35">
      <c r="A2341" s="141" t="s">
        <v>787</v>
      </c>
      <c r="B2341" s="141" t="s">
        <v>282</v>
      </c>
      <c r="C2341" s="141" t="s">
        <v>35</v>
      </c>
    </row>
    <row r="2342" spans="1:3" x14ac:dyDescent="0.35">
      <c r="A2342" s="141" t="s">
        <v>704</v>
      </c>
      <c r="B2342" s="141" t="s">
        <v>282</v>
      </c>
      <c r="C2342" s="141" t="s">
        <v>35</v>
      </c>
    </row>
    <row r="2343" spans="1:3" x14ac:dyDescent="0.35">
      <c r="A2343" s="141" t="s">
        <v>705</v>
      </c>
      <c r="B2343" s="141" t="s">
        <v>282</v>
      </c>
      <c r="C2343" s="141" t="s">
        <v>35</v>
      </c>
    </row>
    <row r="2344" spans="1:3" x14ac:dyDescent="0.35">
      <c r="A2344" s="141" t="s">
        <v>698</v>
      </c>
      <c r="B2344" s="141" t="s">
        <v>282</v>
      </c>
      <c r="C2344" s="141" t="s">
        <v>33</v>
      </c>
    </row>
    <row r="2345" spans="1:3" x14ac:dyDescent="0.35">
      <c r="A2345" s="141" t="s">
        <v>515</v>
      </c>
      <c r="B2345" s="141" t="s">
        <v>282</v>
      </c>
      <c r="C2345" s="141" t="s">
        <v>33</v>
      </c>
    </row>
    <row r="2346" spans="1:3" x14ac:dyDescent="0.35">
      <c r="A2346" s="141" t="s">
        <v>516</v>
      </c>
      <c r="B2346" s="141" t="s">
        <v>282</v>
      </c>
      <c r="C2346" s="141" t="s">
        <v>33</v>
      </c>
    </row>
    <row r="2347" spans="1:3" x14ac:dyDescent="0.35">
      <c r="A2347" s="141" t="s">
        <v>517</v>
      </c>
      <c r="B2347" s="141" t="s">
        <v>282</v>
      </c>
      <c r="C2347" s="141" t="s">
        <v>30</v>
      </c>
    </row>
    <row r="2348" spans="1:3" x14ac:dyDescent="0.35">
      <c r="A2348" s="141" t="s">
        <v>782</v>
      </c>
      <c r="B2348" s="141" t="s">
        <v>282</v>
      </c>
      <c r="C2348" s="141" t="s">
        <v>30</v>
      </c>
    </row>
    <row r="2349" spans="1:3" x14ac:dyDescent="0.35">
      <c r="A2349" s="141" t="s">
        <v>783</v>
      </c>
      <c r="B2349" s="141" t="s">
        <v>282</v>
      </c>
      <c r="C2349" s="141" t="s">
        <v>30</v>
      </c>
    </row>
    <row r="2350" spans="1:3" x14ac:dyDescent="0.35">
      <c r="A2350" s="141" t="s">
        <v>519</v>
      </c>
      <c r="B2350" s="141" t="s">
        <v>282</v>
      </c>
      <c r="C2350" s="141" t="s">
        <v>34</v>
      </c>
    </row>
    <row r="2351" spans="1:3" x14ac:dyDescent="0.35">
      <c r="A2351" s="141" t="s">
        <v>520</v>
      </c>
      <c r="B2351" s="141" t="s">
        <v>282</v>
      </c>
      <c r="C2351" s="141" t="s">
        <v>34</v>
      </c>
    </row>
    <row r="2352" spans="1:3" x14ac:dyDescent="0.35">
      <c r="A2352" s="141" t="s">
        <v>521</v>
      </c>
      <c r="B2352" s="141" t="s">
        <v>282</v>
      </c>
      <c r="C2352" s="141" t="s">
        <v>34</v>
      </c>
    </row>
    <row r="2353" spans="1:3" x14ac:dyDescent="0.35">
      <c r="A2353" s="141" t="s">
        <v>522</v>
      </c>
      <c r="B2353" s="141" t="s">
        <v>282</v>
      </c>
      <c r="C2353" s="141" t="s">
        <v>34</v>
      </c>
    </row>
    <row r="2354" spans="1:3" x14ac:dyDescent="0.35">
      <c r="A2354" s="141" t="s">
        <v>523</v>
      </c>
      <c r="B2354" s="141" t="s">
        <v>282</v>
      </c>
      <c r="C2354" s="141" t="s">
        <v>30</v>
      </c>
    </row>
    <row r="2355" spans="1:3" x14ac:dyDescent="0.35">
      <c r="A2355" s="141" t="s">
        <v>784</v>
      </c>
      <c r="B2355" s="141" t="s">
        <v>282</v>
      </c>
      <c r="C2355" s="141" t="s">
        <v>30</v>
      </c>
    </row>
    <row r="2356" spans="1:3" x14ac:dyDescent="0.35">
      <c r="A2356" s="141" t="s">
        <v>785</v>
      </c>
      <c r="B2356" s="141" t="s">
        <v>282</v>
      </c>
      <c r="C2356" s="141" t="s">
        <v>30</v>
      </c>
    </row>
    <row r="2357" spans="1:3" x14ac:dyDescent="0.35">
      <c r="A2357" s="141" t="s">
        <v>525</v>
      </c>
      <c r="B2357" s="141" t="s">
        <v>282</v>
      </c>
      <c r="C2357" s="141" t="s">
        <v>46</v>
      </c>
    </row>
    <row r="2358" spans="1:3" x14ac:dyDescent="0.35">
      <c r="A2358" s="141" t="s">
        <v>526</v>
      </c>
      <c r="B2358" s="141" t="s">
        <v>282</v>
      </c>
      <c r="C2358" s="141" t="s">
        <v>32</v>
      </c>
    </row>
    <row r="2359" spans="1:3" x14ac:dyDescent="0.35">
      <c r="A2359" s="141" t="s">
        <v>527</v>
      </c>
      <c r="B2359" s="141" t="s">
        <v>282</v>
      </c>
      <c r="C2359" s="141" t="s">
        <v>32</v>
      </c>
    </row>
    <row r="2360" spans="1:3" x14ac:dyDescent="0.35">
      <c r="A2360" s="141" t="s">
        <v>528</v>
      </c>
      <c r="B2360" s="141" t="s">
        <v>282</v>
      </c>
      <c r="C2360" s="141" t="s">
        <v>32</v>
      </c>
    </row>
    <row r="2361" spans="1:3" x14ac:dyDescent="0.35">
      <c r="A2361" s="141" t="s">
        <v>529</v>
      </c>
      <c r="B2361" s="141" t="s">
        <v>282</v>
      </c>
      <c r="C2361" s="141" t="s">
        <v>32</v>
      </c>
    </row>
    <row r="2362" spans="1:3" x14ac:dyDescent="0.35">
      <c r="A2362" s="141" t="s">
        <v>788</v>
      </c>
      <c r="B2362" s="141" t="s">
        <v>282</v>
      </c>
      <c r="C2362" s="141" t="s">
        <v>25</v>
      </c>
    </row>
    <row r="2363" spans="1:3" x14ac:dyDescent="0.35">
      <c r="A2363" s="141" t="s">
        <v>789</v>
      </c>
      <c r="B2363" s="141" t="s">
        <v>282</v>
      </c>
      <c r="C2363" s="141" t="s">
        <v>25</v>
      </c>
    </row>
    <row r="2364" spans="1:3" x14ac:dyDescent="0.35">
      <c r="A2364" s="141" t="s">
        <v>531</v>
      </c>
      <c r="B2364" s="141" t="s">
        <v>282</v>
      </c>
      <c r="C2364" s="141" t="s">
        <v>51</v>
      </c>
    </row>
    <row r="2365" spans="1:3" x14ac:dyDescent="0.35">
      <c r="A2365" s="141" t="s">
        <v>741</v>
      </c>
      <c r="B2365" s="141" t="s">
        <v>282</v>
      </c>
      <c r="C2365" s="141" t="s">
        <v>51</v>
      </c>
    </row>
    <row r="2366" spans="1:3" x14ac:dyDescent="0.35">
      <c r="A2366" s="141" t="s">
        <v>742</v>
      </c>
      <c r="B2366" s="141" t="s">
        <v>282</v>
      </c>
      <c r="C2366" s="141" t="s">
        <v>51</v>
      </c>
    </row>
    <row r="2367" spans="1:3" x14ac:dyDescent="0.35">
      <c r="A2367" s="141" t="s">
        <v>743</v>
      </c>
      <c r="B2367" s="141" t="s">
        <v>282</v>
      </c>
      <c r="C2367" s="141" t="s">
        <v>51</v>
      </c>
    </row>
    <row r="2368" spans="1:3" x14ac:dyDescent="0.35">
      <c r="A2368" s="141" t="s">
        <v>747</v>
      </c>
      <c r="B2368" s="141" t="s">
        <v>282</v>
      </c>
      <c r="C2368" s="141" t="s">
        <v>51</v>
      </c>
    </row>
    <row r="2369" spans="1:3" x14ac:dyDescent="0.35">
      <c r="A2369" s="141" t="s">
        <v>748</v>
      </c>
      <c r="B2369" s="141" t="s">
        <v>282</v>
      </c>
      <c r="C2369" s="141" t="s">
        <v>51</v>
      </c>
    </row>
    <row r="2370" spans="1:3" x14ac:dyDescent="0.35">
      <c r="A2370" s="141" t="s">
        <v>313</v>
      </c>
      <c r="B2370" s="141" t="s">
        <v>282</v>
      </c>
      <c r="C2370" s="141" t="s">
        <v>51</v>
      </c>
    </row>
    <row r="2371" spans="1:3" x14ac:dyDescent="0.35">
      <c r="A2371" s="141" t="s">
        <v>533</v>
      </c>
      <c r="B2371" s="141" t="s">
        <v>282</v>
      </c>
      <c r="C2371" s="141" t="s">
        <v>50</v>
      </c>
    </row>
    <row r="2372" spans="1:3" x14ac:dyDescent="0.35">
      <c r="A2372" s="141" t="s">
        <v>308</v>
      </c>
      <c r="B2372" s="141" t="s">
        <v>282</v>
      </c>
      <c r="C2372" s="141" t="s">
        <v>53</v>
      </c>
    </row>
    <row r="2373" spans="1:3" x14ac:dyDescent="0.35">
      <c r="A2373" s="141" t="s">
        <v>309</v>
      </c>
      <c r="B2373" s="141" t="s">
        <v>282</v>
      </c>
      <c r="C2373" s="141" t="s">
        <v>53</v>
      </c>
    </row>
    <row r="2374" spans="1:3" x14ac:dyDescent="0.35">
      <c r="A2374" s="141" t="s">
        <v>310</v>
      </c>
      <c r="B2374" s="141" t="s">
        <v>282</v>
      </c>
      <c r="C2374" s="141" t="s">
        <v>53</v>
      </c>
    </row>
    <row r="2375" spans="1:3" x14ac:dyDescent="0.35">
      <c r="A2375" s="141" t="s">
        <v>311</v>
      </c>
      <c r="B2375" s="141" t="s">
        <v>282</v>
      </c>
      <c r="C2375" s="141" t="s">
        <v>53</v>
      </c>
    </row>
    <row r="2376" spans="1:3" x14ac:dyDescent="0.35">
      <c r="A2376" s="141" t="s">
        <v>534</v>
      </c>
      <c r="B2376" s="141" t="s">
        <v>282</v>
      </c>
      <c r="C2376" s="141" t="s">
        <v>53</v>
      </c>
    </row>
    <row r="2377" spans="1:3" x14ac:dyDescent="0.35">
      <c r="A2377" s="141" t="s">
        <v>801</v>
      </c>
      <c r="B2377" s="141" t="s">
        <v>282</v>
      </c>
      <c r="C2377" s="141" t="s">
        <v>52</v>
      </c>
    </row>
    <row r="2378" spans="1:3" x14ac:dyDescent="0.35">
      <c r="A2378" s="141" t="s">
        <v>575</v>
      </c>
      <c r="B2378" s="141" t="s">
        <v>282</v>
      </c>
      <c r="C2378" s="141" t="s">
        <v>52</v>
      </c>
    </row>
    <row r="2379" spans="1:3" x14ac:dyDescent="0.35">
      <c r="A2379" s="141" t="s">
        <v>639</v>
      </c>
      <c r="B2379" s="141" t="s">
        <v>282</v>
      </c>
      <c r="C2379" s="141" t="s">
        <v>25</v>
      </c>
    </row>
    <row r="2380" spans="1:3" x14ac:dyDescent="0.35">
      <c r="A2380" s="141" t="s">
        <v>640</v>
      </c>
      <c r="B2380" s="141" t="s">
        <v>282</v>
      </c>
      <c r="C2380" s="141" t="s">
        <v>25</v>
      </c>
    </row>
    <row r="2381" spans="1:3" x14ac:dyDescent="0.35">
      <c r="A2381" s="141" t="s">
        <v>744</v>
      </c>
      <c r="B2381" s="141" t="s">
        <v>282</v>
      </c>
      <c r="C2381" s="141" t="s">
        <v>52</v>
      </c>
    </row>
    <row r="2382" spans="1:3" x14ac:dyDescent="0.35">
      <c r="A2382" s="141" t="s">
        <v>577</v>
      </c>
      <c r="B2382" s="141" t="s">
        <v>282</v>
      </c>
      <c r="C2382" s="141" t="s">
        <v>52</v>
      </c>
    </row>
    <row r="2383" spans="1:3" x14ac:dyDescent="0.35">
      <c r="A2383" s="141" t="s">
        <v>578</v>
      </c>
      <c r="B2383" s="141" t="s">
        <v>282</v>
      </c>
      <c r="C2383" s="141" t="s">
        <v>52</v>
      </c>
    </row>
    <row r="2384" spans="1:3" x14ac:dyDescent="0.35">
      <c r="A2384" s="141" t="s">
        <v>535</v>
      </c>
      <c r="B2384" s="141" t="s">
        <v>282</v>
      </c>
      <c r="C2384" s="141" t="s">
        <v>52</v>
      </c>
    </row>
    <row r="2385" spans="1:3" x14ac:dyDescent="0.35">
      <c r="A2385" s="141" t="s">
        <v>536</v>
      </c>
      <c r="B2385" s="141" t="s">
        <v>282</v>
      </c>
      <c r="C2385" s="141" t="s">
        <v>52</v>
      </c>
    </row>
    <row r="2386" spans="1:3" x14ac:dyDescent="0.35">
      <c r="A2386" s="141" t="s">
        <v>537</v>
      </c>
      <c r="B2386" s="141" t="s">
        <v>282</v>
      </c>
      <c r="C2386" s="141" t="s">
        <v>52</v>
      </c>
    </row>
    <row r="2387" spans="1:3" x14ac:dyDescent="0.35">
      <c r="A2387" s="141" t="s">
        <v>538</v>
      </c>
      <c r="B2387" s="141" t="s">
        <v>282</v>
      </c>
      <c r="C2387" s="141" t="s">
        <v>52</v>
      </c>
    </row>
    <row r="2388" spans="1:3" x14ac:dyDescent="0.35">
      <c r="A2388" s="141" t="s">
        <v>539</v>
      </c>
      <c r="B2388" s="141" t="s">
        <v>282</v>
      </c>
      <c r="C2388" s="141" t="s">
        <v>52</v>
      </c>
    </row>
    <row r="2389" spans="1:3" x14ac:dyDescent="0.35">
      <c r="A2389" s="141" t="s">
        <v>540</v>
      </c>
      <c r="B2389" s="141" t="s">
        <v>282</v>
      </c>
      <c r="C2389" s="141" t="s">
        <v>52</v>
      </c>
    </row>
    <row r="2390" spans="1:3" x14ac:dyDescent="0.35">
      <c r="A2390" s="141" t="s">
        <v>652</v>
      </c>
      <c r="B2390" s="141" t="s">
        <v>282</v>
      </c>
      <c r="C2390" s="141" t="s">
        <v>52</v>
      </c>
    </row>
    <row r="2391" spans="1:3" x14ac:dyDescent="0.35">
      <c r="A2391" s="141" t="s">
        <v>802</v>
      </c>
      <c r="B2391" s="141" t="s">
        <v>282</v>
      </c>
      <c r="C2391" s="141" t="s">
        <v>52</v>
      </c>
    </row>
    <row r="2392" spans="1:3" x14ac:dyDescent="0.35">
      <c r="A2392" s="141" t="s">
        <v>803</v>
      </c>
      <c r="B2392" s="141" t="s">
        <v>282</v>
      </c>
      <c r="C2392" s="141" t="s">
        <v>52</v>
      </c>
    </row>
    <row r="2393" spans="1:3" x14ac:dyDescent="0.35">
      <c r="A2393" s="141" t="s">
        <v>542</v>
      </c>
      <c r="B2393" s="141" t="s">
        <v>282</v>
      </c>
      <c r="C2393" s="141" t="s">
        <v>52</v>
      </c>
    </row>
    <row r="2394" spans="1:3" x14ac:dyDescent="0.35">
      <c r="A2394" s="141" t="s">
        <v>543</v>
      </c>
      <c r="B2394" s="141" t="s">
        <v>282</v>
      </c>
      <c r="C2394" s="141" t="s">
        <v>52</v>
      </c>
    </row>
    <row r="2395" spans="1:3" x14ac:dyDescent="0.35">
      <c r="A2395" s="141" t="s">
        <v>544</v>
      </c>
      <c r="B2395" s="141" t="s">
        <v>282</v>
      </c>
      <c r="C2395" s="141" t="s">
        <v>33</v>
      </c>
    </row>
    <row r="2396" spans="1:3" x14ac:dyDescent="0.35">
      <c r="A2396" s="141" t="s">
        <v>804</v>
      </c>
      <c r="B2396" s="141" t="s">
        <v>282</v>
      </c>
      <c r="C2396" s="141" t="s">
        <v>53</v>
      </c>
    </row>
    <row r="2397" spans="1:3" x14ac:dyDescent="0.35">
      <c r="A2397" s="141" t="s">
        <v>805</v>
      </c>
      <c r="B2397" s="141" t="s">
        <v>282</v>
      </c>
      <c r="C2397" s="141" t="s">
        <v>52</v>
      </c>
    </row>
    <row r="2398" spans="1:3" x14ac:dyDescent="0.35">
      <c r="A2398" s="141" t="s">
        <v>546</v>
      </c>
      <c r="B2398" s="141" t="s">
        <v>282</v>
      </c>
      <c r="C2398" s="141" t="s">
        <v>52</v>
      </c>
    </row>
    <row r="2399" spans="1:3" x14ac:dyDescent="0.35">
      <c r="A2399" s="141" t="s">
        <v>547</v>
      </c>
      <c r="B2399" s="141" t="s">
        <v>282</v>
      </c>
      <c r="C2399" s="141" t="s">
        <v>52</v>
      </c>
    </row>
    <row r="2400" spans="1:3" x14ac:dyDescent="0.35">
      <c r="A2400" s="141" t="s">
        <v>740</v>
      </c>
      <c r="B2400" s="141" t="s">
        <v>282</v>
      </c>
      <c r="C2400" s="141" t="s">
        <v>33</v>
      </c>
    </row>
    <row r="2401" spans="1:3" x14ac:dyDescent="0.35">
      <c r="A2401" s="141" t="s">
        <v>550</v>
      </c>
      <c r="B2401" s="141" t="s">
        <v>282</v>
      </c>
      <c r="C2401" s="141" t="s">
        <v>33</v>
      </c>
    </row>
    <row r="2402" spans="1:3" x14ac:dyDescent="0.35">
      <c r="A2402" s="141" t="s">
        <v>551</v>
      </c>
      <c r="B2402" s="141" t="s">
        <v>282</v>
      </c>
      <c r="C2402" s="141" t="s">
        <v>33</v>
      </c>
    </row>
    <row r="2403" spans="1:3" x14ac:dyDescent="0.35">
      <c r="A2403" s="141" t="s">
        <v>306</v>
      </c>
      <c r="B2403" s="141" t="s">
        <v>282</v>
      </c>
      <c r="C2403" s="141" t="s">
        <v>35</v>
      </c>
    </row>
    <row r="2404" spans="1:3" x14ac:dyDescent="0.35">
      <c r="A2404" s="141" t="s">
        <v>307</v>
      </c>
      <c r="B2404" s="141" t="s">
        <v>282</v>
      </c>
      <c r="C2404" s="141" t="s">
        <v>33</v>
      </c>
    </row>
    <row r="2405" spans="1:3" x14ac:dyDescent="0.35">
      <c r="A2405" s="141" t="s">
        <v>314</v>
      </c>
      <c r="B2405" s="141" t="s">
        <v>282</v>
      </c>
      <c r="C2405" s="141" t="s">
        <v>16</v>
      </c>
    </row>
    <row r="2406" spans="1:3" x14ac:dyDescent="0.35">
      <c r="A2406" s="141" t="s">
        <v>315</v>
      </c>
      <c r="B2406" s="141" t="s">
        <v>282</v>
      </c>
      <c r="C2406" s="141" t="s">
        <v>16</v>
      </c>
    </row>
    <row r="2407" spans="1:3" x14ac:dyDescent="0.35">
      <c r="A2407" s="141" t="s">
        <v>316</v>
      </c>
      <c r="B2407" s="141" t="s">
        <v>282</v>
      </c>
      <c r="C2407" s="141" t="s">
        <v>16</v>
      </c>
    </row>
    <row r="2408" spans="1:3" x14ac:dyDescent="0.35">
      <c r="A2408" s="141" t="s">
        <v>317</v>
      </c>
      <c r="B2408" s="141" t="s">
        <v>282</v>
      </c>
      <c r="C2408" s="141" t="s">
        <v>16</v>
      </c>
    </row>
    <row r="2409" spans="1:3" x14ac:dyDescent="0.35">
      <c r="A2409" s="141" t="s">
        <v>318</v>
      </c>
      <c r="B2409" s="141" t="s">
        <v>282</v>
      </c>
      <c r="C2409" s="141" t="s">
        <v>16</v>
      </c>
    </row>
    <row r="2410" spans="1:3" x14ac:dyDescent="0.35">
      <c r="A2410" s="141" t="s">
        <v>319</v>
      </c>
      <c r="B2410" s="141" t="s">
        <v>282</v>
      </c>
      <c r="C2410" s="141" t="s">
        <v>16</v>
      </c>
    </row>
    <row r="2411" spans="1:3" x14ac:dyDescent="0.35">
      <c r="A2411" s="141" t="s">
        <v>320</v>
      </c>
      <c r="B2411" s="141" t="s">
        <v>282</v>
      </c>
      <c r="C2411" s="141" t="s">
        <v>16</v>
      </c>
    </row>
    <row r="2412" spans="1:3" x14ac:dyDescent="0.35">
      <c r="A2412" s="141" t="s">
        <v>322</v>
      </c>
      <c r="B2412" s="141" t="s">
        <v>282</v>
      </c>
      <c r="C2412" s="141" t="s">
        <v>16</v>
      </c>
    </row>
    <row r="2413" spans="1:3" x14ac:dyDescent="0.35">
      <c r="A2413" s="141" t="s">
        <v>324</v>
      </c>
      <c r="B2413" s="141" t="s">
        <v>282</v>
      </c>
      <c r="C2413" s="141" t="s">
        <v>16</v>
      </c>
    </row>
    <row r="2414" spans="1:3" x14ac:dyDescent="0.35">
      <c r="A2414" s="141" t="s">
        <v>325</v>
      </c>
      <c r="B2414" s="141" t="s">
        <v>282</v>
      </c>
      <c r="C2414" s="141" t="s">
        <v>16</v>
      </c>
    </row>
    <row r="2415" spans="1:3" x14ac:dyDescent="0.35">
      <c r="A2415" s="141" t="s">
        <v>326</v>
      </c>
      <c r="B2415" s="141" t="s">
        <v>282</v>
      </c>
      <c r="C2415" s="141" t="s">
        <v>16</v>
      </c>
    </row>
    <row r="2416" spans="1:3" x14ac:dyDescent="0.35">
      <c r="A2416" s="141" t="s">
        <v>327</v>
      </c>
      <c r="B2416" s="141" t="s">
        <v>282</v>
      </c>
      <c r="C2416" s="141" t="s">
        <v>16</v>
      </c>
    </row>
    <row r="2417" spans="1:3" x14ac:dyDescent="0.35">
      <c r="A2417" s="141" t="s">
        <v>329</v>
      </c>
      <c r="B2417" s="141" t="s">
        <v>282</v>
      </c>
      <c r="C2417" s="141" t="s">
        <v>16</v>
      </c>
    </row>
    <row r="2418" spans="1:3" x14ac:dyDescent="0.35">
      <c r="A2418" s="141" t="s">
        <v>330</v>
      </c>
      <c r="B2418" s="141" t="s">
        <v>282</v>
      </c>
      <c r="C2418" s="141" t="s">
        <v>16</v>
      </c>
    </row>
    <row r="2419" spans="1:3" x14ac:dyDescent="0.35">
      <c r="A2419" s="141" t="s">
        <v>331</v>
      </c>
      <c r="B2419" s="141" t="s">
        <v>282</v>
      </c>
      <c r="C2419" s="141" t="s">
        <v>16</v>
      </c>
    </row>
    <row r="2420" spans="1:3" x14ac:dyDescent="0.35">
      <c r="A2420" s="141" t="s">
        <v>332</v>
      </c>
      <c r="B2420" s="141" t="s">
        <v>282</v>
      </c>
      <c r="C2420" s="141" t="s">
        <v>16</v>
      </c>
    </row>
    <row r="2421" spans="1:3" x14ac:dyDescent="0.35">
      <c r="A2421" s="141" t="s">
        <v>333</v>
      </c>
      <c r="B2421" s="141" t="s">
        <v>282</v>
      </c>
      <c r="C2421" s="141" t="s">
        <v>16</v>
      </c>
    </row>
    <row r="2422" spans="1:3" x14ac:dyDescent="0.35">
      <c r="A2422" s="141" t="s">
        <v>806</v>
      </c>
      <c r="B2422" s="141" t="s">
        <v>282</v>
      </c>
      <c r="C2422" s="141" t="s">
        <v>32</v>
      </c>
    </row>
    <row r="2423" spans="1:3" x14ac:dyDescent="0.35">
      <c r="A2423" s="141" t="s">
        <v>579</v>
      </c>
      <c r="B2423" s="141" t="s">
        <v>282</v>
      </c>
      <c r="C2423" s="141" t="s">
        <v>32</v>
      </c>
    </row>
    <row r="2424" spans="1:3" x14ac:dyDescent="0.35">
      <c r="A2424" s="141" t="s">
        <v>556</v>
      </c>
      <c r="B2424" s="141" t="s">
        <v>282</v>
      </c>
      <c r="C2424" s="141" t="s">
        <v>32</v>
      </c>
    </row>
    <row r="2425" spans="1:3" x14ac:dyDescent="0.35">
      <c r="A2425" s="141" t="s">
        <v>557</v>
      </c>
      <c r="B2425" s="141" t="s">
        <v>282</v>
      </c>
      <c r="C2425" s="141" t="s">
        <v>32</v>
      </c>
    </row>
    <row r="2426" spans="1:3" x14ac:dyDescent="0.35">
      <c r="A2426" s="141" t="s">
        <v>558</v>
      </c>
      <c r="B2426" s="141" t="s">
        <v>282</v>
      </c>
      <c r="C2426" s="141" t="s">
        <v>32</v>
      </c>
    </row>
    <row r="2427" spans="1:3" x14ac:dyDescent="0.35">
      <c r="A2427" s="141" t="s">
        <v>580</v>
      </c>
      <c r="B2427" s="141" t="s">
        <v>282</v>
      </c>
      <c r="C2427" s="141" t="s">
        <v>32</v>
      </c>
    </row>
    <row r="2428" spans="1:3" x14ac:dyDescent="0.35">
      <c r="A2428" s="141" t="s">
        <v>559</v>
      </c>
      <c r="B2428" s="141" t="s">
        <v>282</v>
      </c>
      <c r="C2428" s="141" t="s">
        <v>47</v>
      </c>
    </row>
    <row r="2429" spans="1:3" x14ac:dyDescent="0.35">
      <c r="A2429" s="141" t="s">
        <v>560</v>
      </c>
      <c r="B2429" s="141" t="s">
        <v>282</v>
      </c>
      <c r="C2429" s="141" t="s">
        <v>47</v>
      </c>
    </row>
    <row r="2430" spans="1:3" x14ac:dyDescent="0.35">
      <c r="A2430" s="141" t="s">
        <v>561</v>
      </c>
      <c r="B2430" s="141" t="s">
        <v>282</v>
      </c>
      <c r="C2430" s="141" t="s">
        <v>47</v>
      </c>
    </row>
    <row r="2431" spans="1:3" x14ac:dyDescent="0.35">
      <c r="A2431" s="141" t="s">
        <v>562</v>
      </c>
      <c r="B2431" s="141" t="s">
        <v>282</v>
      </c>
      <c r="C2431" s="141" t="s">
        <v>48</v>
      </c>
    </row>
    <row r="2432" spans="1:3" x14ac:dyDescent="0.35">
      <c r="A2432" s="141" t="s">
        <v>563</v>
      </c>
      <c r="B2432" s="141" t="s">
        <v>282</v>
      </c>
      <c r="C2432" s="141" t="s">
        <v>47</v>
      </c>
    </row>
    <row r="2433" spans="1:3" x14ac:dyDescent="0.35">
      <c r="A2433" s="141" t="s">
        <v>390</v>
      </c>
      <c r="B2433" s="141" t="s">
        <v>263</v>
      </c>
      <c r="C2433" s="141" t="s">
        <v>16</v>
      </c>
    </row>
    <row r="2434" spans="1:3" x14ac:dyDescent="0.35">
      <c r="A2434" s="141" t="s">
        <v>352</v>
      </c>
      <c r="B2434" s="141" t="s">
        <v>263</v>
      </c>
      <c r="C2434" s="141" t="s">
        <v>2</v>
      </c>
    </row>
    <row r="2435" spans="1:3" x14ac:dyDescent="0.35">
      <c r="A2435" s="141" t="s">
        <v>354</v>
      </c>
      <c r="B2435" s="141" t="s">
        <v>263</v>
      </c>
      <c r="C2435" s="141" t="s">
        <v>2</v>
      </c>
    </row>
    <row r="2436" spans="1:3" x14ac:dyDescent="0.35">
      <c r="A2436" s="141" t="s">
        <v>391</v>
      </c>
      <c r="B2436" s="141" t="s">
        <v>263</v>
      </c>
      <c r="C2436" s="141" t="s">
        <v>16</v>
      </c>
    </row>
    <row r="2437" spans="1:3" x14ac:dyDescent="0.35">
      <c r="A2437" s="141" t="s">
        <v>392</v>
      </c>
      <c r="B2437" s="141" t="s">
        <v>263</v>
      </c>
      <c r="C2437" s="141" t="s">
        <v>16</v>
      </c>
    </row>
    <row r="2438" spans="1:3" x14ac:dyDescent="0.35">
      <c r="A2438" s="141" t="s">
        <v>393</v>
      </c>
      <c r="B2438" s="141" t="s">
        <v>263</v>
      </c>
      <c r="C2438" s="141" t="s">
        <v>9</v>
      </c>
    </row>
    <row r="2439" spans="1:3" x14ac:dyDescent="0.35">
      <c r="A2439" s="141" t="s">
        <v>355</v>
      </c>
      <c r="B2439" s="141" t="s">
        <v>263</v>
      </c>
      <c r="C2439" s="141" t="s">
        <v>12</v>
      </c>
    </row>
    <row r="2440" spans="1:3" x14ac:dyDescent="0.35">
      <c r="A2440" s="141" t="s">
        <v>356</v>
      </c>
      <c r="B2440" s="141" t="s">
        <v>263</v>
      </c>
      <c r="C2440" s="141" t="s">
        <v>14</v>
      </c>
    </row>
    <row r="2441" spans="1:3" x14ac:dyDescent="0.35">
      <c r="A2441" s="141" t="s">
        <v>357</v>
      </c>
      <c r="B2441" s="141" t="s">
        <v>263</v>
      </c>
      <c r="C2441" s="141" t="s">
        <v>14</v>
      </c>
    </row>
    <row r="2442" spans="1:3" x14ac:dyDescent="0.35">
      <c r="A2442" s="141" t="s">
        <v>368</v>
      </c>
      <c r="B2442" s="141" t="s">
        <v>263</v>
      </c>
      <c r="C2442" s="141" t="s">
        <v>10</v>
      </c>
    </row>
    <row r="2443" spans="1:3" x14ac:dyDescent="0.35">
      <c r="A2443" s="141" t="s">
        <v>590</v>
      </c>
      <c r="B2443" s="141" t="s">
        <v>263</v>
      </c>
      <c r="C2443" s="141" t="s">
        <v>10</v>
      </c>
    </row>
    <row r="2444" spans="1:3" x14ac:dyDescent="0.35">
      <c r="A2444" s="141" t="s">
        <v>591</v>
      </c>
      <c r="B2444" s="141" t="s">
        <v>263</v>
      </c>
      <c r="C2444" s="141" t="s">
        <v>10</v>
      </c>
    </row>
    <row r="2445" spans="1:3" x14ac:dyDescent="0.35">
      <c r="A2445" s="141" t="s">
        <v>370</v>
      </c>
      <c r="B2445" s="141" t="s">
        <v>263</v>
      </c>
      <c r="C2445" s="141" t="s">
        <v>10</v>
      </c>
    </row>
    <row r="2446" spans="1:3" x14ac:dyDescent="0.35">
      <c r="A2446" s="141" t="s">
        <v>371</v>
      </c>
      <c r="B2446" s="141" t="s">
        <v>263</v>
      </c>
      <c r="C2446" s="141" t="s">
        <v>10</v>
      </c>
    </row>
    <row r="2447" spans="1:3" x14ac:dyDescent="0.35">
      <c r="A2447" s="141" t="s">
        <v>376</v>
      </c>
      <c r="B2447" s="141" t="s">
        <v>263</v>
      </c>
      <c r="C2447" s="141" t="s">
        <v>10</v>
      </c>
    </row>
    <row r="2448" spans="1:3" x14ac:dyDescent="0.35">
      <c r="A2448" s="141" t="s">
        <v>372</v>
      </c>
      <c r="B2448" s="141" t="s">
        <v>263</v>
      </c>
      <c r="C2448" s="141" t="s">
        <v>10</v>
      </c>
    </row>
    <row r="2449" spans="1:3" x14ac:dyDescent="0.35">
      <c r="A2449" s="141" t="s">
        <v>373</v>
      </c>
      <c r="B2449" s="141" t="s">
        <v>263</v>
      </c>
      <c r="C2449" s="141" t="s">
        <v>10</v>
      </c>
    </row>
    <row r="2450" spans="1:3" x14ac:dyDescent="0.35">
      <c r="A2450" s="141" t="s">
        <v>374</v>
      </c>
      <c r="B2450" s="141" t="s">
        <v>263</v>
      </c>
      <c r="C2450" s="141" t="s">
        <v>10</v>
      </c>
    </row>
    <row r="2451" spans="1:3" x14ac:dyDescent="0.35">
      <c r="A2451" s="141" t="s">
        <v>375</v>
      </c>
      <c r="B2451" s="141" t="s">
        <v>263</v>
      </c>
      <c r="C2451" s="141" t="s">
        <v>10</v>
      </c>
    </row>
    <row r="2452" spans="1:3" x14ac:dyDescent="0.35">
      <c r="A2452" s="141" t="s">
        <v>377</v>
      </c>
      <c r="B2452" s="141" t="s">
        <v>263</v>
      </c>
      <c r="C2452" s="141" t="s">
        <v>11</v>
      </c>
    </row>
    <row r="2453" spans="1:3" x14ac:dyDescent="0.35">
      <c r="A2453" s="141" t="s">
        <v>378</v>
      </c>
      <c r="B2453" s="141" t="s">
        <v>263</v>
      </c>
      <c r="C2453" s="141" t="s">
        <v>11</v>
      </c>
    </row>
    <row r="2454" spans="1:3" x14ac:dyDescent="0.35">
      <c r="A2454" s="141" t="s">
        <v>379</v>
      </c>
      <c r="B2454" s="141" t="s">
        <v>263</v>
      </c>
      <c r="C2454" s="141" t="s">
        <v>11</v>
      </c>
    </row>
    <row r="2455" spans="1:3" x14ac:dyDescent="0.35">
      <c r="A2455" s="141" t="s">
        <v>380</v>
      </c>
      <c r="B2455" s="141" t="s">
        <v>263</v>
      </c>
      <c r="C2455" s="141" t="s">
        <v>11</v>
      </c>
    </row>
    <row r="2456" spans="1:3" x14ac:dyDescent="0.35">
      <c r="A2456" s="141" t="s">
        <v>381</v>
      </c>
      <c r="B2456" s="141" t="s">
        <v>263</v>
      </c>
      <c r="C2456" s="141" t="s">
        <v>11</v>
      </c>
    </row>
    <row r="2457" spans="1:3" x14ac:dyDescent="0.35">
      <c r="A2457" s="141" t="s">
        <v>382</v>
      </c>
      <c r="B2457" s="141" t="s">
        <v>263</v>
      </c>
      <c r="C2457" s="141" t="s">
        <v>11</v>
      </c>
    </row>
    <row r="2458" spans="1:3" x14ac:dyDescent="0.35">
      <c r="A2458" s="141" t="s">
        <v>358</v>
      </c>
      <c r="B2458" s="141" t="s">
        <v>263</v>
      </c>
      <c r="C2458" s="141" t="s">
        <v>14</v>
      </c>
    </row>
    <row r="2459" spans="1:3" x14ac:dyDescent="0.35">
      <c r="A2459" s="141" t="s">
        <v>654</v>
      </c>
      <c r="B2459" s="141" t="s">
        <v>263</v>
      </c>
      <c r="C2459" s="141" t="s">
        <v>14</v>
      </c>
    </row>
    <row r="2460" spans="1:3" x14ac:dyDescent="0.35">
      <c r="A2460" s="141" t="s">
        <v>655</v>
      </c>
      <c r="B2460" s="141" t="s">
        <v>263</v>
      </c>
      <c r="C2460" s="141" t="s">
        <v>14</v>
      </c>
    </row>
    <row r="2461" spans="1:3" x14ac:dyDescent="0.35">
      <c r="A2461" s="141" t="s">
        <v>749</v>
      </c>
      <c r="B2461" s="141" t="s">
        <v>263</v>
      </c>
      <c r="C2461" s="141" t="s">
        <v>14</v>
      </c>
    </row>
    <row r="2462" spans="1:3" x14ac:dyDescent="0.35">
      <c r="A2462" s="141" t="s">
        <v>750</v>
      </c>
      <c r="B2462" s="141" t="s">
        <v>263</v>
      </c>
      <c r="C2462" s="141" t="s">
        <v>13</v>
      </c>
    </row>
    <row r="2463" spans="1:3" x14ac:dyDescent="0.35">
      <c r="A2463" s="141" t="s">
        <v>751</v>
      </c>
      <c r="B2463" s="141" t="s">
        <v>263</v>
      </c>
      <c r="C2463" s="141" t="s">
        <v>13</v>
      </c>
    </row>
    <row r="2464" spans="1:3" x14ac:dyDescent="0.35">
      <c r="A2464" s="141" t="s">
        <v>581</v>
      </c>
      <c r="B2464" s="141" t="s">
        <v>263</v>
      </c>
      <c r="C2464" s="141" t="s">
        <v>13</v>
      </c>
    </row>
    <row r="2465" spans="1:3" x14ac:dyDescent="0.35">
      <c r="A2465" s="141" t="s">
        <v>367</v>
      </c>
      <c r="B2465" s="141" t="s">
        <v>263</v>
      </c>
      <c r="C2465" s="141" t="s">
        <v>8</v>
      </c>
    </row>
    <row r="2466" spans="1:3" x14ac:dyDescent="0.35">
      <c r="A2466" s="141" t="s">
        <v>383</v>
      </c>
      <c r="B2466" s="141" t="s">
        <v>263</v>
      </c>
      <c r="C2466" s="141" t="s">
        <v>5</v>
      </c>
    </row>
    <row r="2467" spans="1:3" x14ac:dyDescent="0.35">
      <c r="A2467" s="141" t="s">
        <v>359</v>
      </c>
      <c r="B2467" s="141" t="s">
        <v>263</v>
      </c>
      <c r="C2467" s="141" t="s">
        <v>46</v>
      </c>
    </row>
    <row r="2468" spans="1:3" x14ac:dyDescent="0.35">
      <c r="A2468" s="141" t="s">
        <v>360</v>
      </c>
      <c r="B2468" s="141" t="s">
        <v>263</v>
      </c>
      <c r="C2468" s="141" t="s">
        <v>46</v>
      </c>
    </row>
    <row r="2469" spans="1:3" x14ac:dyDescent="0.35">
      <c r="A2469" s="141" t="s">
        <v>564</v>
      </c>
      <c r="B2469" s="141" t="s">
        <v>263</v>
      </c>
      <c r="C2469" s="141" t="s">
        <v>7</v>
      </c>
    </row>
    <row r="2470" spans="1:3" x14ac:dyDescent="0.35">
      <c r="A2470" s="141" t="s">
        <v>565</v>
      </c>
      <c r="B2470" s="141" t="s">
        <v>263</v>
      </c>
      <c r="C2470" s="141" t="s">
        <v>7</v>
      </c>
    </row>
    <row r="2471" spans="1:3" x14ac:dyDescent="0.35">
      <c r="A2471" s="141" t="s">
        <v>385</v>
      </c>
      <c r="B2471" s="141" t="s">
        <v>263</v>
      </c>
      <c r="C2471" s="141" t="s">
        <v>7</v>
      </c>
    </row>
    <row r="2472" spans="1:3" x14ac:dyDescent="0.35">
      <c r="A2472" s="141" t="s">
        <v>386</v>
      </c>
      <c r="B2472" s="141" t="s">
        <v>263</v>
      </c>
      <c r="C2472" s="141" t="s">
        <v>7</v>
      </c>
    </row>
    <row r="2473" spans="1:3" x14ac:dyDescent="0.35">
      <c r="A2473" s="141" t="s">
        <v>387</v>
      </c>
      <c r="B2473" s="141" t="s">
        <v>263</v>
      </c>
      <c r="C2473" s="141" t="s">
        <v>7</v>
      </c>
    </row>
    <row r="2474" spans="1:3" x14ac:dyDescent="0.35">
      <c r="A2474" s="141" t="s">
        <v>365</v>
      </c>
      <c r="B2474" s="141" t="s">
        <v>263</v>
      </c>
      <c r="C2474" s="141" t="s">
        <v>7</v>
      </c>
    </row>
    <row r="2475" spans="1:3" x14ac:dyDescent="0.35">
      <c r="A2475" s="141" t="s">
        <v>589</v>
      </c>
      <c r="B2475" s="141" t="s">
        <v>263</v>
      </c>
      <c r="C2475" s="141" t="s">
        <v>4</v>
      </c>
    </row>
    <row r="2476" spans="1:3" x14ac:dyDescent="0.35">
      <c r="A2476" s="141" t="s">
        <v>388</v>
      </c>
      <c r="B2476" s="141" t="s">
        <v>263</v>
      </c>
      <c r="C2476" s="141" t="s">
        <v>8</v>
      </c>
    </row>
    <row r="2477" spans="1:3" x14ac:dyDescent="0.35">
      <c r="A2477" s="141" t="s">
        <v>389</v>
      </c>
      <c r="B2477" s="141" t="s">
        <v>263</v>
      </c>
      <c r="C2477" s="141" t="s">
        <v>8</v>
      </c>
    </row>
    <row r="2478" spans="1:3" x14ac:dyDescent="0.35">
      <c r="A2478" s="141" t="s">
        <v>366</v>
      </c>
      <c r="B2478" s="141" t="s">
        <v>263</v>
      </c>
      <c r="C2478" s="141" t="s">
        <v>8</v>
      </c>
    </row>
    <row r="2479" spans="1:3" x14ac:dyDescent="0.35">
      <c r="A2479" s="141" t="s">
        <v>586</v>
      </c>
      <c r="B2479" s="141" t="s">
        <v>263</v>
      </c>
      <c r="C2479" s="141" t="s">
        <v>4</v>
      </c>
    </row>
    <row r="2480" spans="1:3" x14ac:dyDescent="0.35">
      <c r="A2480" s="141" t="s">
        <v>587</v>
      </c>
      <c r="B2480" s="141" t="s">
        <v>263</v>
      </c>
      <c r="C2480" s="141" t="s">
        <v>4</v>
      </c>
    </row>
    <row r="2481" spans="1:3" x14ac:dyDescent="0.35">
      <c r="A2481" s="141" t="s">
        <v>588</v>
      </c>
      <c r="B2481" s="141" t="s">
        <v>263</v>
      </c>
      <c r="C2481" s="141" t="s">
        <v>4</v>
      </c>
    </row>
    <row r="2482" spans="1:3" x14ac:dyDescent="0.35">
      <c r="A2482" s="141" t="s">
        <v>656</v>
      </c>
      <c r="B2482" s="141" t="s">
        <v>263</v>
      </c>
      <c r="C2482" s="141" t="s">
        <v>21</v>
      </c>
    </row>
    <row r="2483" spans="1:3" x14ac:dyDescent="0.35">
      <c r="A2483" s="141" t="s">
        <v>657</v>
      </c>
      <c r="B2483" s="141" t="s">
        <v>263</v>
      </c>
      <c r="C2483" s="141" t="s">
        <v>21</v>
      </c>
    </row>
    <row r="2484" spans="1:3" x14ac:dyDescent="0.35">
      <c r="A2484" s="141" t="s">
        <v>658</v>
      </c>
      <c r="B2484" s="141" t="s">
        <v>263</v>
      </c>
      <c r="C2484" s="141" t="s">
        <v>21</v>
      </c>
    </row>
    <row r="2485" spans="1:3" x14ac:dyDescent="0.35">
      <c r="A2485" s="141" t="s">
        <v>278</v>
      </c>
      <c r="B2485" s="141" t="s">
        <v>263</v>
      </c>
      <c r="C2485" s="141" t="s">
        <v>21</v>
      </c>
    </row>
    <row r="2486" spans="1:3" x14ac:dyDescent="0.35">
      <c r="A2486" s="141" t="s">
        <v>283</v>
      </c>
      <c r="B2486" s="141" t="s">
        <v>263</v>
      </c>
      <c r="C2486" s="141" t="s">
        <v>21</v>
      </c>
    </row>
    <row r="2487" spans="1:3" x14ac:dyDescent="0.35">
      <c r="A2487" s="141" t="s">
        <v>284</v>
      </c>
      <c r="B2487" s="141" t="s">
        <v>263</v>
      </c>
      <c r="C2487" s="141" t="s">
        <v>21</v>
      </c>
    </row>
    <row r="2488" spans="1:3" x14ac:dyDescent="0.35">
      <c r="A2488" s="141" t="s">
        <v>424</v>
      </c>
      <c r="B2488" s="141" t="s">
        <v>263</v>
      </c>
      <c r="C2488" s="141" t="s">
        <v>21</v>
      </c>
    </row>
    <row r="2489" spans="1:3" x14ac:dyDescent="0.35">
      <c r="A2489" s="141" t="s">
        <v>425</v>
      </c>
      <c r="B2489" s="141" t="s">
        <v>263</v>
      </c>
      <c r="C2489" s="141" t="s">
        <v>27</v>
      </c>
    </row>
    <row r="2490" spans="1:3" x14ac:dyDescent="0.35">
      <c r="A2490" s="141" t="s">
        <v>285</v>
      </c>
      <c r="B2490" s="141" t="s">
        <v>263</v>
      </c>
      <c r="C2490" s="141" t="s">
        <v>27</v>
      </c>
    </row>
    <row r="2491" spans="1:3" x14ac:dyDescent="0.35">
      <c r="A2491" s="141" t="s">
        <v>286</v>
      </c>
      <c r="B2491" s="141" t="s">
        <v>263</v>
      </c>
      <c r="C2491" s="141" t="s">
        <v>27</v>
      </c>
    </row>
    <row r="2492" spans="1:3" x14ac:dyDescent="0.35">
      <c r="A2492" s="141" t="s">
        <v>287</v>
      </c>
      <c r="B2492" s="141" t="s">
        <v>263</v>
      </c>
      <c r="C2492" s="141" t="s">
        <v>21</v>
      </c>
    </row>
    <row r="2493" spans="1:3" x14ac:dyDescent="0.35">
      <c r="A2493" s="141" t="s">
        <v>290</v>
      </c>
      <c r="B2493" s="141" t="s">
        <v>263</v>
      </c>
      <c r="C2493" s="141" t="s">
        <v>23</v>
      </c>
    </row>
    <row r="2494" spans="1:3" x14ac:dyDescent="0.35">
      <c r="A2494" s="141" t="s">
        <v>661</v>
      </c>
      <c r="B2494" s="141" t="s">
        <v>263</v>
      </c>
      <c r="C2494" s="141" t="s">
        <v>22</v>
      </c>
    </row>
    <row r="2495" spans="1:3" x14ac:dyDescent="0.35">
      <c r="A2495" s="141" t="s">
        <v>291</v>
      </c>
      <c r="B2495" s="141" t="s">
        <v>263</v>
      </c>
      <c r="C2495" s="141" t="s">
        <v>22</v>
      </c>
    </row>
    <row r="2496" spans="1:3" x14ac:dyDescent="0.35">
      <c r="A2496" s="141" t="s">
        <v>662</v>
      </c>
      <c r="B2496" s="141" t="s">
        <v>263</v>
      </c>
      <c r="C2496" s="141" t="s">
        <v>22</v>
      </c>
    </row>
    <row r="2497" spans="1:3" x14ac:dyDescent="0.35">
      <c r="A2497" s="141" t="s">
        <v>292</v>
      </c>
      <c r="B2497" s="141" t="s">
        <v>263</v>
      </c>
      <c r="C2497" s="141" t="s">
        <v>22</v>
      </c>
    </row>
    <row r="2498" spans="1:3" x14ac:dyDescent="0.35">
      <c r="A2498" s="141" t="s">
        <v>663</v>
      </c>
      <c r="B2498" s="141" t="s">
        <v>263</v>
      </c>
      <c r="C2498" s="141" t="s">
        <v>22</v>
      </c>
    </row>
    <row r="2499" spans="1:3" x14ac:dyDescent="0.35">
      <c r="A2499" s="141" t="s">
        <v>293</v>
      </c>
      <c r="B2499" s="141" t="s">
        <v>263</v>
      </c>
      <c r="C2499" s="141" t="s">
        <v>22</v>
      </c>
    </row>
    <row r="2500" spans="1:3" x14ac:dyDescent="0.35">
      <c r="A2500" s="141" t="s">
        <v>664</v>
      </c>
      <c r="B2500" s="141" t="s">
        <v>263</v>
      </c>
      <c r="C2500" s="141" t="s">
        <v>24</v>
      </c>
    </row>
    <row r="2501" spans="1:3" x14ac:dyDescent="0.35">
      <c r="A2501" s="141" t="s">
        <v>665</v>
      </c>
      <c r="B2501" s="141" t="s">
        <v>263</v>
      </c>
      <c r="C2501" s="141" t="s">
        <v>21</v>
      </c>
    </row>
    <row r="2502" spans="1:3" x14ac:dyDescent="0.35">
      <c r="A2502" s="141" t="s">
        <v>666</v>
      </c>
      <c r="B2502" s="141" t="s">
        <v>263</v>
      </c>
      <c r="C2502" s="141" t="s">
        <v>21</v>
      </c>
    </row>
    <row r="2503" spans="1:3" x14ac:dyDescent="0.35">
      <c r="A2503" s="141" t="s">
        <v>667</v>
      </c>
      <c r="B2503" s="141" t="s">
        <v>263</v>
      </c>
      <c r="C2503" s="141" t="s">
        <v>55</v>
      </c>
    </row>
    <row r="2504" spans="1:3" x14ac:dyDescent="0.35">
      <c r="A2504" s="141" t="s">
        <v>668</v>
      </c>
      <c r="B2504" s="141" t="s">
        <v>263</v>
      </c>
      <c r="C2504" s="141" t="s">
        <v>54</v>
      </c>
    </row>
    <row r="2505" spans="1:3" x14ac:dyDescent="0.35">
      <c r="A2505" s="141" t="s">
        <v>669</v>
      </c>
      <c r="B2505" s="141" t="s">
        <v>263</v>
      </c>
      <c r="C2505" s="141" t="s">
        <v>55</v>
      </c>
    </row>
    <row r="2506" spans="1:3" x14ac:dyDescent="0.35">
      <c r="A2506" s="141" t="s">
        <v>670</v>
      </c>
      <c r="B2506" s="141" t="s">
        <v>263</v>
      </c>
      <c r="C2506" s="141" t="s">
        <v>54</v>
      </c>
    </row>
    <row r="2507" spans="1:3" x14ac:dyDescent="0.35">
      <c r="A2507" s="141" t="s">
        <v>764</v>
      </c>
      <c r="B2507" s="141" t="s">
        <v>263</v>
      </c>
      <c r="C2507" s="141" t="s">
        <v>45</v>
      </c>
    </row>
    <row r="2508" spans="1:3" x14ac:dyDescent="0.35">
      <c r="A2508" s="141" t="s">
        <v>765</v>
      </c>
      <c r="B2508" s="141" t="s">
        <v>263</v>
      </c>
      <c r="C2508" s="141" t="s">
        <v>45</v>
      </c>
    </row>
    <row r="2509" spans="1:3" x14ac:dyDescent="0.35">
      <c r="A2509" s="141" t="s">
        <v>766</v>
      </c>
      <c r="B2509" s="141" t="s">
        <v>263</v>
      </c>
      <c r="C2509" s="141" t="s">
        <v>45</v>
      </c>
    </row>
    <row r="2510" spans="1:3" x14ac:dyDescent="0.35">
      <c r="A2510" s="141" t="s">
        <v>767</v>
      </c>
      <c r="B2510" s="141" t="s">
        <v>263</v>
      </c>
      <c r="C2510" s="141" t="s">
        <v>45</v>
      </c>
    </row>
    <row r="2511" spans="1:3" x14ac:dyDescent="0.35">
      <c r="A2511" s="141" t="s">
        <v>768</v>
      </c>
      <c r="B2511" s="141" t="s">
        <v>263</v>
      </c>
      <c r="C2511" s="141" t="s">
        <v>45</v>
      </c>
    </row>
    <row r="2512" spans="1:3" x14ac:dyDescent="0.35">
      <c r="A2512" s="141" t="s">
        <v>769</v>
      </c>
      <c r="B2512" s="141" t="s">
        <v>263</v>
      </c>
      <c r="C2512" s="141" t="s">
        <v>45</v>
      </c>
    </row>
    <row r="2513" spans="1:3" x14ac:dyDescent="0.35">
      <c r="A2513" s="141" t="s">
        <v>361</v>
      </c>
      <c r="B2513" s="141" t="s">
        <v>263</v>
      </c>
      <c r="C2513" s="141" t="s">
        <v>45</v>
      </c>
    </row>
    <row r="2514" spans="1:3" x14ac:dyDescent="0.35">
      <c r="A2514" s="141" t="s">
        <v>362</v>
      </c>
      <c r="B2514" s="141" t="s">
        <v>263</v>
      </c>
      <c r="C2514" s="141" t="s">
        <v>45</v>
      </c>
    </row>
    <row r="2515" spans="1:3" x14ac:dyDescent="0.35">
      <c r="A2515" s="141" t="s">
        <v>770</v>
      </c>
      <c r="B2515" s="141" t="s">
        <v>263</v>
      </c>
      <c r="C2515" s="141" t="s">
        <v>45</v>
      </c>
    </row>
    <row r="2516" spans="1:3" x14ac:dyDescent="0.35">
      <c r="A2516" s="141" t="s">
        <v>771</v>
      </c>
      <c r="B2516" s="141" t="s">
        <v>263</v>
      </c>
      <c r="C2516" s="141" t="s">
        <v>45</v>
      </c>
    </row>
    <row r="2517" spans="1:3" x14ac:dyDescent="0.35">
      <c r="A2517" s="141" t="s">
        <v>772</v>
      </c>
      <c r="B2517" s="141" t="s">
        <v>263</v>
      </c>
      <c r="C2517" s="141" t="s">
        <v>45</v>
      </c>
    </row>
    <row r="2518" spans="1:3" x14ac:dyDescent="0.35">
      <c r="A2518" s="141" t="s">
        <v>773</v>
      </c>
      <c r="B2518" s="141" t="s">
        <v>263</v>
      </c>
      <c r="C2518" s="141" t="s">
        <v>45</v>
      </c>
    </row>
    <row r="2519" spans="1:3" x14ac:dyDescent="0.35">
      <c r="A2519" s="141" t="s">
        <v>363</v>
      </c>
      <c r="B2519" s="141" t="s">
        <v>263</v>
      </c>
      <c r="C2519" s="141" t="s">
        <v>45</v>
      </c>
    </row>
    <row r="2520" spans="1:3" x14ac:dyDescent="0.35">
      <c r="A2520" s="141" t="s">
        <v>364</v>
      </c>
      <c r="B2520" s="141" t="s">
        <v>263</v>
      </c>
      <c r="C2520" s="141" t="s">
        <v>45</v>
      </c>
    </row>
    <row r="2521" spans="1:3" x14ac:dyDescent="0.35">
      <c r="A2521" s="141" t="s">
        <v>394</v>
      </c>
      <c r="B2521" s="141" t="s">
        <v>263</v>
      </c>
      <c r="C2521" s="141" t="s">
        <v>19</v>
      </c>
    </row>
    <row r="2522" spans="1:3" x14ac:dyDescent="0.35">
      <c r="A2522" s="141" t="s">
        <v>395</v>
      </c>
      <c r="B2522" s="141" t="s">
        <v>263</v>
      </c>
      <c r="C2522" s="141" t="s">
        <v>19</v>
      </c>
    </row>
    <row r="2523" spans="1:3" x14ac:dyDescent="0.35">
      <c r="A2523" s="141" t="s">
        <v>396</v>
      </c>
      <c r="B2523" s="141" t="s">
        <v>263</v>
      </c>
      <c r="C2523" s="141" t="s">
        <v>45</v>
      </c>
    </row>
    <row r="2524" spans="1:3" x14ac:dyDescent="0.35">
      <c r="A2524" s="141" t="s">
        <v>397</v>
      </c>
      <c r="B2524" s="141" t="s">
        <v>263</v>
      </c>
      <c r="C2524" s="141" t="s">
        <v>16</v>
      </c>
    </row>
    <row r="2525" spans="1:3" x14ac:dyDescent="0.35">
      <c r="A2525" s="141" t="s">
        <v>398</v>
      </c>
      <c r="B2525" s="141" t="s">
        <v>263</v>
      </c>
      <c r="C2525" s="141" t="s">
        <v>17</v>
      </c>
    </row>
    <row r="2526" spans="1:3" x14ac:dyDescent="0.35">
      <c r="A2526" s="141" t="s">
        <v>399</v>
      </c>
      <c r="B2526" s="141" t="s">
        <v>263</v>
      </c>
      <c r="C2526" s="141" t="s">
        <v>16</v>
      </c>
    </row>
    <row r="2527" spans="1:3" x14ac:dyDescent="0.35">
      <c r="A2527" s="141" t="s">
        <v>400</v>
      </c>
      <c r="B2527" s="141" t="s">
        <v>263</v>
      </c>
      <c r="C2527" s="141" t="s">
        <v>20</v>
      </c>
    </row>
    <row r="2528" spans="1:3" x14ac:dyDescent="0.35">
      <c r="A2528" s="141" t="s">
        <v>401</v>
      </c>
      <c r="B2528" s="141" t="s">
        <v>263</v>
      </c>
      <c r="C2528" s="141" t="s">
        <v>20</v>
      </c>
    </row>
    <row r="2529" spans="1:3" x14ac:dyDescent="0.35">
      <c r="A2529" s="141" t="s">
        <v>671</v>
      </c>
      <c r="B2529" s="141" t="s">
        <v>263</v>
      </c>
      <c r="C2529" s="141" t="s">
        <v>20</v>
      </c>
    </row>
    <row r="2530" spans="1:3" x14ac:dyDescent="0.35">
      <c r="A2530" s="141" t="s">
        <v>774</v>
      </c>
      <c r="B2530" s="141" t="s">
        <v>263</v>
      </c>
      <c r="C2530" s="141" t="s">
        <v>43</v>
      </c>
    </row>
    <row r="2531" spans="1:3" x14ac:dyDescent="0.35">
      <c r="A2531" s="141" t="s">
        <v>775</v>
      </c>
      <c r="B2531" s="141" t="s">
        <v>263</v>
      </c>
      <c r="C2531" s="141" t="s">
        <v>38</v>
      </c>
    </row>
    <row r="2532" spans="1:3" x14ac:dyDescent="0.35">
      <c r="A2532" s="141" t="s">
        <v>776</v>
      </c>
      <c r="B2532" s="141" t="s">
        <v>263</v>
      </c>
      <c r="C2532" s="141" t="s">
        <v>45</v>
      </c>
    </row>
    <row r="2533" spans="1:3" x14ac:dyDescent="0.35">
      <c r="A2533" s="141" t="s">
        <v>777</v>
      </c>
      <c r="B2533" s="141" t="s">
        <v>263</v>
      </c>
      <c r="C2533" s="141" t="s">
        <v>46</v>
      </c>
    </row>
    <row r="2534" spans="1:3" x14ac:dyDescent="0.35">
      <c r="A2534" s="141" t="s">
        <v>778</v>
      </c>
      <c r="B2534" s="141" t="s">
        <v>263</v>
      </c>
      <c r="C2534" s="141" t="s">
        <v>45</v>
      </c>
    </row>
    <row r="2535" spans="1:3" x14ac:dyDescent="0.35">
      <c r="A2535" s="141" t="s">
        <v>779</v>
      </c>
      <c r="B2535" s="141" t="s">
        <v>263</v>
      </c>
      <c r="C2535" s="141" t="s">
        <v>45</v>
      </c>
    </row>
    <row r="2536" spans="1:3" x14ac:dyDescent="0.35">
      <c r="A2536" s="141" t="s">
        <v>780</v>
      </c>
      <c r="B2536" s="141" t="s">
        <v>263</v>
      </c>
      <c r="C2536" s="141" t="s">
        <v>45</v>
      </c>
    </row>
    <row r="2537" spans="1:3" x14ac:dyDescent="0.35">
      <c r="A2537" s="141" t="s">
        <v>781</v>
      </c>
      <c r="B2537" s="141" t="s">
        <v>263</v>
      </c>
      <c r="C2537" s="141" t="s">
        <v>45</v>
      </c>
    </row>
    <row r="2538" spans="1:3" x14ac:dyDescent="0.35">
      <c r="A2538" s="141" t="s">
        <v>409</v>
      </c>
      <c r="B2538" s="141" t="s">
        <v>263</v>
      </c>
      <c r="C2538" s="141" t="s">
        <v>18</v>
      </c>
    </row>
    <row r="2539" spans="1:3" x14ac:dyDescent="0.35">
      <c r="A2539" s="141" t="s">
        <v>410</v>
      </c>
      <c r="B2539" s="141" t="s">
        <v>263</v>
      </c>
      <c r="C2539" s="141" t="s">
        <v>18</v>
      </c>
    </row>
    <row r="2540" spans="1:3" x14ac:dyDescent="0.35">
      <c r="A2540" s="141" t="s">
        <v>745</v>
      </c>
      <c r="B2540" s="141" t="s">
        <v>263</v>
      </c>
      <c r="C2540" s="141" t="s">
        <v>18</v>
      </c>
    </row>
    <row r="2541" spans="1:3" x14ac:dyDescent="0.35">
      <c r="A2541" s="141" t="s">
        <v>746</v>
      </c>
      <c r="B2541" s="141" t="s">
        <v>263</v>
      </c>
      <c r="C2541" s="141" t="s">
        <v>18</v>
      </c>
    </row>
    <row r="2542" spans="1:3" x14ac:dyDescent="0.35">
      <c r="A2542" s="141" t="s">
        <v>411</v>
      </c>
      <c r="B2542" s="141" t="s">
        <v>263</v>
      </c>
      <c r="C2542" s="141" t="s">
        <v>9</v>
      </c>
    </row>
    <row r="2543" spans="1:3" x14ac:dyDescent="0.35">
      <c r="A2543" s="141" t="s">
        <v>412</v>
      </c>
      <c r="B2543" s="141" t="s">
        <v>263</v>
      </c>
      <c r="C2543" s="141" t="s">
        <v>9</v>
      </c>
    </row>
    <row r="2544" spans="1:3" x14ac:dyDescent="0.35">
      <c r="A2544" s="141" t="s">
        <v>413</v>
      </c>
      <c r="B2544" s="141" t="s">
        <v>263</v>
      </c>
      <c r="C2544" s="141" t="s">
        <v>9</v>
      </c>
    </row>
    <row r="2545" spans="1:3" x14ac:dyDescent="0.35">
      <c r="A2545" s="141" t="s">
        <v>414</v>
      </c>
      <c r="B2545" s="141" t="s">
        <v>263</v>
      </c>
      <c r="C2545" s="141" t="s">
        <v>9</v>
      </c>
    </row>
    <row r="2546" spans="1:3" x14ac:dyDescent="0.35">
      <c r="A2546" s="141" t="s">
        <v>415</v>
      </c>
      <c r="B2546" s="141" t="s">
        <v>263</v>
      </c>
      <c r="C2546" s="141" t="s">
        <v>9</v>
      </c>
    </row>
    <row r="2547" spans="1:3" x14ac:dyDescent="0.35">
      <c r="A2547" s="141" t="s">
        <v>402</v>
      </c>
      <c r="B2547" s="141" t="s">
        <v>263</v>
      </c>
      <c r="C2547" s="141" t="s">
        <v>20</v>
      </c>
    </row>
    <row r="2548" spans="1:3" x14ac:dyDescent="0.35">
      <c r="A2548" s="141" t="s">
        <v>592</v>
      </c>
      <c r="B2548" s="141" t="s">
        <v>263</v>
      </c>
      <c r="C2548" s="141" t="s">
        <v>20</v>
      </c>
    </row>
    <row r="2549" spans="1:3" x14ac:dyDescent="0.35">
      <c r="A2549" s="141" t="s">
        <v>593</v>
      </c>
      <c r="B2549" s="141" t="s">
        <v>263</v>
      </c>
      <c r="C2549" s="141" t="s">
        <v>20</v>
      </c>
    </row>
    <row r="2550" spans="1:3" x14ac:dyDescent="0.35">
      <c r="A2550" s="141" t="s">
        <v>403</v>
      </c>
      <c r="B2550" s="141" t="s">
        <v>263</v>
      </c>
      <c r="C2550" s="141" t="s">
        <v>20</v>
      </c>
    </row>
    <row r="2551" spans="1:3" x14ac:dyDescent="0.35">
      <c r="A2551" s="141" t="s">
        <v>404</v>
      </c>
      <c r="B2551" s="141" t="s">
        <v>263</v>
      </c>
      <c r="C2551" s="141" t="s">
        <v>16</v>
      </c>
    </row>
    <row r="2552" spans="1:3" x14ac:dyDescent="0.35">
      <c r="A2552" s="141" t="s">
        <v>405</v>
      </c>
      <c r="B2552" s="141" t="s">
        <v>263</v>
      </c>
      <c r="C2552" s="141" t="s">
        <v>16</v>
      </c>
    </row>
    <row r="2553" spans="1:3" x14ac:dyDescent="0.35">
      <c r="A2553" s="141" t="s">
        <v>416</v>
      </c>
      <c r="B2553" s="141" t="s">
        <v>263</v>
      </c>
      <c r="C2553" s="141" t="s">
        <v>15</v>
      </c>
    </row>
    <row r="2554" spans="1:3" x14ac:dyDescent="0.35">
      <c r="A2554" s="141" t="s">
        <v>417</v>
      </c>
      <c r="B2554" s="141" t="s">
        <v>263</v>
      </c>
      <c r="C2554" s="141" t="s">
        <v>6</v>
      </c>
    </row>
    <row r="2555" spans="1:3" x14ac:dyDescent="0.35">
      <c r="A2555" s="141" t="s">
        <v>418</v>
      </c>
      <c r="B2555" s="141" t="s">
        <v>263</v>
      </c>
      <c r="C2555" s="141" t="s">
        <v>17</v>
      </c>
    </row>
    <row r="2556" spans="1:3" x14ac:dyDescent="0.35">
      <c r="A2556" s="141" t="s">
        <v>419</v>
      </c>
      <c r="B2556" s="141" t="s">
        <v>263</v>
      </c>
      <c r="C2556" s="141" t="s">
        <v>17</v>
      </c>
    </row>
    <row r="2557" spans="1:3" x14ac:dyDescent="0.35">
      <c r="A2557" s="141" t="s">
        <v>420</v>
      </c>
      <c r="B2557" s="141" t="s">
        <v>263</v>
      </c>
      <c r="C2557" s="141" t="s">
        <v>17</v>
      </c>
    </row>
    <row r="2558" spans="1:3" x14ac:dyDescent="0.35">
      <c r="A2558" s="141" t="s">
        <v>421</v>
      </c>
      <c r="B2558" s="141" t="s">
        <v>263</v>
      </c>
      <c r="C2558" s="141" t="s">
        <v>6</v>
      </c>
    </row>
    <row r="2559" spans="1:3" x14ac:dyDescent="0.35">
      <c r="A2559" s="141" t="s">
        <v>422</v>
      </c>
      <c r="B2559" s="141" t="s">
        <v>263</v>
      </c>
      <c r="C2559" s="141" t="s">
        <v>17</v>
      </c>
    </row>
    <row r="2560" spans="1:3" x14ac:dyDescent="0.35">
      <c r="A2560" s="141" t="s">
        <v>406</v>
      </c>
      <c r="B2560" s="141" t="s">
        <v>263</v>
      </c>
      <c r="C2560" s="141" t="s">
        <v>18</v>
      </c>
    </row>
    <row r="2561" spans="1:3" x14ac:dyDescent="0.35">
      <c r="A2561" s="141" t="s">
        <v>407</v>
      </c>
      <c r="B2561" s="141" t="s">
        <v>263</v>
      </c>
      <c r="C2561" s="141" t="s">
        <v>17</v>
      </c>
    </row>
    <row r="2562" spans="1:3" x14ac:dyDescent="0.35">
      <c r="A2562" s="141" t="s">
        <v>408</v>
      </c>
      <c r="B2562" s="141" t="s">
        <v>263</v>
      </c>
      <c r="C2562" s="141" t="s">
        <v>17</v>
      </c>
    </row>
    <row r="2563" spans="1:3" x14ac:dyDescent="0.35">
      <c r="A2563" s="141" t="s">
        <v>566</v>
      </c>
      <c r="B2563" s="141" t="s">
        <v>263</v>
      </c>
      <c r="C2563" s="141" t="s">
        <v>17</v>
      </c>
    </row>
    <row r="2564" spans="1:3" x14ac:dyDescent="0.35">
      <c r="A2564" s="141" t="s">
        <v>567</v>
      </c>
      <c r="B2564" s="141" t="s">
        <v>263</v>
      </c>
      <c r="C2564" s="141" t="s">
        <v>16</v>
      </c>
    </row>
    <row r="2565" spans="1:3" x14ac:dyDescent="0.35">
      <c r="A2565" s="141" t="s">
        <v>672</v>
      </c>
      <c r="B2565" s="141" t="s">
        <v>263</v>
      </c>
      <c r="C2565" s="141" t="s">
        <v>25</v>
      </c>
    </row>
    <row r="2566" spans="1:3" x14ac:dyDescent="0.35">
      <c r="A2566" s="141" t="s">
        <v>673</v>
      </c>
      <c r="B2566" s="141" t="s">
        <v>263</v>
      </c>
      <c r="C2566" s="141" t="s">
        <v>25</v>
      </c>
    </row>
    <row r="2567" spans="1:3" x14ac:dyDescent="0.35">
      <c r="A2567" s="141" t="s">
        <v>674</v>
      </c>
      <c r="B2567" s="141" t="s">
        <v>263</v>
      </c>
      <c r="C2567" s="141" t="s">
        <v>25</v>
      </c>
    </row>
    <row r="2568" spans="1:3" x14ac:dyDescent="0.35">
      <c r="A2568" s="141" t="s">
        <v>675</v>
      </c>
      <c r="B2568" s="141" t="s">
        <v>263</v>
      </c>
      <c r="C2568" s="141" t="s">
        <v>24</v>
      </c>
    </row>
    <row r="2569" spans="1:3" x14ac:dyDescent="0.35">
      <c r="A2569" s="141" t="s">
        <v>676</v>
      </c>
      <c r="B2569" s="141" t="s">
        <v>263</v>
      </c>
      <c r="C2569" s="141" t="s">
        <v>24</v>
      </c>
    </row>
    <row r="2570" spans="1:3" x14ac:dyDescent="0.35">
      <c r="A2570" s="141" t="s">
        <v>573</v>
      </c>
      <c r="B2570" s="141" t="s">
        <v>263</v>
      </c>
      <c r="C2570" s="141" t="s">
        <v>25</v>
      </c>
    </row>
    <row r="2571" spans="1:3" x14ac:dyDescent="0.35">
      <c r="A2571" s="141" t="s">
        <v>677</v>
      </c>
      <c r="B2571" s="141" t="s">
        <v>263</v>
      </c>
      <c r="C2571" s="141" t="s">
        <v>25</v>
      </c>
    </row>
    <row r="2572" spans="1:3" x14ac:dyDescent="0.35">
      <c r="A2572" s="141" t="s">
        <v>678</v>
      </c>
      <c r="B2572" s="141" t="s">
        <v>263</v>
      </c>
      <c r="C2572" s="141" t="s">
        <v>25</v>
      </c>
    </row>
    <row r="2573" spans="1:3" x14ac:dyDescent="0.35">
      <c r="A2573" s="141" t="s">
        <v>679</v>
      </c>
      <c r="B2573" s="141" t="s">
        <v>263</v>
      </c>
      <c r="C2573" s="141" t="s">
        <v>25</v>
      </c>
    </row>
    <row r="2574" spans="1:3" x14ac:dyDescent="0.35">
      <c r="A2574" s="141" t="s">
        <v>680</v>
      </c>
      <c r="B2574" s="141" t="s">
        <v>263</v>
      </c>
      <c r="C2574" s="141" t="s">
        <v>25</v>
      </c>
    </row>
    <row r="2575" spans="1:3" x14ac:dyDescent="0.35">
      <c r="A2575" s="141" t="s">
        <v>517</v>
      </c>
      <c r="B2575" s="141" t="s">
        <v>263</v>
      </c>
      <c r="C2575" s="141" t="s">
        <v>30</v>
      </c>
    </row>
    <row r="2576" spans="1:3" x14ac:dyDescent="0.35">
      <c r="A2576" s="141" t="s">
        <v>782</v>
      </c>
      <c r="B2576" s="141" t="s">
        <v>263</v>
      </c>
      <c r="C2576" s="141" t="s">
        <v>30</v>
      </c>
    </row>
    <row r="2577" spans="1:3" x14ac:dyDescent="0.35">
      <c r="A2577" s="141" t="s">
        <v>783</v>
      </c>
      <c r="B2577" s="141" t="s">
        <v>263</v>
      </c>
      <c r="C2577" s="141" t="s">
        <v>30</v>
      </c>
    </row>
    <row r="2578" spans="1:3" x14ac:dyDescent="0.35">
      <c r="A2578" s="141" t="s">
        <v>519</v>
      </c>
      <c r="B2578" s="141" t="s">
        <v>263</v>
      </c>
      <c r="C2578" s="141" t="s">
        <v>34</v>
      </c>
    </row>
    <row r="2579" spans="1:3" x14ac:dyDescent="0.35">
      <c r="A2579" s="141" t="s">
        <v>520</v>
      </c>
      <c r="B2579" s="141" t="s">
        <v>263</v>
      </c>
      <c r="C2579" s="141" t="s">
        <v>34</v>
      </c>
    </row>
    <row r="2580" spans="1:3" x14ac:dyDescent="0.35">
      <c r="A2580" s="141" t="s">
        <v>521</v>
      </c>
      <c r="B2580" s="141" t="s">
        <v>263</v>
      </c>
      <c r="C2580" s="141" t="s">
        <v>34</v>
      </c>
    </row>
    <row r="2581" spans="1:3" x14ac:dyDescent="0.35">
      <c r="A2581" s="141" t="s">
        <v>522</v>
      </c>
      <c r="B2581" s="141" t="s">
        <v>263</v>
      </c>
      <c r="C2581" s="141" t="s">
        <v>34</v>
      </c>
    </row>
    <row r="2582" spans="1:3" x14ac:dyDescent="0.35">
      <c r="A2582" s="141" t="s">
        <v>523</v>
      </c>
      <c r="B2582" s="141" t="s">
        <v>263</v>
      </c>
      <c r="C2582" s="141" t="s">
        <v>30</v>
      </c>
    </row>
    <row r="2583" spans="1:3" x14ac:dyDescent="0.35">
      <c r="A2583" s="141" t="s">
        <v>784</v>
      </c>
      <c r="B2583" s="141" t="s">
        <v>263</v>
      </c>
      <c r="C2583" s="141" t="s">
        <v>30</v>
      </c>
    </row>
    <row r="2584" spans="1:3" x14ac:dyDescent="0.35">
      <c r="A2584" s="141" t="s">
        <v>785</v>
      </c>
      <c r="B2584" s="141" t="s">
        <v>263</v>
      </c>
      <c r="C2584" s="141" t="s">
        <v>30</v>
      </c>
    </row>
    <row r="2585" spans="1:3" x14ac:dyDescent="0.35">
      <c r="A2585" s="141" t="s">
        <v>525</v>
      </c>
      <c r="B2585" s="141" t="s">
        <v>263</v>
      </c>
      <c r="C2585" s="141" t="s">
        <v>46</v>
      </c>
    </row>
    <row r="2586" spans="1:3" x14ac:dyDescent="0.35">
      <c r="A2586" s="141" t="s">
        <v>526</v>
      </c>
      <c r="B2586" s="141" t="s">
        <v>263</v>
      </c>
      <c r="C2586" s="141" t="s">
        <v>32</v>
      </c>
    </row>
    <row r="2587" spans="1:3" x14ac:dyDescent="0.35">
      <c r="A2587" s="141" t="s">
        <v>527</v>
      </c>
      <c r="B2587" s="141" t="s">
        <v>263</v>
      </c>
      <c r="C2587" s="141" t="s">
        <v>32</v>
      </c>
    </row>
    <row r="2588" spans="1:3" x14ac:dyDescent="0.35">
      <c r="A2588" s="141" t="s">
        <v>528</v>
      </c>
      <c r="B2588" s="141" t="s">
        <v>263</v>
      </c>
      <c r="C2588" s="141" t="s">
        <v>32</v>
      </c>
    </row>
    <row r="2589" spans="1:3" x14ac:dyDescent="0.35">
      <c r="A2589" s="141" t="s">
        <v>529</v>
      </c>
      <c r="B2589" s="141" t="s">
        <v>263</v>
      </c>
      <c r="C2589" s="141" t="s">
        <v>32</v>
      </c>
    </row>
    <row r="2590" spans="1:3" x14ac:dyDescent="0.35">
      <c r="A2590" s="141" t="s">
        <v>492</v>
      </c>
      <c r="B2590" s="141" t="s">
        <v>263</v>
      </c>
      <c r="C2590" s="141" t="s">
        <v>32</v>
      </c>
    </row>
    <row r="2591" spans="1:3" x14ac:dyDescent="0.35">
      <c r="A2591" s="141" t="s">
        <v>493</v>
      </c>
      <c r="B2591" s="141" t="s">
        <v>263</v>
      </c>
      <c r="C2591" s="141" t="s">
        <v>32</v>
      </c>
    </row>
    <row r="2592" spans="1:3" x14ac:dyDescent="0.35">
      <c r="A2592" s="141" t="s">
        <v>494</v>
      </c>
      <c r="B2592" s="141" t="s">
        <v>263</v>
      </c>
      <c r="C2592" s="141" t="s">
        <v>32</v>
      </c>
    </row>
    <row r="2593" spans="1:3" x14ac:dyDescent="0.35">
      <c r="A2593" s="141" t="s">
        <v>495</v>
      </c>
      <c r="B2593" s="141" t="s">
        <v>263</v>
      </c>
      <c r="C2593" s="141" t="s">
        <v>32</v>
      </c>
    </row>
    <row r="2594" spans="1:3" x14ac:dyDescent="0.35">
      <c r="A2594" s="141" t="s">
        <v>496</v>
      </c>
      <c r="B2594" s="141" t="s">
        <v>263</v>
      </c>
      <c r="C2594" s="141" t="s">
        <v>32</v>
      </c>
    </row>
    <row r="2595" spans="1:3" x14ac:dyDescent="0.35">
      <c r="A2595" s="141" t="s">
        <v>497</v>
      </c>
      <c r="B2595" s="141" t="s">
        <v>263</v>
      </c>
      <c r="C2595" s="141" t="s">
        <v>32</v>
      </c>
    </row>
    <row r="2596" spans="1:3" x14ac:dyDescent="0.35">
      <c r="A2596" s="141" t="s">
        <v>681</v>
      </c>
      <c r="B2596" s="141" t="s">
        <v>263</v>
      </c>
      <c r="C2596" s="141" t="s">
        <v>32</v>
      </c>
    </row>
    <row r="2597" spans="1:3" x14ac:dyDescent="0.35">
      <c r="A2597" s="141" t="s">
        <v>682</v>
      </c>
      <c r="B2597" s="141" t="s">
        <v>263</v>
      </c>
      <c r="C2597" s="141" t="s">
        <v>32</v>
      </c>
    </row>
    <row r="2598" spans="1:3" x14ac:dyDescent="0.35">
      <c r="A2598" s="141" t="s">
        <v>683</v>
      </c>
      <c r="B2598" s="141" t="s">
        <v>263</v>
      </c>
      <c r="C2598" s="141" t="s">
        <v>32</v>
      </c>
    </row>
    <row r="2599" spans="1:3" x14ac:dyDescent="0.35">
      <c r="A2599" s="141" t="s">
        <v>684</v>
      </c>
      <c r="B2599" s="141" t="s">
        <v>263</v>
      </c>
      <c r="C2599" s="141" t="s">
        <v>32</v>
      </c>
    </row>
    <row r="2600" spans="1:3" x14ac:dyDescent="0.35">
      <c r="A2600" s="141" t="s">
        <v>685</v>
      </c>
      <c r="B2600" s="141" t="s">
        <v>263</v>
      </c>
      <c r="C2600" s="141" t="s">
        <v>32</v>
      </c>
    </row>
    <row r="2601" spans="1:3" x14ac:dyDescent="0.35">
      <c r="A2601" s="141" t="s">
        <v>686</v>
      </c>
      <c r="B2601" s="141" t="s">
        <v>263</v>
      </c>
      <c r="C2601" s="141" t="s">
        <v>32</v>
      </c>
    </row>
    <row r="2602" spans="1:3" x14ac:dyDescent="0.35">
      <c r="A2602" s="141" t="s">
        <v>687</v>
      </c>
      <c r="B2602" s="141" t="s">
        <v>263</v>
      </c>
      <c r="C2602" s="141" t="s">
        <v>32</v>
      </c>
    </row>
    <row r="2603" spans="1:3" x14ac:dyDescent="0.35">
      <c r="A2603" s="141" t="s">
        <v>502</v>
      </c>
      <c r="B2603" s="141" t="s">
        <v>263</v>
      </c>
      <c r="C2603" s="141" t="s">
        <v>32</v>
      </c>
    </row>
    <row r="2604" spans="1:3" x14ac:dyDescent="0.35">
      <c r="A2604" s="141" t="s">
        <v>503</v>
      </c>
      <c r="B2604" s="141" t="s">
        <v>263</v>
      </c>
      <c r="C2604" s="141" t="s">
        <v>32</v>
      </c>
    </row>
    <row r="2605" spans="1:3" x14ac:dyDescent="0.35">
      <c r="A2605" s="141" t="s">
        <v>504</v>
      </c>
      <c r="B2605" s="141" t="s">
        <v>263</v>
      </c>
      <c r="C2605" s="141" t="s">
        <v>26</v>
      </c>
    </row>
    <row r="2606" spans="1:3" x14ac:dyDescent="0.35">
      <c r="A2606" s="141" t="s">
        <v>688</v>
      </c>
      <c r="B2606" s="141" t="s">
        <v>263</v>
      </c>
      <c r="C2606" s="141" t="s">
        <v>32</v>
      </c>
    </row>
    <row r="2607" spans="1:3" x14ac:dyDescent="0.35">
      <c r="A2607" s="141" t="s">
        <v>689</v>
      </c>
      <c r="B2607" s="141" t="s">
        <v>263</v>
      </c>
      <c r="C2607" s="141" t="s">
        <v>32</v>
      </c>
    </row>
    <row r="2608" spans="1:3" x14ac:dyDescent="0.35">
      <c r="A2608" s="141" t="s">
        <v>690</v>
      </c>
      <c r="B2608" s="141" t="s">
        <v>263</v>
      </c>
      <c r="C2608" s="141" t="s">
        <v>32</v>
      </c>
    </row>
    <row r="2609" spans="1:3" x14ac:dyDescent="0.35">
      <c r="A2609" s="141" t="s">
        <v>691</v>
      </c>
      <c r="B2609" s="141" t="s">
        <v>263</v>
      </c>
      <c r="C2609" s="141" t="s">
        <v>32</v>
      </c>
    </row>
    <row r="2610" spans="1:3" x14ac:dyDescent="0.35">
      <c r="A2610" s="141" t="s">
        <v>692</v>
      </c>
      <c r="B2610" s="141" t="s">
        <v>263</v>
      </c>
      <c r="C2610" s="141" t="s">
        <v>32</v>
      </c>
    </row>
    <row r="2611" spans="1:3" x14ac:dyDescent="0.35">
      <c r="A2611" s="141" t="s">
        <v>693</v>
      </c>
      <c r="B2611" s="141" t="s">
        <v>263</v>
      </c>
      <c r="C2611" s="141" t="s">
        <v>32</v>
      </c>
    </row>
    <row r="2612" spans="1:3" x14ac:dyDescent="0.35">
      <c r="A2612" s="141" t="s">
        <v>694</v>
      </c>
      <c r="B2612" s="141" t="s">
        <v>263</v>
      </c>
      <c r="C2612" s="141" t="s">
        <v>32</v>
      </c>
    </row>
    <row r="2613" spans="1:3" x14ac:dyDescent="0.35">
      <c r="A2613" s="141" t="s">
        <v>695</v>
      </c>
      <c r="B2613" s="141" t="s">
        <v>263</v>
      </c>
      <c r="C2613" s="141" t="s">
        <v>32</v>
      </c>
    </row>
    <row r="2614" spans="1:3" x14ac:dyDescent="0.35">
      <c r="A2614" s="141" t="s">
        <v>696</v>
      </c>
      <c r="B2614" s="141" t="s">
        <v>263</v>
      </c>
      <c r="C2614" s="141" t="s">
        <v>32</v>
      </c>
    </row>
    <row r="2615" spans="1:3" x14ac:dyDescent="0.35">
      <c r="A2615" s="141" t="s">
        <v>697</v>
      </c>
      <c r="B2615" s="141" t="s">
        <v>263</v>
      </c>
      <c r="C2615" s="141" t="s">
        <v>32</v>
      </c>
    </row>
    <row r="2616" spans="1:3" x14ac:dyDescent="0.35">
      <c r="A2616" s="141" t="s">
        <v>509</v>
      </c>
      <c r="B2616" s="141" t="s">
        <v>263</v>
      </c>
      <c r="C2616" s="141" t="s">
        <v>32</v>
      </c>
    </row>
    <row r="2617" spans="1:3" x14ac:dyDescent="0.35">
      <c r="A2617" s="141" t="s">
        <v>510</v>
      </c>
      <c r="B2617" s="141" t="s">
        <v>263</v>
      </c>
      <c r="C2617" s="141" t="s">
        <v>32</v>
      </c>
    </row>
    <row r="2618" spans="1:3" x14ac:dyDescent="0.35">
      <c r="A2618" s="141" t="s">
        <v>511</v>
      </c>
      <c r="B2618" s="141" t="s">
        <v>263</v>
      </c>
      <c r="C2618" s="141" t="s">
        <v>32</v>
      </c>
    </row>
    <row r="2619" spans="1:3" x14ac:dyDescent="0.35">
      <c r="A2619" s="141" t="s">
        <v>512</v>
      </c>
      <c r="B2619" s="141" t="s">
        <v>263</v>
      </c>
      <c r="C2619" s="141" t="s">
        <v>32</v>
      </c>
    </row>
    <row r="2620" spans="1:3" x14ac:dyDescent="0.35">
      <c r="A2620" s="141" t="s">
        <v>698</v>
      </c>
      <c r="B2620" s="141" t="s">
        <v>263</v>
      </c>
      <c r="C2620" s="141" t="s">
        <v>33</v>
      </c>
    </row>
    <row r="2621" spans="1:3" x14ac:dyDescent="0.35">
      <c r="A2621" s="141" t="s">
        <v>515</v>
      </c>
      <c r="B2621" s="141" t="s">
        <v>263</v>
      </c>
      <c r="C2621" s="141" t="s">
        <v>33</v>
      </c>
    </row>
    <row r="2622" spans="1:3" x14ac:dyDescent="0.35">
      <c r="A2622" s="141" t="s">
        <v>516</v>
      </c>
      <c r="B2622" s="141" t="s">
        <v>263</v>
      </c>
      <c r="C2622" s="141" t="s">
        <v>33</v>
      </c>
    </row>
    <row r="2623" spans="1:3" x14ac:dyDescent="0.35">
      <c r="A2623" s="141" t="s">
        <v>699</v>
      </c>
      <c r="B2623" s="141" t="s">
        <v>263</v>
      </c>
      <c r="C2623" s="141" t="s">
        <v>26</v>
      </c>
    </row>
    <row r="2624" spans="1:3" x14ac:dyDescent="0.35">
      <c r="A2624" s="141" t="s">
        <v>700</v>
      </c>
      <c r="B2624" s="141" t="s">
        <v>263</v>
      </c>
      <c r="C2624" s="141" t="s">
        <v>26</v>
      </c>
    </row>
    <row r="2625" spans="1:3" x14ac:dyDescent="0.35">
      <c r="A2625" s="141" t="s">
        <v>701</v>
      </c>
      <c r="B2625" s="141" t="s">
        <v>263</v>
      </c>
      <c r="C2625" s="141" t="s">
        <v>26</v>
      </c>
    </row>
    <row r="2626" spans="1:3" x14ac:dyDescent="0.35">
      <c r="A2626" s="141" t="s">
        <v>452</v>
      </c>
      <c r="B2626" s="141" t="s">
        <v>263</v>
      </c>
      <c r="C2626" s="141" t="s">
        <v>33</v>
      </c>
    </row>
    <row r="2627" spans="1:3" x14ac:dyDescent="0.35">
      <c r="A2627" s="141" t="s">
        <v>702</v>
      </c>
      <c r="B2627" s="141" t="s">
        <v>263</v>
      </c>
      <c r="C2627" s="141" t="s">
        <v>33</v>
      </c>
    </row>
    <row r="2628" spans="1:3" x14ac:dyDescent="0.35">
      <c r="A2628" s="141" t="s">
        <v>786</v>
      </c>
      <c r="B2628" s="141" t="s">
        <v>263</v>
      </c>
      <c r="C2628" s="141" t="s">
        <v>35</v>
      </c>
    </row>
    <row r="2629" spans="1:3" x14ac:dyDescent="0.35">
      <c r="A2629" s="141" t="s">
        <v>787</v>
      </c>
      <c r="B2629" s="141" t="s">
        <v>263</v>
      </c>
      <c r="C2629" s="141" t="s">
        <v>35</v>
      </c>
    </row>
    <row r="2630" spans="1:3" x14ac:dyDescent="0.35">
      <c r="A2630" s="141" t="s">
        <v>704</v>
      </c>
      <c r="B2630" s="141" t="s">
        <v>263</v>
      </c>
      <c r="C2630" s="141" t="s">
        <v>35</v>
      </c>
    </row>
    <row r="2631" spans="1:3" x14ac:dyDescent="0.35">
      <c r="A2631" s="141" t="s">
        <v>705</v>
      </c>
      <c r="B2631" s="141" t="s">
        <v>263</v>
      </c>
      <c r="C2631" s="141" t="s">
        <v>35</v>
      </c>
    </row>
    <row r="2632" spans="1:3" x14ac:dyDescent="0.35">
      <c r="A2632" s="141" t="s">
        <v>706</v>
      </c>
      <c r="B2632" s="141" t="s">
        <v>263</v>
      </c>
      <c r="C2632" s="141" t="s">
        <v>31</v>
      </c>
    </row>
    <row r="2633" spans="1:3" x14ac:dyDescent="0.35">
      <c r="A2633" s="141" t="s">
        <v>707</v>
      </c>
      <c r="B2633" s="141" t="s">
        <v>263</v>
      </c>
      <c r="C2633" s="141" t="s">
        <v>31</v>
      </c>
    </row>
    <row r="2634" spans="1:3" x14ac:dyDescent="0.35">
      <c r="A2634" s="141" t="s">
        <v>708</v>
      </c>
      <c r="B2634" s="141" t="s">
        <v>263</v>
      </c>
      <c r="C2634" s="141" t="s">
        <v>31</v>
      </c>
    </row>
    <row r="2635" spans="1:3" x14ac:dyDescent="0.35">
      <c r="A2635" s="141" t="s">
        <v>709</v>
      </c>
      <c r="B2635" s="141" t="s">
        <v>263</v>
      </c>
      <c r="C2635" s="141" t="s">
        <v>31</v>
      </c>
    </row>
    <row r="2636" spans="1:3" x14ac:dyDescent="0.35">
      <c r="A2636" s="141" t="s">
        <v>710</v>
      </c>
      <c r="B2636" s="141" t="s">
        <v>263</v>
      </c>
      <c r="C2636" s="141" t="s">
        <v>31</v>
      </c>
    </row>
    <row r="2637" spans="1:3" x14ac:dyDescent="0.35">
      <c r="A2637" s="141" t="s">
        <v>456</v>
      </c>
      <c r="B2637" s="141" t="s">
        <v>263</v>
      </c>
      <c r="C2637" s="141" t="s">
        <v>31</v>
      </c>
    </row>
    <row r="2638" spans="1:3" x14ac:dyDescent="0.35">
      <c r="A2638" s="141" t="s">
        <v>297</v>
      </c>
      <c r="B2638" s="141" t="s">
        <v>263</v>
      </c>
      <c r="C2638" s="141" t="s">
        <v>32</v>
      </c>
    </row>
    <row r="2639" spans="1:3" x14ac:dyDescent="0.35">
      <c r="A2639" s="141" t="s">
        <v>298</v>
      </c>
      <c r="B2639" s="141" t="s">
        <v>263</v>
      </c>
      <c r="C2639" s="141" t="s">
        <v>32</v>
      </c>
    </row>
    <row r="2640" spans="1:3" x14ac:dyDescent="0.35">
      <c r="A2640" s="141" t="s">
        <v>299</v>
      </c>
      <c r="B2640" s="141" t="s">
        <v>263</v>
      </c>
      <c r="C2640" s="141" t="s">
        <v>32</v>
      </c>
    </row>
    <row r="2641" spans="1:3" x14ac:dyDescent="0.35">
      <c r="A2641" s="141" t="s">
        <v>300</v>
      </c>
      <c r="B2641" s="141" t="s">
        <v>263</v>
      </c>
      <c r="C2641" s="141" t="s">
        <v>32</v>
      </c>
    </row>
    <row r="2642" spans="1:3" x14ac:dyDescent="0.35">
      <c r="A2642" s="141" t="s">
        <v>301</v>
      </c>
      <c r="B2642" s="141" t="s">
        <v>263</v>
      </c>
      <c r="C2642" s="141" t="s">
        <v>32</v>
      </c>
    </row>
    <row r="2643" spans="1:3" x14ac:dyDescent="0.35">
      <c r="A2643" s="141" t="s">
        <v>302</v>
      </c>
      <c r="B2643" s="141" t="s">
        <v>263</v>
      </c>
      <c r="C2643" s="141" t="s">
        <v>32</v>
      </c>
    </row>
    <row r="2644" spans="1:3" x14ac:dyDescent="0.35">
      <c r="A2644" s="141" t="s">
        <v>626</v>
      </c>
      <c r="B2644" s="141" t="s">
        <v>263</v>
      </c>
      <c r="C2644" s="141" t="s">
        <v>31</v>
      </c>
    </row>
    <row r="2645" spans="1:3" x14ac:dyDescent="0.35">
      <c r="A2645" s="141" t="s">
        <v>627</v>
      </c>
      <c r="B2645" s="141" t="s">
        <v>263</v>
      </c>
      <c r="C2645" s="141" t="s">
        <v>31</v>
      </c>
    </row>
    <row r="2646" spans="1:3" x14ac:dyDescent="0.35">
      <c r="A2646" s="141" t="s">
        <v>458</v>
      </c>
      <c r="B2646" s="141" t="s">
        <v>263</v>
      </c>
      <c r="C2646" s="141" t="s">
        <v>31</v>
      </c>
    </row>
    <row r="2647" spans="1:3" x14ac:dyDescent="0.35">
      <c r="A2647" s="141" t="s">
        <v>628</v>
      </c>
      <c r="B2647" s="141" t="s">
        <v>263</v>
      </c>
      <c r="C2647" s="141" t="s">
        <v>31</v>
      </c>
    </row>
    <row r="2648" spans="1:3" x14ac:dyDescent="0.35">
      <c r="A2648" s="141" t="s">
        <v>629</v>
      </c>
      <c r="B2648" s="141" t="s">
        <v>263</v>
      </c>
      <c r="C2648" s="141" t="s">
        <v>31</v>
      </c>
    </row>
    <row r="2649" spans="1:3" x14ac:dyDescent="0.35">
      <c r="A2649" s="141" t="s">
        <v>460</v>
      </c>
      <c r="B2649" s="141" t="s">
        <v>263</v>
      </c>
      <c r="C2649" s="141" t="s">
        <v>31</v>
      </c>
    </row>
    <row r="2650" spans="1:3" x14ac:dyDescent="0.35">
      <c r="A2650" s="141" t="s">
        <v>461</v>
      </c>
      <c r="B2650" s="141" t="s">
        <v>263</v>
      </c>
      <c r="C2650" s="141" t="s">
        <v>31</v>
      </c>
    </row>
    <row r="2651" spans="1:3" x14ac:dyDescent="0.35">
      <c r="A2651" s="141" t="s">
        <v>808</v>
      </c>
      <c r="B2651" s="141" t="s">
        <v>263</v>
      </c>
      <c r="C2651" s="141" t="s">
        <v>31</v>
      </c>
    </row>
    <row r="2652" spans="1:3" x14ac:dyDescent="0.35">
      <c r="A2652" s="141" t="s">
        <v>809</v>
      </c>
      <c r="B2652" s="141" t="s">
        <v>263</v>
      </c>
      <c r="C2652" s="141" t="s">
        <v>31</v>
      </c>
    </row>
    <row r="2653" spans="1:3" x14ac:dyDescent="0.35">
      <c r="A2653" s="141" t="s">
        <v>788</v>
      </c>
      <c r="B2653" s="141" t="s">
        <v>263</v>
      </c>
      <c r="C2653" s="141" t="s">
        <v>25</v>
      </c>
    </row>
    <row r="2654" spans="1:3" x14ac:dyDescent="0.35">
      <c r="A2654" s="141" t="s">
        <v>789</v>
      </c>
      <c r="B2654" s="141" t="s">
        <v>263</v>
      </c>
      <c r="C2654" s="141" t="s">
        <v>25</v>
      </c>
    </row>
    <row r="2655" spans="1:3" x14ac:dyDescent="0.35">
      <c r="A2655" s="141" t="s">
        <v>810</v>
      </c>
      <c r="B2655" s="141" t="s">
        <v>263</v>
      </c>
      <c r="C2655" s="141" t="s">
        <v>33</v>
      </c>
    </row>
    <row r="2656" spans="1:3" x14ac:dyDescent="0.35">
      <c r="A2656" s="141" t="s">
        <v>811</v>
      </c>
      <c r="B2656" s="141" t="s">
        <v>263</v>
      </c>
      <c r="C2656" s="141" t="s">
        <v>36</v>
      </c>
    </row>
    <row r="2657" spans="1:3" x14ac:dyDescent="0.35">
      <c r="A2657" s="141" t="s">
        <v>716</v>
      </c>
      <c r="B2657" s="141" t="s">
        <v>263</v>
      </c>
      <c r="C2657" s="141" t="s">
        <v>36</v>
      </c>
    </row>
    <row r="2658" spans="1:3" x14ac:dyDescent="0.35">
      <c r="A2658" s="141" t="s">
        <v>717</v>
      </c>
      <c r="B2658" s="141" t="s">
        <v>263</v>
      </c>
      <c r="C2658" s="141" t="s">
        <v>36</v>
      </c>
    </row>
    <row r="2659" spans="1:3" x14ac:dyDescent="0.35">
      <c r="A2659" s="141" t="s">
        <v>718</v>
      </c>
      <c r="B2659" s="141" t="s">
        <v>263</v>
      </c>
      <c r="C2659" s="141" t="s">
        <v>36</v>
      </c>
    </row>
    <row r="2660" spans="1:3" x14ac:dyDescent="0.35">
      <c r="A2660" s="141" t="s">
        <v>719</v>
      </c>
      <c r="B2660" s="141" t="s">
        <v>263</v>
      </c>
      <c r="C2660" s="141" t="s">
        <v>36</v>
      </c>
    </row>
    <row r="2661" spans="1:3" x14ac:dyDescent="0.35">
      <c r="A2661" s="141" t="s">
        <v>720</v>
      </c>
      <c r="B2661" s="141" t="s">
        <v>263</v>
      </c>
      <c r="C2661" s="141" t="s">
        <v>36</v>
      </c>
    </row>
    <row r="2662" spans="1:3" x14ac:dyDescent="0.35">
      <c r="A2662" s="141" t="s">
        <v>721</v>
      </c>
      <c r="B2662" s="141" t="s">
        <v>263</v>
      </c>
      <c r="C2662" s="141" t="s">
        <v>36</v>
      </c>
    </row>
    <row r="2663" spans="1:3" x14ac:dyDescent="0.35">
      <c r="A2663" s="141" t="s">
        <v>722</v>
      </c>
      <c r="B2663" s="141" t="s">
        <v>263</v>
      </c>
      <c r="C2663" s="141" t="s">
        <v>36</v>
      </c>
    </row>
    <row r="2664" spans="1:3" x14ac:dyDescent="0.35">
      <c r="A2664" s="141" t="s">
        <v>723</v>
      </c>
      <c r="B2664" s="141" t="s">
        <v>263</v>
      </c>
      <c r="C2664" s="141" t="s">
        <v>36</v>
      </c>
    </row>
    <row r="2665" spans="1:3" x14ac:dyDescent="0.35">
      <c r="A2665" s="141" t="s">
        <v>724</v>
      </c>
      <c r="B2665" s="141" t="s">
        <v>263</v>
      </c>
      <c r="C2665" s="141" t="s">
        <v>37</v>
      </c>
    </row>
    <row r="2666" spans="1:3" x14ac:dyDescent="0.35">
      <c r="A2666" s="141" t="s">
        <v>725</v>
      </c>
      <c r="B2666" s="141" t="s">
        <v>263</v>
      </c>
      <c r="C2666" s="141" t="s">
        <v>37</v>
      </c>
    </row>
    <row r="2667" spans="1:3" x14ac:dyDescent="0.35">
      <c r="A2667" s="141" t="s">
        <v>726</v>
      </c>
      <c r="B2667" s="141" t="s">
        <v>263</v>
      </c>
      <c r="C2667" s="141" t="s">
        <v>33</v>
      </c>
    </row>
    <row r="2668" spans="1:3" x14ac:dyDescent="0.35">
      <c r="A2668" s="141" t="s">
        <v>727</v>
      </c>
      <c r="B2668" s="141" t="s">
        <v>263</v>
      </c>
      <c r="C2668" s="141" t="s">
        <v>36</v>
      </c>
    </row>
    <row r="2669" spans="1:3" x14ac:dyDescent="0.35">
      <c r="A2669" s="141" t="s">
        <v>728</v>
      </c>
      <c r="B2669" s="141" t="s">
        <v>263</v>
      </c>
      <c r="C2669" s="141" t="s">
        <v>28</v>
      </c>
    </row>
    <row r="2670" spans="1:3" x14ac:dyDescent="0.35">
      <c r="A2670" s="141" t="s">
        <v>729</v>
      </c>
      <c r="B2670" s="141" t="s">
        <v>263</v>
      </c>
      <c r="C2670" s="141" t="s">
        <v>28</v>
      </c>
    </row>
    <row r="2671" spans="1:3" x14ac:dyDescent="0.35">
      <c r="A2671" s="141" t="s">
        <v>730</v>
      </c>
      <c r="B2671" s="141" t="s">
        <v>263</v>
      </c>
      <c r="C2671" s="141" t="s">
        <v>28</v>
      </c>
    </row>
    <row r="2672" spans="1:3" x14ac:dyDescent="0.35">
      <c r="A2672" s="141" t="s">
        <v>731</v>
      </c>
      <c r="B2672" s="141" t="s">
        <v>263</v>
      </c>
      <c r="C2672" s="141" t="s">
        <v>29</v>
      </c>
    </row>
    <row r="2673" spans="1:3" x14ac:dyDescent="0.35">
      <c r="A2673" s="141" t="s">
        <v>732</v>
      </c>
      <c r="B2673" s="141" t="s">
        <v>263</v>
      </c>
      <c r="C2673" s="141" t="s">
        <v>28</v>
      </c>
    </row>
    <row r="2674" spans="1:3" x14ac:dyDescent="0.35">
      <c r="A2674" s="141" t="s">
        <v>790</v>
      </c>
      <c r="B2674" s="141" t="s">
        <v>263</v>
      </c>
      <c r="C2674" s="141" t="s">
        <v>33</v>
      </c>
    </row>
    <row r="2675" spans="1:3" x14ac:dyDescent="0.35">
      <c r="A2675" s="141" t="s">
        <v>791</v>
      </c>
      <c r="B2675" s="141" t="s">
        <v>263</v>
      </c>
      <c r="C2675" s="141" t="s">
        <v>33</v>
      </c>
    </row>
    <row r="2676" spans="1:3" x14ac:dyDescent="0.35">
      <c r="A2676" s="141" t="s">
        <v>734</v>
      </c>
      <c r="B2676" s="141" t="s">
        <v>263</v>
      </c>
      <c r="C2676" s="141" t="s">
        <v>33</v>
      </c>
    </row>
    <row r="2677" spans="1:3" x14ac:dyDescent="0.35">
      <c r="A2677" s="141" t="s">
        <v>570</v>
      </c>
      <c r="B2677" s="141" t="s">
        <v>263</v>
      </c>
      <c r="C2677" s="141" t="s">
        <v>52</v>
      </c>
    </row>
    <row r="2678" spans="1:3" x14ac:dyDescent="0.35">
      <c r="A2678" s="141" t="s">
        <v>792</v>
      </c>
      <c r="B2678" s="141" t="s">
        <v>263</v>
      </c>
      <c r="C2678" s="141" t="s">
        <v>52</v>
      </c>
    </row>
    <row r="2679" spans="1:3" x14ac:dyDescent="0.35">
      <c r="A2679" s="141" t="s">
        <v>449</v>
      </c>
      <c r="B2679" s="141" t="s">
        <v>263</v>
      </c>
      <c r="C2679" s="141" t="s">
        <v>52</v>
      </c>
    </row>
    <row r="2680" spans="1:3" x14ac:dyDescent="0.35">
      <c r="A2680" s="141" t="s">
        <v>793</v>
      </c>
      <c r="B2680" s="141" t="s">
        <v>263</v>
      </c>
      <c r="C2680" s="141" t="s">
        <v>52</v>
      </c>
    </row>
    <row r="2681" spans="1:3" x14ac:dyDescent="0.35">
      <c r="A2681" s="141" t="s">
        <v>794</v>
      </c>
      <c r="B2681" s="141" t="s">
        <v>263</v>
      </c>
      <c r="C2681" s="141" t="s">
        <v>52</v>
      </c>
    </row>
    <row r="2682" spans="1:3" x14ac:dyDescent="0.35">
      <c r="A2682" s="141" t="s">
        <v>304</v>
      </c>
      <c r="B2682" s="141" t="s">
        <v>263</v>
      </c>
      <c r="C2682" s="142"/>
    </row>
    <row r="2683" spans="1:3" x14ac:dyDescent="0.35">
      <c r="A2683" s="141" t="s">
        <v>795</v>
      </c>
      <c r="B2683" s="141" t="s">
        <v>263</v>
      </c>
      <c r="C2683" s="142"/>
    </row>
    <row r="2684" spans="1:3" x14ac:dyDescent="0.35">
      <c r="A2684" s="141" t="s">
        <v>796</v>
      </c>
      <c r="B2684" s="141" t="s">
        <v>263</v>
      </c>
      <c r="C2684" s="142"/>
    </row>
    <row r="2685" spans="1:3" x14ac:dyDescent="0.35">
      <c r="A2685" s="141" t="s">
        <v>601</v>
      </c>
      <c r="B2685" s="141" t="s">
        <v>263</v>
      </c>
      <c r="C2685" s="141" t="s">
        <v>40</v>
      </c>
    </row>
    <row r="2686" spans="1:3" x14ac:dyDescent="0.35">
      <c r="A2686" s="141" t="s">
        <v>602</v>
      </c>
      <c r="B2686" s="141" t="s">
        <v>263</v>
      </c>
      <c r="C2686" s="141" t="s">
        <v>39</v>
      </c>
    </row>
    <row r="2687" spans="1:3" x14ac:dyDescent="0.35">
      <c r="A2687" s="141" t="s">
        <v>735</v>
      </c>
      <c r="B2687" s="141" t="s">
        <v>263</v>
      </c>
      <c r="C2687" s="141" t="s">
        <v>41</v>
      </c>
    </row>
    <row r="2688" spans="1:3" x14ac:dyDescent="0.35">
      <c r="A2688" s="141" t="s">
        <v>736</v>
      </c>
      <c r="B2688" s="141" t="s">
        <v>263</v>
      </c>
      <c r="C2688" s="141" t="s">
        <v>41</v>
      </c>
    </row>
    <row r="2689" spans="1:3" x14ac:dyDescent="0.35">
      <c r="A2689" s="141" t="s">
        <v>737</v>
      </c>
      <c r="B2689" s="141" t="s">
        <v>263</v>
      </c>
      <c r="C2689" s="141" t="s">
        <v>41</v>
      </c>
    </row>
    <row r="2690" spans="1:3" x14ac:dyDescent="0.35">
      <c r="A2690" s="141" t="s">
        <v>738</v>
      </c>
      <c r="B2690" s="141" t="s">
        <v>263</v>
      </c>
      <c r="C2690" s="141" t="s">
        <v>41</v>
      </c>
    </row>
    <row r="2691" spans="1:3" x14ac:dyDescent="0.35">
      <c r="A2691" s="141" t="s">
        <v>797</v>
      </c>
      <c r="B2691" s="141" t="s">
        <v>263</v>
      </c>
      <c r="C2691" s="141" t="s">
        <v>41</v>
      </c>
    </row>
    <row r="2692" spans="1:3" x14ac:dyDescent="0.35">
      <c r="A2692" s="141" t="s">
        <v>798</v>
      </c>
      <c r="B2692" s="141" t="s">
        <v>263</v>
      </c>
      <c r="C2692" s="141" t="s">
        <v>40</v>
      </c>
    </row>
    <row r="2693" spans="1:3" x14ac:dyDescent="0.35">
      <c r="A2693" s="141" t="s">
        <v>799</v>
      </c>
      <c r="B2693" s="141" t="s">
        <v>263</v>
      </c>
      <c r="C2693" s="141" t="s">
        <v>40</v>
      </c>
    </row>
    <row r="2694" spans="1:3" x14ac:dyDescent="0.35">
      <c r="A2694" s="141" t="s">
        <v>807</v>
      </c>
      <c r="B2694" s="141" t="s">
        <v>263</v>
      </c>
      <c r="C2694" s="141" t="s">
        <v>3</v>
      </c>
    </row>
    <row r="2695" spans="1:3" x14ac:dyDescent="0.35">
      <c r="A2695" s="141" t="s">
        <v>739</v>
      </c>
      <c r="B2695" s="141" t="s">
        <v>263</v>
      </c>
      <c r="C2695" s="141" t="s">
        <v>52</v>
      </c>
    </row>
    <row r="2696" spans="1:3" x14ac:dyDescent="0.35">
      <c r="A2696" s="141" t="s">
        <v>800</v>
      </c>
      <c r="B2696" s="141" t="s">
        <v>263</v>
      </c>
      <c r="C2696" s="141" t="s">
        <v>21</v>
      </c>
    </row>
    <row r="2697" spans="1:3" x14ac:dyDescent="0.35">
      <c r="A2697" s="141" t="s">
        <v>306</v>
      </c>
      <c r="B2697" s="141" t="s">
        <v>263</v>
      </c>
      <c r="C2697" s="141" t="s">
        <v>35</v>
      </c>
    </row>
    <row r="2698" spans="1:3" x14ac:dyDescent="0.35">
      <c r="A2698" s="141" t="s">
        <v>740</v>
      </c>
      <c r="B2698" s="141" t="s">
        <v>263</v>
      </c>
      <c r="C2698" s="141" t="s">
        <v>33</v>
      </c>
    </row>
    <row r="2699" spans="1:3" x14ac:dyDescent="0.35">
      <c r="A2699" s="141" t="s">
        <v>550</v>
      </c>
      <c r="B2699" s="141" t="s">
        <v>263</v>
      </c>
      <c r="C2699" s="141" t="s">
        <v>33</v>
      </c>
    </row>
    <row r="2700" spans="1:3" x14ac:dyDescent="0.35">
      <c r="A2700" s="141" t="s">
        <v>551</v>
      </c>
      <c r="B2700" s="141" t="s">
        <v>263</v>
      </c>
      <c r="C2700" s="141" t="s">
        <v>33</v>
      </c>
    </row>
    <row r="2701" spans="1:3" x14ac:dyDescent="0.35">
      <c r="A2701" s="141" t="s">
        <v>307</v>
      </c>
      <c r="B2701" s="141" t="s">
        <v>263</v>
      </c>
      <c r="C2701" s="141" t="s">
        <v>33</v>
      </c>
    </row>
    <row r="2702" spans="1:3" x14ac:dyDescent="0.35">
      <c r="A2702" s="141" t="s">
        <v>427</v>
      </c>
      <c r="B2702" s="141" t="s">
        <v>263</v>
      </c>
      <c r="C2702" s="141" t="s">
        <v>27</v>
      </c>
    </row>
    <row r="2703" spans="1:3" x14ac:dyDescent="0.35">
      <c r="A2703" s="141" t="s">
        <v>428</v>
      </c>
      <c r="B2703" s="141" t="s">
        <v>263</v>
      </c>
      <c r="C2703" s="141" t="s">
        <v>27</v>
      </c>
    </row>
    <row r="2704" spans="1:3" x14ac:dyDescent="0.35">
      <c r="A2704" s="141" t="s">
        <v>429</v>
      </c>
      <c r="B2704" s="141" t="s">
        <v>263</v>
      </c>
      <c r="C2704" s="141" t="s">
        <v>27</v>
      </c>
    </row>
    <row r="2705" spans="1:3" x14ac:dyDescent="0.35">
      <c r="A2705" s="141" t="s">
        <v>426</v>
      </c>
      <c r="B2705" s="141" t="s">
        <v>263</v>
      </c>
      <c r="C2705" s="141" t="s">
        <v>27</v>
      </c>
    </row>
    <row r="2706" spans="1:3" x14ac:dyDescent="0.35">
      <c r="A2706" s="141" t="s">
        <v>430</v>
      </c>
      <c r="B2706" s="141" t="s">
        <v>263</v>
      </c>
      <c r="C2706" s="141" t="s">
        <v>27</v>
      </c>
    </row>
    <row r="2707" spans="1:3" x14ac:dyDescent="0.35">
      <c r="A2707" s="141" t="s">
        <v>431</v>
      </c>
      <c r="B2707" s="141" t="s">
        <v>263</v>
      </c>
      <c r="C2707" s="141" t="s">
        <v>27</v>
      </c>
    </row>
    <row r="2708" spans="1:3" x14ac:dyDescent="0.35">
      <c r="A2708" s="141" t="s">
        <v>308</v>
      </c>
      <c r="B2708" s="141" t="s">
        <v>263</v>
      </c>
      <c r="C2708" s="141" t="s">
        <v>53</v>
      </c>
    </row>
    <row r="2709" spans="1:3" x14ac:dyDescent="0.35">
      <c r="A2709" s="141" t="s">
        <v>309</v>
      </c>
      <c r="B2709" s="141" t="s">
        <v>263</v>
      </c>
      <c r="C2709" s="141" t="s">
        <v>53</v>
      </c>
    </row>
    <row r="2710" spans="1:3" x14ac:dyDescent="0.35">
      <c r="A2710" s="141" t="s">
        <v>310</v>
      </c>
      <c r="B2710" s="141" t="s">
        <v>263</v>
      </c>
      <c r="C2710" s="141" t="s">
        <v>53</v>
      </c>
    </row>
    <row r="2711" spans="1:3" x14ac:dyDescent="0.35">
      <c r="A2711" s="141" t="s">
        <v>311</v>
      </c>
      <c r="B2711" s="141" t="s">
        <v>263</v>
      </c>
      <c r="C2711" s="141" t="s">
        <v>53</v>
      </c>
    </row>
    <row r="2712" spans="1:3" x14ac:dyDescent="0.35">
      <c r="A2712" s="141" t="s">
        <v>534</v>
      </c>
      <c r="B2712" s="141" t="s">
        <v>263</v>
      </c>
      <c r="C2712" s="141" t="s">
        <v>53</v>
      </c>
    </row>
    <row r="2713" spans="1:3" x14ac:dyDescent="0.35">
      <c r="A2713" s="141" t="s">
        <v>801</v>
      </c>
      <c r="B2713" s="141" t="s">
        <v>263</v>
      </c>
      <c r="C2713" s="141" t="s">
        <v>52</v>
      </c>
    </row>
    <row r="2714" spans="1:3" x14ac:dyDescent="0.35">
      <c r="A2714" s="141" t="s">
        <v>531</v>
      </c>
      <c r="B2714" s="141" t="s">
        <v>263</v>
      </c>
      <c r="C2714" s="141" t="s">
        <v>51</v>
      </c>
    </row>
    <row r="2715" spans="1:3" x14ac:dyDescent="0.35">
      <c r="A2715" s="141" t="s">
        <v>741</v>
      </c>
      <c r="B2715" s="141" t="s">
        <v>263</v>
      </c>
      <c r="C2715" s="141" t="s">
        <v>51</v>
      </c>
    </row>
    <row r="2716" spans="1:3" x14ac:dyDescent="0.35">
      <c r="A2716" s="141" t="s">
        <v>742</v>
      </c>
      <c r="B2716" s="141" t="s">
        <v>263</v>
      </c>
      <c r="C2716" s="141" t="s">
        <v>51</v>
      </c>
    </row>
    <row r="2717" spans="1:3" x14ac:dyDescent="0.35">
      <c r="A2717" s="141" t="s">
        <v>743</v>
      </c>
      <c r="B2717" s="141" t="s">
        <v>263</v>
      </c>
      <c r="C2717" s="141" t="s">
        <v>51</v>
      </c>
    </row>
    <row r="2718" spans="1:3" x14ac:dyDescent="0.35">
      <c r="A2718" s="141" t="s">
        <v>747</v>
      </c>
      <c r="B2718" s="141" t="s">
        <v>263</v>
      </c>
      <c r="C2718" s="141" t="s">
        <v>51</v>
      </c>
    </row>
    <row r="2719" spans="1:3" x14ac:dyDescent="0.35">
      <c r="A2719" s="141" t="s">
        <v>748</v>
      </c>
      <c r="B2719" s="141" t="s">
        <v>263</v>
      </c>
      <c r="C2719" s="141" t="s">
        <v>51</v>
      </c>
    </row>
    <row r="2720" spans="1:3" x14ac:dyDescent="0.35">
      <c r="A2720" s="141" t="s">
        <v>313</v>
      </c>
      <c r="B2720" s="141" t="s">
        <v>263</v>
      </c>
      <c r="C2720" s="141" t="s">
        <v>51</v>
      </c>
    </row>
    <row r="2721" spans="1:3" x14ac:dyDescent="0.35">
      <c r="A2721" s="141" t="s">
        <v>533</v>
      </c>
      <c r="B2721" s="141" t="s">
        <v>263</v>
      </c>
      <c r="C2721" s="141" t="s">
        <v>50</v>
      </c>
    </row>
    <row r="2722" spans="1:3" x14ac:dyDescent="0.35">
      <c r="A2722" s="141" t="s">
        <v>542</v>
      </c>
      <c r="B2722" s="141" t="s">
        <v>263</v>
      </c>
      <c r="C2722" s="141" t="s">
        <v>52</v>
      </c>
    </row>
    <row r="2723" spans="1:3" x14ac:dyDescent="0.35">
      <c r="A2723" s="141" t="s">
        <v>543</v>
      </c>
      <c r="B2723" s="141" t="s">
        <v>263</v>
      </c>
      <c r="C2723" s="141" t="s">
        <v>52</v>
      </c>
    </row>
    <row r="2724" spans="1:3" x14ac:dyDescent="0.35">
      <c r="A2724" s="141" t="s">
        <v>577</v>
      </c>
      <c r="B2724" s="141" t="s">
        <v>263</v>
      </c>
      <c r="C2724" s="141" t="s">
        <v>52</v>
      </c>
    </row>
    <row r="2725" spans="1:3" x14ac:dyDescent="0.35">
      <c r="A2725" s="141" t="s">
        <v>578</v>
      </c>
      <c r="B2725" s="141" t="s">
        <v>263</v>
      </c>
      <c r="C2725" s="141" t="s">
        <v>52</v>
      </c>
    </row>
    <row r="2726" spans="1:3" x14ac:dyDescent="0.35">
      <c r="A2726" s="141" t="s">
        <v>535</v>
      </c>
      <c r="B2726" s="141" t="s">
        <v>263</v>
      </c>
      <c r="C2726" s="141" t="s">
        <v>52</v>
      </c>
    </row>
    <row r="2727" spans="1:3" x14ac:dyDescent="0.35">
      <c r="A2727" s="141" t="s">
        <v>536</v>
      </c>
      <c r="B2727" s="141" t="s">
        <v>263</v>
      </c>
      <c r="C2727" s="141" t="s">
        <v>52</v>
      </c>
    </row>
    <row r="2728" spans="1:3" x14ac:dyDescent="0.35">
      <c r="A2728" s="141" t="s">
        <v>537</v>
      </c>
      <c r="B2728" s="141" t="s">
        <v>263</v>
      </c>
      <c r="C2728" s="141" t="s">
        <v>52</v>
      </c>
    </row>
    <row r="2729" spans="1:3" x14ac:dyDescent="0.35">
      <c r="A2729" s="141" t="s">
        <v>538</v>
      </c>
      <c r="B2729" s="141" t="s">
        <v>263</v>
      </c>
      <c r="C2729" s="141" t="s">
        <v>52</v>
      </c>
    </row>
    <row r="2730" spans="1:3" x14ac:dyDescent="0.35">
      <c r="A2730" s="141" t="s">
        <v>539</v>
      </c>
      <c r="B2730" s="141" t="s">
        <v>263</v>
      </c>
      <c r="C2730" s="141" t="s">
        <v>52</v>
      </c>
    </row>
    <row r="2731" spans="1:3" x14ac:dyDescent="0.35">
      <c r="A2731" s="141" t="s">
        <v>540</v>
      </c>
      <c r="B2731" s="141" t="s">
        <v>263</v>
      </c>
      <c r="C2731" s="141" t="s">
        <v>52</v>
      </c>
    </row>
    <row r="2732" spans="1:3" x14ac:dyDescent="0.35">
      <c r="A2732" s="141" t="s">
        <v>812</v>
      </c>
      <c r="B2732" s="141" t="s">
        <v>263</v>
      </c>
      <c r="C2732" s="141" t="s">
        <v>52</v>
      </c>
    </row>
    <row r="2733" spans="1:3" x14ac:dyDescent="0.35">
      <c r="A2733" s="141" t="s">
        <v>803</v>
      </c>
      <c r="B2733" s="141" t="s">
        <v>263</v>
      </c>
      <c r="C2733" s="141" t="s">
        <v>52</v>
      </c>
    </row>
    <row r="2734" spans="1:3" x14ac:dyDescent="0.35">
      <c r="A2734" s="141" t="s">
        <v>575</v>
      </c>
      <c r="B2734" s="141" t="s">
        <v>263</v>
      </c>
      <c r="C2734" s="141" t="s">
        <v>52</v>
      </c>
    </row>
    <row r="2735" spans="1:3" x14ac:dyDescent="0.35">
      <c r="A2735" s="141" t="s">
        <v>639</v>
      </c>
      <c r="B2735" s="141" t="s">
        <v>263</v>
      </c>
      <c r="C2735" s="141" t="s">
        <v>25</v>
      </c>
    </row>
    <row r="2736" spans="1:3" x14ac:dyDescent="0.35">
      <c r="A2736" s="141" t="s">
        <v>640</v>
      </c>
      <c r="B2736" s="141" t="s">
        <v>263</v>
      </c>
      <c r="C2736" s="141" t="s">
        <v>25</v>
      </c>
    </row>
    <row r="2737" spans="1:3" x14ac:dyDescent="0.35">
      <c r="A2737" s="141" t="s">
        <v>744</v>
      </c>
      <c r="B2737" s="141" t="s">
        <v>263</v>
      </c>
      <c r="C2737" s="141" t="s">
        <v>52</v>
      </c>
    </row>
    <row r="2738" spans="1:3" x14ac:dyDescent="0.35">
      <c r="A2738" s="141" t="s">
        <v>544</v>
      </c>
      <c r="B2738" s="141" t="s">
        <v>263</v>
      </c>
      <c r="C2738" s="141" t="s">
        <v>33</v>
      </c>
    </row>
    <row r="2739" spans="1:3" x14ac:dyDescent="0.35">
      <c r="A2739" s="141" t="s">
        <v>804</v>
      </c>
      <c r="B2739" s="141" t="s">
        <v>263</v>
      </c>
      <c r="C2739" s="141" t="s">
        <v>53</v>
      </c>
    </row>
    <row r="2740" spans="1:3" x14ac:dyDescent="0.35">
      <c r="A2740" s="141" t="s">
        <v>805</v>
      </c>
      <c r="B2740" s="141" t="s">
        <v>263</v>
      </c>
      <c r="C2740" s="141" t="s">
        <v>52</v>
      </c>
    </row>
    <row r="2741" spans="1:3" x14ac:dyDescent="0.35">
      <c r="A2741" s="141" t="s">
        <v>546</v>
      </c>
      <c r="B2741" s="141" t="s">
        <v>263</v>
      </c>
      <c r="C2741" s="141" t="s">
        <v>52</v>
      </c>
    </row>
    <row r="2742" spans="1:3" x14ac:dyDescent="0.35">
      <c r="A2742" s="141" t="s">
        <v>547</v>
      </c>
      <c r="B2742" s="141" t="s">
        <v>263</v>
      </c>
      <c r="C2742" s="141" t="s">
        <v>52</v>
      </c>
    </row>
    <row r="2743" spans="1:3" x14ac:dyDescent="0.35">
      <c r="A2743" s="141" t="s">
        <v>314</v>
      </c>
      <c r="B2743" s="141" t="s">
        <v>263</v>
      </c>
      <c r="C2743" s="141" t="s">
        <v>16</v>
      </c>
    </row>
    <row r="2744" spans="1:3" x14ac:dyDescent="0.35">
      <c r="A2744" s="141" t="s">
        <v>315</v>
      </c>
      <c r="B2744" s="141" t="s">
        <v>263</v>
      </c>
      <c r="C2744" s="141" t="s">
        <v>16</v>
      </c>
    </row>
    <row r="2745" spans="1:3" x14ac:dyDescent="0.35">
      <c r="A2745" s="141" t="s">
        <v>316</v>
      </c>
      <c r="B2745" s="141" t="s">
        <v>263</v>
      </c>
      <c r="C2745" s="141" t="s">
        <v>16</v>
      </c>
    </row>
    <row r="2746" spans="1:3" x14ac:dyDescent="0.35">
      <c r="A2746" s="141" t="s">
        <v>317</v>
      </c>
      <c r="B2746" s="141" t="s">
        <v>263</v>
      </c>
      <c r="C2746" s="141" t="s">
        <v>16</v>
      </c>
    </row>
    <row r="2747" spans="1:3" x14ac:dyDescent="0.35">
      <c r="A2747" s="141" t="s">
        <v>318</v>
      </c>
      <c r="B2747" s="141" t="s">
        <v>263</v>
      </c>
      <c r="C2747" s="141" t="s">
        <v>16</v>
      </c>
    </row>
    <row r="2748" spans="1:3" x14ac:dyDescent="0.35">
      <c r="A2748" s="141" t="s">
        <v>319</v>
      </c>
      <c r="B2748" s="141" t="s">
        <v>263</v>
      </c>
      <c r="C2748" s="141" t="s">
        <v>16</v>
      </c>
    </row>
    <row r="2749" spans="1:3" x14ac:dyDescent="0.35">
      <c r="A2749" s="141" t="s">
        <v>320</v>
      </c>
      <c r="B2749" s="141" t="s">
        <v>263</v>
      </c>
      <c r="C2749" s="141" t="s">
        <v>16</v>
      </c>
    </row>
    <row r="2750" spans="1:3" x14ac:dyDescent="0.35">
      <c r="A2750" s="141" t="s">
        <v>322</v>
      </c>
      <c r="B2750" s="141" t="s">
        <v>263</v>
      </c>
      <c r="C2750" s="141" t="s">
        <v>16</v>
      </c>
    </row>
    <row r="2751" spans="1:3" x14ac:dyDescent="0.35">
      <c r="A2751" s="141" t="s">
        <v>324</v>
      </c>
      <c r="B2751" s="141" t="s">
        <v>263</v>
      </c>
      <c r="C2751" s="141" t="s">
        <v>16</v>
      </c>
    </row>
    <row r="2752" spans="1:3" x14ac:dyDescent="0.35">
      <c r="A2752" s="141" t="s">
        <v>325</v>
      </c>
      <c r="B2752" s="141" t="s">
        <v>263</v>
      </c>
      <c r="C2752" s="141" t="s">
        <v>16</v>
      </c>
    </row>
    <row r="2753" spans="1:3" x14ac:dyDescent="0.35">
      <c r="A2753" s="141" t="s">
        <v>326</v>
      </c>
      <c r="B2753" s="141" t="s">
        <v>263</v>
      </c>
      <c r="C2753" s="141" t="s">
        <v>16</v>
      </c>
    </row>
    <row r="2754" spans="1:3" x14ac:dyDescent="0.35">
      <c r="A2754" s="141" t="s">
        <v>327</v>
      </c>
      <c r="B2754" s="141" t="s">
        <v>263</v>
      </c>
      <c r="C2754" s="141" t="s">
        <v>16</v>
      </c>
    </row>
    <row r="2755" spans="1:3" x14ac:dyDescent="0.35">
      <c r="A2755" s="141" t="s">
        <v>328</v>
      </c>
      <c r="B2755" s="141" t="s">
        <v>263</v>
      </c>
      <c r="C2755" s="141" t="s">
        <v>16</v>
      </c>
    </row>
    <row r="2756" spans="1:3" x14ac:dyDescent="0.35">
      <c r="A2756" s="141" t="s">
        <v>329</v>
      </c>
      <c r="B2756" s="141" t="s">
        <v>263</v>
      </c>
      <c r="C2756" s="141" t="s">
        <v>16</v>
      </c>
    </row>
    <row r="2757" spans="1:3" x14ac:dyDescent="0.35">
      <c r="A2757" s="141" t="s">
        <v>330</v>
      </c>
      <c r="B2757" s="141" t="s">
        <v>263</v>
      </c>
      <c r="C2757" s="141" t="s">
        <v>16</v>
      </c>
    </row>
    <row r="2758" spans="1:3" x14ac:dyDescent="0.35">
      <c r="A2758" s="141" t="s">
        <v>331</v>
      </c>
      <c r="B2758" s="141" t="s">
        <v>263</v>
      </c>
      <c r="C2758" s="141" t="s">
        <v>16</v>
      </c>
    </row>
    <row r="2759" spans="1:3" x14ac:dyDescent="0.35">
      <c r="A2759" s="141" t="s">
        <v>332</v>
      </c>
      <c r="B2759" s="141" t="s">
        <v>263</v>
      </c>
      <c r="C2759" s="141" t="s">
        <v>16</v>
      </c>
    </row>
    <row r="2760" spans="1:3" x14ac:dyDescent="0.35">
      <c r="A2760" s="141" t="s">
        <v>333</v>
      </c>
      <c r="B2760" s="141" t="s">
        <v>263</v>
      </c>
      <c r="C2760" s="141" t="s">
        <v>16</v>
      </c>
    </row>
    <row r="2761" spans="1:3" x14ac:dyDescent="0.35">
      <c r="A2761" s="141" t="s">
        <v>334</v>
      </c>
      <c r="B2761" s="141" t="s">
        <v>263</v>
      </c>
      <c r="C2761" s="141" t="s">
        <v>16</v>
      </c>
    </row>
    <row r="2762" spans="1:3" x14ac:dyDescent="0.35">
      <c r="A2762" s="141" t="s">
        <v>335</v>
      </c>
      <c r="B2762" s="141" t="s">
        <v>263</v>
      </c>
      <c r="C2762" s="141" t="s">
        <v>16</v>
      </c>
    </row>
    <row r="2763" spans="1:3" x14ac:dyDescent="0.35">
      <c r="A2763" s="141" t="s">
        <v>336</v>
      </c>
      <c r="B2763" s="141" t="s">
        <v>263</v>
      </c>
      <c r="C2763" s="141" t="s">
        <v>16</v>
      </c>
    </row>
    <row r="2764" spans="1:3" x14ac:dyDescent="0.35">
      <c r="A2764" s="141" t="s">
        <v>806</v>
      </c>
      <c r="B2764" s="141" t="s">
        <v>263</v>
      </c>
      <c r="C2764" s="141" t="s">
        <v>32</v>
      </c>
    </row>
    <row r="2765" spans="1:3" x14ac:dyDescent="0.35">
      <c r="A2765" s="141" t="s">
        <v>579</v>
      </c>
      <c r="B2765" s="141" t="s">
        <v>263</v>
      </c>
      <c r="C2765" s="141" t="s">
        <v>32</v>
      </c>
    </row>
    <row r="2766" spans="1:3" x14ac:dyDescent="0.35">
      <c r="A2766" s="141" t="s">
        <v>556</v>
      </c>
      <c r="B2766" s="141" t="s">
        <v>263</v>
      </c>
      <c r="C2766" s="141" t="s">
        <v>32</v>
      </c>
    </row>
    <row r="2767" spans="1:3" x14ac:dyDescent="0.35">
      <c r="A2767" s="141" t="s">
        <v>557</v>
      </c>
      <c r="B2767" s="141" t="s">
        <v>263</v>
      </c>
      <c r="C2767" s="141" t="s">
        <v>32</v>
      </c>
    </row>
    <row r="2768" spans="1:3" x14ac:dyDescent="0.35">
      <c r="A2768" s="141" t="s">
        <v>558</v>
      </c>
      <c r="B2768" s="141" t="s">
        <v>263</v>
      </c>
      <c r="C2768" s="141" t="s">
        <v>32</v>
      </c>
    </row>
    <row r="2769" spans="1:3" x14ac:dyDescent="0.35">
      <c r="A2769" s="141" t="s">
        <v>580</v>
      </c>
      <c r="B2769" s="141" t="s">
        <v>263</v>
      </c>
      <c r="C2769" s="141" t="s">
        <v>32</v>
      </c>
    </row>
    <row r="2770" spans="1:3" x14ac:dyDescent="0.35">
      <c r="A2770" s="141" t="s">
        <v>611</v>
      </c>
      <c r="B2770" s="141" t="s">
        <v>263</v>
      </c>
      <c r="C2770" s="141" t="s">
        <v>43</v>
      </c>
    </row>
    <row r="2771" spans="1:3" x14ac:dyDescent="0.35">
      <c r="A2771" s="141" t="s">
        <v>612</v>
      </c>
      <c r="B2771" s="141" t="s">
        <v>263</v>
      </c>
      <c r="C2771" s="141" t="s">
        <v>43</v>
      </c>
    </row>
    <row r="2772" spans="1:3" x14ac:dyDescent="0.35">
      <c r="A2772" s="141" t="s">
        <v>613</v>
      </c>
      <c r="B2772" s="141" t="s">
        <v>263</v>
      </c>
      <c r="C2772" s="141" t="s">
        <v>43</v>
      </c>
    </row>
    <row r="2773" spans="1:3" x14ac:dyDescent="0.35">
      <c r="A2773" s="141" t="s">
        <v>614</v>
      </c>
      <c r="B2773" s="141" t="s">
        <v>263</v>
      </c>
      <c r="C2773" s="141" t="s">
        <v>43</v>
      </c>
    </row>
    <row r="2774" spans="1:3" x14ac:dyDescent="0.35">
      <c r="A2774" s="141" t="s">
        <v>615</v>
      </c>
      <c r="B2774" s="141" t="s">
        <v>263</v>
      </c>
      <c r="C2774" s="141" t="s">
        <v>43</v>
      </c>
    </row>
    <row r="2775" spans="1:3" x14ac:dyDescent="0.35">
      <c r="A2775" s="141" t="s">
        <v>616</v>
      </c>
      <c r="B2775" s="141" t="s">
        <v>263</v>
      </c>
      <c r="C2775" s="141" t="s">
        <v>43</v>
      </c>
    </row>
    <row r="2776" spans="1:3" x14ac:dyDescent="0.35">
      <c r="A2776" s="141" t="s">
        <v>617</v>
      </c>
      <c r="B2776" s="141" t="s">
        <v>263</v>
      </c>
      <c r="C2776" s="141" t="s">
        <v>43</v>
      </c>
    </row>
    <row r="2777" spans="1:3" x14ac:dyDescent="0.35">
      <c r="A2777" s="141" t="s">
        <v>605</v>
      </c>
      <c r="B2777" s="141" t="s">
        <v>263</v>
      </c>
      <c r="C2777" s="141" t="s">
        <v>43</v>
      </c>
    </row>
    <row r="2778" spans="1:3" x14ac:dyDescent="0.35">
      <c r="A2778" s="141" t="s">
        <v>606</v>
      </c>
      <c r="B2778" s="141" t="s">
        <v>263</v>
      </c>
      <c r="C2778" s="141" t="s">
        <v>43</v>
      </c>
    </row>
    <row r="2779" spans="1:3" x14ac:dyDescent="0.35">
      <c r="A2779" s="141" t="s">
        <v>607</v>
      </c>
      <c r="B2779" s="141" t="s">
        <v>263</v>
      </c>
      <c r="C2779" s="141" t="s">
        <v>43</v>
      </c>
    </row>
    <row r="2780" spans="1:3" x14ac:dyDescent="0.35">
      <c r="A2780" s="141" t="s">
        <v>608</v>
      </c>
      <c r="B2780" s="141" t="s">
        <v>263</v>
      </c>
      <c r="C2780" s="141" t="s">
        <v>43</v>
      </c>
    </row>
    <row r="2781" spans="1:3" x14ac:dyDescent="0.35">
      <c r="A2781" s="141" t="s">
        <v>609</v>
      </c>
      <c r="B2781" s="141" t="s">
        <v>263</v>
      </c>
      <c r="C2781" s="141" t="s">
        <v>43</v>
      </c>
    </row>
    <row r="2782" spans="1:3" x14ac:dyDescent="0.35">
      <c r="A2782" s="141" t="s">
        <v>610</v>
      </c>
      <c r="B2782" s="141" t="s">
        <v>263</v>
      </c>
      <c r="C2782" s="141" t="s">
        <v>43</v>
      </c>
    </row>
    <row r="2783" spans="1:3" x14ac:dyDescent="0.35">
      <c r="A2783" s="141" t="s">
        <v>618</v>
      </c>
      <c r="B2783" s="141" t="s">
        <v>263</v>
      </c>
      <c r="C2783" s="141" t="s">
        <v>43</v>
      </c>
    </row>
    <row r="2784" spans="1:3" x14ac:dyDescent="0.35">
      <c r="A2784" s="141" t="s">
        <v>619</v>
      </c>
      <c r="B2784" s="141" t="s">
        <v>263</v>
      </c>
      <c r="C2784" s="141" t="s">
        <v>44</v>
      </c>
    </row>
    <row r="2785" spans="1:3" x14ac:dyDescent="0.35">
      <c r="A2785" s="141" t="s">
        <v>559</v>
      </c>
      <c r="B2785" s="141" t="s">
        <v>263</v>
      </c>
      <c r="C2785" s="141" t="s">
        <v>47</v>
      </c>
    </row>
    <row r="2786" spans="1:3" x14ac:dyDescent="0.35">
      <c r="A2786" s="141" t="s">
        <v>560</v>
      </c>
      <c r="B2786" s="141" t="s">
        <v>263</v>
      </c>
      <c r="C2786" s="141" t="s">
        <v>47</v>
      </c>
    </row>
    <row r="2787" spans="1:3" x14ac:dyDescent="0.35">
      <c r="A2787" s="141" t="s">
        <v>561</v>
      </c>
      <c r="B2787" s="141" t="s">
        <v>263</v>
      </c>
      <c r="C2787" s="141" t="s">
        <v>47</v>
      </c>
    </row>
    <row r="2788" spans="1:3" x14ac:dyDescent="0.35">
      <c r="A2788" s="141" t="s">
        <v>562</v>
      </c>
      <c r="B2788" s="141" t="s">
        <v>263</v>
      </c>
      <c r="C2788" s="141" t="s">
        <v>48</v>
      </c>
    </row>
    <row r="2789" spans="1:3" x14ac:dyDescent="0.35">
      <c r="A2789" s="141" t="s">
        <v>563</v>
      </c>
      <c r="B2789" s="141" t="s">
        <v>263</v>
      </c>
      <c r="C2789" s="141" t="s">
        <v>47</v>
      </c>
    </row>
    <row r="2790" spans="1:3" x14ac:dyDescent="0.35">
      <c r="A2790" s="141" t="s">
        <v>352</v>
      </c>
      <c r="B2790" s="141" t="s">
        <v>264</v>
      </c>
      <c r="C2790" s="141" t="s">
        <v>2</v>
      </c>
    </row>
    <row r="2791" spans="1:3" x14ac:dyDescent="0.35">
      <c r="A2791" s="141" t="s">
        <v>354</v>
      </c>
      <c r="B2791" s="141" t="s">
        <v>264</v>
      </c>
      <c r="C2791" s="141" t="s">
        <v>2</v>
      </c>
    </row>
    <row r="2792" spans="1:3" x14ac:dyDescent="0.35">
      <c r="A2792" s="141" t="s">
        <v>355</v>
      </c>
      <c r="B2792" s="141" t="s">
        <v>264</v>
      </c>
      <c r="C2792" s="141" t="s">
        <v>12</v>
      </c>
    </row>
    <row r="2793" spans="1:3" x14ac:dyDescent="0.35">
      <c r="A2793" s="141" t="s">
        <v>813</v>
      </c>
      <c r="B2793" s="141" t="s">
        <v>264</v>
      </c>
      <c r="C2793" s="141" t="s">
        <v>12</v>
      </c>
    </row>
    <row r="2794" spans="1:3" x14ac:dyDescent="0.35">
      <c r="A2794" s="141" t="s">
        <v>814</v>
      </c>
      <c r="B2794" s="141" t="s">
        <v>264</v>
      </c>
      <c r="C2794" s="141" t="s">
        <v>12</v>
      </c>
    </row>
    <row r="2795" spans="1:3" x14ac:dyDescent="0.35">
      <c r="A2795" s="141" t="s">
        <v>815</v>
      </c>
      <c r="B2795" s="141" t="s">
        <v>264</v>
      </c>
      <c r="C2795" s="141" t="s">
        <v>12</v>
      </c>
    </row>
    <row r="2796" spans="1:3" x14ac:dyDescent="0.35">
      <c r="A2796" s="141" t="s">
        <v>816</v>
      </c>
      <c r="B2796" s="141" t="s">
        <v>264</v>
      </c>
      <c r="C2796" s="141" t="s">
        <v>12</v>
      </c>
    </row>
    <row r="2797" spans="1:3" x14ac:dyDescent="0.35">
      <c r="A2797" s="141" t="s">
        <v>356</v>
      </c>
      <c r="B2797" s="141" t="s">
        <v>264</v>
      </c>
      <c r="C2797" s="141" t="s">
        <v>14</v>
      </c>
    </row>
    <row r="2798" spans="1:3" x14ac:dyDescent="0.35">
      <c r="A2798" s="141" t="s">
        <v>357</v>
      </c>
      <c r="B2798" s="141" t="s">
        <v>264</v>
      </c>
      <c r="C2798" s="141" t="s">
        <v>14</v>
      </c>
    </row>
    <row r="2799" spans="1:3" x14ac:dyDescent="0.35">
      <c r="A2799" s="141" t="s">
        <v>358</v>
      </c>
      <c r="B2799" s="141" t="s">
        <v>264</v>
      </c>
      <c r="C2799" s="141" t="s">
        <v>14</v>
      </c>
    </row>
    <row r="2800" spans="1:3" x14ac:dyDescent="0.35">
      <c r="A2800" s="141" t="s">
        <v>654</v>
      </c>
      <c r="B2800" s="141" t="s">
        <v>264</v>
      </c>
      <c r="C2800" s="141" t="s">
        <v>14</v>
      </c>
    </row>
    <row r="2801" spans="1:3" x14ac:dyDescent="0.35">
      <c r="A2801" s="141" t="s">
        <v>655</v>
      </c>
      <c r="B2801" s="141" t="s">
        <v>264</v>
      </c>
      <c r="C2801" s="141" t="s">
        <v>14</v>
      </c>
    </row>
    <row r="2802" spans="1:3" x14ac:dyDescent="0.35">
      <c r="A2802" s="141" t="s">
        <v>749</v>
      </c>
      <c r="B2802" s="141" t="s">
        <v>264</v>
      </c>
      <c r="C2802" s="141" t="s">
        <v>14</v>
      </c>
    </row>
    <row r="2803" spans="1:3" x14ac:dyDescent="0.35">
      <c r="A2803" s="141" t="s">
        <v>750</v>
      </c>
      <c r="B2803" s="141" t="s">
        <v>264</v>
      </c>
      <c r="C2803" s="141" t="s">
        <v>13</v>
      </c>
    </row>
    <row r="2804" spans="1:3" x14ac:dyDescent="0.35">
      <c r="A2804" s="141" t="s">
        <v>751</v>
      </c>
      <c r="B2804" s="141" t="s">
        <v>264</v>
      </c>
      <c r="C2804" s="141" t="s">
        <v>13</v>
      </c>
    </row>
    <row r="2805" spans="1:3" x14ac:dyDescent="0.35">
      <c r="A2805" s="141" t="s">
        <v>581</v>
      </c>
      <c r="B2805" s="141" t="s">
        <v>264</v>
      </c>
      <c r="C2805" s="141" t="s">
        <v>13</v>
      </c>
    </row>
    <row r="2806" spans="1:3" x14ac:dyDescent="0.35">
      <c r="A2806" s="141" t="s">
        <v>667</v>
      </c>
      <c r="B2806" s="141" t="s">
        <v>264</v>
      </c>
      <c r="C2806" s="141" t="s">
        <v>55</v>
      </c>
    </row>
    <row r="2807" spans="1:3" x14ac:dyDescent="0.35">
      <c r="A2807" s="141" t="s">
        <v>669</v>
      </c>
      <c r="B2807" s="141" t="s">
        <v>264</v>
      </c>
      <c r="C2807" s="141" t="s">
        <v>55</v>
      </c>
    </row>
    <row r="2808" spans="1:3" x14ac:dyDescent="0.35">
      <c r="A2808" s="141" t="s">
        <v>668</v>
      </c>
      <c r="B2808" s="141" t="s">
        <v>264</v>
      </c>
      <c r="C2808" s="141" t="s">
        <v>54</v>
      </c>
    </row>
    <row r="2809" spans="1:3" x14ac:dyDescent="0.35">
      <c r="A2809" s="141" t="s">
        <v>670</v>
      </c>
      <c r="B2809" s="141" t="s">
        <v>264</v>
      </c>
      <c r="C2809" s="141" t="s">
        <v>54</v>
      </c>
    </row>
    <row r="2810" spans="1:3" x14ac:dyDescent="0.35">
      <c r="A2810" s="141" t="s">
        <v>359</v>
      </c>
      <c r="B2810" s="141" t="s">
        <v>264</v>
      </c>
      <c r="C2810" s="141" t="s">
        <v>46</v>
      </c>
    </row>
    <row r="2811" spans="1:3" x14ac:dyDescent="0.35">
      <c r="A2811" s="141" t="s">
        <v>360</v>
      </c>
      <c r="B2811" s="141" t="s">
        <v>264</v>
      </c>
      <c r="C2811" s="141" t="s">
        <v>46</v>
      </c>
    </row>
    <row r="2812" spans="1:3" x14ac:dyDescent="0.35">
      <c r="A2812" s="141" t="s">
        <v>764</v>
      </c>
      <c r="B2812" s="141" t="s">
        <v>264</v>
      </c>
      <c r="C2812" s="141" t="s">
        <v>45</v>
      </c>
    </row>
    <row r="2813" spans="1:3" x14ac:dyDescent="0.35">
      <c r="A2813" s="141" t="s">
        <v>765</v>
      </c>
      <c r="B2813" s="141" t="s">
        <v>264</v>
      </c>
      <c r="C2813" s="141" t="s">
        <v>45</v>
      </c>
    </row>
    <row r="2814" spans="1:3" x14ac:dyDescent="0.35">
      <c r="A2814" s="141" t="s">
        <v>766</v>
      </c>
      <c r="B2814" s="141" t="s">
        <v>264</v>
      </c>
      <c r="C2814" s="141" t="s">
        <v>45</v>
      </c>
    </row>
    <row r="2815" spans="1:3" x14ac:dyDescent="0.35">
      <c r="A2815" s="141" t="s">
        <v>767</v>
      </c>
      <c r="B2815" s="141" t="s">
        <v>264</v>
      </c>
      <c r="C2815" s="141" t="s">
        <v>45</v>
      </c>
    </row>
    <row r="2816" spans="1:3" x14ac:dyDescent="0.35">
      <c r="A2816" s="141" t="s">
        <v>768</v>
      </c>
      <c r="B2816" s="141" t="s">
        <v>264</v>
      </c>
      <c r="C2816" s="141" t="s">
        <v>45</v>
      </c>
    </row>
    <row r="2817" spans="1:3" x14ac:dyDescent="0.35">
      <c r="A2817" s="141" t="s">
        <v>769</v>
      </c>
      <c r="B2817" s="141" t="s">
        <v>264</v>
      </c>
      <c r="C2817" s="141" t="s">
        <v>45</v>
      </c>
    </row>
    <row r="2818" spans="1:3" x14ac:dyDescent="0.35">
      <c r="A2818" s="141" t="s">
        <v>361</v>
      </c>
      <c r="B2818" s="141" t="s">
        <v>264</v>
      </c>
      <c r="C2818" s="141" t="s">
        <v>45</v>
      </c>
    </row>
    <row r="2819" spans="1:3" x14ac:dyDescent="0.35">
      <c r="A2819" s="141" t="s">
        <v>362</v>
      </c>
      <c r="B2819" s="141" t="s">
        <v>264</v>
      </c>
      <c r="C2819" s="141" t="s">
        <v>45</v>
      </c>
    </row>
    <row r="2820" spans="1:3" x14ac:dyDescent="0.35">
      <c r="A2820" s="141" t="s">
        <v>770</v>
      </c>
      <c r="B2820" s="141" t="s">
        <v>264</v>
      </c>
      <c r="C2820" s="141" t="s">
        <v>45</v>
      </c>
    </row>
    <row r="2821" spans="1:3" x14ac:dyDescent="0.35">
      <c r="A2821" s="141" t="s">
        <v>771</v>
      </c>
      <c r="B2821" s="141" t="s">
        <v>264</v>
      </c>
      <c r="C2821" s="141" t="s">
        <v>45</v>
      </c>
    </row>
    <row r="2822" spans="1:3" x14ac:dyDescent="0.35">
      <c r="A2822" s="141" t="s">
        <v>772</v>
      </c>
      <c r="B2822" s="141" t="s">
        <v>264</v>
      </c>
      <c r="C2822" s="141" t="s">
        <v>45</v>
      </c>
    </row>
    <row r="2823" spans="1:3" x14ac:dyDescent="0.35">
      <c r="A2823" s="141" t="s">
        <v>773</v>
      </c>
      <c r="B2823" s="141" t="s">
        <v>264</v>
      </c>
      <c r="C2823" s="141" t="s">
        <v>45</v>
      </c>
    </row>
    <row r="2824" spans="1:3" x14ac:dyDescent="0.35">
      <c r="A2824" s="141" t="s">
        <v>363</v>
      </c>
      <c r="B2824" s="141" t="s">
        <v>264</v>
      </c>
      <c r="C2824" s="141" t="s">
        <v>45</v>
      </c>
    </row>
    <row r="2825" spans="1:3" x14ac:dyDescent="0.35">
      <c r="A2825" s="141" t="s">
        <v>364</v>
      </c>
      <c r="B2825" s="141" t="s">
        <v>264</v>
      </c>
      <c r="C2825" s="141" t="s">
        <v>45</v>
      </c>
    </row>
    <row r="2826" spans="1:3" x14ac:dyDescent="0.35">
      <c r="A2826" s="141" t="s">
        <v>776</v>
      </c>
      <c r="B2826" s="141" t="s">
        <v>264</v>
      </c>
      <c r="C2826" s="141" t="s">
        <v>45</v>
      </c>
    </row>
    <row r="2827" spans="1:3" x14ac:dyDescent="0.35">
      <c r="A2827" s="141" t="s">
        <v>777</v>
      </c>
      <c r="B2827" s="141" t="s">
        <v>264</v>
      </c>
      <c r="C2827" s="141" t="s">
        <v>46</v>
      </c>
    </row>
    <row r="2828" spans="1:3" x14ac:dyDescent="0.35">
      <c r="A2828" s="141" t="s">
        <v>778</v>
      </c>
      <c r="B2828" s="141" t="s">
        <v>264</v>
      </c>
      <c r="C2828" s="141" t="s">
        <v>45</v>
      </c>
    </row>
    <row r="2829" spans="1:3" x14ac:dyDescent="0.35">
      <c r="A2829" s="141" t="s">
        <v>779</v>
      </c>
      <c r="B2829" s="141" t="s">
        <v>264</v>
      </c>
      <c r="C2829" s="141" t="s">
        <v>45</v>
      </c>
    </row>
    <row r="2830" spans="1:3" x14ac:dyDescent="0.35">
      <c r="A2830" s="141" t="s">
        <v>780</v>
      </c>
      <c r="B2830" s="141" t="s">
        <v>264</v>
      </c>
      <c r="C2830" s="141" t="s">
        <v>45</v>
      </c>
    </row>
    <row r="2831" spans="1:3" x14ac:dyDescent="0.35">
      <c r="A2831" s="141" t="s">
        <v>781</v>
      </c>
      <c r="B2831" s="141" t="s">
        <v>264</v>
      </c>
      <c r="C2831" s="141" t="s">
        <v>45</v>
      </c>
    </row>
    <row r="2832" spans="1:3" x14ac:dyDescent="0.35">
      <c r="A2832" s="141" t="s">
        <v>586</v>
      </c>
      <c r="B2832" s="141" t="s">
        <v>264</v>
      </c>
      <c r="C2832" s="141" t="s">
        <v>4</v>
      </c>
    </row>
    <row r="2833" spans="1:3" x14ac:dyDescent="0.35">
      <c r="A2833" s="141" t="s">
        <v>587</v>
      </c>
      <c r="B2833" s="141" t="s">
        <v>264</v>
      </c>
      <c r="C2833" s="141" t="s">
        <v>4</v>
      </c>
    </row>
    <row r="2834" spans="1:3" x14ac:dyDescent="0.35">
      <c r="A2834" s="141" t="s">
        <v>588</v>
      </c>
      <c r="B2834" s="141" t="s">
        <v>264</v>
      </c>
      <c r="C2834" s="141" t="s">
        <v>4</v>
      </c>
    </row>
    <row r="2835" spans="1:3" x14ac:dyDescent="0.35">
      <c r="A2835" s="141" t="s">
        <v>365</v>
      </c>
      <c r="B2835" s="141" t="s">
        <v>264</v>
      </c>
      <c r="C2835" s="141" t="s">
        <v>7</v>
      </c>
    </row>
    <row r="2836" spans="1:3" x14ac:dyDescent="0.35">
      <c r="A2836" s="141" t="s">
        <v>589</v>
      </c>
      <c r="B2836" s="141" t="s">
        <v>264</v>
      </c>
      <c r="C2836" s="141" t="s">
        <v>4</v>
      </c>
    </row>
    <row r="2837" spans="1:3" x14ac:dyDescent="0.35">
      <c r="A2837" s="141" t="s">
        <v>366</v>
      </c>
      <c r="B2837" s="141" t="s">
        <v>264</v>
      </c>
      <c r="C2837" s="141" t="s">
        <v>8</v>
      </c>
    </row>
    <row r="2838" spans="1:3" x14ac:dyDescent="0.35">
      <c r="A2838" s="141" t="s">
        <v>367</v>
      </c>
      <c r="B2838" s="141" t="s">
        <v>264</v>
      </c>
      <c r="C2838" s="141" t="s">
        <v>8</v>
      </c>
    </row>
    <row r="2839" spans="1:3" x14ac:dyDescent="0.35">
      <c r="A2839" s="141" t="s">
        <v>368</v>
      </c>
      <c r="B2839" s="141" t="s">
        <v>264</v>
      </c>
      <c r="C2839" s="141" t="s">
        <v>10</v>
      </c>
    </row>
    <row r="2840" spans="1:3" x14ac:dyDescent="0.35">
      <c r="A2840" s="141" t="s">
        <v>590</v>
      </c>
      <c r="B2840" s="141" t="s">
        <v>264</v>
      </c>
      <c r="C2840" s="141" t="s">
        <v>10</v>
      </c>
    </row>
    <row r="2841" spans="1:3" x14ac:dyDescent="0.35">
      <c r="A2841" s="141" t="s">
        <v>591</v>
      </c>
      <c r="B2841" s="141" t="s">
        <v>264</v>
      </c>
      <c r="C2841" s="141" t="s">
        <v>10</v>
      </c>
    </row>
    <row r="2842" spans="1:3" x14ac:dyDescent="0.35">
      <c r="A2842" s="141" t="s">
        <v>370</v>
      </c>
      <c r="B2842" s="141" t="s">
        <v>264</v>
      </c>
      <c r="C2842" s="141" t="s">
        <v>10</v>
      </c>
    </row>
    <row r="2843" spans="1:3" x14ac:dyDescent="0.35">
      <c r="A2843" s="141" t="s">
        <v>371</v>
      </c>
      <c r="B2843" s="141" t="s">
        <v>264</v>
      </c>
      <c r="C2843" s="141" t="s">
        <v>10</v>
      </c>
    </row>
    <row r="2844" spans="1:3" x14ac:dyDescent="0.35">
      <c r="A2844" s="141" t="s">
        <v>372</v>
      </c>
      <c r="B2844" s="141" t="s">
        <v>264</v>
      </c>
      <c r="C2844" s="141" t="s">
        <v>10</v>
      </c>
    </row>
    <row r="2845" spans="1:3" x14ac:dyDescent="0.35">
      <c r="A2845" s="141" t="s">
        <v>373</v>
      </c>
      <c r="B2845" s="141" t="s">
        <v>264</v>
      </c>
      <c r="C2845" s="141" t="s">
        <v>10</v>
      </c>
    </row>
    <row r="2846" spans="1:3" x14ac:dyDescent="0.35">
      <c r="A2846" s="141" t="s">
        <v>374</v>
      </c>
      <c r="B2846" s="141" t="s">
        <v>264</v>
      </c>
      <c r="C2846" s="141" t="s">
        <v>10</v>
      </c>
    </row>
    <row r="2847" spans="1:3" x14ac:dyDescent="0.35">
      <c r="A2847" s="141" t="s">
        <v>375</v>
      </c>
      <c r="B2847" s="141" t="s">
        <v>264</v>
      </c>
      <c r="C2847" s="141" t="s">
        <v>10</v>
      </c>
    </row>
    <row r="2848" spans="1:3" x14ac:dyDescent="0.35">
      <c r="A2848" s="141" t="s">
        <v>376</v>
      </c>
      <c r="B2848" s="141" t="s">
        <v>264</v>
      </c>
      <c r="C2848" s="141" t="s">
        <v>10</v>
      </c>
    </row>
    <row r="2849" spans="1:3" x14ac:dyDescent="0.35">
      <c r="A2849" s="141" t="s">
        <v>377</v>
      </c>
      <c r="B2849" s="141" t="s">
        <v>264</v>
      </c>
      <c r="C2849" s="141" t="s">
        <v>11</v>
      </c>
    </row>
    <row r="2850" spans="1:3" x14ac:dyDescent="0.35">
      <c r="A2850" s="141" t="s">
        <v>378</v>
      </c>
      <c r="B2850" s="141" t="s">
        <v>264</v>
      </c>
      <c r="C2850" s="141" t="s">
        <v>11</v>
      </c>
    </row>
    <row r="2851" spans="1:3" x14ac:dyDescent="0.35">
      <c r="A2851" s="141" t="s">
        <v>379</v>
      </c>
      <c r="B2851" s="141" t="s">
        <v>264</v>
      </c>
      <c r="C2851" s="141" t="s">
        <v>11</v>
      </c>
    </row>
    <row r="2852" spans="1:3" x14ac:dyDescent="0.35">
      <c r="A2852" s="141" t="s">
        <v>380</v>
      </c>
      <c r="B2852" s="141" t="s">
        <v>264</v>
      </c>
      <c r="C2852" s="141" t="s">
        <v>11</v>
      </c>
    </row>
    <row r="2853" spans="1:3" x14ac:dyDescent="0.35">
      <c r="A2853" s="141" t="s">
        <v>381</v>
      </c>
      <c r="B2853" s="141" t="s">
        <v>264</v>
      </c>
      <c r="C2853" s="141" t="s">
        <v>11</v>
      </c>
    </row>
    <row r="2854" spans="1:3" x14ac:dyDescent="0.35">
      <c r="A2854" s="141" t="s">
        <v>382</v>
      </c>
      <c r="B2854" s="141" t="s">
        <v>264</v>
      </c>
      <c r="C2854" s="141" t="s">
        <v>11</v>
      </c>
    </row>
    <row r="2855" spans="1:3" x14ac:dyDescent="0.35">
      <c r="A2855" s="141" t="s">
        <v>383</v>
      </c>
      <c r="B2855" s="141" t="s">
        <v>264</v>
      </c>
      <c r="C2855" s="141" t="s">
        <v>5</v>
      </c>
    </row>
    <row r="2856" spans="1:3" x14ac:dyDescent="0.35">
      <c r="A2856" s="141" t="s">
        <v>564</v>
      </c>
      <c r="B2856" s="141" t="s">
        <v>264</v>
      </c>
      <c r="C2856" s="141" t="s">
        <v>7</v>
      </c>
    </row>
    <row r="2857" spans="1:3" x14ac:dyDescent="0.35">
      <c r="A2857" s="141" t="s">
        <v>565</v>
      </c>
      <c r="B2857" s="141" t="s">
        <v>264</v>
      </c>
      <c r="C2857" s="141" t="s">
        <v>7</v>
      </c>
    </row>
    <row r="2858" spans="1:3" x14ac:dyDescent="0.35">
      <c r="A2858" s="141" t="s">
        <v>385</v>
      </c>
      <c r="B2858" s="141" t="s">
        <v>264</v>
      </c>
      <c r="C2858" s="141" t="s">
        <v>7</v>
      </c>
    </row>
    <row r="2859" spans="1:3" x14ac:dyDescent="0.35">
      <c r="A2859" s="141" t="s">
        <v>386</v>
      </c>
      <c r="B2859" s="141" t="s">
        <v>264</v>
      </c>
      <c r="C2859" s="141" t="s">
        <v>7</v>
      </c>
    </row>
    <row r="2860" spans="1:3" x14ac:dyDescent="0.35">
      <c r="A2860" s="141" t="s">
        <v>387</v>
      </c>
      <c r="B2860" s="141" t="s">
        <v>264</v>
      </c>
      <c r="C2860" s="141" t="s">
        <v>7</v>
      </c>
    </row>
    <row r="2861" spans="1:3" x14ac:dyDescent="0.35">
      <c r="A2861" s="141" t="s">
        <v>388</v>
      </c>
      <c r="B2861" s="141" t="s">
        <v>264</v>
      </c>
      <c r="C2861" s="141" t="s">
        <v>8</v>
      </c>
    </row>
    <row r="2862" spans="1:3" x14ac:dyDescent="0.35">
      <c r="A2862" s="141" t="s">
        <v>389</v>
      </c>
      <c r="B2862" s="141" t="s">
        <v>264</v>
      </c>
      <c r="C2862" s="141" t="s">
        <v>8</v>
      </c>
    </row>
    <row r="2863" spans="1:3" x14ac:dyDescent="0.35">
      <c r="A2863" s="141" t="s">
        <v>390</v>
      </c>
      <c r="B2863" s="141" t="s">
        <v>264</v>
      </c>
      <c r="C2863" s="141" t="s">
        <v>16</v>
      </c>
    </row>
    <row r="2864" spans="1:3" x14ac:dyDescent="0.35">
      <c r="A2864" s="141" t="s">
        <v>391</v>
      </c>
      <c r="B2864" s="141" t="s">
        <v>264</v>
      </c>
      <c r="C2864" s="141" t="s">
        <v>16</v>
      </c>
    </row>
    <row r="2865" spans="1:3" x14ac:dyDescent="0.35">
      <c r="A2865" s="141" t="s">
        <v>392</v>
      </c>
      <c r="B2865" s="141" t="s">
        <v>264</v>
      </c>
      <c r="C2865" s="141" t="s">
        <v>16</v>
      </c>
    </row>
    <row r="2866" spans="1:3" x14ac:dyDescent="0.35">
      <c r="A2866" s="141" t="s">
        <v>393</v>
      </c>
      <c r="B2866" s="141" t="s">
        <v>264</v>
      </c>
      <c r="C2866" s="141" t="s">
        <v>9</v>
      </c>
    </row>
    <row r="2867" spans="1:3" x14ac:dyDescent="0.35">
      <c r="A2867" s="141" t="s">
        <v>394</v>
      </c>
      <c r="B2867" s="141" t="s">
        <v>264</v>
      </c>
      <c r="C2867" s="141" t="s">
        <v>19</v>
      </c>
    </row>
    <row r="2868" spans="1:3" x14ac:dyDescent="0.35">
      <c r="A2868" s="141" t="s">
        <v>395</v>
      </c>
      <c r="B2868" s="141" t="s">
        <v>264</v>
      </c>
      <c r="C2868" s="141" t="s">
        <v>19</v>
      </c>
    </row>
    <row r="2869" spans="1:3" x14ac:dyDescent="0.35">
      <c r="A2869" s="141" t="s">
        <v>396</v>
      </c>
      <c r="B2869" s="141" t="s">
        <v>264</v>
      </c>
      <c r="C2869" s="141" t="s">
        <v>45</v>
      </c>
    </row>
    <row r="2870" spans="1:3" x14ac:dyDescent="0.35">
      <c r="A2870" s="141" t="s">
        <v>397</v>
      </c>
      <c r="B2870" s="141" t="s">
        <v>264</v>
      </c>
      <c r="C2870" s="141" t="s">
        <v>16</v>
      </c>
    </row>
    <row r="2871" spans="1:3" x14ac:dyDescent="0.35">
      <c r="A2871" s="141" t="s">
        <v>398</v>
      </c>
      <c r="B2871" s="141" t="s">
        <v>264</v>
      </c>
      <c r="C2871" s="141" t="s">
        <v>17</v>
      </c>
    </row>
    <row r="2872" spans="1:3" x14ac:dyDescent="0.35">
      <c r="A2872" s="141" t="s">
        <v>399</v>
      </c>
      <c r="B2872" s="141" t="s">
        <v>264</v>
      </c>
      <c r="C2872" s="141" t="s">
        <v>16</v>
      </c>
    </row>
    <row r="2873" spans="1:3" x14ac:dyDescent="0.35">
      <c r="A2873" s="141" t="s">
        <v>400</v>
      </c>
      <c r="B2873" s="141" t="s">
        <v>264</v>
      </c>
      <c r="C2873" s="141" t="s">
        <v>20</v>
      </c>
    </row>
    <row r="2874" spans="1:3" x14ac:dyDescent="0.35">
      <c r="A2874" s="141" t="s">
        <v>401</v>
      </c>
      <c r="B2874" s="141" t="s">
        <v>264</v>
      </c>
      <c r="C2874" s="141" t="s">
        <v>20</v>
      </c>
    </row>
    <row r="2875" spans="1:3" x14ac:dyDescent="0.35">
      <c r="A2875" s="141" t="s">
        <v>671</v>
      </c>
      <c r="B2875" s="141" t="s">
        <v>264</v>
      </c>
      <c r="C2875" s="141" t="s">
        <v>20</v>
      </c>
    </row>
    <row r="2876" spans="1:3" x14ac:dyDescent="0.35">
      <c r="A2876" s="141" t="s">
        <v>402</v>
      </c>
      <c r="B2876" s="141" t="s">
        <v>264</v>
      </c>
      <c r="C2876" s="141" t="s">
        <v>20</v>
      </c>
    </row>
    <row r="2877" spans="1:3" x14ac:dyDescent="0.35">
      <c r="A2877" s="141" t="s">
        <v>592</v>
      </c>
      <c r="B2877" s="141" t="s">
        <v>264</v>
      </c>
      <c r="C2877" s="141" t="s">
        <v>20</v>
      </c>
    </row>
    <row r="2878" spans="1:3" x14ac:dyDescent="0.35">
      <c r="A2878" s="141" t="s">
        <v>593</v>
      </c>
      <c r="B2878" s="141" t="s">
        <v>264</v>
      </c>
      <c r="C2878" s="141" t="s">
        <v>20</v>
      </c>
    </row>
    <row r="2879" spans="1:3" x14ac:dyDescent="0.35">
      <c r="A2879" s="141" t="s">
        <v>403</v>
      </c>
      <c r="B2879" s="141" t="s">
        <v>264</v>
      </c>
      <c r="C2879" s="141" t="s">
        <v>20</v>
      </c>
    </row>
    <row r="2880" spans="1:3" x14ac:dyDescent="0.35">
      <c r="A2880" s="141" t="s">
        <v>404</v>
      </c>
      <c r="B2880" s="141" t="s">
        <v>264</v>
      </c>
      <c r="C2880" s="141" t="s">
        <v>16</v>
      </c>
    </row>
    <row r="2881" spans="1:3" x14ac:dyDescent="0.35">
      <c r="A2881" s="141" t="s">
        <v>405</v>
      </c>
      <c r="B2881" s="141" t="s">
        <v>264</v>
      </c>
      <c r="C2881" s="141" t="s">
        <v>16</v>
      </c>
    </row>
    <row r="2882" spans="1:3" x14ac:dyDescent="0.35">
      <c r="A2882" s="141" t="s">
        <v>406</v>
      </c>
      <c r="B2882" s="141" t="s">
        <v>264</v>
      </c>
      <c r="C2882" s="141" t="s">
        <v>18</v>
      </c>
    </row>
    <row r="2883" spans="1:3" x14ac:dyDescent="0.35">
      <c r="A2883" s="141" t="s">
        <v>407</v>
      </c>
      <c r="B2883" s="141" t="s">
        <v>264</v>
      </c>
      <c r="C2883" s="141" t="s">
        <v>17</v>
      </c>
    </row>
    <row r="2884" spans="1:3" x14ac:dyDescent="0.35">
      <c r="A2884" s="141" t="s">
        <v>408</v>
      </c>
      <c r="B2884" s="141" t="s">
        <v>264</v>
      </c>
      <c r="C2884" s="141" t="s">
        <v>17</v>
      </c>
    </row>
    <row r="2885" spans="1:3" x14ac:dyDescent="0.35">
      <c r="A2885" s="141" t="s">
        <v>566</v>
      </c>
      <c r="B2885" s="141" t="s">
        <v>264</v>
      </c>
      <c r="C2885" s="141" t="s">
        <v>17</v>
      </c>
    </row>
    <row r="2886" spans="1:3" x14ac:dyDescent="0.35">
      <c r="A2886" s="141" t="s">
        <v>567</v>
      </c>
      <c r="B2886" s="141" t="s">
        <v>264</v>
      </c>
      <c r="C2886" s="141" t="s">
        <v>16</v>
      </c>
    </row>
    <row r="2887" spans="1:3" x14ac:dyDescent="0.35">
      <c r="A2887" s="141" t="s">
        <v>409</v>
      </c>
      <c r="B2887" s="141" t="s">
        <v>264</v>
      </c>
      <c r="C2887" s="141" t="s">
        <v>18</v>
      </c>
    </row>
    <row r="2888" spans="1:3" x14ac:dyDescent="0.35">
      <c r="A2888" s="141" t="s">
        <v>410</v>
      </c>
      <c r="B2888" s="141" t="s">
        <v>264</v>
      </c>
      <c r="C2888" s="141" t="s">
        <v>18</v>
      </c>
    </row>
    <row r="2889" spans="1:3" x14ac:dyDescent="0.35">
      <c r="A2889" s="141" t="s">
        <v>745</v>
      </c>
      <c r="B2889" s="141" t="s">
        <v>264</v>
      </c>
      <c r="C2889" s="141" t="s">
        <v>18</v>
      </c>
    </row>
    <row r="2890" spans="1:3" x14ac:dyDescent="0.35">
      <c r="A2890" s="141" t="s">
        <v>746</v>
      </c>
      <c r="B2890" s="141" t="s">
        <v>264</v>
      </c>
      <c r="C2890" s="141" t="s">
        <v>18</v>
      </c>
    </row>
    <row r="2891" spans="1:3" x14ac:dyDescent="0.35">
      <c r="A2891" s="141" t="s">
        <v>411</v>
      </c>
      <c r="B2891" s="141" t="s">
        <v>264</v>
      </c>
      <c r="C2891" s="141" t="s">
        <v>9</v>
      </c>
    </row>
    <row r="2892" spans="1:3" x14ac:dyDescent="0.35">
      <c r="A2892" s="141" t="s">
        <v>412</v>
      </c>
      <c r="B2892" s="141" t="s">
        <v>264</v>
      </c>
      <c r="C2892" s="141" t="s">
        <v>9</v>
      </c>
    </row>
    <row r="2893" spans="1:3" x14ac:dyDescent="0.35">
      <c r="A2893" s="141" t="s">
        <v>413</v>
      </c>
      <c r="B2893" s="141" t="s">
        <v>264</v>
      </c>
      <c r="C2893" s="141" t="s">
        <v>9</v>
      </c>
    </row>
    <row r="2894" spans="1:3" x14ac:dyDescent="0.35">
      <c r="A2894" s="141" t="s">
        <v>414</v>
      </c>
      <c r="B2894" s="141" t="s">
        <v>264</v>
      </c>
      <c r="C2894" s="141" t="s">
        <v>9</v>
      </c>
    </row>
    <row r="2895" spans="1:3" x14ac:dyDescent="0.35">
      <c r="A2895" s="141" t="s">
        <v>415</v>
      </c>
      <c r="B2895" s="141" t="s">
        <v>264</v>
      </c>
      <c r="C2895" s="141" t="s">
        <v>9</v>
      </c>
    </row>
    <row r="2896" spans="1:3" x14ac:dyDescent="0.35">
      <c r="A2896" s="141" t="s">
        <v>416</v>
      </c>
      <c r="B2896" s="141" t="s">
        <v>264</v>
      </c>
      <c r="C2896" s="141" t="s">
        <v>15</v>
      </c>
    </row>
    <row r="2897" spans="1:3" x14ac:dyDescent="0.35">
      <c r="A2897" s="141" t="s">
        <v>417</v>
      </c>
      <c r="B2897" s="141" t="s">
        <v>264</v>
      </c>
      <c r="C2897" s="141" t="s">
        <v>6</v>
      </c>
    </row>
    <row r="2898" spans="1:3" x14ac:dyDescent="0.35">
      <c r="A2898" s="141" t="s">
        <v>418</v>
      </c>
      <c r="B2898" s="141" t="s">
        <v>264</v>
      </c>
      <c r="C2898" s="141" t="s">
        <v>17</v>
      </c>
    </row>
    <row r="2899" spans="1:3" x14ac:dyDescent="0.35">
      <c r="A2899" s="141" t="s">
        <v>419</v>
      </c>
      <c r="B2899" s="141" t="s">
        <v>264</v>
      </c>
      <c r="C2899" s="141" t="s">
        <v>17</v>
      </c>
    </row>
    <row r="2900" spans="1:3" x14ac:dyDescent="0.35">
      <c r="A2900" s="141" t="s">
        <v>420</v>
      </c>
      <c r="B2900" s="141" t="s">
        <v>264</v>
      </c>
      <c r="C2900" s="141" t="s">
        <v>17</v>
      </c>
    </row>
    <row r="2901" spans="1:3" x14ac:dyDescent="0.35">
      <c r="A2901" s="141" t="s">
        <v>421</v>
      </c>
      <c r="B2901" s="141" t="s">
        <v>264</v>
      </c>
      <c r="C2901" s="141" t="s">
        <v>6</v>
      </c>
    </row>
    <row r="2902" spans="1:3" x14ac:dyDescent="0.35">
      <c r="A2902" s="141" t="s">
        <v>422</v>
      </c>
      <c r="B2902" s="141" t="s">
        <v>264</v>
      </c>
      <c r="C2902" s="141" t="s">
        <v>17</v>
      </c>
    </row>
    <row r="2903" spans="1:3" x14ac:dyDescent="0.35">
      <c r="A2903" s="141" t="s">
        <v>656</v>
      </c>
      <c r="B2903" s="141" t="s">
        <v>264</v>
      </c>
      <c r="C2903" s="141" t="s">
        <v>21</v>
      </c>
    </row>
    <row r="2904" spans="1:3" x14ac:dyDescent="0.35">
      <c r="A2904" s="141" t="s">
        <v>657</v>
      </c>
      <c r="B2904" s="141" t="s">
        <v>264</v>
      </c>
      <c r="C2904" s="141" t="s">
        <v>21</v>
      </c>
    </row>
    <row r="2905" spans="1:3" x14ac:dyDescent="0.35">
      <c r="A2905" s="141" t="s">
        <v>658</v>
      </c>
      <c r="B2905" s="141" t="s">
        <v>264</v>
      </c>
      <c r="C2905" s="141" t="s">
        <v>21</v>
      </c>
    </row>
    <row r="2906" spans="1:3" x14ac:dyDescent="0.35">
      <c r="A2906" s="141" t="s">
        <v>278</v>
      </c>
      <c r="B2906" s="141" t="s">
        <v>264</v>
      </c>
      <c r="C2906" s="141" t="s">
        <v>21</v>
      </c>
    </row>
    <row r="2907" spans="1:3" x14ac:dyDescent="0.35">
      <c r="A2907" s="141" t="s">
        <v>283</v>
      </c>
      <c r="B2907" s="141" t="s">
        <v>264</v>
      </c>
      <c r="C2907" s="141" t="s">
        <v>21</v>
      </c>
    </row>
    <row r="2908" spans="1:3" x14ac:dyDescent="0.35">
      <c r="A2908" s="141" t="s">
        <v>284</v>
      </c>
      <c r="B2908" s="141" t="s">
        <v>264</v>
      </c>
      <c r="C2908" s="141" t="s">
        <v>21</v>
      </c>
    </row>
    <row r="2909" spans="1:3" x14ac:dyDescent="0.35">
      <c r="A2909" s="141" t="s">
        <v>424</v>
      </c>
      <c r="B2909" s="141" t="s">
        <v>264</v>
      </c>
      <c r="C2909" s="141" t="s">
        <v>21</v>
      </c>
    </row>
    <row r="2910" spans="1:3" x14ac:dyDescent="0.35">
      <c r="A2910" s="141" t="s">
        <v>425</v>
      </c>
      <c r="B2910" s="141" t="s">
        <v>264</v>
      </c>
      <c r="C2910" s="141" t="s">
        <v>27</v>
      </c>
    </row>
    <row r="2911" spans="1:3" x14ac:dyDescent="0.35">
      <c r="A2911" s="141" t="s">
        <v>285</v>
      </c>
      <c r="B2911" s="141" t="s">
        <v>264</v>
      </c>
      <c r="C2911" s="141" t="s">
        <v>27</v>
      </c>
    </row>
    <row r="2912" spans="1:3" x14ac:dyDescent="0.35">
      <c r="A2912" s="141" t="s">
        <v>286</v>
      </c>
      <c r="B2912" s="141" t="s">
        <v>264</v>
      </c>
      <c r="C2912" s="141" t="s">
        <v>27</v>
      </c>
    </row>
    <row r="2913" spans="1:3" x14ac:dyDescent="0.35">
      <c r="A2913" s="141" t="s">
        <v>427</v>
      </c>
      <c r="B2913" s="141" t="s">
        <v>264</v>
      </c>
      <c r="C2913" s="141" t="s">
        <v>27</v>
      </c>
    </row>
    <row r="2914" spans="1:3" x14ac:dyDescent="0.35">
      <c r="A2914" s="141" t="s">
        <v>428</v>
      </c>
      <c r="B2914" s="141" t="s">
        <v>264</v>
      </c>
      <c r="C2914" s="141" t="s">
        <v>27</v>
      </c>
    </row>
    <row r="2915" spans="1:3" x14ac:dyDescent="0.35">
      <c r="A2915" s="141" t="s">
        <v>817</v>
      </c>
      <c r="B2915" s="141" t="s">
        <v>264</v>
      </c>
      <c r="C2915" s="141" t="s">
        <v>27</v>
      </c>
    </row>
    <row r="2916" spans="1:3" x14ac:dyDescent="0.35">
      <c r="A2916" s="141" t="s">
        <v>429</v>
      </c>
      <c r="B2916" s="141" t="s">
        <v>264</v>
      </c>
      <c r="C2916" s="141" t="s">
        <v>27</v>
      </c>
    </row>
    <row r="2917" spans="1:3" x14ac:dyDescent="0.35">
      <c r="A2917" s="141" t="s">
        <v>431</v>
      </c>
      <c r="B2917" s="141" t="s">
        <v>264</v>
      </c>
      <c r="C2917" s="141" t="s">
        <v>27</v>
      </c>
    </row>
    <row r="2918" spans="1:3" x14ac:dyDescent="0.35">
      <c r="A2918" s="141" t="s">
        <v>287</v>
      </c>
      <c r="B2918" s="141" t="s">
        <v>264</v>
      </c>
      <c r="C2918" s="141" t="s">
        <v>21</v>
      </c>
    </row>
    <row r="2919" spans="1:3" x14ac:dyDescent="0.35">
      <c r="A2919" s="141" t="s">
        <v>290</v>
      </c>
      <c r="B2919" s="141" t="s">
        <v>264</v>
      </c>
      <c r="C2919" s="141" t="s">
        <v>23</v>
      </c>
    </row>
    <row r="2920" spans="1:3" x14ac:dyDescent="0.35">
      <c r="A2920" s="141" t="s">
        <v>661</v>
      </c>
      <c r="B2920" s="141" t="s">
        <v>264</v>
      </c>
      <c r="C2920" s="141" t="s">
        <v>22</v>
      </c>
    </row>
    <row r="2921" spans="1:3" x14ac:dyDescent="0.35">
      <c r="A2921" s="141" t="s">
        <v>291</v>
      </c>
      <c r="B2921" s="141" t="s">
        <v>264</v>
      </c>
      <c r="C2921" s="141" t="s">
        <v>22</v>
      </c>
    </row>
    <row r="2922" spans="1:3" x14ac:dyDescent="0.35">
      <c r="A2922" s="141" t="s">
        <v>662</v>
      </c>
      <c r="B2922" s="141" t="s">
        <v>264</v>
      </c>
      <c r="C2922" s="141" t="s">
        <v>22</v>
      </c>
    </row>
    <row r="2923" spans="1:3" x14ac:dyDescent="0.35">
      <c r="A2923" s="141" t="s">
        <v>292</v>
      </c>
      <c r="B2923" s="141" t="s">
        <v>264</v>
      </c>
      <c r="C2923" s="141" t="s">
        <v>22</v>
      </c>
    </row>
    <row r="2924" spans="1:3" x14ac:dyDescent="0.35">
      <c r="A2924" s="141" t="s">
        <v>663</v>
      </c>
      <c r="B2924" s="141" t="s">
        <v>264</v>
      </c>
      <c r="C2924" s="141" t="s">
        <v>22</v>
      </c>
    </row>
    <row r="2925" spans="1:3" x14ac:dyDescent="0.35">
      <c r="A2925" s="141" t="s">
        <v>293</v>
      </c>
      <c r="B2925" s="141" t="s">
        <v>264</v>
      </c>
      <c r="C2925" s="141" t="s">
        <v>22</v>
      </c>
    </row>
    <row r="2926" spans="1:3" x14ac:dyDescent="0.35">
      <c r="A2926" s="141" t="s">
        <v>664</v>
      </c>
      <c r="B2926" s="141" t="s">
        <v>264</v>
      </c>
      <c r="C2926" s="141" t="s">
        <v>24</v>
      </c>
    </row>
    <row r="2927" spans="1:3" x14ac:dyDescent="0.35">
      <c r="A2927" s="141" t="s">
        <v>665</v>
      </c>
      <c r="B2927" s="141" t="s">
        <v>264</v>
      </c>
      <c r="C2927" s="141" t="s">
        <v>21</v>
      </c>
    </row>
    <row r="2928" spans="1:3" x14ac:dyDescent="0.35">
      <c r="A2928" s="141" t="s">
        <v>666</v>
      </c>
      <c r="B2928" s="141" t="s">
        <v>264</v>
      </c>
      <c r="C2928" s="141" t="s">
        <v>21</v>
      </c>
    </row>
    <row r="2929" spans="1:3" x14ac:dyDescent="0.35">
      <c r="A2929" s="141" t="s">
        <v>304</v>
      </c>
      <c r="B2929" s="141" t="s">
        <v>264</v>
      </c>
      <c r="C2929" s="142"/>
    </row>
    <row r="2930" spans="1:3" x14ac:dyDescent="0.35">
      <c r="A2930" s="141" t="s">
        <v>795</v>
      </c>
      <c r="B2930" s="141" t="s">
        <v>264</v>
      </c>
      <c r="C2930" s="142"/>
    </row>
    <row r="2931" spans="1:3" x14ac:dyDescent="0.35">
      <c r="A2931" s="141" t="s">
        <v>796</v>
      </c>
      <c r="B2931" s="141" t="s">
        <v>264</v>
      </c>
      <c r="C2931" s="142"/>
    </row>
    <row r="2932" spans="1:3" x14ac:dyDescent="0.35">
      <c r="A2932" s="141" t="s">
        <v>601</v>
      </c>
      <c r="B2932" s="141" t="s">
        <v>264</v>
      </c>
      <c r="C2932" s="141" t="s">
        <v>40</v>
      </c>
    </row>
    <row r="2933" spans="1:3" x14ac:dyDescent="0.35">
      <c r="A2933" s="141" t="s">
        <v>602</v>
      </c>
      <c r="B2933" s="141" t="s">
        <v>264</v>
      </c>
      <c r="C2933" s="141" t="s">
        <v>39</v>
      </c>
    </row>
    <row r="2934" spans="1:3" x14ac:dyDescent="0.35">
      <c r="A2934" s="141" t="s">
        <v>735</v>
      </c>
      <c r="B2934" s="141" t="s">
        <v>264</v>
      </c>
      <c r="C2934" s="141" t="s">
        <v>41</v>
      </c>
    </row>
    <row r="2935" spans="1:3" x14ac:dyDescent="0.35">
      <c r="A2935" s="141" t="s">
        <v>736</v>
      </c>
      <c r="B2935" s="141" t="s">
        <v>264</v>
      </c>
      <c r="C2935" s="141" t="s">
        <v>41</v>
      </c>
    </row>
    <row r="2936" spans="1:3" x14ac:dyDescent="0.35">
      <c r="A2936" s="141" t="s">
        <v>737</v>
      </c>
      <c r="B2936" s="141" t="s">
        <v>264</v>
      </c>
      <c r="C2936" s="141" t="s">
        <v>41</v>
      </c>
    </row>
    <row r="2937" spans="1:3" x14ac:dyDescent="0.35">
      <c r="A2937" s="141" t="s">
        <v>738</v>
      </c>
      <c r="B2937" s="141" t="s">
        <v>264</v>
      </c>
      <c r="C2937" s="141" t="s">
        <v>41</v>
      </c>
    </row>
    <row r="2938" spans="1:3" x14ac:dyDescent="0.35">
      <c r="A2938" s="141" t="s">
        <v>797</v>
      </c>
      <c r="B2938" s="141" t="s">
        <v>264</v>
      </c>
      <c r="C2938" s="141" t="s">
        <v>41</v>
      </c>
    </row>
    <row r="2939" spans="1:3" x14ac:dyDescent="0.35">
      <c r="A2939" s="141" t="s">
        <v>798</v>
      </c>
      <c r="B2939" s="141" t="s">
        <v>264</v>
      </c>
      <c r="C2939" s="141" t="s">
        <v>40</v>
      </c>
    </row>
    <row r="2940" spans="1:3" x14ac:dyDescent="0.35">
      <c r="A2940" s="141" t="s">
        <v>799</v>
      </c>
      <c r="B2940" s="141" t="s">
        <v>264</v>
      </c>
      <c r="C2940" s="141" t="s">
        <v>40</v>
      </c>
    </row>
    <row r="2941" spans="1:3" x14ac:dyDescent="0.35">
      <c r="A2941" s="141" t="s">
        <v>775</v>
      </c>
      <c r="B2941" s="141" t="s">
        <v>264</v>
      </c>
      <c r="C2941" s="141" t="s">
        <v>38</v>
      </c>
    </row>
    <row r="2942" spans="1:3" x14ac:dyDescent="0.35">
      <c r="A2942" s="141" t="s">
        <v>605</v>
      </c>
      <c r="B2942" s="141" t="s">
        <v>264</v>
      </c>
      <c r="C2942" s="141" t="s">
        <v>43</v>
      </c>
    </row>
    <row r="2943" spans="1:3" x14ac:dyDescent="0.35">
      <c r="A2943" s="141" t="s">
        <v>606</v>
      </c>
      <c r="B2943" s="141" t="s">
        <v>264</v>
      </c>
      <c r="C2943" s="141" t="s">
        <v>43</v>
      </c>
    </row>
    <row r="2944" spans="1:3" x14ac:dyDescent="0.35">
      <c r="A2944" s="141" t="s">
        <v>607</v>
      </c>
      <c r="B2944" s="141" t="s">
        <v>264</v>
      </c>
      <c r="C2944" s="141" t="s">
        <v>43</v>
      </c>
    </row>
    <row r="2945" spans="1:3" x14ac:dyDescent="0.35">
      <c r="A2945" s="141" t="s">
        <v>608</v>
      </c>
      <c r="B2945" s="141" t="s">
        <v>264</v>
      </c>
      <c r="C2945" s="141" t="s">
        <v>43</v>
      </c>
    </row>
    <row r="2946" spans="1:3" x14ac:dyDescent="0.35">
      <c r="A2946" s="141" t="s">
        <v>609</v>
      </c>
      <c r="B2946" s="141" t="s">
        <v>264</v>
      </c>
      <c r="C2946" s="141" t="s">
        <v>43</v>
      </c>
    </row>
    <row r="2947" spans="1:3" x14ac:dyDescent="0.35">
      <c r="A2947" s="141" t="s">
        <v>610</v>
      </c>
      <c r="B2947" s="141" t="s">
        <v>264</v>
      </c>
      <c r="C2947" s="141" t="s">
        <v>43</v>
      </c>
    </row>
    <row r="2948" spans="1:3" x14ac:dyDescent="0.35">
      <c r="A2948" s="141" t="s">
        <v>611</v>
      </c>
      <c r="B2948" s="141" t="s">
        <v>264</v>
      </c>
      <c r="C2948" s="141" t="s">
        <v>43</v>
      </c>
    </row>
    <row r="2949" spans="1:3" x14ac:dyDescent="0.35">
      <c r="A2949" s="141" t="s">
        <v>612</v>
      </c>
      <c r="B2949" s="141" t="s">
        <v>264</v>
      </c>
      <c r="C2949" s="141" t="s">
        <v>43</v>
      </c>
    </row>
    <row r="2950" spans="1:3" x14ac:dyDescent="0.35">
      <c r="A2950" s="141" t="s">
        <v>613</v>
      </c>
      <c r="B2950" s="141" t="s">
        <v>264</v>
      </c>
      <c r="C2950" s="141" t="s">
        <v>43</v>
      </c>
    </row>
    <row r="2951" spans="1:3" x14ac:dyDescent="0.35">
      <c r="A2951" s="141" t="s">
        <v>614</v>
      </c>
      <c r="B2951" s="141" t="s">
        <v>264</v>
      </c>
      <c r="C2951" s="141" t="s">
        <v>43</v>
      </c>
    </row>
    <row r="2952" spans="1:3" x14ac:dyDescent="0.35">
      <c r="A2952" s="141" t="s">
        <v>615</v>
      </c>
      <c r="B2952" s="141" t="s">
        <v>264</v>
      </c>
      <c r="C2952" s="141" t="s">
        <v>43</v>
      </c>
    </row>
    <row r="2953" spans="1:3" x14ac:dyDescent="0.35">
      <c r="A2953" s="141" t="s">
        <v>616</v>
      </c>
      <c r="B2953" s="141" t="s">
        <v>264</v>
      </c>
      <c r="C2953" s="141" t="s">
        <v>43</v>
      </c>
    </row>
    <row r="2954" spans="1:3" x14ac:dyDescent="0.35">
      <c r="A2954" s="141" t="s">
        <v>617</v>
      </c>
      <c r="B2954" s="141" t="s">
        <v>264</v>
      </c>
      <c r="C2954" s="141" t="s">
        <v>43</v>
      </c>
    </row>
    <row r="2955" spans="1:3" x14ac:dyDescent="0.35">
      <c r="A2955" s="141" t="s">
        <v>618</v>
      </c>
      <c r="B2955" s="141" t="s">
        <v>264</v>
      </c>
      <c r="C2955" s="141" t="s">
        <v>43</v>
      </c>
    </row>
    <row r="2956" spans="1:3" x14ac:dyDescent="0.35">
      <c r="A2956" s="141" t="s">
        <v>774</v>
      </c>
      <c r="B2956" s="141" t="s">
        <v>264</v>
      </c>
      <c r="C2956" s="141" t="s">
        <v>43</v>
      </c>
    </row>
    <row r="2957" spans="1:3" x14ac:dyDescent="0.35">
      <c r="A2957" s="141" t="s">
        <v>792</v>
      </c>
      <c r="B2957" s="141" t="s">
        <v>264</v>
      </c>
      <c r="C2957" s="141" t="s">
        <v>52</v>
      </c>
    </row>
    <row r="2958" spans="1:3" x14ac:dyDescent="0.35">
      <c r="A2958" s="141" t="s">
        <v>570</v>
      </c>
      <c r="B2958" s="141" t="s">
        <v>264</v>
      </c>
      <c r="C2958" s="141" t="s">
        <v>52</v>
      </c>
    </row>
    <row r="2959" spans="1:3" x14ac:dyDescent="0.35">
      <c r="A2959" s="141" t="s">
        <v>449</v>
      </c>
      <c r="B2959" s="141" t="s">
        <v>264</v>
      </c>
      <c r="C2959" s="141" t="s">
        <v>52</v>
      </c>
    </row>
    <row r="2960" spans="1:3" x14ac:dyDescent="0.35">
      <c r="A2960" s="141" t="s">
        <v>793</v>
      </c>
      <c r="B2960" s="141" t="s">
        <v>264</v>
      </c>
      <c r="C2960" s="141" t="s">
        <v>52</v>
      </c>
    </row>
    <row r="2961" spans="1:3" x14ac:dyDescent="0.35">
      <c r="A2961" s="141" t="s">
        <v>794</v>
      </c>
      <c r="B2961" s="141" t="s">
        <v>264</v>
      </c>
      <c r="C2961" s="141" t="s">
        <v>52</v>
      </c>
    </row>
    <row r="2962" spans="1:3" x14ac:dyDescent="0.35">
      <c r="A2962" s="141" t="s">
        <v>739</v>
      </c>
      <c r="B2962" s="141" t="s">
        <v>264</v>
      </c>
      <c r="C2962" s="141" t="s">
        <v>52</v>
      </c>
    </row>
    <row r="2963" spans="1:3" x14ac:dyDescent="0.35">
      <c r="A2963" s="141" t="s">
        <v>800</v>
      </c>
      <c r="B2963" s="141" t="s">
        <v>264</v>
      </c>
      <c r="C2963" s="141" t="s">
        <v>21</v>
      </c>
    </row>
    <row r="2964" spans="1:3" x14ac:dyDescent="0.35">
      <c r="A2964" s="141" t="s">
        <v>807</v>
      </c>
      <c r="B2964" s="141" t="s">
        <v>264</v>
      </c>
      <c r="C2964" s="141" t="s">
        <v>3</v>
      </c>
    </row>
    <row r="2965" spans="1:3" x14ac:dyDescent="0.35">
      <c r="A2965" s="141" t="s">
        <v>699</v>
      </c>
      <c r="B2965" s="141" t="s">
        <v>264</v>
      </c>
      <c r="C2965" s="141" t="s">
        <v>26</v>
      </c>
    </row>
    <row r="2966" spans="1:3" x14ac:dyDescent="0.35">
      <c r="A2966" s="141" t="s">
        <v>700</v>
      </c>
      <c r="B2966" s="141" t="s">
        <v>264</v>
      </c>
      <c r="C2966" s="141" t="s">
        <v>26</v>
      </c>
    </row>
    <row r="2967" spans="1:3" x14ac:dyDescent="0.35">
      <c r="A2967" s="141" t="s">
        <v>701</v>
      </c>
      <c r="B2967" s="141" t="s">
        <v>264</v>
      </c>
      <c r="C2967" s="141" t="s">
        <v>26</v>
      </c>
    </row>
    <row r="2968" spans="1:3" x14ac:dyDescent="0.35">
      <c r="A2968" s="141" t="s">
        <v>452</v>
      </c>
      <c r="B2968" s="141" t="s">
        <v>264</v>
      </c>
      <c r="C2968" s="141" t="s">
        <v>33</v>
      </c>
    </row>
    <row r="2969" spans="1:3" x14ac:dyDescent="0.35">
      <c r="A2969" s="141" t="s">
        <v>702</v>
      </c>
      <c r="B2969" s="141" t="s">
        <v>264</v>
      </c>
      <c r="C2969" s="141" t="s">
        <v>33</v>
      </c>
    </row>
    <row r="2970" spans="1:3" x14ac:dyDescent="0.35">
      <c r="A2970" s="141" t="s">
        <v>672</v>
      </c>
      <c r="B2970" s="141" t="s">
        <v>264</v>
      </c>
      <c r="C2970" s="141" t="s">
        <v>25</v>
      </c>
    </row>
    <row r="2971" spans="1:3" x14ac:dyDescent="0.35">
      <c r="A2971" s="141" t="s">
        <v>673</v>
      </c>
      <c r="B2971" s="141" t="s">
        <v>264</v>
      </c>
      <c r="C2971" s="141" t="s">
        <v>25</v>
      </c>
    </row>
    <row r="2972" spans="1:3" x14ac:dyDescent="0.35">
      <c r="A2972" s="141" t="s">
        <v>674</v>
      </c>
      <c r="B2972" s="141" t="s">
        <v>264</v>
      </c>
      <c r="C2972" s="141" t="s">
        <v>25</v>
      </c>
    </row>
    <row r="2973" spans="1:3" x14ac:dyDescent="0.35">
      <c r="A2973" s="141" t="s">
        <v>676</v>
      </c>
      <c r="B2973" s="141" t="s">
        <v>264</v>
      </c>
      <c r="C2973" s="141" t="s">
        <v>24</v>
      </c>
    </row>
    <row r="2974" spans="1:3" x14ac:dyDescent="0.35">
      <c r="A2974" s="141" t="s">
        <v>573</v>
      </c>
      <c r="B2974" s="141" t="s">
        <v>264</v>
      </c>
      <c r="C2974" s="141" t="s">
        <v>25</v>
      </c>
    </row>
    <row r="2975" spans="1:3" x14ac:dyDescent="0.35">
      <c r="A2975" s="141" t="s">
        <v>677</v>
      </c>
      <c r="B2975" s="141" t="s">
        <v>264</v>
      </c>
      <c r="C2975" s="141" t="s">
        <v>25</v>
      </c>
    </row>
    <row r="2976" spans="1:3" x14ac:dyDescent="0.35">
      <c r="A2976" s="141" t="s">
        <v>678</v>
      </c>
      <c r="B2976" s="141" t="s">
        <v>264</v>
      </c>
      <c r="C2976" s="141" t="s">
        <v>25</v>
      </c>
    </row>
    <row r="2977" spans="1:3" x14ac:dyDescent="0.35">
      <c r="A2977" s="141" t="s">
        <v>679</v>
      </c>
      <c r="B2977" s="141" t="s">
        <v>264</v>
      </c>
      <c r="C2977" s="141" t="s">
        <v>25</v>
      </c>
    </row>
    <row r="2978" spans="1:3" x14ac:dyDescent="0.35">
      <c r="A2978" s="141" t="s">
        <v>680</v>
      </c>
      <c r="B2978" s="141" t="s">
        <v>264</v>
      </c>
      <c r="C2978" s="141" t="s">
        <v>25</v>
      </c>
    </row>
    <row r="2979" spans="1:3" x14ac:dyDescent="0.35">
      <c r="A2979" s="141" t="s">
        <v>675</v>
      </c>
      <c r="B2979" s="141" t="s">
        <v>264</v>
      </c>
      <c r="C2979" s="141" t="s">
        <v>24</v>
      </c>
    </row>
    <row r="2980" spans="1:3" x14ac:dyDescent="0.35">
      <c r="A2980" s="141" t="s">
        <v>706</v>
      </c>
      <c r="B2980" s="141" t="s">
        <v>264</v>
      </c>
      <c r="C2980" s="141" t="s">
        <v>31</v>
      </c>
    </row>
    <row r="2981" spans="1:3" x14ac:dyDescent="0.35">
      <c r="A2981" s="141" t="s">
        <v>707</v>
      </c>
      <c r="B2981" s="141" t="s">
        <v>264</v>
      </c>
      <c r="C2981" s="141" t="s">
        <v>31</v>
      </c>
    </row>
    <row r="2982" spans="1:3" x14ac:dyDescent="0.35">
      <c r="A2982" s="141" t="s">
        <v>708</v>
      </c>
      <c r="B2982" s="141" t="s">
        <v>264</v>
      </c>
      <c r="C2982" s="141" t="s">
        <v>31</v>
      </c>
    </row>
    <row r="2983" spans="1:3" x14ac:dyDescent="0.35">
      <c r="A2983" s="141" t="s">
        <v>709</v>
      </c>
      <c r="B2983" s="141" t="s">
        <v>264</v>
      </c>
      <c r="C2983" s="141" t="s">
        <v>31</v>
      </c>
    </row>
    <row r="2984" spans="1:3" x14ac:dyDescent="0.35">
      <c r="A2984" s="141" t="s">
        <v>710</v>
      </c>
      <c r="B2984" s="141" t="s">
        <v>264</v>
      </c>
      <c r="C2984" s="141" t="s">
        <v>31</v>
      </c>
    </row>
    <row r="2985" spans="1:3" x14ac:dyDescent="0.35">
      <c r="A2985" s="141" t="s">
        <v>456</v>
      </c>
      <c r="B2985" s="141" t="s">
        <v>264</v>
      </c>
      <c r="C2985" s="141" t="s">
        <v>31</v>
      </c>
    </row>
    <row r="2986" spans="1:3" x14ac:dyDescent="0.35">
      <c r="A2986" s="141" t="s">
        <v>626</v>
      </c>
      <c r="B2986" s="141" t="s">
        <v>264</v>
      </c>
      <c r="C2986" s="141" t="s">
        <v>31</v>
      </c>
    </row>
    <row r="2987" spans="1:3" x14ac:dyDescent="0.35">
      <c r="A2987" s="141" t="s">
        <v>627</v>
      </c>
      <c r="B2987" s="141" t="s">
        <v>264</v>
      </c>
      <c r="C2987" s="141" t="s">
        <v>31</v>
      </c>
    </row>
    <row r="2988" spans="1:3" x14ac:dyDescent="0.35">
      <c r="A2988" s="141" t="s">
        <v>458</v>
      </c>
      <c r="B2988" s="141" t="s">
        <v>264</v>
      </c>
      <c r="C2988" s="141" t="s">
        <v>31</v>
      </c>
    </row>
    <row r="2989" spans="1:3" x14ac:dyDescent="0.35">
      <c r="A2989" s="141" t="s">
        <v>628</v>
      </c>
      <c r="B2989" s="141" t="s">
        <v>264</v>
      </c>
      <c r="C2989" s="141" t="s">
        <v>31</v>
      </c>
    </row>
    <row r="2990" spans="1:3" x14ac:dyDescent="0.35">
      <c r="A2990" s="141" t="s">
        <v>629</v>
      </c>
      <c r="B2990" s="141" t="s">
        <v>264</v>
      </c>
      <c r="C2990" s="141" t="s">
        <v>31</v>
      </c>
    </row>
    <row r="2991" spans="1:3" x14ac:dyDescent="0.35">
      <c r="A2991" s="141" t="s">
        <v>460</v>
      </c>
      <c r="B2991" s="141" t="s">
        <v>264</v>
      </c>
      <c r="C2991" s="141" t="s">
        <v>31</v>
      </c>
    </row>
    <row r="2992" spans="1:3" x14ac:dyDescent="0.35">
      <c r="A2992" s="141" t="s">
        <v>461</v>
      </c>
      <c r="B2992" s="141" t="s">
        <v>264</v>
      </c>
      <c r="C2992" s="141" t="s">
        <v>31</v>
      </c>
    </row>
    <row r="2993" spans="1:3" x14ac:dyDescent="0.35">
      <c r="A2993" s="141" t="s">
        <v>808</v>
      </c>
      <c r="B2993" s="141" t="s">
        <v>264</v>
      </c>
      <c r="C2993" s="141" t="s">
        <v>31</v>
      </c>
    </row>
    <row r="2994" spans="1:3" x14ac:dyDescent="0.35">
      <c r="A2994" s="141" t="s">
        <v>809</v>
      </c>
      <c r="B2994" s="141" t="s">
        <v>264</v>
      </c>
      <c r="C2994" s="141" t="s">
        <v>31</v>
      </c>
    </row>
    <row r="2995" spans="1:3" x14ac:dyDescent="0.35">
      <c r="A2995" s="141" t="s">
        <v>297</v>
      </c>
      <c r="B2995" s="141" t="s">
        <v>264</v>
      </c>
      <c r="C2995" s="141" t="s">
        <v>32</v>
      </c>
    </row>
    <row r="2996" spans="1:3" x14ac:dyDescent="0.35">
      <c r="A2996" s="141" t="s">
        <v>298</v>
      </c>
      <c r="B2996" s="141" t="s">
        <v>264</v>
      </c>
      <c r="C2996" s="141" t="s">
        <v>32</v>
      </c>
    </row>
    <row r="2997" spans="1:3" x14ac:dyDescent="0.35">
      <c r="A2997" s="141" t="s">
        <v>299</v>
      </c>
      <c r="B2997" s="141" t="s">
        <v>264</v>
      </c>
      <c r="C2997" s="141" t="s">
        <v>32</v>
      </c>
    </row>
    <row r="2998" spans="1:3" x14ac:dyDescent="0.35">
      <c r="A2998" s="141" t="s">
        <v>300</v>
      </c>
      <c r="B2998" s="141" t="s">
        <v>264</v>
      </c>
      <c r="C2998" s="141" t="s">
        <v>32</v>
      </c>
    </row>
    <row r="2999" spans="1:3" x14ac:dyDescent="0.35">
      <c r="A2999" s="141" t="s">
        <v>301</v>
      </c>
      <c r="B2999" s="141" t="s">
        <v>264</v>
      </c>
      <c r="C2999" s="141" t="s">
        <v>32</v>
      </c>
    </row>
    <row r="3000" spans="1:3" x14ac:dyDescent="0.35">
      <c r="A3000" s="141" t="s">
        <v>302</v>
      </c>
      <c r="B3000" s="141" t="s">
        <v>264</v>
      </c>
      <c r="C3000" s="141" t="s">
        <v>32</v>
      </c>
    </row>
    <row r="3001" spans="1:3" x14ac:dyDescent="0.35">
      <c r="A3001" s="141" t="s">
        <v>810</v>
      </c>
      <c r="B3001" s="141" t="s">
        <v>264</v>
      </c>
      <c r="C3001" s="141" t="s">
        <v>33</v>
      </c>
    </row>
    <row r="3002" spans="1:3" x14ac:dyDescent="0.35">
      <c r="A3002" s="141" t="s">
        <v>790</v>
      </c>
      <c r="B3002" s="141" t="s">
        <v>264</v>
      </c>
      <c r="C3002" s="141" t="s">
        <v>33</v>
      </c>
    </row>
    <row r="3003" spans="1:3" x14ac:dyDescent="0.35">
      <c r="A3003" s="141" t="s">
        <v>791</v>
      </c>
      <c r="B3003" s="141" t="s">
        <v>264</v>
      </c>
      <c r="C3003" s="141" t="s">
        <v>33</v>
      </c>
    </row>
    <row r="3004" spans="1:3" x14ac:dyDescent="0.35">
      <c r="A3004" s="141" t="s">
        <v>734</v>
      </c>
      <c r="B3004" s="141" t="s">
        <v>264</v>
      </c>
      <c r="C3004" s="141" t="s">
        <v>33</v>
      </c>
    </row>
    <row r="3005" spans="1:3" x14ac:dyDescent="0.35">
      <c r="A3005" s="141" t="s">
        <v>811</v>
      </c>
      <c r="B3005" s="141" t="s">
        <v>264</v>
      </c>
      <c r="C3005" s="141" t="s">
        <v>36</v>
      </c>
    </row>
    <row r="3006" spans="1:3" x14ac:dyDescent="0.35">
      <c r="A3006" s="141" t="s">
        <v>728</v>
      </c>
      <c r="B3006" s="141" t="s">
        <v>264</v>
      </c>
      <c r="C3006" s="141" t="s">
        <v>28</v>
      </c>
    </row>
    <row r="3007" spans="1:3" x14ac:dyDescent="0.35">
      <c r="A3007" s="141" t="s">
        <v>729</v>
      </c>
      <c r="B3007" s="141" t="s">
        <v>264</v>
      </c>
      <c r="C3007" s="141" t="s">
        <v>28</v>
      </c>
    </row>
    <row r="3008" spans="1:3" x14ac:dyDescent="0.35">
      <c r="A3008" s="141" t="s">
        <v>730</v>
      </c>
      <c r="B3008" s="141" t="s">
        <v>264</v>
      </c>
      <c r="C3008" s="141" t="s">
        <v>28</v>
      </c>
    </row>
    <row r="3009" spans="1:3" x14ac:dyDescent="0.35">
      <c r="A3009" s="141" t="s">
        <v>731</v>
      </c>
      <c r="B3009" s="141" t="s">
        <v>264</v>
      </c>
      <c r="C3009" s="141" t="s">
        <v>29</v>
      </c>
    </row>
    <row r="3010" spans="1:3" x14ac:dyDescent="0.35">
      <c r="A3010" s="141" t="s">
        <v>716</v>
      </c>
      <c r="B3010" s="141" t="s">
        <v>264</v>
      </c>
      <c r="C3010" s="141" t="s">
        <v>36</v>
      </c>
    </row>
    <row r="3011" spans="1:3" x14ac:dyDescent="0.35">
      <c r="A3011" s="141" t="s">
        <v>717</v>
      </c>
      <c r="B3011" s="141" t="s">
        <v>264</v>
      </c>
      <c r="C3011" s="141" t="s">
        <v>36</v>
      </c>
    </row>
    <row r="3012" spans="1:3" x14ac:dyDescent="0.35">
      <c r="A3012" s="141" t="s">
        <v>718</v>
      </c>
      <c r="B3012" s="141" t="s">
        <v>264</v>
      </c>
      <c r="C3012" s="141" t="s">
        <v>36</v>
      </c>
    </row>
    <row r="3013" spans="1:3" x14ac:dyDescent="0.35">
      <c r="A3013" s="141" t="s">
        <v>719</v>
      </c>
      <c r="B3013" s="141" t="s">
        <v>264</v>
      </c>
      <c r="C3013" s="141" t="s">
        <v>36</v>
      </c>
    </row>
    <row r="3014" spans="1:3" x14ac:dyDescent="0.35">
      <c r="A3014" s="141" t="s">
        <v>720</v>
      </c>
      <c r="B3014" s="141" t="s">
        <v>264</v>
      </c>
      <c r="C3014" s="141" t="s">
        <v>36</v>
      </c>
    </row>
    <row r="3015" spans="1:3" x14ac:dyDescent="0.35">
      <c r="A3015" s="141" t="s">
        <v>721</v>
      </c>
      <c r="B3015" s="141" t="s">
        <v>264</v>
      </c>
      <c r="C3015" s="141" t="s">
        <v>36</v>
      </c>
    </row>
    <row r="3016" spans="1:3" x14ac:dyDescent="0.35">
      <c r="A3016" s="141" t="s">
        <v>722</v>
      </c>
      <c r="B3016" s="141" t="s">
        <v>264</v>
      </c>
      <c r="C3016" s="141" t="s">
        <v>36</v>
      </c>
    </row>
    <row r="3017" spans="1:3" x14ac:dyDescent="0.35">
      <c r="A3017" s="141" t="s">
        <v>723</v>
      </c>
      <c r="B3017" s="141" t="s">
        <v>264</v>
      </c>
      <c r="C3017" s="141" t="s">
        <v>36</v>
      </c>
    </row>
    <row r="3018" spans="1:3" x14ac:dyDescent="0.35">
      <c r="A3018" s="141" t="s">
        <v>724</v>
      </c>
      <c r="B3018" s="141" t="s">
        <v>264</v>
      </c>
      <c r="C3018" s="141" t="s">
        <v>37</v>
      </c>
    </row>
    <row r="3019" spans="1:3" x14ac:dyDescent="0.35">
      <c r="A3019" s="141" t="s">
        <v>725</v>
      </c>
      <c r="B3019" s="141" t="s">
        <v>264</v>
      </c>
      <c r="C3019" s="141" t="s">
        <v>37</v>
      </c>
    </row>
    <row r="3020" spans="1:3" x14ac:dyDescent="0.35">
      <c r="A3020" s="141" t="s">
        <v>726</v>
      </c>
      <c r="B3020" s="141" t="s">
        <v>264</v>
      </c>
      <c r="C3020" s="141" t="s">
        <v>33</v>
      </c>
    </row>
    <row r="3021" spans="1:3" x14ac:dyDescent="0.35">
      <c r="A3021" s="141" t="s">
        <v>732</v>
      </c>
      <c r="B3021" s="141" t="s">
        <v>264</v>
      </c>
      <c r="C3021" s="141" t="s">
        <v>28</v>
      </c>
    </row>
    <row r="3022" spans="1:3" x14ac:dyDescent="0.35">
      <c r="A3022" s="141" t="s">
        <v>727</v>
      </c>
      <c r="B3022" s="141" t="s">
        <v>264</v>
      </c>
      <c r="C3022" s="141" t="s">
        <v>36</v>
      </c>
    </row>
    <row r="3023" spans="1:3" x14ac:dyDescent="0.35">
      <c r="A3023" s="141" t="s">
        <v>492</v>
      </c>
      <c r="B3023" s="141" t="s">
        <v>264</v>
      </c>
      <c r="C3023" s="141" t="s">
        <v>32</v>
      </c>
    </row>
    <row r="3024" spans="1:3" x14ac:dyDescent="0.35">
      <c r="A3024" s="141" t="s">
        <v>493</v>
      </c>
      <c r="B3024" s="141" t="s">
        <v>264</v>
      </c>
      <c r="C3024" s="141" t="s">
        <v>32</v>
      </c>
    </row>
    <row r="3025" spans="1:3" x14ac:dyDescent="0.35">
      <c r="A3025" s="141" t="s">
        <v>494</v>
      </c>
      <c r="B3025" s="141" t="s">
        <v>264</v>
      </c>
      <c r="C3025" s="141" t="s">
        <v>32</v>
      </c>
    </row>
    <row r="3026" spans="1:3" x14ac:dyDescent="0.35">
      <c r="A3026" s="141" t="s">
        <v>495</v>
      </c>
      <c r="B3026" s="141" t="s">
        <v>264</v>
      </c>
      <c r="C3026" s="141" t="s">
        <v>32</v>
      </c>
    </row>
    <row r="3027" spans="1:3" x14ac:dyDescent="0.35">
      <c r="A3027" s="141" t="s">
        <v>496</v>
      </c>
      <c r="B3027" s="141" t="s">
        <v>264</v>
      </c>
      <c r="C3027" s="141" t="s">
        <v>32</v>
      </c>
    </row>
    <row r="3028" spans="1:3" x14ac:dyDescent="0.35">
      <c r="A3028" s="141" t="s">
        <v>497</v>
      </c>
      <c r="B3028" s="141" t="s">
        <v>264</v>
      </c>
      <c r="C3028" s="141" t="s">
        <v>32</v>
      </c>
    </row>
    <row r="3029" spans="1:3" x14ac:dyDescent="0.35">
      <c r="A3029" s="141" t="s">
        <v>681</v>
      </c>
      <c r="B3029" s="141" t="s">
        <v>264</v>
      </c>
      <c r="C3029" s="141" t="s">
        <v>32</v>
      </c>
    </row>
    <row r="3030" spans="1:3" x14ac:dyDescent="0.35">
      <c r="A3030" s="141" t="s">
        <v>682</v>
      </c>
      <c r="B3030" s="141" t="s">
        <v>264</v>
      </c>
      <c r="C3030" s="141" t="s">
        <v>32</v>
      </c>
    </row>
    <row r="3031" spans="1:3" x14ac:dyDescent="0.35">
      <c r="A3031" s="141" t="s">
        <v>683</v>
      </c>
      <c r="B3031" s="141" t="s">
        <v>264</v>
      </c>
      <c r="C3031" s="141" t="s">
        <v>32</v>
      </c>
    </row>
    <row r="3032" spans="1:3" x14ac:dyDescent="0.35">
      <c r="A3032" s="141" t="s">
        <v>684</v>
      </c>
      <c r="B3032" s="141" t="s">
        <v>264</v>
      </c>
      <c r="C3032" s="141" t="s">
        <v>32</v>
      </c>
    </row>
    <row r="3033" spans="1:3" x14ac:dyDescent="0.35">
      <c r="A3033" s="141" t="s">
        <v>685</v>
      </c>
      <c r="B3033" s="141" t="s">
        <v>264</v>
      </c>
      <c r="C3033" s="141" t="s">
        <v>32</v>
      </c>
    </row>
    <row r="3034" spans="1:3" x14ac:dyDescent="0.35">
      <c r="A3034" s="141" t="s">
        <v>686</v>
      </c>
      <c r="B3034" s="141" t="s">
        <v>264</v>
      </c>
      <c r="C3034" s="141" t="s">
        <v>32</v>
      </c>
    </row>
    <row r="3035" spans="1:3" x14ac:dyDescent="0.35">
      <c r="A3035" s="141" t="s">
        <v>687</v>
      </c>
      <c r="B3035" s="141" t="s">
        <v>264</v>
      </c>
      <c r="C3035" s="141" t="s">
        <v>32</v>
      </c>
    </row>
    <row r="3036" spans="1:3" x14ac:dyDescent="0.35">
      <c r="A3036" s="141" t="s">
        <v>502</v>
      </c>
      <c r="B3036" s="141" t="s">
        <v>264</v>
      </c>
      <c r="C3036" s="141" t="s">
        <v>32</v>
      </c>
    </row>
    <row r="3037" spans="1:3" x14ac:dyDescent="0.35">
      <c r="A3037" s="141" t="s">
        <v>503</v>
      </c>
      <c r="B3037" s="141" t="s">
        <v>264</v>
      </c>
      <c r="C3037" s="141" t="s">
        <v>32</v>
      </c>
    </row>
    <row r="3038" spans="1:3" x14ac:dyDescent="0.35">
      <c r="A3038" s="141" t="s">
        <v>504</v>
      </c>
      <c r="B3038" s="141" t="s">
        <v>264</v>
      </c>
      <c r="C3038" s="141" t="s">
        <v>26</v>
      </c>
    </row>
    <row r="3039" spans="1:3" x14ac:dyDescent="0.35">
      <c r="A3039" s="141" t="s">
        <v>688</v>
      </c>
      <c r="B3039" s="141" t="s">
        <v>264</v>
      </c>
      <c r="C3039" s="141" t="s">
        <v>32</v>
      </c>
    </row>
    <row r="3040" spans="1:3" x14ac:dyDescent="0.35">
      <c r="A3040" s="141" t="s">
        <v>689</v>
      </c>
      <c r="B3040" s="141" t="s">
        <v>264</v>
      </c>
      <c r="C3040" s="141" t="s">
        <v>32</v>
      </c>
    </row>
    <row r="3041" spans="1:3" x14ac:dyDescent="0.35">
      <c r="A3041" s="141" t="s">
        <v>690</v>
      </c>
      <c r="B3041" s="141" t="s">
        <v>264</v>
      </c>
      <c r="C3041" s="141" t="s">
        <v>32</v>
      </c>
    </row>
    <row r="3042" spans="1:3" x14ac:dyDescent="0.35">
      <c r="A3042" s="141" t="s">
        <v>691</v>
      </c>
      <c r="B3042" s="141" t="s">
        <v>264</v>
      </c>
      <c r="C3042" s="141" t="s">
        <v>32</v>
      </c>
    </row>
    <row r="3043" spans="1:3" x14ac:dyDescent="0.35">
      <c r="A3043" s="141" t="s">
        <v>694</v>
      </c>
      <c r="B3043" s="141" t="s">
        <v>264</v>
      </c>
      <c r="C3043" s="141" t="s">
        <v>32</v>
      </c>
    </row>
    <row r="3044" spans="1:3" x14ac:dyDescent="0.35">
      <c r="A3044" s="141" t="s">
        <v>695</v>
      </c>
      <c r="B3044" s="141" t="s">
        <v>264</v>
      </c>
      <c r="C3044" s="141" t="s">
        <v>32</v>
      </c>
    </row>
    <row r="3045" spans="1:3" x14ac:dyDescent="0.35">
      <c r="A3045" s="141" t="s">
        <v>696</v>
      </c>
      <c r="B3045" s="141" t="s">
        <v>264</v>
      </c>
      <c r="C3045" s="141" t="s">
        <v>32</v>
      </c>
    </row>
    <row r="3046" spans="1:3" x14ac:dyDescent="0.35">
      <c r="A3046" s="141" t="s">
        <v>697</v>
      </c>
      <c r="B3046" s="141" t="s">
        <v>264</v>
      </c>
      <c r="C3046" s="141" t="s">
        <v>32</v>
      </c>
    </row>
    <row r="3047" spans="1:3" x14ac:dyDescent="0.35">
      <c r="A3047" s="141" t="s">
        <v>692</v>
      </c>
      <c r="B3047" s="141" t="s">
        <v>264</v>
      </c>
      <c r="C3047" s="141" t="s">
        <v>32</v>
      </c>
    </row>
    <row r="3048" spans="1:3" x14ac:dyDescent="0.35">
      <c r="A3048" s="141" t="s">
        <v>693</v>
      </c>
      <c r="B3048" s="141" t="s">
        <v>264</v>
      </c>
      <c r="C3048" s="141" t="s">
        <v>32</v>
      </c>
    </row>
    <row r="3049" spans="1:3" x14ac:dyDescent="0.35">
      <c r="A3049" s="141" t="s">
        <v>509</v>
      </c>
      <c r="B3049" s="141" t="s">
        <v>264</v>
      </c>
      <c r="C3049" s="141" t="s">
        <v>32</v>
      </c>
    </row>
    <row r="3050" spans="1:3" x14ac:dyDescent="0.35">
      <c r="A3050" s="141" t="s">
        <v>510</v>
      </c>
      <c r="B3050" s="141" t="s">
        <v>264</v>
      </c>
      <c r="C3050" s="141" t="s">
        <v>32</v>
      </c>
    </row>
    <row r="3051" spans="1:3" x14ac:dyDescent="0.35">
      <c r="A3051" s="141" t="s">
        <v>511</v>
      </c>
      <c r="B3051" s="141" t="s">
        <v>264</v>
      </c>
      <c r="C3051" s="141" t="s">
        <v>32</v>
      </c>
    </row>
    <row r="3052" spans="1:3" x14ac:dyDescent="0.35">
      <c r="A3052" s="141" t="s">
        <v>512</v>
      </c>
      <c r="B3052" s="141" t="s">
        <v>264</v>
      </c>
      <c r="C3052" s="141" t="s">
        <v>32</v>
      </c>
    </row>
    <row r="3053" spans="1:3" x14ac:dyDescent="0.35">
      <c r="A3053" s="141" t="s">
        <v>786</v>
      </c>
      <c r="B3053" s="141" t="s">
        <v>264</v>
      </c>
      <c r="C3053" s="141" t="s">
        <v>35</v>
      </c>
    </row>
    <row r="3054" spans="1:3" x14ac:dyDescent="0.35">
      <c r="A3054" s="141" t="s">
        <v>787</v>
      </c>
      <c r="B3054" s="141" t="s">
        <v>264</v>
      </c>
      <c r="C3054" s="141" t="s">
        <v>35</v>
      </c>
    </row>
    <row r="3055" spans="1:3" x14ac:dyDescent="0.35">
      <c r="A3055" s="141" t="s">
        <v>704</v>
      </c>
      <c r="B3055" s="141" t="s">
        <v>264</v>
      </c>
      <c r="C3055" s="141" t="s">
        <v>35</v>
      </c>
    </row>
    <row r="3056" spans="1:3" x14ac:dyDescent="0.35">
      <c r="A3056" s="141" t="s">
        <v>705</v>
      </c>
      <c r="B3056" s="141" t="s">
        <v>264</v>
      </c>
      <c r="C3056" s="141" t="s">
        <v>35</v>
      </c>
    </row>
    <row r="3057" spans="1:3" x14ac:dyDescent="0.35">
      <c r="A3057" s="141" t="s">
        <v>698</v>
      </c>
      <c r="B3057" s="141" t="s">
        <v>264</v>
      </c>
      <c r="C3057" s="141" t="s">
        <v>33</v>
      </c>
    </row>
    <row r="3058" spans="1:3" x14ac:dyDescent="0.35">
      <c r="A3058" s="141" t="s">
        <v>515</v>
      </c>
      <c r="B3058" s="141" t="s">
        <v>264</v>
      </c>
      <c r="C3058" s="141" t="s">
        <v>33</v>
      </c>
    </row>
    <row r="3059" spans="1:3" x14ac:dyDescent="0.35">
      <c r="A3059" s="141" t="s">
        <v>516</v>
      </c>
      <c r="B3059" s="141" t="s">
        <v>264</v>
      </c>
      <c r="C3059" s="141" t="s">
        <v>33</v>
      </c>
    </row>
    <row r="3060" spans="1:3" x14ac:dyDescent="0.35">
      <c r="A3060" s="141" t="s">
        <v>517</v>
      </c>
      <c r="B3060" s="141" t="s">
        <v>264</v>
      </c>
      <c r="C3060" s="141" t="s">
        <v>30</v>
      </c>
    </row>
    <row r="3061" spans="1:3" x14ac:dyDescent="0.35">
      <c r="A3061" s="141" t="s">
        <v>782</v>
      </c>
      <c r="B3061" s="141" t="s">
        <v>264</v>
      </c>
      <c r="C3061" s="141" t="s">
        <v>30</v>
      </c>
    </row>
    <row r="3062" spans="1:3" x14ac:dyDescent="0.35">
      <c r="A3062" s="141" t="s">
        <v>783</v>
      </c>
      <c r="B3062" s="141" t="s">
        <v>264</v>
      </c>
      <c r="C3062" s="141" t="s">
        <v>30</v>
      </c>
    </row>
    <row r="3063" spans="1:3" x14ac:dyDescent="0.35">
      <c r="A3063" s="141" t="s">
        <v>519</v>
      </c>
      <c r="B3063" s="141" t="s">
        <v>264</v>
      </c>
      <c r="C3063" s="141" t="s">
        <v>34</v>
      </c>
    </row>
    <row r="3064" spans="1:3" x14ac:dyDescent="0.35">
      <c r="A3064" s="141" t="s">
        <v>520</v>
      </c>
      <c r="B3064" s="141" t="s">
        <v>264</v>
      </c>
      <c r="C3064" s="141" t="s">
        <v>34</v>
      </c>
    </row>
    <row r="3065" spans="1:3" x14ac:dyDescent="0.35">
      <c r="A3065" s="141" t="s">
        <v>521</v>
      </c>
      <c r="B3065" s="141" t="s">
        <v>264</v>
      </c>
      <c r="C3065" s="141" t="s">
        <v>34</v>
      </c>
    </row>
    <row r="3066" spans="1:3" x14ac:dyDescent="0.35">
      <c r="A3066" s="141" t="s">
        <v>522</v>
      </c>
      <c r="B3066" s="141" t="s">
        <v>264</v>
      </c>
      <c r="C3066" s="141" t="s">
        <v>34</v>
      </c>
    </row>
    <row r="3067" spans="1:3" x14ac:dyDescent="0.35">
      <c r="A3067" s="141" t="s">
        <v>523</v>
      </c>
      <c r="B3067" s="141" t="s">
        <v>264</v>
      </c>
      <c r="C3067" s="141" t="s">
        <v>30</v>
      </c>
    </row>
    <row r="3068" spans="1:3" x14ac:dyDescent="0.35">
      <c r="A3068" s="141" t="s">
        <v>784</v>
      </c>
      <c r="B3068" s="141" t="s">
        <v>264</v>
      </c>
      <c r="C3068" s="141" t="s">
        <v>30</v>
      </c>
    </row>
    <row r="3069" spans="1:3" x14ac:dyDescent="0.35">
      <c r="A3069" s="141" t="s">
        <v>785</v>
      </c>
      <c r="B3069" s="141" t="s">
        <v>264</v>
      </c>
      <c r="C3069" s="141" t="s">
        <v>30</v>
      </c>
    </row>
    <row r="3070" spans="1:3" x14ac:dyDescent="0.35">
      <c r="A3070" s="141" t="s">
        <v>525</v>
      </c>
      <c r="B3070" s="141" t="s">
        <v>264</v>
      </c>
      <c r="C3070" s="141" t="s">
        <v>46</v>
      </c>
    </row>
    <row r="3071" spans="1:3" x14ac:dyDescent="0.35">
      <c r="A3071" s="141" t="s">
        <v>526</v>
      </c>
      <c r="B3071" s="141" t="s">
        <v>264</v>
      </c>
      <c r="C3071" s="141" t="s">
        <v>32</v>
      </c>
    </row>
    <row r="3072" spans="1:3" x14ac:dyDescent="0.35">
      <c r="A3072" s="141" t="s">
        <v>527</v>
      </c>
      <c r="B3072" s="141" t="s">
        <v>264</v>
      </c>
      <c r="C3072" s="141" t="s">
        <v>32</v>
      </c>
    </row>
    <row r="3073" spans="1:3" x14ac:dyDescent="0.35">
      <c r="A3073" s="141" t="s">
        <v>528</v>
      </c>
      <c r="B3073" s="141" t="s">
        <v>264</v>
      </c>
      <c r="C3073" s="141" t="s">
        <v>32</v>
      </c>
    </row>
    <row r="3074" spans="1:3" x14ac:dyDescent="0.35">
      <c r="A3074" s="141" t="s">
        <v>529</v>
      </c>
      <c r="B3074" s="141" t="s">
        <v>264</v>
      </c>
      <c r="C3074" s="141" t="s">
        <v>32</v>
      </c>
    </row>
    <row r="3075" spans="1:3" x14ac:dyDescent="0.35">
      <c r="A3075" s="141" t="s">
        <v>788</v>
      </c>
      <c r="B3075" s="141" t="s">
        <v>264</v>
      </c>
      <c r="C3075" s="141" t="s">
        <v>25</v>
      </c>
    </row>
    <row r="3076" spans="1:3" x14ac:dyDescent="0.35">
      <c r="A3076" s="141" t="s">
        <v>789</v>
      </c>
      <c r="B3076" s="141" t="s">
        <v>264</v>
      </c>
      <c r="C3076" s="141" t="s">
        <v>25</v>
      </c>
    </row>
    <row r="3077" spans="1:3" x14ac:dyDescent="0.35">
      <c r="A3077" s="141" t="s">
        <v>531</v>
      </c>
      <c r="B3077" s="141" t="s">
        <v>264</v>
      </c>
      <c r="C3077" s="141" t="s">
        <v>51</v>
      </c>
    </row>
    <row r="3078" spans="1:3" x14ac:dyDescent="0.35">
      <c r="A3078" s="141" t="s">
        <v>741</v>
      </c>
      <c r="B3078" s="141" t="s">
        <v>264</v>
      </c>
      <c r="C3078" s="141" t="s">
        <v>51</v>
      </c>
    </row>
    <row r="3079" spans="1:3" x14ac:dyDescent="0.35">
      <c r="A3079" s="141" t="s">
        <v>742</v>
      </c>
      <c r="B3079" s="141" t="s">
        <v>264</v>
      </c>
      <c r="C3079" s="141" t="s">
        <v>51</v>
      </c>
    </row>
    <row r="3080" spans="1:3" x14ac:dyDescent="0.35">
      <c r="A3080" s="141" t="s">
        <v>743</v>
      </c>
      <c r="B3080" s="141" t="s">
        <v>264</v>
      </c>
      <c r="C3080" s="141" t="s">
        <v>51</v>
      </c>
    </row>
    <row r="3081" spans="1:3" x14ac:dyDescent="0.35">
      <c r="A3081" s="141" t="s">
        <v>747</v>
      </c>
      <c r="B3081" s="141" t="s">
        <v>264</v>
      </c>
      <c r="C3081" s="141" t="s">
        <v>51</v>
      </c>
    </row>
    <row r="3082" spans="1:3" x14ac:dyDescent="0.35">
      <c r="A3082" s="141" t="s">
        <v>748</v>
      </c>
      <c r="B3082" s="141" t="s">
        <v>264</v>
      </c>
      <c r="C3082" s="141" t="s">
        <v>51</v>
      </c>
    </row>
    <row r="3083" spans="1:3" x14ac:dyDescent="0.35">
      <c r="A3083" s="141" t="s">
        <v>313</v>
      </c>
      <c r="B3083" s="141" t="s">
        <v>264</v>
      </c>
      <c r="C3083" s="141" t="s">
        <v>51</v>
      </c>
    </row>
    <row r="3084" spans="1:3" x14ac:dyDescent="0.35">
      <c r="A3084" s="141" t="s">
        <v>533</v>
      </c>
      <c r="B3084" s="141" t="s">
        <v>264</v>
      </c>
      <c r="C3084" s="141" t="s">
        <v>50</v>
      </c>
    </row>
    <row r="3085" spans="1:3" x14ac:dyDescent="0.35">
      <c r="A3085" s="141" t="s">
        <v>308</v>
      </c>
      <c r="B3085" s="141" t="s">
        <v>264</v>
      </c>
      <c r="C3085" s="141" t="s">
        <v>53</v>
      </c>
    </row>
    <row r="3086" spans="1:3" x14ac:dyDescent="0.35">
      <c r="A3086" s="141" t="s">
        <v>309</v>
      </c>
      <c r="B3086" s="141" t="s">
        <v>264</v>
      </c>
      <c r="C3086" s="141" t="s">
        <v>53</v>
      </c>
    </row>
    <row r="3087" spans="1:3" x14ac:dyDescent="0.35">
      <c r="A3087" s="141" t="s">
        <v>310</v>
      </c>
      <c r="B3087" s="141" t="s">
        <v>264</v>
      </c>
      <c r="C3087" s="141" t="s">
        <v>53</v>
      </c>
    </row>
    <row r="3088" spans="1:3" x14ac:dyDescent="0.35">
      <c r="A3088" s="141" t="s">
        <v>311</v>
      </c>
      <c r="B3088" s="141" t="s">
        <v>264</v>
      </c>
      <c r="C3088" s="141" t="s">
        <v>53</v>
      </c>
    </row>
    <row r="3089" spans="1:3" x14ac:dyDescent="0.35">
      <c r="A3089" s="141" t="s">
        <v>534</v>
      </c>
      <c r="B3089" s="141" t="s">
        <v>264</v>
      </c>
      <c r="C3089" s="141" t="s">
        <v>53</v>
      </c>
    </row>
    <row r="3090" spans="1:3" x14ac:dyDescent="0.35">
      <c r="A3090" s="141" t="s">
        <v>801</v>
      </c>
      <c r="B3090" s="141" t="s">
        <v>264</v>
      </c>
      <c r="C3090" s="141" t="s">
        <v>52</v>
      </c>
    </row>
    <row r="3091" spans="1:3" x14ac:dyDescent="0.35">
      <c r="A3091" s="141" t="s">
        <v>575</v>
      </c>
      <c r="B3091" s="141" t="s">
        <v>264</v>
      </c>
      <c r="C3091" s="141" t="s">
        <v>52</v>
      </c>
    </row>
    <row r="3092" spans="1:3" x14ac:dyDescent="0.35">
      <c r="A3092" s="141" t="s">
        <v>639</v>
      </c>
      <c r="B3092" s="141" t="s">
        <v>264</v>
      </c>
      <c r="C3092" s="141" t="s">
        <v>25</v>
      </c>
    </row>
    <row r="3093" spans="1:3" x14ac:dyDescent="0.35">
      <c r="A3093" s="141" t="s">
        <v>640</v>
      </c>
      <c r="B3093" s="141" t="s">
        <v>264</v>
      </c>
      <c r="C3093" s="141" t="s">
        <v>25</v>
      </c>
    </row>
    <row r="3094" spans="1:3" x14ac:dyDescent="0.35">
      <c r="A3094" s="141" t="s">
        <v>744</v>
      </c>
      <c r="B3094" s="141" t="s">
        <v>264</v>
      </c>
      <c r="C3094" s="141" t="s">
        <v>52</v>
      </c>
    </row>
    <row r="3095" spans="1:3" x14ac:dyDescent="0.35">
      <c r="A3095" s="141" t="s">
        <v>577</v>
      </c>
      <c r="B3095" s="141" t="s">
        <v>264</v>
      </c>
      <c r="C3095" s="141" t="s">
        <v>52</v>
      </c>
    </row>
    <row r="3096" spans="1:3" x14ac:dyDescent="0.35">
      <c r="A3096" s="141" t="s">
        <v>578</v>
      </c>
      <c r="B3096" s="141" t="s">
        <v>264</v>
      </c>
      <c r="C3096" s="141" t="s">
        <v>52</v>
      </c>
    </row>
    <row r="3097" spans="1:3" x14ac:dyDescent="0.35">
      <c r="A3097" s="141" t="s">
        <v>535</v>
      </c>
      <c r="B3097" s="141" t="s">
        <v>264</v>
      </c>
      <c r="C3097" s="141" t="s">
        <v>52</v>
      </c>
    </row>
    <row r="3098" spans="1:3" x14ac:dyDescent="0.35">
      <c r="A3098" s="141" t="s">
        <v>536</v>
      </c>
      <c r="B3098" s="141" t="s">
        <v>264</v>
      </c>
      <c r="C3098" s="141" t="s">
        <v>52</v>
      </c>
    </row>
    <row r="3099" spans="1:3" x14ac:dyDescent="0.35">
      <c r="A3099" s="141" t="s">
        <v>537</v>
      </c>
      <c r="B3099" s="141" t="s">
        <v>264</v>
      </c>
      <c r="C3099" s="141" t="s">
        <v>52</v>
      </c>
    </row>
    <row r="3100" spans="1:3" x14ac:dyDescent="0.35">
      <c r="A3100" s="141" t="s">
        <v>538</v>
      </c>
      <c r="B3100" s="141" t="s">
        <v>264</v>
      </c>
      <c r="C3100" s="141" t="s">
        <v>52</v>
      </c>
    </row>
    <row r="3101" spans="1:3" x14ac:dyDescent="0.35">
      <c r="A3101" s="141" t="s">
        <v>539</v>
      </c>
      <c r="B3101" s="141" t="s">
        <v>264</v>
      </c>
      <c r="C3101" s="141" t="s">
        <v>52</v>
      </c>
    </row>
    <row r="3102" spans="1:3" x14ac:dyDescent="0.35">
      <c r="A3102" s="141" t="s">
        <v>540</v>
      </c>
      <c r="B3102" s="141" t="s">
        <v>264</v>
      </c>
      <c r="C3102" s="141" t="s">
        <v>52</v>
      </c>
    </row>
    <row r="3103" spans="1:3" x14ac:dyDescent="0.35">
      <c r="A3103" s="141" t="s">
        <v>812</v>
      </c>
      <c r="B3103" s="141" t="s">
        <v>264</v>
      </c>
      <c r="C3103" s="141" t="s">
        <v>52</v>
      </c>
    </row>
    <row r="3104" spans="1:3" x14ac:dyDescent="0.35">
      <c r="A3104" s="141" t="s">
        <v>803</v>
      </c>
      <c r="B3104" s="141" t="s">
        <v>264</v>
      </c>
      <c r="C3104" s="141" t="s">
        <v>52</v>
      </c>
    </row>
    <row r="3105" spans="1:3" x14ac:dyDescent="0.35">
      <c r="A3105" s="141" t="s">
        <v>542</v>
      </c>
      <c r="B3105" s="141" t="s">
        <v>264</v>
      </c>
      <c r="C3105" s="141" t="s">
        <v>52</v>
      </c>
    </row>
    <row r="3106" spans="1:3" x14ac:dyDescent="0.35">
      <c r="A3106" s="141" t="s">
        <v>543</v>
      </c>
      <c r="B3106" s="141" t="s">
        <v>264</v>
      </c>
      <c r="C3106" s="141" t="s">
        <v>52</v>
      </c>
    </row>
    <row r="3107" spans="1:3" x14ac:dyDescent="0.35">
      <c r="A3107" s="141" t="s">
        <v>544</v>
      </c>
      <c r="B3107" s="141" t="s">
        <v>264</v>
      </c>
      <c r="C3107" s="141" t="s">
        <v>33</v>
      </c>
    </row>
    <row r="3108" spans="1:3" x14ac:dyDescent="0.35">
      <c r="A3108" s="141" t="s">
        <v>804</v>
      </c>
      <c r="B3108" s="141" t="s">
        <v>264</v>
      </c>
      <c r="C3108" s="141" t="s">
        <v>53</v>
      </c>
    </row>
    <row r="3109" spans="1:3" x14ac:dyDescent="0.35">
      <c r="A3109" s="141" t="s">
        <v>805</v>
      </c>
      <c r="B3109" s="141" t="s">
        <v>264</v>
      </c>
      <c r="C3109" s="141" t="s">
        <v>52</v>
      </c>
    </row>
    <row r="3110" spans="1:3" x14ac:dyDescent="0.35">
      <c r="A3110" s="141" t="s">
        <v>546</v>
      </c>
      <c r="B3110" s="141" t="s">
        <v>264</v>
      </c>
      <c r="C3110" s="141" t="s">
        <v>52</v>
      </c>
    </row>
    <row r="3111" spans="1:3" x14ac:dyDescent="0.35">
      <c r="A3111" s="141" t="s">
        <v>547</v>
      </c>
      <c r="B3111" s="141" t="s">
        <v>264</v>
      </c>
      <c r="C3111" s="141" t="s">
        <v>52</v>
      </c>
    </row>
    <row r="3112" spans="1:3" x14ac:dyDescent="0.35">
      <c r="A3112" s="141" t="s">
        <v>740</v>
      </c>
      <c r="B3112" s="141" t="s">
        <v>264</v>
      </c>
      <c r="C3112" s="141" t="s">
        <v>33</v>
      </c>
    </row>
    <row r="3113" spans="1:3" x14ac:dyDescent="0.35">
      <c r="A3113" s="141" t="s">
        <v>550</v>
      </c>
      <c r="B3113" s="141" t="s">
        <v>264</v>
      </c>
      <c r="C3113" s="141" t="s">
        <v>33</v>
      </c>
    </row>
    <row r="3114" spans="1:3" x14ac:dyDescent="0.35">
      <c r="A3114" s="141" t="s">
        <v>551</v>
      </c>
      <c r="B3114" s="141" t="s">
        <v>264</v>
      </c>
      <c r="C3114" s="141" t="s">
        <v>33</v>
      </c>
    </row>
    <row r="3115" spans="1:3" x14ac:dyDescent="0.35">
      <c r="A3115" s="141" t="s">
        <v>306</v>
      </c>
      <c r="B3115" s="141" t="s">
        <v>264</v>
      </c>
      <c r="C3115" s="141" t="s">
        <v>35</v>
      </c>
    </row>
    <row r="3116" spans="1:3" x14ac:dyDescent="0.35">
      <c r="A3116" s="141" t="s">
        <v>307</v>
      </c>
      <c r="B3116" s="141" t="s">
        <v>264</v>
      </c>
      <c r="C3116" s="141" t="s">
        <v>33</v>
      </c>
    </row>
    <row r="3117" spans="1:3" x14ac:dyDescent="0.35">
      <c r="A3117" s="141" t="s">
        <v>314</v>
      </c>
      <c r="B3117" s="141" t="s">
        <v>264</v>
      </c>
      <c r="C3117" s="141" t="s">
        <v>16</v>
      </c>
    </row>
    <row r="3118" spans="1:3" x14ac:dyDescent="0.35">
      <c r="A3118" s="141" t="s">
        <v>315</v>
      </c>
      <c r="B3118" s="141" t="s">
        <v>264</v>
      </c>
      <c r="C3118" s="141" t="s">
        <v>16</v>
      </c>
    </row>
    <row r="3119" spans="1:3" x14ac:dyDescent="0.35">
      <c r="A3119" s="141" t="s">
        <v>316</v>
      </c>
      <c r="B3119" s="141" t="s">
        <v>264</v>
      </c>
      <c r="C3119" s="141" t="s">
        <v>16</v>
      </c>
    </row>
    <row r="3120" spans="1:3" x14ac:dyDescent="0.35">
      <c r="A3120" s="141" t="s">
        <v>317</v>
      </c>
      <c r="B3120" s="141" t="s">
        <v>264</v>
      </c>
      <c r="C3120" s="141" t="s">
        <v>16</v>
      </c>
    </row>
    <row r="3121" spans="1:3" x14ac:dyDescent="0.35">
      <c r="A3121" s="141" t="s">
        <v>318</v>
      </c>
      <c r="B3121" s="141" t="s">
        <v>264</v>
      </c>
      <c r="C3121" s="141" t="s">
        <v>16</v>
      </c>
    </row>
    <row r="3122" spans="1:3" x14ac:dyDescent="0.35">
      <c r="A3122" s="141" t="s">
        <v>319</v>
      </c>
      <c r="B3122" s="141" t="s">
        <v>264</v>
      </c>
      <c r="C3122" s="141" t="s">
        <v>16</v>
      </c>
    </row>
    <row r="3123" spans="1:3" x14ac:dyDescent="0.35">
      <c r="A3123" s="141" t="s">
        <v>320</v>
      </c>
      <c r="B3123" s="141" t="s">
        <v>264</v>
      </c>
      <c r="C3123" s="141" t="s">
        <v>16</v>
      </c>
    </row>
    <row r="3124" spans="1:3" x14ac:dyDescent="0.35">
      <c r="A3124" s="141" t="s">
        <v>322</v>
      </c>
      <c r="B3124" s="141" t="s">
        <v>264</v>
      </c>
      <c r="C3124" s="141" t="s">
        <v>16</v>
      </c>
    </row>
    <row r="3125" spans="1:3" x14ac:dyDescent="0.35">
      <c r="A3125" s="141" t="s">
        <v>324</v>
      </c>
      <c r="B3125" s="141" t="s">
        <v>264</v>
      </c>
      <c r="C3125" s="141" t="s">
        <v>16</v>
      </c>
    </row>
    <row r="3126" spans="1:3" x14ac:dyDescent="0.35">
      <c r="A3126" s="141" t="s">
        <v>325</v>
      </c>
      <c r="B3126" s="141" t="s">
        <v>264</v>
      </c>
      <c r="C3126" s="141" t="s">
        <v>16</v>
      </c>
    </row>
    <row r="3127" spans="1:3" x14ac:dyDescent="0.35">
      <c r="A3127" s="141" t="s">
        <v>326</v>
      </c>
      <c r="B3127" s="141" t="s">
        <v>264</v>
      </c>
      <c r="C3127" s="141" t="s">
        <v>16</v>
      </c>
    </row>
    <row r="3128" spans="1:3" x14ac:dyDescent="0.35">
      <c r="A3128" s="141" t="s">
        <v>327</v>
      </c>
      <c r="B3128" s="141" t="s">
        <v>264</v>
      </c>
      <c r="C3128" s="141" t="s">
        <v>16</v>
      </c>
    </row>
    <row r="3129" spans="1:3" x14ac:dyDescent="0.35">
      <c r="A3129" s="141" t="s">
        <v>328</v>
      </c>
      <c r="B3129" s="141" t="s">
        <v>264</v>
      </c>
      <c r="C3129" s="141" t="s">
        <v>16</v>
      </c>
    </row>
    <row r="3130" spans="1:3" x14ac:dyDescent="0.35">
      <c r="A3130" s="141" t="s">
        <v>329</v>
      </c>
      <c r="B3130" s="141" t="s">
        <v>264</v>
      </c>
      <c r="C3130" s="141" t="s">
        <v>16</v>
      </c>
    </row>
    <row r="3131" spans="1:3" x14ac:dyDescent="0.35">
      <c r="A3131" s="141" t="s">
        <v>330</v>
      </c>
      <c r="B3131" s="141" t="s">
        <v>264</v>
      </c>
      <c r="C3131" s="141" t="s">
        <v>16</v>
      </c>
    </row>
    <row r="3132" spans="1:3" x14ac:dyDescent="0.35">
      <c r="A3132" s="141" t="s">
        <v>331</v>
      </c>
      <c r="B3132" s="141" t="s">
        <v>264</v>
      </c>
      <c r="C3132" s="141" t="s">
        <v>16</v>
      </c>
    </row>
    <row r="3133" spans="1:3" x14ac:dyDescent="0.35">
      <c r="A3133" s="141" t="s">
        <v>332</v>
      </c>
      <c r="B3133" s="141" t="s">
        <v>264</v>
      </c>
      <c r="C3133" s="141" t="s">
        <v>16</v>
      </c>
    </row>
    <row r="3134" spans="1:3" x14ac:dyDescent="0.35">
      <c r="A3134" s="141" t="s">
        <v>333</v>
      </c>
      <c r="B3134" s="141" t="s">
        <v>264</v>
      </c>
      <c r="C3134" s="141" t="s">
        <v>16</v>
      </c>
    </row>
    <row r="3135" spans="1:3" x14ac:dyDescent="0.35">
      <c r="A3135" s="141" t="s">
        <v>334</v>
      </c>
      <c r="B3135" s="141" t="s">
        <v>264</v>
      </c>
      <c r="C3135" s="141" t="s">
        <v>16</v>
      </c>
    </row>
    <row r="3136" spans="1:3" x14ac:dyDescent="0.35">
      <c r="A3136" s="141" t="s">
        <v>335</v>
      </c>
      <c r="B3136" s="141" t="s">
        <v>264</v>
      </c>
      <c r="C3136" s="141" t="s">
        <v>16</v>
      </c>
    </row>
    <row r="3137" spans="1:3" x14ac:dyDescent="0.35">
      <c r="A3137" s="141" t="s">
        <v>336</v>
      </c>
      <c r="B3137" s="141" t="s">
        <v>264</v>
      </c>
      <c r="C3137" s="141" t="s">
        <v>16</v>
      </c>
    </row>
    <row r="3138" spans="1:3" x14ac:dyDescent="0.35">
      <c r="A3138" s="141" t="s">
        <v>806</v>
      </c>
      <c r="B3138" s="141" t="s">
        <v>264</v>
      </c>
      <c r="C3138" s="141" t="s">
        <v>32</v>
      </c>
    </row>
    <row r="3139" spans="1:3" x14ac:dyDescent="0.35">
      <c r="A3139" s="141" t="s">
        <v>579</v>
      </c>
      <c r="B3139" s="141" t="s">
        <v>264</v>
      </c>
      <c r="C3139" s="141" t="s">
        <v>32</v>
      </c>
    </row>
    <row r="3140" spans="1:3" x14ac:dyDescent="0.35">
      <c r="A3140" s="141" t="s">
        <v>556</v>
      </c>
      <c r="B3140" s="141" t="s">
        <v>264</v>
      </c>
      <c r="C3140" s="141" t="s">
        <v>32</v>
      </c>
    </row>
    <row r="3141" spans="1:3" x14ac:dyDescent="0.35">
      <c r="A3141" s="141" t="s">
        <v>557</v>
      </c>
      <c r="B3141" s="141" t="s">
        <v>264</v>
      </c>
      <c r="C3141" s="141" t="s">
        <v>32</v>
      </c>
    </row>
    <row r="3142" spans="1:3" x14ac:dyDescent="0.35">
      <c r="A3142" s="141" t="s">
        <v>558</v>
      </c>
      <c r="B3142" s="141" t="s">
        <v>264</v>
      </c>
      <c r="C3142" s="141" t="s">
        <v>32</v>
      </c>
    </row>
    <row r="3143" spans="1:3" x14ac:dyDescent="0.35">
      <c r="A3143" s="141" t="s">
        <v>580</v>
      </c>
      <c r="B3143" s="141" t="s">
        <v>264</v>
      </c>
      <c r="C3143" s="141" t="s">
        <v>32</v>
      </c>
    </row>
    <row r="3144" spans="1:3" x14ac:dyDescent="0.35">
      <c r="A3144" s="141" t="s">
        <v>559</v>
      </c>
      <c r="B3144" s="141" t="s">
        <v>264</v>
      </c>
      <c r="C3144" s="141" t="s">
        <v>47</v>
      </c>
    </row>
    <row r="3145" spans="1:3" x14ac:dyDescent="0.35">
      <c r="A3145" s="141" t="s">
        <v>560</v>
      </c>
      <c r="B3145" s="141" t="s">
        <v>264</v>
      </c>
      <c r="C3145" s="141" t="s">
        <v>47</v>
      </c>
    </row>
    <row r="3146" spans="1:3" x14ac:dyDescent="0.35">
      <c r="A3146" s="141" t="s">
        <v>561</v>
      </c>
      <c r="B3146" s="141" t="s">
        <v>264</v>
      </c>
      <c r="C3146" s="141" t="s">
        <v>47</v>
      </c>
    </row>
    <row r="3147" spans="1:3" x14ac:dyDescent="0.35">
      <c r="A3147" s="141" t="s">
        <v>562</v>
      </c>
      <c r="B3147" s="141" t="s">
        <v>264</v>
      </c>
      <c r="C3147" s="141" t="s">
        <v>48</v>
      </c>
    </row>
    <row r="3148" spans="1:3" x14ac:dyDescent="0.35">
      <c r="A3148" s="141" t="s">
        <v>563</v>
      </c>
      <c r="B3148" s="141" t="s">
        <v>264</v>
      </c>
      <c r="C3148" s="141" t="s">
        <v>47</v>
      </c>
    </row>
    <row r="3149" spans="1:3" x14ac:dyDescent="0.35">
      <c r="A3149" s="141" t="s">
        <v>390</v>
      </c>
      <c r="B3149" s="141" t="s">
        <v>265</v>
      </c>
      <c r="C3149" s="141" t="s">
        <v>16</v>
      </c>
    </row>
    <row r="3150" spans="1:3" x14ac:dyDescent="0.35">
      <c r="A3150" s="141" t="s">
        <v>352</v>
      </c>
      <c r="B3150" s="141" t="s">
        <v>265</v>
      </c>
      <c r="C3150" s="141" t="s">
        <v>2</v>
      </c>
    </row>
    <row r="3151" spans="1:3" x14ac:dyDescent="0.35">
      <c r="A3151" s="141" t="s">
        <v>354</v>
      </c>
      <c r="B3151" s="141" t="s">
        <v>265</v>
      </c>
      <c r="C3151" s="141" t="s">
        <v>2</v>
      </c>
    </row>
    <row r="3152" spans="1:3" x14ac:dyDescent="0.35">
      <c r="A3152" s="141" t="s">
        <v>391</v>
      </c>
      <c r="B3152" s="141" t="s">
        <v>265</v>
      </c>
      <c r="C3152" s="141" t="s">
        <v>16</v>
      </c>
    </row>
    <row r="3153" spans="1:3" x14ac:dyDescent="0.35">
      <c r="A3153" s="141" t="s">
        <v>392</v>
      </c>
      <c r="B3153" s="141" t="s">
        <v>265</v>
      </c>
      <c r="C3153" s="141" t="s">
        <v>16</v>
      </c>
    </row>
    <row r="3154" spans="1:3" x14ac:dyDescent="0.35">
      <c r="A3154" s="141" t="s">
        <v>393</v>
      </c>
      <c r="B3154" s="141" t="s">
        <v>265</v>
      </c>
      <c r="C3154" s="141" t="s">
        <v>9</v>
      </c>
    </row>
    <row r="3155" spans="1:3" x14ac:dyDescent="0.35">
      <c r="A3155" s="141" t="s">
        <v>818</v>
      </c>
      <c r="B3155" s="141" t="s">
        <v>265</v>
      </c>
      <c r="C3155" s="141" t="s">
        <v>12</v>
      </c>
    </row>
    <row r="3156" spans="1:3" x14ac:dyDescent="0.35">
      <c r="A3156" s="141" t="s">
        <v>813</v>
      </c>
      <c r="B3156" s="141" t="s">
        <v>265</v>
      </c>
      <c r="C3156" s="141" t="s">
        <v>12</v>
      </c>
    </row>
    <row r="3157" spans="1:3" x14ac:dyDescent="0.35">
      <c r="A3157" s="141" t="s">
        <v>814</v>
      </c>
      <c r="B3157" s="141" t="s">
        <v>265</v>
      </c>
      <c r="C3157" s="141" t="s">
        <v>12</v>
      </c>
    </row>
    <row r="3158" spans="1:3" x14ac:dyDescent="0.35">
      <c r="A3158" s="141" t="s">
        <v>815</v>
      </c>
      <c r="B3158" s="141" t="s">
        <v>265</v>
      </c>
      <c r="C3158" s="141" t="s">
        <v>12</v>
      </c>
    </row>
    <row r="3159" spans="1:3" x14ac:dyDescent="0.35">
      <c r="A3159" s="141" t="s">
        <v>816</v>
      </c>
      <c r="B3159" s="141" t="s">
        <v>265</v>
      </c>
      <c r="C3159" s="141" t="s">
        <v>12</v>
      </c>
    </row>
    <row r="3160" spans="1:3" x14ac:dyDescent="0.35">
      <c r="A3160" s="141" t="s">
        <v>356</v>
      </c>
      <c r="B3160" s="141" t="s">
        <v>265</v>
      </c>
      <c r="C3160" s="141" t="s">
        <v>14</v>
      </c>
    </row>
    <row r="3161" spans="1:3" x14ac:dyDescent="0.35">
      <c r="A3161" s="141" t="s">
        <v>357</v>
      </c>
      <c r="B3161" s="141" t="s">
        <v>265</v>
      </c>
      <c r="C3161" s="141" t="s">
        <v>14</v>
      </c>
    </row>
    <row r="3162" spans="1:3" x14ac:dyDescent="0.35">
      <c r="A3162" s="141" t="s">
        <v>368</v>
      </c>
      <c r="B3162" s="141" t="s">
        <v>265</v>
      </c>
      <c r="C3162" s="141" t="s">
        <v>10</v>
      </c>
    </row>
    <row r="3163" spans="1:3" x14ac:dyDescent="0.35">
      <c r="A3163" s="141" t="s">
        <v>590</v>
      </c>
      <c r="B3163" s="141" t="s">
        <v>265</v>
      </c>
      <c r="C3163" s="141" t="s">
        <v>10</v>
      </c>
    </row>
    <row r="3164" spans="1:3" x14ac:dyDescent="0.35">
      <c r="A3164" s="141" t="s">
        <v>591</v>
      </c>
      <c r="B3164" s="141" t="s">
        <v>265</v>
      </c>
      <c r="C3164" s="141" t="s">
        <v>10</v>
      </c>
    </row>
    <row r="3165" spans="1:3" x14ac:dyDescent="0.35">
      <c r="A3165" s="141" t="s">
        <v>370</v>
      </c>
      <c r="B3165" s="141" t="s">
        <v>265</v>
      </c>
      <c r="C3165" s="141" t="s">
        <v>10</v>
      </c>
    </row>
    <row r="3166" spans="1:3" x14ac:dyDescent="0.35">
      <c r="A3166" s="141" t="s">
        <v>371</v>
      </c>
      <c r="B3166" s="141" t="s">
        <v>265</v>
      </c>
      <c r="C3166" s="141" t="s">
        <v>10</v>
      </c>
    </row>
    <row r="3167" spans="1:3" x14ac:dyDescent="0.35">
      <c r="A3167" s="141" t="s">
        <v>376</v>
      </c>
      <c r="B3167" s="141" t="s">
        <v>265</v>
      </c>
      <c r="C3167" s="141" t="s">
        <v>10</v>
      </c>
    </row>
    <row r="3168" spans="1:3" x14ac:dyDescent="0.35">
      <c r="A3168" s="141" t="s">
        <v>372</v>
      </c>
      <c r="B3168" s="141" t="s">
        <v>265</v>
      </c>
      <c r="C3168" s="141" t="s">
        <v>10</v>
      </c>
    </row>
    <row r="3169" spans="1:3" x14ac:dyDescent="0.35">
      <c r="A3169" s="141" t="s">
        <v>373</v>
      </c>
      <c r="B3169" s="141" t="s">
        <v>265</v>
      </c>
      <c r="C3169" s="141" t="s">
        <v>10</v>
      </c>
    </row>
    <row r="3170" spans="1:3" x14ac:dyDescent="0.35">
      <c r="A3170" s="141" t="s">
        <v>374</v>
      </c>
      <c r="B3170" s="141" t="s">
        <v>265</v>
      </c>
      <c r="C3170" s="141" t="s">
        <v>10</v>
      </c>
    </row>
    <row r="3171" spans="1:3" x14ac:dyDescent="0.35">
      <c r="A3171" s="141" t="s">
        <v>375</v>
      </c>
      <c r="B3171" s="141" t="s">
        <v>265</v>
      </c>
      <c r="C3171" s="141" t="s">
        <v>10</v>
      </c>
    </row>
    <row r="3172" spans="1:3" x14ac:dyDescent="0.35">
      <c r="A3172" s="141" t="s">
        <v>377</v>
      </c>
      <c r="B3172" s="141" t="s">
        <v>265</v>
      </c>
      <c r="C3172" s="141" t="s">
        <v>11</v>
      </c>
    </row>
    <row r="3173" spans="1:3" x14ac:dyDescent="0.35">
      <c r="A3173" s="141" t="s">
        <v>378</v>
      </c>
      <c r="B3173" s="141" t="s">
        <v>265</v>
      </c>
      <c r="C3173" s="141" t="s">
        <v>11</v>
      </c>
    </row>
    <row r="3174" spans="1:3" x14ac:dyDescent="0.35">
      <c r="A3174" s="141" t="s">
        <v>379</v>
      </c>
      <c r="B3174" s="141" t="s">
        <v>265</v>
      </c>
      <c r="C3174" s="141" t="s">
        <v>11</v>
      </c>
    </row>
    <row r="3175" spans="1:3" x14ac:dyDescent="0.35">
      <c r="A3175" s="141" t="s">
        <v>380</v>
      </c>
      <c r="B3175" s="141" t="s">
        <v>265</v>
      </c>
      <c r="C3175" s="141" t="s">
        <v>11</v>
      </c>
    </row>
    <row r="3176" spans="1:3" x14ac:dyDescent="0.35">
      <c r="A3176" s="141" t="s">
        <v>381</v>
      </c>
      <c r="B3176" s="141" t="s">
        <v>265</v>
      </c>
      <c r="C3176" s="141" t="s">
        <v>11</v>
      </c>
    </row>
    <row r="3177" spans="1:3" x14ac:dyDescent="0.35">
      <c r="A3177" s="141" t="s">
        <v>382</v>
      </c>
      <c r="B3177" s="141" t="s">
        <v>265</v>
      </c>
      <c r="C3177" s="141" t="s">
        <v>11</v>
      </c>
    </row>
    <row r="3178" spans="1:3" x14ac:dyDescent="0.35">
      <c r="A3178" s="141" t="s">
        <v>358</v>
      </c>
      <c r="B3178" s="141" t="s">
        <v>265</v>
      </c>
      <c r="C3178" s="141" t="s">
        <v>14</v>
      </c>
    </row>
    <row r="3179" spans="1:3" x14ac:dyDescent="0.35">
      <c r="A3179" s="141" t="s">
        <v>654</v>
      </c>
      <c r="B3179" s="141" t="s">
        <v>265</v>
      </c>
      <c r="C3179" s="141" t="s">
        <v>14</v>
      </c>
    </row>
    <row r="3180" spans="1:3" x14ac:dyDescent="0.35">
      <c r="A3180" s="141" t="s">
        <v>655</v>
      </c>
      <c r="B3180" s="141" t="s">
        <v>265</v>
      </c>
      <c r="C3180" s="141" t="s">
        <v>14</v>
      </c>
    </row>
    <row r="3181" spans="1:3" x14ac:dyDescent="0.35">
      <c r="A3181" s="141" t="s">
        <v>749</v>
      </c>
      <c r="B3181" s="141" t="s">
        <v>265</v>
      </c>
      <c r="C3181" s="141" t="s">
        <v>14</v>
      </c>
    </row>
    <row r="3182" spans="1:3" x14ac:dyDescent="0.35">
      <c r="A3182" s="141" t="s">
        <v>750</v>
      </c>
      <c r="B3182" s="141" t="s">
        <v>265</v>
      </c>
      <c r="C3182" s="141" t="s">
        <v>13</v>
      </c>
    </row>
    <row r="3183" spans="1:3" x14ac:dyDescent="0.35">
      <c r="A3183" s="141" t="s">
        <v>751</v>
      </c>
      <c r="B3183" s="141" t="s">
        <v>265</v>
      </c>
      <c r="C3183" s="141" t="s">
        <v>13</v>
      </c>
    </row>
    <row r="3184" spans="1:3" x14ac:dyDescent="0.35">
      <c r="A3184" s="141" t="s">
        <v>581</v>
      </c>
      <c r="B3184" s="141" t="s">
        <v>265</v>
      </c>
      <c r="C3184" s="141" t="s">
        <v>13</v>
      </c>
    </row>
    <row r="3185" spans="1:3" x14ac:dyDescent="0.35">
      <c r="A3185" s="141" t="s">
        <v>367</v>
      </c>
      <c r="B3185" s="141" t="s">
        <v>265</v>
      </c>
      <c r="C3185" s="141" t="s">
        <v>8</v>
      </c>
    </row>
    <row r="3186" spans="1:3" x14ac:dyDescent="0.35">
      <c r="A3186" s="141" t="s">
        <v>383</v>
      </c>
      <c r="B3186" s="141" t="s">
        <v>265</v>
      </c>
      <c r="C3186" s="141" t="s">
        <v>5</v>
      </c>
    </row>
    <row r="3187" spans="1:3" x14ac:dyDescent="0.35">
      <c r="A3187" s="141" t="s">
        <v>359</v>
      </c>
      <c r="B3187" s="141" t="s">
        <v>265</v>
      </c>
      <c r="C3187" s="141" t="s">
        <v>46</v>
      </c>
    </row>
    <row r="3188" spans="1:3" x14ac:dyDescent="0.35">
      <c r="A3188" s="141" t="s">
        <v>360</v>
      </c>
      <c r="B3188" s="141" t="s">
        <v>265</v>
      </c>
      <c r="C3188" s="141" t="s">
        <v>46</v>
      </c>
    </row>
    <row r="3189" spans="1:3" x14ac:dyDescent="0.35">
      <c r="A3189" s="141" t="s">
        <v>564</v>
      </c>
      <c r="B3189" s="141" t="s">
        <v>265</v>
      </c>
      <c r="C3189" s="141" t="s">
        <v>7</v>
      </c>
    </row>
    <row r="3190" spans="1:3" x14ac:dyDescent="0.35">
      <c r="A3190" s="141" t="s">
        <v>565</v>
      </c>
      <c r="B3190" s="141" t="s">
        <v>265</v>
      </c>
      <c r="C3190" s="141" t="s">
        <v>7</v>
      </c>
    </row>
    <row r="3191" spans="1:3" x14ac:dyDescent="0.35">
      <c r="A3191" s="141" t="s">
        <v>385</v>
      </c>
      <c r="B3191" s="141" t="s">
        <v>265</v>
      </c>
      <c r="C3191" s="141" t="s">
        <v>7</v>
      </c>
    </row>
    <row r="3192" spans="1:3" x14ac:dyDescent="0.35">
      <c r="A3192" s="141" t="s">
        <v>386</v>
      </c>
      <c r="B3192" s="141" t="s">
        <v>265</v>
      </c>
      <c r="C3192" s="141" t="s">
        <v>7</v>
      </c>
    </row>
    <row r="3193" spans="1:3" x14ac:dyDescent="0.35">
      <c r="A3193" s="141" t="s">
        <v>387</v>
      </c>
      <c r="B3193" s="141" t="s">
        <v>265</v>
      </c>
      <c r="C3193" s="141" t="s">
        <v>7</v>
      </c>
    </row>
    <row r="3194" spans="1:3" x14ac:dyDescent="0.35">
      <c r="A3194" s="141" t="s">
        <v>365</v>
      </c>
      <c r="B3194" s="141" t="s">
        <v>265</v>
      </c>
      <c r="C3194" s="141" t="s">
        <v>7</v>
      </c>
    </row>
    <row r="3195" spans="1:3" x14ac:dyDescent="0.35">
      <c r="A3195" s="141" t="s">
        <v>589</v>
      </c>
      <c r="B3195" s="141" t="s">
        <v>265</v>
      </c>
      <c r="C3195" s="141" t="s">
        <v>4</v>
      </c>
    </row>
    <row r="3196" spans="1:3" x14ac:dyDescent="0.35">
      <c r="A3196" s="141" t="s">
        <v>388</v>
      </c>
      <c r="B3196" s="141" t="s">
        <v>265</v>
      </c>
      <c r="C3196" s="141" t="s">
        <v>8</v>
      </c>
    </row>
    <row r="3197" spans="1:3" x14ac:dyDescent="0.35">
      <c r="A3197" s="141" t="s">
        <v>389</v>
      </c>
      <c r="B3197" s="141" t="s">
        <v>265</v>
      </c>
      <c r="C3197" s="141" t="s">
        <v>8</v>
      </c>
    </row>
    <row r="3198" spans="1:3" x14ac:dyDescent="0.35">
      <c r="A3198" s="141" t="s">
        <v>366</v>
      </c>
      <c r="B3198" s="141" t="s">
        <v>265</v>
      </c>
      <c r="C3198" s="141" t="s">
        <v>8</v>
      </c>
    </row>
    <row r="3199" spans="1:3" x14ac:dyDescent="0.35">
      <c r="A3199" s="141" t="s">
        <v>586</v>
      </c>
      <c r="B3199" s="141" t="s">
        <v>265</v>
      </c>
      <c r="C3199" s="141" t="s">
        <v>4</v>
      </c>
    </row>
    <row r="3200" spans="1:3" x14ac:dyDescent="0.35">
      <c r="A3200" s="141" t="s">
        <v>587</v>
      </c>
      <c r="B3200" s="141" t="s">
        <v>265</v>
      </c>
      <c r="C3200" s="141" t="s">
        <v>4</v>
      </c>
    </row>
    <row r="3201" spans="1:3" x14ac:dyDescent="0.35">
      <c r="A3201" s="141" t="s">
        <v>588</v>
      </c>
      <c r="B3201" s="141" t="s">
        <v>265</v>
      </c>
      <c r="C3201" s="141" t="s">
        <v>4</v>
      </c>
    </row>
    <row r="3202" spans="1:3" x14ac:dyDescent="0.35">
      <c r="A3202" s="141" t="s">
        <v>819</v>
      </c>
      <c r="B3202" s="141" t="s">
        <v>265</v>
      </c>
      <c r="C3202" s="141" t="s">
        <v>45</v>
      </c>
    </row>
    <row r="3203" spans="1:3" x14ac:dyDescent="0.35">
      <c r="A3203" s="141" t="s">
        <v>820</v>
      </c>
      <c r="B3203" s="141" t="s">
        <v>265</v>
      </c>
      <c r="C3203" s="141" t="s">
        <v>45</v>
      </c>
    </row>
    <row r="3204" spans="1:3" x14ac:dyDescent="0.35">
      <c r="A3204" s="141" t="s">
        <v>821</v>
      </c>
      <c r="B3204" s="141" t="s">
        <v>265</v>
      </c>
      <c r="C3204" s="141" t="s">
        <v>45</v>
      </c>
    </row>
    <row r="3205" spans="1:3" x14ac:dyDescent="0.35">
      <c r="A3205" s="141" t="s">
        <v>822</v>
      </c>
      <c r="B3205" s="141" t="s">
        <v>265</v>
      </c>
      <c r="C3205" s="141" t="s">
        <v>45</v>
      </c>
    </row>
    <row r="3206" spans="1:3" x14ac:dyDescent="0.35">
      <c r="A3206" s="141" t="s">
        <v>823</v>
      </c>
      <c r="B3206" s="141" t="s">
        <v>265</v>
      </c>
      <c r="C3206" s="141" t="s">
        <v>45</v>
      </c>
    </row>
    <row r="3207" spans="1:3" x14ac:dyDescent="0.35">
      <c r="A3207" s="141" t="s">
        <v>824</v>
      </c>
      <c r="B3207" s="141" t="s">
        <v>265</v>
      </c>
      <c r="C3207" s="141" t="s">
        <v>45</v>
      </c>
    </row>
    <row r="3208" spans="1:3" x14ac:dyDescent="0.35">
      <c r="A3208" s="141" t="s">
        <v>825</v>
      </c>
      <c r="B3208" s="141" t="s">
        <v>265</v>
      </c>
      <c r="C3208" s="141" t="s">
        <v>45</v>
      </c>
    </row>
    <row r="3209" spans="1:3" x14ac:dyDescent="0.35">
      <c r="A3209" s="141" t="s">
        <v>826</v>
      </c>
      <c r="B3209" s="141" t="s">
        <v>265</v>
      </c>
      <c r="C3209" s="141" t="s">
        <v>45</v>
      </c>
    </row>
    <row r="3210" spans="1:3" x14ac:dyDescent="0.35">
      <c r="A3210" s="141" t="s">
        <v>827</v>
      </c>
      <c r="B3210" s="141" t="s">
        <v>265</v>
      </c>
      <c r="C3210" s="141" t="s">
        <v>45</v>
      </c>
    </row>
    <row r="3211" spans="1:3" x14ac:dyDescent="0.35">
      <c r="A3211" s="141" t="s">
        <v>828</v>
      </c>
      <c r="B3211" s="141" t="s">
        <v>265</v>
      </c>
      <c r="C3211" s="141" t="s">
        <v>45</v>
      </c>
    </row>
    <row r="3212" spans="1:3" x14ac:dyDescent="0.35">
      <c r="A3212" s="141" t="s">
        <v>829</v>
      </c>
      <c r="B3212" s="141" t="s">
        <v>265</v>
      </c>
      <c r="C3212" s="141" t="s">
        <v>45</v>
      </c>
    </row>
    <row r="3213" spans="1:3" x14ac:dyDescent="0.35">
      <c r="A3213" s="141" t="s">
        <v>830</v>
      </c>
      <c r="B3213" s="141" t="s">
        <v>265</v>
      </c>
      <c r="C3213" s="141" t="s">
        <v>45</v>
      </c>
    </row>
    <row r="3214" spans="1:3" x14ac:dyDescent="0.35">
      <c r="A3214" s="141" t="s">
        <v>831</v>
      </c>
      <c r="B3214" s="141" t="s">
        <v>265</v>
      </c>
      <c r="C3214" s="141" t="s">
        <v>45</v>
      </c>
    </row>
    <row r="3215" spans="1:3" x14ac:dyDescent="0.35">
      <c r="A3215" s="141" t="s">
        <v>832</v>
      </c>
      <c r="B3215" s="141" t="s">
        <v>265</v>
      </c>
      <c r="C3215" s="141" t="s">
        <v>45</v>
      </c>
    </row>
    <row r="3216" spans="1:3" x14ac:dyDescent="0.35">
      <c r="A3216" s="141" t="s">
        <v>656</v>
      </c>
      <c r="B3216" s="141" t="s">
        <v>265</v>
      </c>
      <c r="C3216" s="141" t="s">
        <v>21</v>
      </c>
    </row>
    <row r="3217" spans="1:3" x14ac:dyDescent="0.35">
      <c r="A3217" s="141" t="s">
        <v>657</v>
      </c>
      <c r="B3217" s="141" t="s">
        <v>265</v>
      </c>
      <c r="C3217" s="141" t="s">
        <v>21</v>
      </c>
    </row>
    <row r="3218" spans="1:3" x14ac:dyDescent="0.35">
      <c r="A3218" s="141" t="s">
        <v>658</v>
      </c>
      <c r="B3218" s="141" t="s">
        <v>265</v>
      </c>
      <c r="C3218" s="141" t="s">
        <v>21</v>
      </c>
    </row>
    <row r="3219" spans="1:3" x14ac:dyDescent="0.35">
      <c r="A3219" s="141" t="s">
        <v>278</v>
      </c>
      <c r="B3219" s="141" t="s">
        <v>265</v>
      </c>
      <c r="C3219" s="141" t="s">
        <v>21</v>
      </c>
    </row>
    <row r="3220" spans="1:3" x14ac:dyDescent="0.35">
      <c r="A3220" s="141" t="s">
        <v>283</v>
      </c>
      <c r="B3220" s="141" t="s">
        <v>265</v>
      </c>
      <c r="C3220" s="141" t="s">
        <v>21</v>
      </c>
    </row>
    <row r="3221" spans="1:3" x14ac:dyDescent="0.35">
      <c r="A3221" s="141" t="s">
        <v>284</v>
      </c>
      <c r="B3221" s="141" t="s">
        <v>265</v>
      </c>
      <c r="C3221" s="141" t="s">
        <v>21</v>
      </c>
    </row>
    <row r="3222" spans="1:3" x14ac:dyDescent="0.35">
      <c r="A3222" s="141" t="s">
        <v>424</v>
      </c>
      <c r="B3222" s="141" t="s">
        <v>265</v>
      </c>
      <c r="C3222" s="141" t="s">
        <v>21</v>
      </c>
    </row>
    <row r="3223" spans="1:3" x14ac:dyDescent="0.35">
      <c r="A3223" s="141" t="s">
        <v>425</v>
      </c>
      <c r="B3223" s="141" t="s">
        <v>265</v>
      </c>
      <c r="C3223" s="141" t="s">
        <v>27</v>
      </c>
    </row>
    <row r="3224" spans="1:3" x14ac:dyDescent="0.35">
      <c r="A3224" s="141" t="s">
        <v>285</v>
      </c>
      <c r="B3224" s="141" t="s">
        <v>265</v>
      </c>
      <c r="C3224" s="141" t="s">
        <v>27</v>
      </c>
    </row>
    <row r="3225" spans="1:3" x14ac:dyDescent="0.35">
      <c r="A3225" s="141" t="s">
        <v>286</v>
      </c>
      <c r="B3225" s="141" t="s">
        <v>265</v>
      </c>
      <c r="C3225" s="141" t="s">
        <v>27</v>
      </c>
    </row>
    <row r="3226" spans="1:3" x14ac:dyDescent="0.35">
      <c r="A3226" s="141" t="s">
        <v>287</v>
      </c>
      <c r="B3226" s="141" t="s">
        <v>265</v>
      </c>
      <c r="C3226" s="141" t="s">
        <v>21</v>
      </c>
    </row>
    <row r="3227" spans="1:3" x14ac:dyDescent="0.35">
      <c r="A3227" s="141" t="s">
        <v>290</v>
      </c>
      <c r="B3227" s="141" t="s">
        <v>265</v>
      </c>
      <c r="C3227" s="141" t="s">
        <v>23</v>
      </c>
    </row>
    <row r="3228" spans="1:3" x14ac:dyDescent="0.35">
      <c r="A3228" s="141" t="s">
        <v>661</v>
      </c>
      <c r="B3228" s="141" t="s">
        <v>265</v>
      </c>
      <c r="C3228" s="141" t="s">
        <v>22</v>
      </c>
    </row>
    <row r="3229" spans="1:3" x14ac:dyDescent="0.35">
      <c r="A3229" s="141" t="s">
        <v>291</v>
      </c>
      <c r="B3229" s="141" t="s">
        <v>265</v>
      </c>
      <c r="C3229" s="141" t="s">
        <v>22</v>
      </c>
    </row>
    <row r="3230" spans="1:3" x14ac:dyDescent="0.35">
      <c r="A3230" s="141" t="s">
        <v>662</v>
      </c>
      <c r="B3230" s="141" t="s">
        <v>265</v>
      </c>
      <c r="C3230" s="141" t="s">
        <v>22</v>
      </c>
    </row>
    <row r="3231" spans="1:3" x14ac:dyDescent="0.35">
      <c r="A3231" s="141" t="s">
        <v>292</v>
      </c>
      <c r="B3231" s="141" t="s">
        <v>265</v>
      </c>
      <c r="C3231" s="141" t="s">
        <v>22</v>
      </c>
    </row>
    <row r="3232" spans="1:3" x14ac:dyDescent="0.35">
      <c r="A3232" s="141" t="s">
        <v>663</v>
      </c>
      <c r="B3232" s="141" t="s">
        <v>265</v>
      </c>
      <c r="C3232" s="141" t="s">
        <v>22</v>
      </c>
    </row>
    <row r="3233" spans="1:3" x14ac:dyDescent="0.35">
      <c r="A3233" s="141" t="s">
        <v>293</v>
      </c>
      <c r="B3233" s="141" t="s">
        <v>265</v>
      </c>
      <c r="C3233" s="141" t="s">
        <v>22</v>
      </c>
    </row>
    <row r="3234" spans="1:3" x14ac:dyDescent="0.35">
      <c r="A3234" s="141" t="s">
        <v>664</v>
      </c>
      <c r="B3234" s="141" t="s">
        <v>265</v>
      </c>
      <c r="C3234" s="141" t="s">
        <v>24</v>
      </c>
    </row>
    <row r="3235" spans="1:3" x14ac:dyDescent="0.35">
      <c r="A3235" s="141" t="s">
        <v>665</v>
      </c>
      <c r="B3235" s="141" t="s">
        <v>265</v>
      </c>
      <c r="C3235" s="141" t="s">
        <v>21</v>
      </c>
    </row>
    <row r="3236" spans="1:3" x14ac:dyDescent="0.35">
      <c r="A3236" s="141" t="s">
        <v>666</v>
      </c>
      <c r="B3236" s="141" t="s">
        <v>265</v>
      </c>
      <c r="C3236" s="141" t="s">
        <v>21</v>
      </c>
    </row>
    <row r="3237" spans="1:3" x14ac:dyDescent="0.35">
      <c r="A3237" s="141" t="s">
        <v>667</v>
      </c>
      <c r="B3237" s="141" t="s">
        <v>265</v>
      </c>
      <c r="C3237" s="141" t="s">
        <v>55</v>
      </c>
    </row>
    <row r="3238" spans="1:3" x14ac:dyDescent="0.35">
      <c r="A3238" s="141" t="s">
        <v>668</v>
      </c>
      <c r="B3238" s="141" t="s">
        <v>265</v>
      </c>
      <c r="C3238" s="141" t="s">
        <v>54</v>
      </c>
    </row>
    <row r="3239" spans="1:3" x14ac:dyDescent="0.35">
      <c r="A3239" s="141" t="s">
        <v>669</v>
      </c>
      <c r="B3239" s="141" t="s">
        <v>265</v>
      </c>
      <c r="C3239" s="141" t="s">
        <v>55</v>
      </c>
    </row>
    <row r="3240" spans="1:3" x14ac:dyDescent="0.35">
      <c r="A3240" s="141" t="s">
        <v>670</v>
      </c>
      <c r="B3240" s="141" t="s">
        <v>265</v>
      </c>
      <c r="C3240" s="141" t="s">
        <v>54</v>
      </c>
    </row>
    <row r="3241" spans="1:3" x14ac:dyDescent="0.35">
      <c r="A3241" s="141" t="s">
        <v>394</v>
      </c>
      <c r="B3241" s="141" t="s">
        <v>265</v>
      </c>
      <c r="C3241" s="141" t="s">
        <v>19</v>
      </c>
    </row>
    <row r="3242" spans="1:3" x14ac:dyDescent="0.35">
      <c r="A3242" s="141" t="s">
        <v>395</v>
      </c>
      <c r="B3242" s="141" t="s">
        <v>265</v>
      </c>
      <c r="C3242" s="141" t="s">
        <v>19</v>
      </c>
    </row>
    <row r="3243" spans="1:3" x14ac:dyDescent="0.35">
      <c r="A3243" s="141" t="s">
        <v>396</v>
      </c>
      <c r="B3243" s="141" t="s">
        <v>265</v>
      </c>
      <c r="C3243" s="141" t="s">
        <v>45</v>
      </c>
    </row>
    <row r="3244" spans="1:3" x14ac:dyDescent="0.35">
      <c r="A3244" s="141" t="s">
        <v>397</v>
      </c>
      <c r="B3244" s="141" t="s">
        <v>265</v>
      </c>
      <c r="C3244" s="141" t="s">
        <v>16</v>
      </c>
    </row>
    <row r="3245" spans="1:3" x14ac:dyDescent="0.35">
      <c r="A3245" s="141" t="s">
        <v>398</v>
      </c>
      <c r="B3245" s="141" t="s">
        <v>265</v>
      </c>
      <c r="C3245" s="141" t="s">
        <v>17</v>
      </c>
    </row>
    <row r="3246" spans="1:3" x14ac:dyDescent="0.35">
      <c r="A3246" s="141" t="s">
        <v>399</v>
      </c>
      <c r="B3246" s="141" t="s">
        <v>265</v>
      </c>
      <c r="C3246" s="141" t="s">
        <v>16</v>
      </c>
    </row>
    <row r="3247" spans="1:3" x14ac:dyDescent="0.35">
      <c r="A3247" s="141" t="s">
        <v>400</v>
      </c>
      <c r="B3247" s="141" t="s">
        <v>265</v>
      </c>
      <c r="C3247" s="141" t="s">
        <v>20</v>
      </c>
    </row>
    <row r="3248" spans="1:3" x14ac:dyDescent="0.35">
      <c r="A3248" s="141" t="s">
        <v>401</v>
      </c>
      <c r="B3248" s="141" t="s">
        <v>265</v>
      </c>
      <c r="C3248" s="141" t="s">
        <v>20</v>
      </c>
    </row>
    <row r="3249" spans="1:3" x14ac:dyDescent="0.35">
      <c r="A3249" s="141" t="s">
        <v>671</v>
      </c>
      <c r="B3249" s="141" t="s">
        <v>265</v>
      </c>
      <c r="C3249" s="141" t="s">
        <v>20</v>
      </c>
    </row>
    <row r="3250" spans="1:3" x14ac:dyDescent="0.35">
      <c r="A3250" s="141" t="s">
        <v>774</v>
      </c>
      <c r="B3250" s="141" t="s">
        <v>265</v>
      </c>
      <c r="C3250" s="141" t="s">
        <v>43</v>
      </c>
    </row>
    <row r="3251" spans="1:3" x14ac:dyDescent="0.35">
      <c r="A3251" s="141" t="s">
        <v>775</v>
      </c>
      <c r="B3251" s="141" t="s">
        <v>265</v>
      </c>
      <c r="C3251" s="141" t="s">
        <v>38</v>
      </c>
    </row>
    <row r="3252" spans="1:3" x14ac:dyDescent="0.35">
      <c r="A3252" s="141" t="s">
        <v>776</v>
      </c>
      <c r="B3252" s="141" t="s">
        <v>265</v>
      </c>
      <c r="C3252" s="141" t="s">
        <v>45</v>
      </c>
    </row>
    <row r="3253" spans="1:3" x14ac:dyDescent="0.35">
      <c r="A3253" s="141" t="s">
        <v>777</v>
      </c>
      <c r="B3253" s="141" t="s">
        <v>265</v>
      </c>
      <c r="C3253" s="141" t="s">
        <v>46</v>
      </c>
    </row>
    <row r="3254" spans="1:3" x14ac:dyDescent="0.35">
      <c r="A3254" s="141" t="s">
        <v>778</v>
      </c>
      <c r="B3254" s="141" t="s">
        <v>265</v>
      </c>
      <c r="C3254" s="141" t="s">
        <v>45</v>
      </c>
    </row>
    <row r="3255" spans="1:3" x14ac:dyDescent="0.35">
      <c r="A3255" s="141" t="s">
        <v>779</v>
      </c>
      <c r="B3255" s="141" t="s">
        <v>265</v>
      </c>
      <c r="C3255" s="141" t="s">
        <v>45</v>
      </c>
    </row>
    <row r="3256" spans="1:3" x14ac:dyDescent="0.35">
      <c r="A3256" s="141" t="s">
        <v>780</v>
      </c>
      <c r="B3256" s="141" t="s">
        <v>265</v>
      </c>
      <c r="C3256" s="141" t="s">
        <v>45</v>
      </c>
    </row>
    <row r="3257" spans="1:3" x14ac:dyDescent="0.35">
      <c r="A3257" s="141" t="s">
        <v>781</v>
      </c>
      <c r="B3257" s="141" t="s">
        <v>265</v>
      </c>
      <c r="C3257" s="141" t="s">
        <v>45</v>
      </c>
    </row>
    <row r="3258" spans="1:3" x14ac:dyDescent="0.35">
      <c r="A3258" s="141" t="s">
        <v>409</v>
      </c>
      <c r="B3258" s="141" t="s">
        <v>265</v>
      </c>
      <c r="C3258" s="141" t="s">
        <v>18</v>
      </c>
    </row>
    <row r="3259" spans="1:3" x14ac:dyDescent="0.35">
      <c r="A3259" s="141" t="s">
        <v>410</v>
      </c>
      <c r="B3259" s="141" t="s">
        <v>265</v>
      </c>
      <c r="C3259" s="141" t="s">
        <v>18</v>
      </c>
    </row>
    <row r="3260" spans="1:3" x14ac:dyDescent="0.35">
      <c r="A3260" s="141" t="s">
        <v>745</v>
      </c>
      <c r="B3260" s="141" t="s">
        <v>265</v>
      </c>
      <c r="C3260" s="141" t="s">
        <v>18</v>
      </c>
    </row>
    <row r="3261" spans="1:3" x14ac:dyDescent="0.35">
      <c r="A3261" s="141" t="s">
        <v>746</v>
      </c>
      <c r="B3261" s="141" t="s">
        <v>265</v>
      </c>
      <c r="C3261" s="141" t="s">
        <v>18</v>
      </c>
    </row>
    <row r="3262" spans="1:3" x14ac:dyDescent="0.35">
      <c r="A3262" s="141" t="s">
        <v>411</v>
      </c>
      <c r="B3262" s="141" t="s">
        <v>265</v>
      </c>
      <c r="C3262" s="141" t="s">
        <v>9</v>
      </c>
    </row>
    <row r="3263" spans="1:3" x14ac:dyDescent="0.35">
      <c r="A3263" s="141" t="s">
        <v>412</v>
      </c>
      <c r="B3263" s="141" t="s">
        <v>265</v>
      </c>
      <c r="C3263" s="141" t="s">
        <v>9</v>
      </c>
    </row>
    <row r="3264" spans="1:3" x14ac:dyDescent="0.35">
      <c r="A3264" s="141" t="s">
        <v>413</v>
      </c>
      <c r="B3264" s="141" t="s">
        <v>265</v>
      </c>
      <c r="C3264" s="141" t="s">
        <v>9</v>
      </c>
    </row>
    <row r="3265" spans="1:3" x14ac:dyDescent="0.35">
      <c r="A3265" s="141" t="s">
        <v>414</v>
      </c>
      <c r="B3265" s="141" t="s">
        <v>265</v>
      </c>
      <c r="C3265" s="141" t="s">
        <v>9</v>
      </c>
    </row>
    <row r="3266" spans="1:3" x14ac:dyDescent="0.35">
      <c r="A3266" s="141" t="s">
        <v>415</v>
      </c>
      <c r="B3266" s="141" t="s">
        <v>265</v>
      </c>
      <c r="C3266" s="141" t="s">
        <v>9</v>
      </c>
    </row>
    <row r="3267" spans="1:3" x14ac:dyDescent="0.35">
      <c r="A3267" s="141" t="s">
        <v>402</v>
      </c>
      <c r="B3267" s="141" t="s">
        <v>265</v>
      </c>
      <c r="C3267" s="141" t="s">
        <v>20</v>
      </c>
    </row>
    <row r="3268" spans="1:3" x14ac:dyDescent="0.35">
      <c r="A3268" s="141" t="s">
        <v>592</v>
      </c>
      <c r="B3268" s="141" t="s">
        <v>265</v>
      </c>
      <c r="C3268" s="141" t="s">
        <v>20</v>
      </c>
    </row>
    <row r="3269" spans="1:3" x14ac:dyDescent="0.35">
      <c r="A3269" s="141" t="s">
        <v>593</v>
      </c>
      <c r="B3269" s="141" t="s">
        <v>265</v>
      </c>
      <c r="C3269" s="141" t="s">
        <v>20</v>
      </c>
    </row>
    <row r="3270" spans="1:3" x14ac:dyDescent="0.35">
      <c r="A3270" s="141" t="s">
        <v>403</v>
      </c>
      <c r="B3270" s="141" t="s">
        <v>265</v>
      </c>
      <c r="C3270" s="141" t="s">
        <v>20</v>
      </c>
    </row>
    <row r="3271" spans="1:3" x14ac:dyDescent="0.35">
      <c r="A3271" s="141" t="s">
        <v>404</v>
      </c>
      <c r="B3271" s="141" t="s">
        <v>265</v>
      </c>
      <c r="C3271" s="141" t="s">
        <v>16</v>
      </c>
    </row>
    <row r="3272" spans="1:3" x14ac:dyDescent="0.35">
      <c r="A3272" s="141" t="s">
        <v>405</v>
      </c>
      <c r="B3272" s="141" t="s">
        <v>265</v>
      </c>
      <c r="C3272" s="141" t="s">
        <v>16</v>
      </c>
    </row>
    <row r="3273" spans="1:3" x14ac:dyDescent="0.35">
      <c r="A3273" s="141" t="s">
        <v>416</v>
      </c>
      <c r="B3273" s="141" t="s">
        <v>265</v>
      </c>
      <c r="C3273" s="141" t="s">
        <v>15</v>
      </c>
    </row>
    <row r="3274" spans="1:3" x14ac:dyDescent="0.35">
      <c r="A3274" s="141" t="s">
        <v>417</v>
      </c>
      <c r="B3274" s="141" t="s">
        <v>265</v>
      </c>
      <c r="C3274" s="141" t="s">
        <v>6</v>
      </c>
    </row>
    <row r="3275" spans="1:3" x14ac:dyDescent="0.35">
      <c r="A3275" s="141" t="s">
        <v>418</v>
      </c>
      <c r="B3275" s="141" t="s">
        <v>265</v>
      </c>
      <c r="C3275" s="141" t="s">
        <v>17</v>
      </c>
    </row>
    <row r="3276" spans="1:3" x14ac:dyDescent="0.35">
      <c r="A3276" s="141" t="s">
        <v>419</v>
      </c>
      <c r="B3276" s="141" t="s">
        <v>265</v>
      </c>
      <c r="C3276" s="141" t="s">
        <v>17</v>
      </c>
    </row>
    <row r="3277" spans="1:3" x14ac:dyDescent="0.35">
      <c r="A3277" s="141" t="s">
        <v>420</v>
      </c>
      <c r="B3277" s="141" t="s">
        <v>265</v>
      </c>
      <c r="C3277" s="141" t="s">
        <v>17</v>
      </c>
    </row>
    <row r="3278" spans="1:3" x14ac:dyDescent="0.35">
      <c r="A3278" s="141" t="s">
        <v>421</v>
      </c>
      <c r="B3278" s="141" t="s">
        <v>265</v>
      </c>
      <c r="C3278" s="141" t="s">
        <v>6</v>
      </c>
    </row>
    <row r="3279" spans="1:3" x14ac:dyDescent="0.35">
      <c r="A3279" s="141" t="s">
        <v>422</v>
      </c>
      <c r="B3279" s="141" t="s">
        <v>265</v>
      </c>
      <c r="C3279" s="141" t="s">
        <v>17</v>
      </c>
    </row>
    <row r="3280" spans="1:3" x14ac:dyDescent="0.35">
      <c r="A3280" s="141" t="s">
        <v>406</v>
      </c>
      <c r="B3280" s="141" t="s">
        <v>265</v>
      </c>
      <c r="C3280" s="141" t="s">
        <v>18</v>
      </c>
    </row>
    <row r="3281" spans="1:3" x14ac:dyDescent="0.35">
      <c r="A3281" s="141" t="s">
        <v>407</v>
      </c>
      <c r="B3281" s="141" t="s">
        <v>265</v>
      </c>
      <c r="C3281" s="141" t="s">
        <v>17</v>
      </c>
    </row>
    <row r="3282" spans="1:3" x14ac:dyDescent="0.35">
      <c r="A3282" s="141" t="s">
        <v>408</v>
      </c>
      <c r="B3282" s="141" t="s">
        <v>265</v>
      </c>
      <c r="C3282" s="141" t="s">
        <v>17</v>
      </c>
    </row>
    <row r="3283" spans="1:3" x14ac:dyDescent="0.35">
      <c r="A3283" s="141" t="s">
        <v>566</v>
      </c>
      <c r="B3283" s="141" t="s">
        <v>265</v>
      </c>
      <c r="C3283" s="141" t="s">
        <v>17</v>
      </c>
    </row>
    <row r="3284" spans="1:3" x14ac:dyDescent="0.35">
      <c r="A3284" s="141" t="s">
        <v>567</v>
      </c>
      <c r="B3284" s="141" t="s">
        <v>265</v>
      </c>
      <c r="C3284" s="141" t="s">
        <v>16</v>
      </c>
    </row>
    <row r="3285" spans="1:3" x14ac:dyDescent="0.35">
      <c r="A3285" s="141" t="s">
        <v>672</v>
      </c>
      <c r="B3285" s="141" t="s">
        <v>265</v>
      </c>
      <c r="C3285" s="141" t="s">
        <v>25</v>
      </c>
    </row>
    <row r="3286" spans="1:3" x14ac:dyDescent="0.35">
      <c r="A3286" s="141" t="s">
        <v>673</v>
      </c>
      <c r="B3286" s="141" t="s">
        <v>265</v>
      </c>
      <c r="C3286" s="141" t="s">
        <v>25</v>
      </c>
    </row>
    <row r="3287" spans="1:3" x14ac:dyDescent="0.35">
      <c r="A3287" s="141" t="s">
        <v>674</v>
      </c>
      <c r="B3287" s="141" t="s">
        <v>265</v>
      </c>
      <c r="C3287" s="141" t="s">
        <v>25</v>
      </c>
    </row>
    <row r="3288" spans="1:3" x14ac:dyDescent="0.35">
      <c r="A3288" s="141" t="s">
        <v>675</v>
      </c>
      <c r="B3288" s="141" t="s">
        <v>265</v>
      </c>
      <c r="C3288" s="141" t="s">
        <v>24</v>
      </c>
    </row>
    <row r="3289" spans="1:3" x14ac:dyDescent="0.35">
      <c r="A3289" s="141" t="s">
        <v>676</v>
      </c>
      <c r="B3289" s="141" t="s">
        <v>265</v>
      </c>
      <c r="C3289" s="141" t="s">
        <v>24</v>
      </c>
    </row>
    <row r="3290" spans="1:3" x14ac:dyDescent="0.35">
      <c r="A3290" s="141" t="s">
        <v>573</v>
      </c>
      <c r="B3290" s="141" t="s">
        <v>265</v>
      </c>
      <c r="C3290" s="141" t="s">
        <v>25</v>
      </c>
    </row>
    <row r="3291" spans="1:3" x14ac:dyDescent="0.35">
      <c r="A3291" s="141" t="s">
        <v>677</v>
      </c>
      <c r="B3291" s="141" t="s">
        <v>265</v>
      </c>
      <c r="C3291" s="141" t="s">
        <v>25</v>
      </c>
    </row>
    <row r="3292" spans="1:3" x14ac:dyDescent="0.35">
      <c r="A3292" s="141" t="s">
        <v>678</v>
      </c>
      <c r="B3292" s="141" t="s">
        <v>265</v>
      </c>
      <c r="C3292" s="141" t="s">
        <v>25</v>
      </c>
    </row>
    <row r="3293" spans="1:3" x14ac:dyDescent="0.35">
      <c r="A3293" s="141" t="s">
        <v>679</v>
      </c>
      <c r="B3293" s="141" t="s">
        <v>265</v>
      </c>
      <c r="C3293" s="141" t="s">
        <v>25</v>
      </c>
    </row>
    <row r="3294" spans="1:3" x14ac:dyDescent="0.35">
      <c r="A3294" s="141" t="s">
        <v>680</v>
      </c>
      <c r="B3294" s="141" t="s">
        <v>265</v>
      </c>
      <c r="C3294" s="141" t="s">
        <v>25</v>
      </c>
    </row>
    <row r="3295" spans="1:3" x14ac:dyDescent="0.35">
      <c r="A3295" s="141" t="s">
        <v>517</v>
      </c>
      <c r="B3295" s="141" t="s">
        <v>265</v>
      </c>
      <c r="C3295" s="141" t="s">
        <v>30</v>
      </c>
    </row>
    <row r="3296" spans="1:3" x14ac:dyDescent="0.35">
      <c r="A3296" s="141" t="s">
        <v>782</v>
      </c>
      <c r="B3296" s="141" t="s">
        <v>265</v>
      </c>
      <c r="C3296" s="141" t="s">
        <v>30</v>
      </c>
    </row>
    <row r="3297" spans="1:3" x14ac:dyDescent="0.35">
      <c r="A3297" s="141" t="s">
        <v>783</v>
      </c>
      <c r="B3297" s="141" t="s">
        <v>265</v>
      </c>
      <c r="C3297" s="141" t="s">
        <v>30</v>
      </c>
    </row>
    <row r="3298" spans="1:3" x14ac:dyDescent="0.35">
      <c r="A3298" s="141" t="s">
        <v>519</v>
      </c>
      <c r="B3298" s="141" t="s">
        <v>265</v>
      </c>
      <c r="C3298" s="141" t="s">
        <v>34</v>
      </c>
    </row>
    <row r="3299" spans="1:3" x14ac:dyDescent="0.35">
      <c r="A3299" s="141" t="s">
        <v>520</v>
      </c>
      <c r="B3299" s="141" t="s">
        <v>265</v>
      </c>
      <c r="C3299" s="141" t="s">
        <v>34</v>
      </c>
    </row>
    <row r="3300" spans="1:3" x14ac:dyDescent="0.35">
      <c r="A3300" s="141" t="s">
        <v>521</v>
      </c>
      <c r="B3300" s="141" t="s">
        <v>265</v>
      </c>
      <c r="C3300" s="141" t="s">
        <v>34</v>
      </c>
    </row>
    <row r="3301" spans="1:3" x14ac:dyDescent="0.35">
      <c r="A3301" s="141" t="s">
        <v>522</v>
      </c>
      <c r="B3301" s="141" t="s">
        <v>265</v>
      </c>
      <c r="C3301" s="141" t="s">
        <v>34</v>
      </c>
    </row>
    <row r="3302" spans="1:3" x14ac:dyDescent="0.35">
      <c r="A3302" s="141" t="s">
        <v>523</v>
      </c>
      <c r="B3302" s="141" t="s">
        <v>265</v>
      </c>
      <c r="C3302" s="141" t="s">
        <v>30</v>
      </c>
    </row>
    <row r="3303" spans="1:3" x14ac:dyDescent="0.35">
      <c r="A3303" s="141" t="s">
        <v>784</v>
      </c>
      <c r="B3303" s="141" t="s">
        <v>265</v>
      </c>
      <c r="C3303" s="141" t="s">
        <v>30</v>
      </c>
    </row>
    <row r="3304" spans="1:3" x14ac:dyDescent="0.35">
      <c r="A3304" s="141" t="s">
        <v>785</v>
      </c>
      <c r="B3304" s="141" t="s">
        <v>265</v>
      </c>
      <c r="C3304" s="141" t="s">
        <v>30</v>
      </c>
    </row>
    <row r="3305" spans="1:3" x14ac:dyDescent="0.35">
      <c r="A3305" s="141" t="s">
        <v>525</v>
      </c>
      <c r="B3305" s="141" t="s">
        <v>265</v>
      </c>
      <c r="C3305" s="141" t="s">
        <v>46</v>
      </c>
    </row>
    <row r="3306" spans="1:3" x14ac:dyDescent="0.35">
      <c r="A3306" s="141" t="s">
        <v>526</v>
      </c>
      <c r="B3306" s="141" t="s">
        <v>265</v>
      </c>
      <c r="C3306" s="141" t="s">
        <v>32</v>
      </c>
    </row>
    <row r="3307" spans="1:3" x14ac:dyDescent="0.35">
      <c r="A3307" s="141" t="s">
        <v>527</v>
      </c>
      <c r="B3307" s="141" t="s">
        <v>265</v>
      </c>
      <c r="C3307" s="141" t="s">
        <v>32</v>
      </c>
    </row>
    <row r="3308" spans="1:3" x14ac:dyDescent="0.35">
      <c r="A3308" s="141" t="s">
        <v>528</v>
      </c>
      <c r="B3308" s="141" t="s">
        <v>265</v>
      </c>
      <c r="C3308" s="141" t="s">
        <v>32</v>
      </c>
    </row>
    <row r="3309" spans="1:3" x14ac:dyDescent="0.35">
      <c r="A3309" s="141" t="s">
        <v>529</v>
      </c>
      <c r="B3309" s="141" t="s">
        <v>265</v>
      </c>
      <c r="C3309" s="141" t="s">
        <v>32</v>
      </c>
    </row>
    <row r="3310" spans="1:3" x14ac:dyDescent="0.35">
      <c r="A3310" s="141" t="s">
        <v>492</v>
      </c>
      <c r="B3310" s="141" t="s">
        <v>265</v>
      </c>
      <c r="C3310" s="141" t="s">
        <v>32</v>
      </c>
    </row>
    <row r="3311" spans="1:3" x14ac:dyDescent="0.35">
      <c r="A3311" s="141" t="s">
        <v>493</v>
      </c>
      <c r="B3311" s="141" t="s">
        <v>265</v>
      </c>
      <c r="C3311" s="141" t="s">
        <v>32</v>
      </c>
    </row>
    <row r="3312" spans="1:3" x14ac:dyDescent="0.35">
      <c r="A3312" s="141" t="s">
        <v>494</v>
      </c>
      <c r="B3312" s="141" t="s">
        <v>265</v>
      </c>
      <c r="C3312" s="141" t="s">
        <v>32</v>
      </c>
    </row>
    <row r="3313" spans="1:3" x14ac:dyDescent="0.35">
      <c r="A3313" s="141" t="s">
        <v>495</v>
      </c>
      <c r="B3313" s="141" t="s">
        <v>265</v>
      </c>
      <c r="C3313" s="141" t="s">
        <v>32</v>
      </c>
    </row>
    <row r="3314" spans="1:3" x14ac:dyDescent="0.35">
      <c r="A3314" s="141" t="s">
        <v>496</v>
      </c>
      <c r="B3314" s="141" t="s">
        <v>265</v>
      </c>
      <c r="C3314" s="141" t="s">
        <v>32</v>
      </c>
    </row>
    <row r="3315" spans="1:3" x14ac:dyDescent="0.35">
      <c r="A3315" s="141" t="s">
        <v>497</v>
      </c>
      <c r="B3315" s="141" t="s">
        <v>265</v>
      </c>
      <c r="C3315" s="141" t="s">
        <v>32</v>
      </c>
    </row>
    <row r="3316" spans="1:3" x14ac:dyDescent="0.35">
      <c r="A3316" s="141" t="s">
        <v>681</v>
      </c>
      <c r="B3316" s="141" t="s">
        <v>265</v>
      </c>
      <c r="C3316" s="141" t="s">
        <v>32</v>
      </c>
    </row>
    <row r="3317" spans="1:3" x14ac:dyDescent="0.35">
      <c r="A3317" s="141" t="s">
        <v>682</v>
      </c>
      <c r="B3317" s="141" t="s">
        <v>265</v>
      </c>
      <c r="C3317" s="141" t="s">
        <v>32</v>
      </c>
    </row>
    <row r="3318" spans="1:3" x14ac:dyDescent="0.35">
      <c r="A3318" s="141" t="s">
        <v>683</v>
      </c>
      <c r="B3318" s="141" t="s">
        <v>265</v>
      </c>
      <c r="C3318" s="141" t="s">
        <v>32</v>
      </c>
    </row>
    <row r="3319" spans="1:3" x14ac:dyDescent="0.35">
      <c r="A3319" s="141" t="s">
        <v>684</v>
      </c>
      <c r="B3319" s="141" t="s">
        <v>265</v>
      </c>
      <c r="C3319" s="141" t="s">
        <v>32</v>
      </c>
    </row>
    <row r="3320" spans="1:3" x14ac:dyDescent="0.35">
      <c r="A3320" s="141" t="s">
        <v>685</v>
      </c>
      <c r="B3320" s="141" t="s">
        <v>265</v>
      </c>
      <c r="C3320" s="141" t="s">
        <v>32</v>
      </c>
    </row>
    <row r="3321" spans="1:3" x14ac:dyDescent="0.35">
      <c r="A3321" s="141" t="s">
        <v>686</v>
      </c>
      <c r="B3321" s="141" t="s">
        <v>265</v>
      </c>
      <c r="C3321" s="141" t="s">
        <v>32</v>
      </c>
    </row>
    <row r="3322" spans="1:3" x14ac:dyDescent="0.35">
      <c r="A3322" s="141" t="s">
        <v>687</v>
      </c>
      <c r="B3322" s="141" t="s">
        <v>265</v>
      </c>
      <c r="C3322" s="141" t="s">
        <v>32</v>
      </c>
    </row>
    <row r="3323" spans="1:3" x14ac:dyDescent="0.35">
      <c r="A3323" s="141" t="s">
        <v>502</v>
      </c>
      <c r="B3323" s="141" t="s">
        <v>265</v>
      </c>
      <c r="C3323" s="141" t="s">
        <v>32</v>
      </c>
    </row>
    <row r="3324" spans="1:3" x14ac:dyDescent="0.35">
      <c r="A3324" s="141" t="s">
        <v>503</v>
      </c>
      <c r="B3324" s="141" t="s">
        <v>265</v>
      </c>
      <c r="C3324" s="141" t="s">
        <v>32</v>
      </c>
    </row>
    <row r="3325" spans="1:3" x14ac:dyDescent="0.35">
      <c r="A3325" s="141" t="s">
        <v>504</v>
      </c>
      <c r="B3325" s="141" t="s">
        <v>265</v>
      </c>
      <c r="C3325" s="141" t="s">
        <v>26</v>
      </c>
    </row>
    <row r="3326" spans="1:3" x14ac:dyDescent="0.35">
      <c r="A3326" s="141" t="s">
        <v>688</v>
      </c>
      <c r="B3326" s="141" t="s">
        <v>265</v>
      </c>
      <c r="C3326" s="141" t="s">
        <v>32</v>
      </c>
    </row>
    <row r="3327" spans="1:3" x14ac:dyDescent="0.35">
      <c r="A3327" s="141" t="s">
        <v>689</v>
      </c>
      <c r="B3327" s="141" t="s">
        <v>265</v>
      </c>
      <c r="C3327" s="141" t="s">
        <v>32</v>
      </c>
    </row>
    <row r="3328" spans="1:3" x14ac:dyDescent="0.35">
      <c r="A3328" s="141" t="s">
        <v>690</v>
      </c>
      <c r="B3328" s="141" t="s">
        <v>265</v>
      </c>
      <c r="C3328" s="141" t="s">
        <v>32</v>
      </c>
    </row>
    <row r="3329" spans="1:3" x14ac:dyDescent="0.35">
      <c r="A3329" s="141" t="s">
        <v>691</v>
      </c>
      <c r="B3329" s="141" t="s">
        <v>265</v>
      </c>
      <c r="C3329" s="141" t="s">
        <v>32</v>
      </c>
    </row>
    <row r="3330" spans="1:3" x14ac:dyDescent="0.35">
      <c r="A3330" s="141" t="s">
        <v>692</v>
      </c>
      <c r="B3330" s="141" t="s">
        <v>265</v>
      </c>
      <c r="C3330" s="141" t="s">
        <v>32</v>
      </c>
    </row>
    <row r="3331" spans="1:3" x14ac:dyDescent="0.35">
      <c r="A3331" s="141" t="s">
        <v>693</v>
      </c>
      <c r="B3331" s="141" t="s">
        <v>265</v>
      </c>
      <c r="C3331" s="141" t="s">
        <v>32</v>
      </c>
    </row>
    <row r="3332" spans="1:3" x14ac:dyDescent="0.35">
      <c r="A3332" s="141" t="s">
        <v>694</v>
      </c>
      <c r="B3332" s="141" t="s">
        <v>265</v>
      </c>
      <c r="C3332" s="141" t="s">
        <v>32</v>
      </c>
    </row>
    <row r="3333" spans="1:3" x14ac:dyDescent="0.35">
      <c r="A3333" s="141" t="s">
        <v>695</v>
      </c>
      <c r="B3333" s="141" t="s">
        <v>265</v>
      </c>
      <c r="C3333" s="141" t="s">
        <v>32</v>
      </c>
    </row>
    <row r="3334" spans="1:3" x14ac:dyDescent="0.35">
      <c r="A3334" s="141" t="s">
        <v>696</v>
      </c>
      <c r="B3334" s="141" t="s">
        <v>265</v>
      </c>
      <c r="C3334" s="141" t="s">
        <v>32</v>
      </c>
    </row>
    <row r="3335" spans="1:3" x14ac:dyDescent="0.35">
      <c r="A3335" s="141" t="s">
        <v>697</v>
      </c>
      <c r="B3335" s="141" t="s">
        <v>265</v>
      </c>
      <c r="C3335" s="141" t="s">
        <v>32</v>
      </c>
    </row>
    <row r="3336" spans="1:3" x14ac:dyDescent="0.35">
      <c r="A3336" s="141" t="s">
        <v>509</v>
      </c>
      <c r="B3336" s="141" t="s">
        <v>265</v>
      </c>
      <c r="C3336" s="141" t="s">
        <v>32</v>
      </c>
    </row>
    <row r="3337" spans="1:3" x14ac:dyDescent="0.35">
      <c r="A3337" s="141" t="s">
        <v>510</v>
      </c>
      <c r="B3337" s="141" t="s">
        <v>265</v>
      </c>
      <c r="C3337" s="141" t="s">
        <v>32</v>
      </c>
    </row>
    <row r="3338" spans="1:3" x14ac:dyDescent="0.35">
      <c r="A3338" s="141" t="s">
        <v>511</v>
      </c>
      <c r="B3338" s="141" t="s">
        <v>265</v>
      </c>
      <c r="C3338" s="141" t="s">
        <v>32</v>
      </c>
    </row>
    <row r="3339" spans="1:3" x14ac:dyDescent="0.35">
      <c r="A3339" s="141" t="s">
        <v>512</v>
      </c>
      <c r="B3339" s="141" t="s">
        <v>265</v>
      </c>
      <c r="C3339" s="141" t="s">
        <v>32</v>
      </c>
    </row>
    <row r="3340" spans="1:3" x14ac:dyDescent="0.35">
      <c r="A3340" s="141" t="s">
        <v>698</v>
      </c>
      <c r="B3340" s="141" t="s">
        <v>265</v>
      </c>
      <c r="C3340" s="141" t="s">
        <v>33</v>
      </c>
    </row>
    <row r="3341" spans="1:3" x14ac:dyDescent="0.35">
      <c r="A3341" s="141" t="s">
        <v>515</v>
      </c>
      <c r="B3341" s="141" t="s">
        <v>265</v>
      </c>
      <c r="C3341" s="141" t="s">
        <v>33</v>
      </c>
    </row>
    <row r="3342" spans="1:3" x14ac:dyDescent="0.35">
      <c r="A3342" s="141" t="s">
        <v>516</v>
      </c>
      <c r="B3342" s="141" t="s">
        <v>265</v>
      </c>
      <c r="C3342" s="141" t="s">
        <v>33</v>
      </c>
    </row>
    <row r="3343" spans="1:3" x14ac:dyDescent="0.35">
      <c r="A3343" s="141" t="s">
        <v>699</v>
      </c>
      <c r="B3343" s="141" t="s">
        <v>265</v>
      </c>
      <c r="C3343" s="141" t="s">
        <v>26</v>
      </c>
    </row>
    <row r="3344" spans="1:3" x14ac:dyDescent="0.35">
      <c r="A3344" s="141" t="s">
        <v>700</v>
      </c>
      <c r="B3344" s="141" t="s">
        <v>265</v>
      </c>
      <c r="C3344" s="141" t="s">
        <v>26</v>
      </c>
    </row>
    <row r="3345" spans="1:3" x14ac:dyDescent="0.35">
      <c r="A3345" s="141" t="s">
        <v>701</v>
      </c>
      <c r="B3345" s="141" t="s">
        <v>265</v>
      </c>
      <c r="C3345" s="141" t="s">
        <v>26</v>
      </c>
    </row>
    <row r="3346" spans="1:3" x14ac:dyDescent="0.35">
      <c r="A3346" s="141" t="s">
        <v>452</v>
      </c>
      <c r="B3346" s="141" t="s">
        <v>265</v>
      </c>
      <c r="C3346" s="141" t="s">
        <v>33</v>
      </c>
    </row>
    <row r="3347" spans="1:3" x14ac:dyDescent="0.35">
      <c r="A3347" s="141" t="s">
        <v>702</v>
      </c>
      <c r="B3347" s="141" t="s">
        <v>265</v>
      </c>
      <c r="C3347" s="141" t="s">
        <v>33</v>
      </c>
    </row>
    <row r="3348" spans="1:3" x14ac:dyDescent="0.35">
      <c r="A3348" s="141" t="s">
        <v>786</v>
      </c>
      <c r="B3348" s="141" t="s">
        <v>265</v>
      </c>
      <c r="C3348" s="141" t="s">
        <v>35</v>
      </c>
    </row>
    <row r="3349" spans="1:3" x14ac:dyDescent="0.35">
      <c r="A3349" s="141" t="s">
        <v>787</v>
      </c>
      <c r="B3349" s="141" t="s">
        <v>265</v>
      </c>
      <c r="C3349" s="141" t="s">
        <v>35</v>
      </c>
    </row>
    <row r="3350" spans="1:3" x14ac:dyDescent="0.35">
      <c r="A3350" s="141" t="s">
        <v>704</v>
      </c>
      <c r="B3350" s="141" t="s">
        <v>265</v>
      </c>
      <c r="C3350" s="141" t="s">
        <v>35</v>
      </c>
    </row>
    <row r="3351" spans="1:3" x14ac:dyDescent="0.35">
      <c r="A3351" s="141" t="s">
        <v>705</v>
      </c>
      <c r="B3351" s="141" t="s">
        <v>265</v>
      </c>
      <c r="C3351" s="141" t="s">
        <v>35</v>
      </c>
    </row>
    <row r="3352" spans="1:3" x14ac:dyDescent="0.35">
      <c r="A3352" s="141" t="s">
        <v>706</v>
      </c>
      <c r="B3352" s="141" t="s">
        <v>265</v>
      </c>
      <c r="C3352" s="141" t="s">
        <v>31</v>
      </c>
    </row>
    <row r="3353" spans="1:3" x14ac:dyDescent="0.35">
      <c r="A3353" s="141" t="s">
        <v>707</v>
      </c>
      <c r="B3353" s="141" t="s">
        <v>265</v>
      </c>
      <c r="C3353" s="141" t="s">
        <v>31</v>
      </c>
    </row>
    <row r="3354" spans="1:3" x14ac:dyDescent="0.35">
      <c r="A3354" s="141" t="s">
        <v>708</v>
      </c>
      <c r="B3354" s="141" t="s">
        <v>265</v>
      </c>
      <c r="C3354" s="141" t="s">
        <v>31</v>
      </c>
    </row>
    <row r="3355" spans="1:3" x14ac:dyDescent="0.35">
      <c r="A3355" s="141" t="s">
        <v>709</v>
      </c>
      <c r="B3355" s="141" t="s">
        <v>265</v>
      </c>
      <c r="C3355" s="141" t="s">
        <v>31</v>
      </c>
    </row>
    <row r="3356" spans="1:3" x14ac:dyDescent="0.35">
      <c r="A3356" s="141" t="s">
        <v>710</v>
      </c>
      <c r="B3356" s="141" t="s">
        <v>265</v>
      </c>
      <c r="C3356" s="141" t="s">
        <v>31</v>
      </c>
    </row>
    <row r="3357" spans="1:3" x14ac:dyDescent="0.35">
      <c r="A3357" s="141" t="s">
        <v>456</v>
      </c>
      <c r="B3357" s="141" t="s">
        <v>265</v>
      </c>
      <c r="C3357" s="141" t="s">
        <v>31</v>
      </c>
    </row>
    <row r="3358" spans="1:3" x14ac:dyDescent="0.35">
      <c r="A3358" s="141" t="s">
        <v>297</v>
      </c>
      <c r="B3358" s="141" t="s">
        <v>265</v>
      </c>
      <c r="C3358" s="141" t="s">
        <v>32</v>
      </c>
    </row>
    <row r="3359" spans="1:3" x14ac:dyDescent="0.35">
      <c r="A3359" s="141" t="s">
        <v>298</v>
      </c>
      <c r="B3359" s="141" t="s">
        <v>265</v>
      </c>
      <c r="C3359" s="141" t="s">
        <v>32</v>
      </c>
    </row>
    <row r="3360" spans="1:3" x14ac:dyDescent="0.35">
      <c r="A3360" s="141" t="s">
        <v>299</v>
      </c>
      <c r="B3360" s="141" t="s">
        <v>265</v>
      </c>
      <c r="C3360" s="141" t="s">
        <v>32</v>
      </c>
    </row>
    <row r="3361" spans="1:3" x14ac:dyDescent="0.35">
      <c r="A3361" s="141" t="s">
        <v>300</v>
      </c>
      <c r="B3361" s="141" t="s">
        <v>265</v>
      </c>
      <c r="C3361" s="141" t="s">
        <v>32</v>
      </c>
    </row>
    <row r="3362" spans="1:3" x14ac:dyDescent="0.35">
      <c r="A3362" s="141" t="s">
        <v>301</v>
      </c>
      <c r="B3362" s="141" t="s">
        <v>265</v>
      </c>
      <c r="C3362" s="141" t="s">
        <v>32</v>
      </c>
    </row>
    <row r="3363" spans="1:3" x14ac:dyDescent="0.35">
      <c r="A3363" s="141" t="s">
        <v>302</v>
      </c>
      <c r="B3363" s="141" t="s">
        <v>265</v>
      </c>
      <c r="C3363" s="141" t="s">
        <v>32</v>
      </c>
    </row>
    <row r="3364" spans="1:3" x14ac:dyDescent="0.35">
      <c r="A3364" s="141" t="s">
        <v>626</v>
      </c>
      <c r="B3364" s="141" t="s">
        <v>265</v>
      </c>
      <c r="C3364" s="141" t="s">
        <v>31</v>
      </c>
    </row>
    <row r="3365" spans="1:3" x14ac:dyDescent="0.35">
      <c r="A3365" s="141" t="s">
        <v>627</v>
      </c>
      <c r="B3365" s="141" t="s">
        <v>265</v>
      </c>
      <c r="C3365" s="141" t="s">
        <v>31</v>
      </c>
    </row>
    <row r="3366" spans="1:3" x14ac:dyDescent="0.35">
      <c r="A3366" s="141" t="s">
        <v>458</v>
      </c>
      <c r="B3366" s="141" t="s">
        <v>265</v>
      </c>
      <c r="C3366" s="141" t="s">
        <v>31</v>
      </c>
    </row>
    <row r="3367" spans="1:3" x14ac:dyDescent="0.35">
      <c r="A3367" s="141" t="s">
        <v>628</v>
      </c>
      <c r="B3367" s="141" t="s">
        <v>265</v>
      </c>
      <c r="C3367" s="141" t="s">
        <v>31</v>
      </c>
    </row>
    <row r="3368" spans="1:3" x14ac:dyDescent="0.35">
      <c r="A3368" s="141" t="s">
        <v>629</v>
      </c>
      <c r="B3368" s="141" t="s">
        <v>265</v>
      </c>
      <c r="C3368" s="141" t="s">
        <v>31</v>
      </c>
    </row>
    <row r="3369" spans="1:3" x14ac:dyDescent="0.35">
      <c r="A3369" s="141" t="s">
        <v>460</v>
      </c>
      <c r="B3369" s="141" t="s">
        <v>265</v>
      </c>
      <c r="C3369" s="141" t="s">
        <v>31</v>
      </c>
    </row>
    <row r="3370" spans="1:3" x14ac:dyDescent="0.35">
      <c r="A3370" s="141" t="s">
        <v>461</v>
      </c>
      <c r="B3370" s="141" t="s">
        <v>265</v>
      </c>
      <c r="C3370" s="141" t="s">
        <v>31</v>
      </c>
    </row>
    <row r="3371" spans="1:3" x14ac:dyDescent="0.35">
      <c r="A3371" s="141" t="s">
        <v>808</v>
      </c>
      <c r="B3371" s="141" t="s">
        <v>265</v>
      </c>
      <c r="C3371" s="141" t="s">
        <v>31</v>
      </c>
    </row>
    <row r="3372" spans="1:3" x14ac:dyDescent="0.35">
      <c r="A3372" s="141" t="s">
        <v>809</v>
      </c>
      <c r="B3372" s="141" t="s">
        <v>265</v>
      </c>
      <c r="C3372" s="141" t="s">
        <v>31</v>
      </c>
    </row>
    <row r="3373" spans="1:3" x14ac:dyDescent="0.35">
      <c r="A3373" s="141" t="s">
        <v>788</v>
      </c>
      <c r="B3373" s="141" t="s">
        <v>265</v>
      </c>
      <c r="C3373" s="141" t="s">
        <v>25</v>
      </c>
    </row>
    <row r="3374" spans="1:3" x14ac:dyDescent="0.35">
      <c r="A3374" s="141" t="s">
        <v>789</v>
      </c>
      <c r="B3374" s="141" t="s">
        <v>265</v>
      </c>
      <c r="C3374" s="141" t="s">
        <v>25</v>
      </c>
    </row>
    <row r="3375" spans="1:3" x14ac:dyDescent="0.35">
      <c r="A3375" s="141" t="s">
        <v>810</v>
      </c>
      <c r="B3375" s="141" t="s">
        <v>265</v>
      </c>
      <c r="C3375" s="141" t="s">
        <v>33</v>
      </c>
    </row>
    <row r="3376" spans="1:3" x14ac:dyDescent="0.35">
      <c r="A3376" s="141" t="s">
        <v>811</v>
      </c>
      <c r="B3376" s="141" t="s">
        <v>265</v>
      </c>
      <c r="C3376" s="141" t="s">
        <v>36</v>
      </c>
    </row>
    <row r="3377" spans="1:3" x14ac:dyDescent="0.35">
      <c r="A3377" s="141" t="s">
        <v>716</v>
      </c>
      <c r="B3377" s="141" t="s">
        <v>265</v>
      </c>
      <c r="C3377" s="141" t="s">
        <v>36</v>
      </c>
    </row>
    <row r="3378" spans="1:3" x14ac:dyDescent="0.35">
      <c r="A3378" s="141" t="s">
        <v>717</v>
      </c>
      <c r="B3378" s="141" t="s">
        <v>265</v>
      </c>
      <c r="C3378" s="141" t="s">
        <v>36</v>
      </c>
    </row>
    <row r="3379" spans="1:3" x14ac:dyDescent="0.35">
      <c r="A3379" s="141" t="s">
        <v>718</v>
      </c>
      <c r="B3379" s="141" t="s">
        <v>265</v>
      </c>
      <c r="C3379" s="141" t="s">
        <v>36</v>
      </c>
    </row>
    <row r="3380" spans="1:3" x14ac:dyDescent="0.35">
      <c r="A3380" s="141" t="s">
        <v>719</v>
      </c>
      <c r="B3380" s="141" t="s">
        <v>265</v>
      </c>
      <c r="C3380" s="141" t="s">
        <v>36</v>
      </c>
    </row>
    <row r="3381" spans="1:3" x14ac:dyDescent="0.35">
      <c r="A3381" s="141" t="s">
        <v>720</v>
      </c>
      <c r="B3381" s="141" t="s">
        <v>265</v>
      </c>
      <c r="C3381" s="141" t="s">
        <v>36</v>
      </c>
    </row>
    <row r="3382" spans="1:3" x14ac:dyDescent="0.35">
      <c r="A3382" s="141" t="s">
        <v>721</v>
      </c>
      <c r="B3382" s="141" t="s">
        <v>265</v>
      </c>
      <c r="C3382" s="141" t="s">
        <v>36</v>
      </c>
    </row>
    <row r="3383" spans="1:3" x14ac:dyDescent="0.35">
      <c r="A3383" s="141" t="s">
        <v>722</v>
      </c>
      <c r="B3383" s="141" t="s">
        <v>265</v>
      </c>
      <c r="C3383" s="141" t="s">
        <v>36</v>
      </c>
    </row>
    <row r="3384" spans="1:3" x14ac:dyDescent="0.35">
      <c r="A3384" s="141" t="s">
        <v>723</v>
      </c>
      <c r="B3384" s="141" t="s">
        <v>265</v>
      </c>
      <c r="C3384" s="141" t="s">
        <v>36</v>
      </c>
    </row>
    <row r="3385" spans="1:3" x14ac:dyDescent="0.35">
      <c r="A3385" s="141" t="s">
        <v>724</v>
      </c>
      <c r="B3385" s="141" t="s">
        <v>265</v>
      </c>
      <c r="C3385" s="141" t="s">
        <v>37</v>
      </c>
    </row>
    <row r="3386" spans="1:3" x14ac:dyDescent="0.35">
      <c r="A3386" s="141" t="s">
        <v>725</v>
      </c>
      <c r="B3386" s="141" t="s">
        <v>265</v>
      </c>
      <c r="C3386" s="141" t="s">
        <v>37</v>
      </c>
    </row>
    <row r="3387" spans="1:3" x14ac:dyDescent="0.35">
      <c r="A3387" s="141" t="s">
        <v>726</v>
      </c>
      <c r="B3387" s="141" t="s">
        <v>265</v>
      </c>
      <c r="C3387" s="141" t="s">
        <v>33</v>
      </c>
    </row>
    <row r="3388" spans="1:3" x14ac:dyDescent="0.35">
      <c r="A3388" s="141" t="s">
        <v>727</v>
      </c>
      <c r="B3388" s="141" t="s">
        <v>265</v>
      </c>
      <c r="C3388" s="141" t="s">
        <v>36</v>
      </c>
    </row>
    <row r="3389" spans="1:3" x14ac:dyDescent="0.35">
      <c r="A3389" s="141" t="s">
        <v>728</v>
      </c>
      <c r="B3389" s="141" t="s">
        <v>265</v>
      </c>
      <c r="C3389" s="141" t="s">
        <v>28</v>
      </c>
    </row>
    <row r="3390" spans="1:3" x14ac:dyDescent="0.35">
      <c r="A3390" s="141" t="s">
        <v>729</v>
      </c>
      <c r="B3390" s="141" t="s">
        <v>265</v>
      </c>
      <c r="C3390" s="141" t="s">
        <v>28</v>
      </c>
    </row>
    <row r="3391" spans="1:3" x14ac:dyDescent="0.35">
      <c r="A3391" s="141" t="s">
        <v>730</v>
      </c>
      <c r="B3391" s="141" t="s">
        <v>265</v>
      </c>
      <c r="C3391" s="141" t="s">
        <v>28</v>
      </c>
    </row>
    <row r="3392" spans="1:3" x14ac:dyDescent="0.35">
      <c r="A3392" s="141" t="s">
        <v>731</v>
      </c>
      <c r="B3392" s="141" t="s">
        <v>265</v>
      </c>
      <c r="C3392" s="141" t="s">
        <v>29</v>
      </c>
    </row>
    <row r="3393" spans="1:3" x14ac:dyDescent="0.35">
      <c r="A3393" s="141" t="s">
        <v>732</v>
      </c>
      <c r="B3393" s="141" t="s">
        <v>265</v>
      </c>
      <c r="C3393" s="141" t="s">
        <v>28</v>
      </c>
    </row>
    <row r="3394" spans="1:3" x14ac:dyDescent="0.35">
      <c r="A3394" s="141" t="s">
        <v>790</v>
      </c>
      <c r="B3394" s="141" t="s">
        <v>265</v>
      </c>
      <c r="C3394" s="141" t="s">
        <v>33</v>
      </c>
    </row>
    <row r="3395" spans="1:3" x14ac:dyDescent="0.35">
      <c r="A3395" s="141" t="s">
        <v>791</v>
      </c>
      <c r="B3395" s="141" t="s">
        <v>265</v>
      </c>
      <c r="C3395" s="141" t="s">
        <v>33</v>
      </c>
    </row>
    <row r="3396" spans="1:3" x14ac:dyDescent="0.35">
      <c r="A3396" s="141" t="s">
        <v>734</v>
      </c>
      <c r="B3396" s="141" t="s">
        <v>265</v>
      </c>
      <c r="C3396" s="141" t="s">
        <v>33</v>
      </c>
    </row>
    <row r="3397" spans="1:3" x14ac:dyDescent="0.35">
      <c r="A3397" s="141" t="s">
        <v>570</v>
      </c>
      <c r="B3397" s="141" t="s">
        <v>265</v>
      </c>
      <c r="C3397" s="141" t="s">
        <v>52</v>
      </c>
    </row>
    <row r="3398" spans="1:3" x14ac:dyDescent="0.35">
      <c r="A3398" s="141" t="s">
        <v>792</v>
      </c>
      <c r="B3398" s="141" t="s">
        <v>265</v>
      </c>
      <c r="C3398" s="141" t="s">
        <v>52</v>
      </c>
    </row>
    <row r="3399" spans="1:3" x14ac:dyDescent="0.35">
      <c r="A3399" s="141" t="s">
        <v>449</v>
      </c>
      <c r="B3399" s="141" t="s">
        <v>265</v>
      </c>
      <c r="C3399" s="141" t="s">
        <v>52</v>
      </c>
    </row>
    <row r="3400" spans="1:3" x14ac:dyDescent="0.35">
      <c r="A3400" s="141" t="s">
        <v>793</v>
      </c>
      <c r="B3400" s="141" t="s">
        <v>265</v>
      </c>
      <c r="C3400" s="141" t="s">
        <v>52</v>
      </c>
    </row>
    <row r="3401" spans="1:3" x14ac:dyDescent="0.35">
      <c r="A3401" s="141" t="s">
        <v>794</v>
      </c>
      <c r="B3401" s="141" t="s">
        <v>265</v>
      </c>
      <c r="C3401" s="141" t="s">
        <v>52</v>
      </c>
    </row>
    <row r="3402" spans="1:3" x14ac:dyDescent="0.35">
      <c r="A3402" s="141" t="s">
        <v>304</v>
      </c>
      <c r="B3402" s="141" t="s">
        <v>265</v>
      </c>
      <c r="C3402" s="142"/>
    </row>
    <row r="3403" spans="1:3" x14ac:dyDescent="0.35">
      <c r="A3403" s="141" t="s">
        <v>795</v>
      </c>
      <c r="B3403" s="141" t="s">
        <v>265</v>
      </c>
      <c r="C3403" s="142"/>
    </row>
    <row r="3404" spans="1:3" x14ac:dyDescent="0.35">
      <c r="A3404" s="141" t="s">
        <v>796</v>
      </c>
      <c r="B3404" s="141" t="s">
        <v>265</v>
      </c>
      <c r="C3404" s="142"/>
    </row>
    <row r="3405" spans="1:3" x14ac:dyDescent="0.35">
      <c r="A3405" s="141" t="s">
        <v>601</v>
      </c>
      <c r="B3405" s="141" t="s">
        <v>265</v>
      </c>
      <c r="C3405" s="141" t="s">
        <v>40</v>
      </c>
    </row>
    <row r="3406" spans="1:3" x14ac:dyDescent="0.35">
      <c r="A3406" s="141" t="s">
        <v>602</v>
      </c>
      <c r="B3406" s="141" t="s">
        <v>265</v>
      </c>
      <c r="C3406" s="141" t="s">
        <v>39</v>
      </c>
    </row>
    <row r="3407" spans="1:3" x14ac:dyDescent="0.35">
      <c r="A3407" s="141" t="s">
        <v>735</v>
      </c>
      <c r="B3407" s="141" t="s">
        <v>265</v>
      </c>
      <c r="C3407" s="141" t="s">
        <v>41</v>
      </c>
    </row>
    <row r="3408" spans="1:3" x14ac:dyDescent="0.35">
      <c r="A3408" s="141" t="s">
        <v>736</v>
      </c>
      <c r="B3408" s="141" t="s">
        <v>265</v>
      </c>
      <c r="C3408" s="141" t="s">
        <v>41</v>
      </c>
    </row>
    <row r="3409" spans="1:3" x14ac:dyDescent="0.35">
      <c r="A3409" s="141" t="s">
        <v>737</v>
      </c>
      <c r="B3409" s="141" t="s">
        <v>265</v>
      </c>
      <c r="C3409" s="141" t="s">
        <v>41</v>
      </c>
    </row>
    <row r="3410" spans="1:3" x14ac:dyDescent="0.35">
      <c r="A3410" s="141" t="s">
        <v>738</v>
      </c>
      <c r="B3410" s="141" t="s">
        <v>265</v>
      </c>
      <c r="C3410" s="141" t="s">
        <v>41</v>
      </c>
    </row>
    <row r="3411" spans="1:3" x14ac:dyDescent="0.35">
      <c r="A3411" s="141" t="s">
        <v>797</v>
      </c>
      <c r="B3411" s="141" t="s">
        <v>265</v>
      </c>
      <c r="C3411" s="141" t="s">
        <v>41</v>
      </c>
    </row>
    <row r="3412" spans="1:3" x14ac:dyDescent="0.35">
      <c r="A3412" s="141" t="s">
        <v>798</v>
      </c>
      <c r="B3412" s="141" t="s">
        <v>265</v>
      </c>
      <c r="C3412" s="141" t="s">
        <v>40</v>
      </c>
    </row>
    <row r="3413" spans="1:3" x14ac:dyDescent="0.35">
      <c r="A3413" s="141" t="s">
        <v>799</v>
      </c>
      <c r="B3413" s="141" t="s">
        <v>265</v>
      </c>
      <c r="C3413" s="141" t="s">
        <v>40</v>
      </c>
    </row>
    <row r="3414" spans="1:3" x14ac:dyDescent="0.35">
      <c r="A3414" s="141" t="s">
        <v>807</v>
      </c>
      <c r="B3414" s="141" t="s">
        <v>265</v>
      </c>
      <c r="C3414" s="141" t="s">
        <v>3</v>
      </c>
    </row>
    <row r="3415" spans="1:3" x14ac:dyDescent="0.35">
      <c r="A3415" s="141" t="s">
        <v>739</v>
      </c>
      <c r="B3415" s="141" t="s">
        <v>265</v>
      </c>
      <c r="C3415" s="141" t="s">
        <v>52</v>
      </c>
    </row>
    <row r="3416" spans="1:3" x14ac:dyDescent="0.35">
      <c r="A3416" s="141" t="s">
        <v>800</v>
      </c>
      <c r="B3416" s="141" t="s">
        <v>265</v>
      </c>
      <c r="C3416" s="141" t="s">
        <v>21</v>
      </c>
    </row>
    <row r="3417" spans="1:3" x14ac:dyDescent="0.35">
      <c r="A3417" s="141" t="s">
        <v>306</v>
      </c>
      <c r="B3417" s="141" t="s">
        <v>265</v>
      </c>
      <c r="C3417" s="141" t="s">
        <v>35</v>
      </c>
    </row>
    <row r="3418" spans="1:3" x14ac:dyDescent="0.35">
      <c r="A3418" s="141" t="s">
        <v>740</v>
      </c>
      <c r="B3418" s="141" t="s">
        <v>265</v>
      </c>
      <c r="C3418" s="141" t="s">
        <v>33</v>
      </c>
    </row>
    <row r="3419" spans="1:3" x14ac:dyDescent="0.35">
      <c r="A3419" s="141" t="s">
        <v>550</v>
      </c>
      <c r="B3419" s="141" t="s">
        <v>265</v>
      </c>
      <c r="C3419" s="141" t="s">
        <v>33</v>
      </c>
    </row>
    <row r="3420" spans="1:3" x14ac:dyDescent="0.35">
      <c r="A3420" s="141" t="s">
        <v>551</v>
      </c>
      <c r="B3420" s="141" t="s">
        <v>265</v>
      </c>
      <c r="C3420" s="141" t="s">
        <v>33</v>
      </c>
    </row>
    <row r="3421" spans="1:3" x14ac:dyDescent="0.35">
      <c r="A3421" s="141" t="s">
        <v>307</v>
      </c>
      <c r="B3421" s="141" t="s">
        <v>265</v>
      </c>
      <c r="C3421" s="141" t="s">
        <v>33</v>
      </c>
    </row>
    <row r="3422" spans="1:3" x14ac:dyDescent="0.35">
      <c r="A3422" s="141" t="s">
        <v>427</v>
      </c>
      <c r="B3422" s="141" t="s">
        <v>265</v>
      </c>
      <c r="C3422" s="141" t="s">
        <v>27</v>
      </c>
    </row>
    <row r="3423" spans="1:3" x14ac:dyDescent="0.35">
      <c r="A3423" s="141" t="s">
        <v>428</v>
      </c>
      <c r="B3423" s="141" t="s">
        <v>265</v>
      </c>
      <c r="C3423" s="141" t="s">
        <v>27</v>
      </c>
    </row>
    <row r="3424" spans="1:3" x14ac:dyDescent="0.35">
      <c r="A3424" s="141" t="s">
        <v>429</v>
      </c>
      <c r="B3424" s="141" t="s">
        <v>265</v>
      </c>
      <c r="C3424" s="141" t="s">
        <v>27</v>
      </c>
    </row>
    <row r="3425" spans="1:3" x14ac:dyDescent="0.35">
      <c r="A3425" s="141" t="s">
        <v>817</v>
      </c>
      <c r="B3425" s="141" t="s">
        <v>265</v>
      </c>
      <c r="C3425" s="141" t="s">
        <v>27</v>
      </c>
    </row>
    <row r="3426" spans="1:3" x14ac:dyDescent="0.35">
      <c r="A3426" s="141" t="s">
        <v>431</v>
      </c>
      <c r="B3426" s="141" t="s">
        <v>265</v>
      </c>
      <c r="C3426" s="141" t="s">
        <v>27</v>
      </c>
    </row>
    <row r="3427" spans="1:3" x14ac:dyDescent="0.35">
      <c r="A3427" s="141" t="s">
        <v>534</v>
      </c>
      <c r="B3427" s="141" t="s">
        <v>265</v>
      </c>
      <c r="C3427" s="141" t="s">
        <v>53</v>
      </c>
    </row>
    <row r="3428" spans="1:3" x14ac:dyDescent="0.35">
      <c r="A3428" s="141" t="s">
        <v>801</v>
      </c>
      <c r="B3428" s="141" t="s">
        <v>265</v>
      </c>
      <c r="C3428" s="141" t="s">
        <v>52</v>
      </c>
    </row>
    <row r="3429" spans="1:3" x14ac:dyDescent="0.35">
      <c r="A3429" s="141" t="s">
        <v>531</v>
      </c>
      <c r="B3429" s="141" t="s">
        <v>265</v>
      </c>
      <c r="C3429" s="141" t="s">
        <v>51</v>
      </c>
    </row>
    <row r="3430" spans="1:3" x14ac:dyDescent="0.35">
      <c r="A3430" s="141" t="s">
        <v>741</v>
      </c>
      <c r="B3430" s="141" t="s">
        <v>265</v>
      </c>
      <c r="C3430" s="141" t="s">
        <v>51</v>
      </c>
    </row>
    <row r="3431" spans="1:3" x14ac:dyDescent="0.35">
      <c r="A3431" s="141" t="s">
        <v>742</v>
      </c>
      <c r="B3431" s="141" t="s">
        <v>265</v>
      </c>
      <c r="C3431" s="141" t="s">
        <v>51</v>
      </c>
    </row>
    <row r="3432" spans="1:3" x14ac:dyDescent="0.35">
      <c r="A3432" s="141" t="s">
        <v>743</v>
      </c>
      <c r="B3432" s="141" t="s">
        <v>265</v>
      </c>
      <c r="C3432" s="141" t="s">
        <v>51</v>
      </c>
    </row>
    <row r="3433" spans="1:3" x14ac:dyDescent="0.35">
      <c r="A3433" s="141" t="s">
        <v>747</v>
      </c>
      <c r="B3433" s="141" t="s">
        <v>265</v>
      </c>
      <c r="C3433" s="141" t="s">
        <v>51</v>
      </c>
    </row>
    <row r="3434" spans="1:3" x14ac:dyDescent="0.35">
      <c r="A3434" s="141" t="s">
        <v>748</v>
      </c>
      <c r="B3434" s="141" t="s">
        <v>265</v>
      </c>
      <c r="C3434" s="141" t="s">
        <v>51</v>
      </c>
    </row>
    <row r="3435" spans="1:3" x14ac:dyDescent="0.35">
      <c r="A3435" s="141" t="s">
        <v>313</v>
      </c>
      <c r="B3435" s="141" t="s">
        <v>265</v>
      </c>
      <c r="C3435" s="141" t="s">
        <v>51</v>
      </c>
    </row>
    <row r="3436" spans="1:3" x14ac:dyDescent="0.35">
      <c r="A3436" s="141" t="s">
        <v>533</v>
      </c>
      <c r="B3436" s="141" t="s">
        <v>265</v>
      </c>
      <c r="C3436" s="141" t="s">
        <v>50</v>
      </c>
    </row>
    <row r="3437" spans="1:3" x14ac:dyDescent="0.35">
      <c r="A3437" s="141" t="s">
        <v>542</v>
      </c>
      <c r="B3437" s="141" t="s">
        <v>265</v>
      </c>
      <c r="C3437" s="141" t="s">
        <v>52</v>
      </c>
    </row>
    <row r="3438" spans="1:3" x14ac:dyDescent="0.35">
      <c r="A3438" s="141" t="s">
        <v>543</v>
      </c>
      <c r="B3438" s="141" t="s">
        <v>265</v>
      </c>
      <c r="C3438" s="141" t="s">
        <v>52</v>
      </c>
    </row>
    <row r="3439" spans="1:3" x14ac:dyDescent="0.35">
      <c r="A3439" s="141" t="s">
        <v>577</v>
      </c>
      <c r="B3439" s="141" t="s">
        <v>265</v>
      </c>
      <c r="C3439" s="141" t="s">
        <v>52</v>
      </c>
    </row>
    <row r="3440" spans="1:3" x14ac:dyDescent="0.35">
      <c r="A3440" s="141" t="s">
        <v>578</v>
      </c>
      <c r="B3440" s="141" t="s">
        <v>265</v>
      </c>
      <c r="C3440" s="141" t="s">
        <v>52</v>
      </c>
    </row>
    <row r="3441" spans="1:3" x14ac:dyDescent="0.35">
      <c r="A3441" s="141" t="s">
        <v>535</v>
      </c>
      <c r="B3441" s="141" t="s">
        <v>265</v>
      </c>
      <c r="C3441" s="141" t="s">
        <v>52</v>
      </c>
    </row>
    <row r="3442" spans="1:3" x14ac:dyDescent="0.35">
      <c r="A3442" s="141" t="s">
        <v>536</v>
      </c>
      <c r="B3442" s="141" t="s">
        <v>265</v>
      </c>
      <c r="C3442" s="141" t="s">
        <v>52</v>
      </c>
    </row>
    <row r="3443" spans="1:3" x14ac:dyDescent="0.35">
      <c r="A3443" s="141" t="s">
        <v>537</v>
      </c>
      <c r="B3443" s="141" t="s">
        <v>265</v>
      </c>
      <c r="C3443" s="141" t="s">
        <v>52</v>
      </c>
    </row>
    <row r="3444" spans="1:3" x14ac:dyDescent="0.35">
      <c r="A3444" s="141" t="s">
        <v>538</v>
      </c>
      <c r="B3444" s="141" t="s">
        <v>265</v>
      </c>
      <c r="C3444" s="141" t="s">
        <v>52</v>
      </c>
    </row>
    <row r="3445" spans="1:3" x14ac:dyDescent="0.35">
      <c r="A3445" s="141" t="s">
        <v>539</v>
      </c>
      <c r="B3445" s="141" t="s">
        <v>265</v>
      </c>
      <c r="C3445" s="141" t="s">
        <v>52</v>
      </c>
    </row>
    <row r="3446" spans="1:3" x14ac:dyDescent="0.35">
      <c r="A3446" s="141" t="s">
        <v>540</v>
      </c>
      <c r="B3446" s="141" t="s">
        <v>265</v>
      </c>
      <c r="C3446" s="141" t="s">
        <v>52</v>
      </c>
    </row>
    <row r="3447" spans="1:3" x14ac:dyDescent="0.35">
      <c r="A3447" s="141" t="s">
        <v>812</v>
      </c>
      <c r="B3447" s="141" t="s">
        <v>265</v>
      </c>
      <c r="C3447" s="141" t="s">
        <v>52</v>
      </c>
    </row>
    <row r="3448" spans="1:3" x14ac:dyDescent="0.35">
      <c r="A3448" s="141" t="s">
        <v>803</v>
      </c>
      <c r="B3448" s="141" t="s">
        <v>265</v>
      </c>
      <c r="C3448" s="141" t="s">
        <v>52</v>
      </c>
    </row>
    <row r="3449" spans="1:3" x14ac:dyDescent="0.35">
      <c r="A3449" s="141" t="s">
        <v>575</v>
      </c>
      <c r="B3449" s="141" t="s">
        <v>265</v>
      </c>
      <c r="C3449" s="141" t="s">
        <v>52</v>
      </c>
    </row>
    <row r="3450" spans="1:3" x14ac:dyDescent="0.35">
      <c r="A3450" s="141" t="s">
        <v>639</v>
      </c>
      <c r="B3450" s="141" t="s">
        <v>265</v>
      </c>
      <c r="C3450" s="141" t="s">
        <v>25</v>
      </c>
    </row>
    <row r="3451" spans="1:3" x14ac:dyDescent="0.35">
      <c r="A3451" s="141" t="s">
        <v>640</v>
      </c>
      <c r="B3451" s="141" t="s">
        <v>265</v>
      </c>
      <c r="C3451" s="141" t="s">
        <v>25</v>
      </c>
    </row>
    <row r="3452" spans="1:3" x14ac:dyDescent="0.35">
      <c r="A3452" s="141" t="s">
        <v>744</v>
      </c>
      <c r="B3452" s="141" t="s">
        <v>265</v>
      </c>
      <c r="C3452" s="141" t="s">
        <v>52</v>
      </c>
    </row>
    <row r="3453" spans="1:3" x14ac:dyDescent="0.35">
      <c r="A3453" s="141" t="s">
        <v>544</v>
      </c>
      <c r="B3453" s="141" t="s">
        <v>265</v>
      </c>
      <c r="C3453" s="141" t="s">
        <v>33</v>
      </c>
    </row>
    <row r="3454" spans="1:3" x14ac:dyDescent="0.35">
      <c r="A3454" s="141" t="s">
        <v>804</v>
      </c>
      <c r="B3454" s="141" t="s">
        <v>265</v>
      </c>
      <c r="C3454" s="141" t="s">
        <v>53</v>
      </c>
    </row>
    <row r="3455" spans="1:3" x14ac:dyDescent="0.35">
      <c r="A3455" s="141" t="s">
        <v>805</v>
      </c>
      <c r="B3455" s="141" t="s">
        <v>265</v>
      </c>
      <c r="C3455" s="141" t="s">
        <v>52</v>
      </c>
    </row>
    <row r="3456" spans="1:3" x14ac:dyDescent="0.35">
      <c r="A3456" s="141" t="s">
        <v>546</v>
      </c>
      <c r="B3456" s="141" t="s">
        <v>265</v>
      </c>
      <c r="C3456" s="141" t="s">
        <v>52</v>
      </c>
    </row>
    <row r="3457" spans="1:3" x14ac:dyDescent="0.35">
      <c r="A3457" s="141" t="s">
        <v>547</v>
      </c>
      <c r="B3457" s="141" t="s">
        <v>265</v>
      </c>
      <c r="C3457" s="141" t="s">
        <v>52</v>
      </c>
    </row>
    <row r="3458" spans="1:3" x14ac:dyDescent="0.35">
      <c r="A3458" s="141" t="s">
        <v>314</v>
      </c>
      <c r="B3458" s="141" t="s">
        <v>265</v>
      </c>
      <c r="C3458" s="141" t="s">
        <v>16</v>
      </c>
    </row>
    <row r="3459" spans="1:3" x14ac:dyDescent="0.35">
      <c r="A3459" s="141" t="s">
        <v>315</v>
      </c>
      <c r="B3459" s="141" t="s">
        <v>265</v>
      </c>
      <c r="C3459" s="141" t="s">
        <v>16</v>
      </c>
    </row>
    <row r="3460" spans="1:3" x14ac:dyDescent="0.35">
      <c r="A3460" s="141" t="s">
        <v>316</v>
      </c>
      <c r="B3460" s="141" t="s">
        <v>265</v>
      </c>
      <c r="C3460" s="141" t="s">
        <v>16</v>
      </c>
    </row>
    <row r="3461" spans="1:3" x14ac:dyDescent="0.35">
      <c r="A3461" s="141" t="s">
        <v>317</v>
      </c>
      <c r="B3461" s="141" t="s">
        <v>265</v>
      </c>
      <c r="C3461" s="141" t="s">
        <v>16</v>
      </c>
    </row>
    <row r="3462" spans="1:3" x14ac:dyDescent="0.35">
      <c r="A3462" s="141" t="s">
        <v>318</v>
      </c>
      <c r="B3462" s="141" t="s">
        <v>265</v>
      </c>
      <c r="C3462" s="141" t="s">
        <v>16</v>
      </c>
    </row>
    <row r="3463" spans="1:3" x14ac:dyDescent="0.35">
      <c r="A3463" s="141" t="s">
        <v>319</v>
      </c>
      <c r="B3463" s="141" t="s">
        <v>265</v>
      </c>
      <c r="C3463" s="141" t="s">
        <v>16</v>
      </c>
    </row>
    <row r="3464" spans="1:3" x14ac:dyDescent="0.35">
      <c r="A3464" s="141" t="s">
        <v>320</v>
      </c>
      <c r="B3464" s="141" t="s">
        <v>265</v>
      </c>
      <c r="C3464" s="141" t="s">
        <v>16</v>
      </c>
    </row>
    <row r="3465" spans="1:3" x14ac:dyDescent="0.35">
      <c r="A3465" s="141" t="s">
        <v>322</v>
      </c>
      <c r="B3465" s="141" t="s">
        <v>265</v>
      </c>
      <c r="C3465" s="141" t="s">
        <v>16</v>
      </c>
    </row>
    <row r="3466" spans="1:3" x14ac:dyDescent="0.35">
      <c r="A3466" s="141" t="s">
        <v>324</v>
      </c>
      <c r="B3466" s="141" t="s">
        <v>265</v>
      </c>
      <c r="C3466" s="141" t="s">
        <v>16</v>
      </c>
    </row>
    <row r="3467" spans="1:3" x14ac:dyDescent="0.35">
      <c r="A3467" s="141" t="s">
        <v>325</v>
      </c>
      <c r="B3467" s="141" t="s">
        <v>265</v>
      </c>
      <c r="C3467" s="141" t="s">
        <v>16</v>
      </c>
    </row>
    <row r="3468" spans="1:3" x14ac:dyDescent="0.35">
      <c r="A3468" s="141" t="s">
        <v>326</v>
      </c>
      <c r="B3468" s="141" t="s">
        <v>265</v>
      </c>
      <c r="C3468" s="141" t="s">
        <v>16</v>
      </c>
    </row>
    <row r="3469" spans="1:3" x14ac:dyDescent="0.35">
      <c r="A3469" s="141" t="s">
        <v>327</v>
      </c>
      <c r="B3469" s="141" t="s">
        <v>265</v>
      </c>
      <c r="C3469" s="141" t="s">
        <v>16</v>
      </c>
    </row>
    <row r="3470" spans="1:3" x14ac:dyDescent="0.35">
      <c r="A3470" s="141" t="s">
        <v>328</v>
      </c>
      <c r="B3470" s="141" t="s">
        <v>265</v>
      </c>
      <c r="C3470" s="141" t="s">
        <v>16</v>
      </c>
    </row>
    <row r="3471" spans="1:3" x14ac:dyDescent="0.35">
      <c r="A3471" s="141" t="s">
        <v>329</v>
      </c>
      <c r="B3471" s="141" t="s">
        <v>265</v>
      </c>
      <c r="C3471" s="141" t="s">
        <v>16</v>
      </c>
    </row>
    <row r="3472" spans="1:3" x14ac:dyDescent="0.35">
      <c r="A3472" s="141" t="s">
        <v>331</v>
      </c>
      <c r="B3472" s="141" t="s">
        <v>265</v>
      </c>
      <c r="C3472" s="141" t="s">
        <v>16</v>
      </c>
    </row>
    <row r="3473" spans="1:3" x14ac:dyDescent="0.35">
      <c r="A3473" s="141" t="s">
        <v>332</v>
      </c>
      <c r="B3473" s="141" t="s">
        <v>265</v>
      </c>
      <c r="C3473" s="141" t="s">
        <v>16</v>
      </c>
    </row>
    <row r="3474" spans="1:3" x14ac:dyDescent="0.35">
      <c r="A3474" s="141" t="s">
        <v>333</v>
      </c>
      <c r="B3474" s="141" t="s">
        <v>265</v>
      </c>
      <c r="C3474" s="141" t="s">
        <v>16</v>
      </c>
    </row>
    <row r="3475" spans="1:3" x14ac:dyDescent="0.35">
      <c r="A3475" s="141" t="s">
        <v>334</v>
      </c>
      <c r="B3475" s="141" t="s">
        <v>265</v>
      </c>
      <c r="C3475" s="141" t="s">
        <v>16</v>
      </c>
    </row>
    <row r="3476" spans="1:3" x14ac:dyDescent="0.35">
      <c r="A3476" s="141" t="s">
        <v>335</v>
      </c>
      <c r="B3476" s="141" t="s">
        <v>265</v>
      </c>
      <c r="C3476" s="141" t="s">
        <v>16</v>
      </c>
    </row>
    <row r="3477" spans="1:3" x14ac:dyDescent="0.35">
      <c r="A3477" s="141" t="s">
        <v>336</v>
      </c>
      <c r="B3477" s="141" t="s">
        <v>265</v>
      </c>
      <c r="C3477" s="141" t="s">
        <v>16</v>
      </c>
    </row>
    <row r="3478" spans="1:3" x14ac:dyDescent="0.35">
      <c r="A3478" s="141" t="s">
        <v>806</v>
      </c>
      <c r="B3478" s="141" t="s">
        <v>265</v>
      </c>
      <c r="C3478" s="141" t="s">
        <v>32</v>
      </c>
    </row>
    <row r="3479" spans="1:3" x14ac:dyDescent="0.35">
      <c r="A3479" s="141" t="s">
        <v>579</v>
      </c>
      <c r="B3479" s="141" t="s">
        <v>265</v>
      </c>
      <c r="C3479" s="141" t="s">
        <v>32</v>
      </c>
    </row>
    <row r="3480" spans="1:3" x14ac:dyDescent="0.35">
      <c r="A3480" s="141" t="s">
        <v>556</v>
      </c>
      <c r="B3480" s="141" t="s">
        <v>265</v>
      </c>
      <c r="C3480" s="141" t="s">
        <v>32</v>
      </c>
    </row>
    <row r="3481" spans="1:3" x14ac:dyDescent="0.35">
      <c r="A3481" s="141" t="s">
        <v>557</v>
      </c>
      <c r="B3481" s="141" t="s">
        <v>265</v>
      </c>
      <c r="C3481" s="141" t="s">
        <v>32</v>
      </c>
    </row>
    <row r="3482" spans="1:3" x14ac:dyDescent="0.35">
      <c r="A3482" s="141" t="s">
        <v>558</v>
      </c>
      <c r="B3482" s="141" t="s">
        <v>265</v>
      </c>
      <c r="C3482" s="141" t="s">
        <v>32</v>
      </c>
    </row>
    <row r="3483" spans="1:3" x14ac:dyDescent="0.35">
      <c r="A3483" s="141" t="s">
        <v>580</v>
      </c>
      <c r="B3483" s="141" t="s">
        <v>265</v>
      </c>
      <c r="C3483" s="141" t="s">
        <v>32</v>
      </c>
    </row>
    <row r="3484" spans="1:3" x14ac:dyDescent="0.35">
      <c r="A3484" s="141" t="s">
        <v>611</v>
      </c>
      <c r="B3484" s="141" t="s">
        <v>265</v>
      </c>
      <c r="C3484" s="141" t="s">
        <v>43</v>
      </c>
    </row>
    <row r="3485" spans="1:3" x14ac:dyDescent="0.35">
      <c r="A3485" s="141" t="s">
        <v>612</v>
      </c>
      <c r="B3485" s="141" t="s">
        <v>265</v>
      </c>
      <c r="C3485" s="141" t="s">
        <v>43</v>
      </c>
    </row>
    <row r="3486" spans="1:3" x14ac:dyDescent="0.35">
      <c r="A3486" s="141" t="s">
        <v>613</v>
      </c>
      <c r="B3486" s="141" t="s">
        <v>265</v>
      </c>
      <c r="C3486" s="141" t="s">
        <v>43</v>
      </c>
    </row>
    <row r="3487" spans="1:3" x14ac:dyDescent="0.35">
      <c r="A3487" s="141" t="s">
        <v>614</v>
      </c>
      <c r="B3487" s="141" t="s">
        <v>265</v>
      </c>
      <c r="C3487" s="141" t="s">
        <v>43</v>
      </c>
    </row>
    <row r="3488" spans="1:3" x14ac:dyDescent="0.35">
      <c r="A3488" s="141" t="s">
        <v>615</v>
      </c>
      <c r="B3488" s="141" t="s">
        <v>265</v>
      </c>
      <c r="C3488" s="141" t="s">
        <v>43</v>
      </c>
    </row>
    <row r="3489" spans="1:3" x14ac:dyDescent="0.35">
      <c r="A3489" s="141" t="s">
        <v>616</v>
      </c>
      <c r="B3489" s="141" t="s">
        <v>265</v>
      </c>
      <c r="C3489" s="141" t="s">
        <v>43</v>
      </c>
    </row>
    <row r="3490" spans="1:3" x14ac:dyDescent="0.35">
      <c r="A3490" s="141" t="s">
        <v>617</v>
      </c>
      <c r="B3490" s="141" t="s">
        <v>265</v>
      </c>
      <c r="C3490" s="141" t="s">
        <v>43</v>
      </c>
    </row>
    <row r="3491" spans="1:3" x14ac:dyDescent="0.35">
      <c r="A3491" s="141" t="s">
        <v>605</v>
      </c>
      <c r="B3491" s="141" t="s">
        <v>265</v>
      </c>
      <c r="C3491" s="141" t="s">
        <v>43</v>
      </c>
    </row>
    <row r="3492" spans="1:3" x14ac:dyDescent="0.35">
      <c r="A3492" s="141" t="s">
        <v>606</v>
      </c>
      <c r="B3492" s="141" t="s">
        <v>265</v>
      </c>
      <c r="C3492" s="141" t="s">
        <v>43</v>
      </c>
    </row>
    <row r="3493" spans="1:3" x14ac:dyDescent="0.35">
      <c r="A3493" s="141" t="s">
        <v>607</v>
      </c>
      <c r="B3493" s="141" t="s">
        <v>265</v>
      </c>
      <c r="C3493" s="141" t="s">
        <v>43</v>
      </c>
    </row>
    <row r="3494" spans="1:3" x14ac:dyDescent="0.35">
      <c r="A3494" s="141" t="s">
        <v>608</v>
      </c>
      <c r="B3494" s="141" t="s">
        <v>265</v>
      </c>
      <c r="C3494" s="141" t="s">
        <v>43</v>
      </c>
    </row>
    <row r="3495" spans="1:3" x14ac:dyDescent="0.35">
      <c r="A3495" s="141" t="s">
        <v>609</v>
      </c>
      <c r="B3495" s="141" t="s">
        <v>265</v>
      </c>
      <c r="C3495" s="141" t="s">
        <v>43</v>
      </c>
    </row>
    <row r="3496" spans="1:3" x14ac:dyDescent="0.35">
      <c r="A3496" s="141" t="s">
        <v>610</v>
      </c>
      <c r="B3496" s="141" t="s">
        <v>265</v>
      </c>
      <c r="C3496" s="141" t="s">
        <v>43</v>
      </c>
    </row>
    <row r="3497" spans="1:3" x14ac:dyDescent="0.35">
      <c r="A3497" s="141" t="s">
        <v>618</v>
      </c>
      <c r="B3497" s="141" t="s">
        <v>265</v>
      </c>
      <c r="C3497" s="141" t="s">
        <v>43</v>
      </c>
    </row>
    <row r="3498" spans="1:3" x14ac:dyDescent="0.35">
      <c r="A3498" s="141" t="s">
        <v>559</v>
      </c>
      <c r="B3498" s="141" t="s">
        <v>265</v>
      </c>
      <c r="C3498" s="141" t="s">
        <v>47</v>
      </c>
    </row>
    <row r="3499" spans="1:3" x14ac:dyDescent="0.35">
      <c r="A3499" s="141" t="s">
        <v>560</v>
      </c>
      <c r="B3499" s="141" t="s">
        <v>265</v>
      </c>
      <c r="C3499" s="141" t="s">
        <v>47</v>
      </c>
    </row>
    <row r="3500" spans="1:3" x14ac:dyDescent="0.35">
      <c r="A3500" s="141" t="s">
        <v>561</v>
      </c>
      <c r="B3500" s="141" t="s">
        <v>265</v>
      </c>
      <c r="C3500" s="141" t="s">
        <v>47</v>
      </c>
    </row>
    <row r="3501" spans="1:3" x14ac:dyDescent="0.35">
      <c r="A3501" s="141" t="s">
        <v>562</v>
      </c>
      <c r="B3501" s="141" t="s">
        <v>265</v>
      </c>
      <c r="C3501" s="141" t="s">
        <v>48</v>
      </c>
    </row>
    <row r="3502" spans="1:3" x14ac:dyDescent="0.35">
      <c r="A3502" s="141" t="s">
        <v>563</v>
      </c>
      <c r="B3502" s="141" t="s">
        <v>265</v>
      </c>
      <c r="C3502" s="141" t="s">
        <v>47</v>
      </c>
    </row>
    <row r="3503" spans="1:3" x14ac:dyDescent="0.35">
      <c r="A3503" s="141" t="s">
        <v>776</v>
      </c>
      <c r="B3503" s="141" t="s">
        <v>266</v>
      </c>
      <c r="C3503" s="141" t="s">
        <v>45</v>
      </c>
    </row>
    <row r="3504" spans="1:3" x14ac:dyDescent="0.35">
      <c r="A3504" s="141" t="s">
        <v>777</v>
      </c>
      <c r="B3504" s="141" t="s">
        <v>266</v>
      </c>
      <c r="C3504" s="141" t="s">
        <v>46</v>
      </c>
    </row>
    <row r="3505" spans="1:3" x14ac:dyDescent="0.35">
      <c r="A3505" s="141" t="s">
        <v>778</v>
      </c>
      <c r="B3505" s="141" t="s">
        <v>266</v>
      </c>
      <c r="C3505" s="141" t="s">
        <v>45</v>
      </c>
    </row>
    <row r="3506" spans="1:3" x14ac:dyDescent="0.35">
      <c r="A3506" s="141" t="s">
        <v>779</v>
      </c>
      <c r="B3506" s="141" t="s">
        <v>266</v>
      </c>
      <c r="C3506" s="141" t="s">
        <v>45</v>
      </c>
    </row>
    <row r="3507" spans="1:3" x14ac:dyDescent="0.35">
      <c r="A3507" s="141" t="s">
        <v>780</v>
      </c>
      <c r="B3507" s="141" t="s">
        <v>266</v>
      </c>
      <c r="C3507" s="141" t="s">
        <v>45</v>
      </c>
    </row>
    <row r="3508" spans="1:3" x14ac:dyDescent="0.35">
      <c r="A3508" s="141" t="s">
        <v>781</v>
      </c>
      <c r="B3508" s="141" t="s">
        <v>266</v>
      </c>
      <c r="C3508" s="141" t="s">
        <v>45</v>
      </c>
    </row>
    <row r="3509" spans="1:3" x14ac:dyDescent="0.35">
      <c r="A3509" s="141" t="s">
        <v>819</v>
      </c>
      <c r="B3509" s="141" t="s">
        <v>266</v>
      </c>
      <c r="C3509" s="141" t="s">
        <v>45</v>
      </c>
    </row>
    <row r="3510" spans="1:3" x14ac:dyDescent="0.35">
      <c r="A3510" s="141" t="s">
        <v>820</v>
      </c>
      <c r="B3510" s="141" t="s">
        <v>266</v>
      </c>
      <c r="C3510" s="141" t="s">
        <v>45</v>
      </c>
    </row>
    <row r="3511" spans="1:3" x14ac:dyDescent="0.35">
      <c r="A3511" s="141" t="s">
        <v>821</v>
      </c>
      <c r="B3511" s="141" t="s">
        <v>266</v>
      </c>
      <c r="C3511" s="141" t="s">
        <v>45</v>
      </c>
    </row>
    <row r="3512" spans="1:3" x14ac:dyDescent="0.35">
      <c r="A3512" s="141" t="s">
        <v>822</v>
      </c>
      <c r="B3512" s="141" t="s">
        <v>266</v>
      </c>
      <c r="C3512" s="141" t="s">
        <v>45</v>
      </c>
    </row>
    <row r="3513" spans="1:3" x14ac:dyDescent="0.35">
      <c r="A3513" s="141" t="s">
        <v>823</v>
      </c>
      <c r="B3513" s="141" t="s">
        <v>266</v>
      </c>
      <c r="C3513" s="141" t="s">
        <v>45</v>
      </c>
    </row>
    <row r="3514" spans="1:3" x14ac:dyDescent="0.35">
      <c r="A3514" s="141" t="s">
        <v>824</v>
      </c>
      <c r="B3514" s="141" t="s">
        <v>266</v>
      </c>
      <c r="C3514" s="141" t="s">
        <v>45</v>
      </c>
    </row>
    <row r="3515" spans="1:3" x14ac:dyDescent="0.35">
      <c r="A3515" s="141" t="s">
        <v>825</v>
      </c>
      <c r="B3515" s="141" t="s">
        <v>266</v>
      </c>
      <c r="C3515" s="141" t="s">
        <v>45</v>
      </c>
    </row>
    <row r="3516" spans="1:3" x14ac:dyDescent="0.35">
      <c r="A3516" s="141" t="s">
        <v>826</v>
      </c>
      <c r="B3516" s="141" t="s">
        <v>266</v>
      </c>
      <c r="C3516" s="141" t="s">
        <v>45</v>
      </c>
    </row>
    <row r="3517" spans="1:3" x14ac:dyDescent="0.35">
      <c r="A3517" s="141" t="s">
        <v>827</v>
      </c>
      <c r="B3517" s="141" t="s">
        <v>266</v>
      </c>
      <c r="C3517" s="141" t="s">
        <v>45</v>
      </c>
    </row>
    <row r="3518" spans="1:3" x14ac:dyDescent="0.35">
      <c r="A3518" s="141" t="s">
        <v>828</v>
      </c>
      <c r="B3518" s="141" t="s">
        <v>266</v>
      </c>
      <c r="C3518" s="141" t="s">
        <v>45</v>
      </c>
    </row>
    <row r="3519" spans="1:3" x14ac:dyDescent="0.35">
      <c r="A3519" s="141" t="s">
        <v>829</v>
      </c>
      <c r="B3519" s="141" t="s">
        <v>266</v>
      </c>
      <c r="C3519" s="141" t="s">
        <v>45</v>
      </c>
    </row>
    <row r="3520" spans="1:3" x14ac:dyDescent="0.35">
      <c r="A3520" s="141" t="s">
        <v>830</v>
      </c>
      <c r="B3520" s="141" t="s">
        <v>266</v>
      </c>
      <c r="C3520" s="141" t="s">
        <v>45</v>
      </c>
    </row>
    <row r="3521" spans="1:3" x14ac:dyDescent="0.35">
      <c r="A3521" s="141" t="s">
        <v>831</v>
      </c>
      <c r="B3521" s="141" t="s">
        <v>266</v>
      </c>
      <c r="C3521" s="141" t="s">
        <v>45</v>
      </c>
    </row>
    <row r="3522" spans="1:3" x14ac:dyDescent="0.35">
      <c r="A3522" s="141" t="s">
        <v>832</v>
      </c>
      <c r="B3522" s="141" t="s">
        <v>266</v>
      </c>
      <c r="C3522" s="141" t="s">
        <v>45</v>
      </c>
    </row>
    <row r="3523" spans="1:3" x14ac:dyDescent="0.35">
      <c r="A3523" s="141" t="s">
        <v>390</v>
      </c>
      <c r="B3523" s="141" t="s">
        <v>266</v>
      </c>
      <c r="C3523" s="141" t="s">
        <v>16</v>
      </c>
    </row>
    <row r="3524" spans="1:3" x14ac:dyDescent="0.35">
      <c r="A3524" s="141" t="s">
        <v>352</v>
      </c>
      <c r="B3524" s="141" t="s">
        <v>266</v>
      </c>
      <c r="C3524" s="141" t="s">
        <v>2</v>
      </c>
    </row>
    <row r="3525" spans="1:3" x14ac:dyDescent="0.35">
      <c r="A3525" s="141" t="s">
        <v>354</v>
      </c>
      <c r="B3525" s="141" t="s">
        <v>266</v>
      </c>
      <c r="C3525" s="141" t="s">
        <v>2</v>
      </c>
    </row>
    <row r="3526" spans="1:3" x14ac:dyDescent="0.35">
      <c r="A3526" s="141" t="s">
        <v>391</v>
      </c>
      <c r="B3526" s="141" t="s">
        <v>266</v>
      </c>
      <c r="C3526" s="141" t="s">
        <v>16</v>
      </c>
    </row>
    <row r="3527" spans="1:3" x14ac:dyDescent="0.35">
      <c r="A3527" s="141" t="s">
        <v>392</v>
      </c>
      <c r="B3527" s="141" t="s">
        <v>266</v>
      </c>
      <c r="C3527" s="141" t="s">
        <v>16</v>
      </c>
    </row>
    <row r="3528" spans="1:3" x14ac:dyDescent="0.35">
      <c r="A3528" s="141" t="s">
        <v>393</v>
      </c>
      <c r="B3528" s="141" t="s">
        <v>266</v>
      </c>
      <c r="C3528" s="141" t="s">
        <v>9</v>
      </c>
    </row>
    <row r="3529" spans="1:3" x14ac:dyDescent="0.35">
      <c r="A3529" s="141" t="s">
        <v>356</v>
      </c>
      <c r="B3529" s="141" t="s">
        <v>266</v>
      </c>
      <c r="C3529" s="141" t="s">
        <v>14</v>
      </c>
    </row>
    <row r="3530" spans="1:3" x14ac:dyDescent="0.35">
      <c r="A3530" s="141" t="s">
        <v>357</v>
      </c>
      <c r="B3530" s="141" t="s">
        <v>266</v>
      </c>
      <c r="C3530" s="141" t="s">
        <v>14</v>
      </c>
    </row>
    <row r="3531" spans="1:3" x14ac:dyDescent="0.35">
      <c r="A3531" s="141" t="s">
        <v>368</v>
      </c>
      <c r="B3531" s="141" t="s">
        <v>266</v>
      </c>
      <c r="C3531" s="141" t="s">
        <v>10</v>
      </c>
    </row>
    <row r="3532" spans="1:3" x14ac:dyDescent="0.35">
      <c r="A3532" s="141" t="s">
        <v>590</v>
      </c>
      <c r="B3532" s="141" t="s">
        <v>266</v>
      </c>
      <c r="C3532" s="141" t="s">
        <v>10</v>
      </c>
    </row>
    <row r="3533" spans="1:3" x14ac:dyDescent="0.35">
      <c r="A3533" s="141" t="s">
        <v>591</v>
      </c>
      <c r="B3533" s="141" t="s">
        <v>266</v>
      </c>
      <c r="C3533" s="141" t="s">
        <v>10</v>
      </c>
    </row>
    <row r="3534" spans="1:3" x14ac:dyDescent="0.35">
      <c r="A3534" s="141" t="s">
        <v>370</v>
      </c>
      <c r="B3534" s="141" t="s">
        <v>266</v>
      </c>
      <c r="C3534" s="141" t="s">
        <v>10</v>
      </c>
    </row>
    <row r="3535" spans="1:3" x14ac:dyDescent="0.35">
      <c r="A3535" s="141" t="s">
        <v>371</v>
      </c>
      <c r="B3535" s="141" t="s">
        <v>266</v>
      </c>
      <c r="C3535" s="141" t="s">
        <v>10</v>
      </c>
    </row>
    <row r="3536" spans="1:3" x14ac:dyDescent="0.35">
      <c r="A3536" s="141" t="s">
        <v>376</v>
      </c>
      <c r="B3536" s="141" t="s">
        <v>266</v>
      </c>
      <c r="C3536" s="141" t="s">
        <v>10</v>
      </c>
    </row>
    <row r="3537" spans="1:3" x14ac:dyDescent="0.35">
      <c r="A3537" s="141" t="s">
        <v>372</v>
      </c>
      <c r="B3537" s="141" t="s">
        <v>266</v>
      </c>
      <c r="C3537" s="141" t="s">
        <v>10</v>
      </c>
    </row>
    <row r="3538" spans="1:3" x14ac:dyDescent="0.35">
      <c r="A3538" s="141" t="s">
        <v>373</v>
      </c>
      <c r="B3538" s="141" t="s">
        <v>266</v>
      </c>
      <c r="C3538" s="141" t="s">
        <v>10</v>
      </c>
    </row>
    <row r="3539" spans="1:3" x14ac:dyDescent="0.35">
      <c r="A3539" s="141" t="s">
        <v>374</v>
      </c>
      <c r="B3539" s="141" t="s">
        <v>266</v>
      </c>
      <c r="C3539" s="141" t="s">
        <v>10</v>
      </c>
    </row>
    <row r="3540" spans="1:3" x14ac:dyDescent="0.35">
      <c r="A3540" s="141" t="s">
        <v>375</v>
      </c>
      <c r="B3540" s="141" t="s">
        <v>266</v>
      </c>
      <c r="C3540" s="141" t="s">
        <v>10</v>
      </c>
    </row>
    <row r="3541" spans="1:3" x14ac:dyDescent="0.35">
      <c r="A3541" s="141" t="s">
        <v>377</v>
      </c>
      <c r="B3541" s="141" t="s">
        <v>266</v>
      </c>
      <c r="C3541" s="141" t="s">
        <v>11</v>
      </c>
    </row>
    <row r="3542" spans="1:3" x14ac:dyDescent="0.35">
      <c r="A3542" s="141" t="s">
        <v>378</v>
      </c>
      <c r="B3542" s="141" t="s">
        <v>266</v>
      </c>
      <c r="C3542" s="141" t="s">
        <v>11</v>
      </c>
    </row>
    <row r="3543" spans="1:3" x14ac:dyDescent="0.35">
      <c r="A3543" s="141" t="s">
        <v>379</v>
      </c>
      <c r="B3543" s="141" t="s">
        <v>266</v>
      </c>
      <c r="C3543" s="141" t="s">
        <v>11</v>
      </c>
    </row>
    <row r="3544" spans="1:3" x14ac:dyDescent="0.35">
      <c r="A3544" s="141" t="s">
        <v>380</v>
      </c>
      <c r="B3544" s="141" t="s">
        <v>266</v>
      </c>
      <c r="C3544" s="141" t="s">
        <v>11</v>
      </c>
    </row>
    <row r="3545" spans="1:3" x14ac:dyDescent="0.35">
      <c r="A3545" s="141" t="s">
        <v>381</v>
      </c>
      <c r="B3545" s="141" t="s">
        <v>266</v>
      </c>
      <c r="C3545" s="141" t="s">
        <v>11</v>
      </c>
    </row>
    <row r="3546" spans="1:3" x14ac:dyDescent="0.35">
      <c r="A3546" s="141" t="s">
        <v>382</v>
      </c>
      <c r="B3546" s="141" t="s">
        <v>266</v>
      </c>
      <c r="C3546" s="141" t="s">
        <v>11</v>
      </c>
    </row>
    <row r="3547" spans="1:3" x14ac:dyDescent="0.35">
      <c r="A3547" s="141" t="s">
        <v>358</v>
      </c>
      <c r="B3547" s="141" t="s">
        <v>266</v>
      </c>
      <c r="C3547" s="141" t="s">
        <v>14</v>
      </c>
    </row>
    <row r="3548" spans="1:3" x14ac:dyDescent="0.35">
      <c r="A3548" s="141" t="s">
        <v>654</v>
      </c>
      <c r="B3548" s="141" t="s">
        <v>266</v>
      </c>
      <c r="C3548" s="141" t="s">
        <v>14</v>
      </c>
    </row>
    <row r="3549" spans="1:3" x14ac:dyDescent="0.35">
      <c r="A3549" s="141" t="s">
        <v>655</v>
      </c>
      <c r="B3549" s="141" t="s">
        <v>266</v>
      </c>
      <c r="C3549" s="141" t="s">
        <v>14</v>
      </c>
    </row>
    <row r="3550" spans="1:3" x14ac:dyDescent="0.35">
      <c r="A3550" s="141" t="s">
        <v>749</v>
      </c>
      <c r="B3550" s="141" t="s">
        <v>266</v>
      </c>
      <c r="C3550" s="141" t="s">
        <v>14</v>
      </c>
    </row>
    <row r="3551" spans="1:3" x14ac:dyDescent="0.35">
      <c r="A3551" s="141" t="s">
        <v>750</v>
      </c>
      <c r="B3551" s="141" t="s">
        <v>266</v>
      </c>
      <c r="C3551" s="141" t="s">
        <v>13</v>
      </c>
    </row>
    <row r="3552" spans="1:3" x14ac:dyDescent="0.35">
      <c r="A3552" s="141" t="s">
        <v>751</v>
      </c>
      <c r="B3552" s="141" t="s">
        <v>266</v>
      </c>
      <c r="C3552" s="141" t="s">
        <v>13</v>
      </c>
    </row>
    <row r="3553" spans="1:3" x14ac:dyDescent="0.35">
      <c r="A3553" s="141" t="s">
        <v>581</v>
      </c>
      <c r="B3553" s="141" t="s">
        <v>266</v>
      </c>
      <c r="C3553" s="141" t="s">
        <v>13</v>
      </c>
    </row>
    <row r="3554" spans="1:3" x14ac:dyDescent="0.35">
      <c r="A3554" s="141" t="s">
        <v>367</v>
      </c>
      <c r="B3554" s="141" t="s">
        <v>266</v>
      </c>
      <c r="C3554" s="141" t="s">
        <v>8</v>
      </c>
    </row>
    <row r="3555" spans="1:3" x14ac:dyDescent="0.35">
      <c r="A3555" s="141" t="s">
        <v>383</v>
      </c>
      <c r="B3555" s="141" t="s">
        <v>266</v>
      </c>
      <c r="C3555" s="141" t="s">
        <v>5</v>
      </c>
    </row>
    <row r="3556" spans="1:3" x14ac:dyDescent="0.35">
      <c r="A3556" s="141" t="s">
        <v>359</v>
      </c>
      <c r="B3556" s="141" t="s">
        <v>266</v>
      </c>
      <c r="C3556" s="141" t="s">
        <v>46</v>
      </c>
    </row>
    <row r="3557" spans="1:3" x14ac:dyDescent="0.35">
      <c r="A3557" s="141" t="s">
        <v>360</v>
      </c>
      <c r="B3557" s="141" t="s">
        <v>266</v>
      </c>
      <c r="C3557" s="141" t="s">
        <v>46</v>
      </c>
    </row>
    <row r="3558" spans="1:3" x14ac:dyDescent="0.35">
      <c r="A3558" s="141" t="s">
        <v>564</v>
      </c>
      <c r="B3558" s="141" t="s">
        <v>266</v>
      </c>
      <c r="C3558" s="141" t="s">
        <v>7</v>
      </c>
    </row>
    <row r="3559" spans="1:3" x14ac:dyDescent="0.35">
      <c r="A3559" s="141" t="s">
        <v>565</v>
      </c>
      <c r="B3559" s="141" t="s">
        <v>266</v>
      </c>
      <c r="C3559" s="141" t="s">
        <v>7</v>
      </c>
    </row>
    <row r="3560" spans="1:3" x14ac:dyDescent="0.35">
      <c r="A3560" s="141" t="s">
        <v>385</v>
      </c>
      <c r="B3560" s="141" t="s">
        <v>266</v>
      </c>
      <c r="C3560" s="141" t="s">
        <v>7</v>
      </c>
    </row>
    <row r="3561" spans="1:3" x14ac:dyDescent="0.35">
      <c r="A3561" s="141" t="s">
        <v>386</v>
      </c>
      <c r="B3561" s="141" t="s">
        <v>266</v>
      </c>
      <c r="C3561" s="141" t="s">
        <v>7</v>
      </c>
    </row>
    <row r="3562" spans="1:3" x14ac:dyDescent="0.35">
      <c r="A3562" s="141" t="s">
        <v>387</v>
      </c>
      <c r="B3562" s="141" t="s">
        <v>266</v>
      </c>
      <c r="C3562" s="141" t="s">
        <v>7</v>
      </c>
    </row>
    <row r="3563" spans="1:3" x14ac:dyDescent="0.35">
      <c r="A3563" s="141" t="s">
        <v>365</v>
      </c>
      <c r="B3563" s="141" t="s">
        <v>266</v>
      </c>
      <c r="C3563" s="141" t="s">
        <v>7</v>
      </c>
    </row>
    <row r="3564" spans="1:3" x14ac:dyDescent="0.35">
      <c r="A3564" s="141" t="s">
        <v>589</v>
      </c>
      <c r="B3564" s="141" t="s">
        <v>266</v>
      </c>
      <c r="C3564" s="141" t="s">
        <v>4</v>
      </c>
    </row>
    <row r="3565" spans="1:3" x14ac:dyDescent="0.35">
      <c r="A3565" s="141" t="s">
        <v>388</v>
      </c>
      <c r="B3565" s="141" t="s">
        <v>266</v>
      </c>
      <c r="C3565" s="141" t="s">
        <v>8</v>
      </c>
    </row>
    <row r="3566" spans="1:3" x14ac:dyDescent="0.35">
      <c r="A3566" s="141" t="s">
        <v>389</v>
      </c>
      <c r="B3566" s="141" t="s">
        <v>266</v>
      </c>
      <c r="C3566" s="141" t="s">
        <v>8</v>
      </c>
    </row>
    <row r="3567" spans="1:3" x14ac:dyDescent="0.35">
      <c r="A3567" s="141" t="s">
        <v>366</v>
      </c>
      <c r="B3567" s="141" t="s">
        <v>266</v>
      </c>
      <c r="C3567" s="141" t="s">
        <v>8</v>
      </c>
    </row>
    <row r="3568" spans="1:3" x14ac:dyDescent="0.35">
      <c r="A3568" s="141" t="s">
        <v>586</v>
      </c>
      <c r="B3568" s="141" t="s">
        <v>266</v>
      </c>
      <c r="C3568" s="141" t="s">
        <v>4</v>
      </c>
    </row>
    <row r="3569" spans="1:3" x14ac:dyDescent="0.35">
      <c r="A3569" s="141" t="s">
        <v>587</v>
      </c>
      <c r="B3569" s="141" t="s">
        <v>266</v>
      </c>
      <c r="C3569" s="141" t="s">
        <v>4</v>
      </c>
    </row>
    <row r="3570" spans="1:3" x14ac:dyDescent="0.35">
      <c r="A3570" s="141" t="s">
        <v>588</v>
      </c>
      <c r="B3570" s="141" t="s">
        <v>266</v>
      </c>
      <c r="C3570" s="141" t="s">
        <v>4</v>
      </c>
    </row>
    <row r="3571" spans="1:3" x14ac:dyDescent="0.35">
      <c r="A3571" s="141" t="s">
        <v>656</v>
      </c>
      <c r="B3571" s="141" t="s">
        <v>266</v>
      </c>
      <c r="C3571" s="141" t="s">
        <v>21</v>
      </c>
    </row>
    <row r="3572" spans="1:3" x14ac:dyDescent="0.35">
      <c r="A3572" s="141" t="s">
        <v>657</v>
      </c>
      <c r="B3572" s="141" t="s">
        <v>266</v>
      </c>
      <c r="C3572" s="141" t="s">
        <v>21</v>
      </c>
    </row>
    <row r="3573" spans="1:3" x14ac:dyDescent="0.35">
      <c r="A3573" s="141" t="s">
        <v>658</v>
      </c>
      <c r="B3573" s="141" t="s">
        <v>266</v>
      </c>
      <c r="C3573" s="141" t="s">
        <v>21</v>
      </c>
    </row>
    <row r="3574" spans="1:3" x14ac:dyDescent="0.35">
      <c r="A3574" s="141" t="s">
        <v>278</v>
      </c>
      <c r="B3574" s="141" t="s">
        <v>266</v>
      </c>
      <c r="C3574" s="141" t="s">
        <v>21</v>
      </c>
    </row>
    <row r="3575" spans="1:3" x14ac:dyDescent="0.35">
      <c r="A3575" s="141" t="s">
        <v>283</v>
      </c>
      <c r="B3575" s="141" t="s">
        <v>266</v>
      </c>
      <c r="C3575" s="141" t="s">
        <v>21</v>
      </c>
    </row>
    <row r="3576" spans="1:3" x14ac:dyDescent="0.35">
      <c r="A3576" s="141" t="s">
        <v>284</v>
      </c>
      <c r="B3576" s="141" t="s">
        <v>266</v>
      </c>
      <c r="C3576" s="141" t="s">
        <v>21</v>
      </c>
    </row>
    <row r="3577" spans="1:3" x14ac:dyDescent="0.35">
      <c r="A3577" s="141" t="s">
        <v>424</v>
      </c>
      <c r="B3577" s="141" t="s">
        <v>266</v>
      </c>
      <c r="C3577" s="141" t="s">
        <v>21</v>
      </c>
    </row>
    <row r="3578" spans="1:3" x14ac:dyDescent="0.35">
      <c r="A3578" s="141" t="s">
        <v>425</v>
      </c>
      <c r="B3578" s="141" t="s">
        <v>266</v>
      </c>
      <c r="C3578" s="141" t="s">
        <v>27</v>
      </c>
    </row>
    <row r="3579" spans="1:3" x14ac:dyDescent="0.35">
      <c r="A3579" s="141" t="s">
        <v>285</v>
      </c>
      <c r="B3579" s="141" t="s">
        <v>266</v>
      </c>
      <c r="C3579" s="141" t="s">
        <v>27</v>
      </c>
    </row>
    <row r="3580" spans="1:3" x14ac:dyDescent="0.35">
      <c r="A3580" s="141" t="s">
        <v>286</v>
      </c>
      <c r="B3580" s="141" t="s">
        <v>266</v>
      </c>
      <c r="C3580" s="141" t="s">
        <v>27</v>
      </c>
    </row>
    <row r="3581" spans="1:3" x14ac:dyDescent="0.35">
      <c r="A3581" s="141" t="s">
        <v>287</v>
      </c>
      <c r="B3581" s="141" t="s">
        <v>266</v>
      </c>
      <c r="C3581" s="141" t="s">
        <v>21</v>
      </c>
    </row>
    <row r="3582" spans="1:3" x14ac:dyDescent="0.35">
      <c r="A3582" s="141" t="s">
        <v>290</v>
      </c>
      <c r="B3582" s="141" t="s">
        <v>266</v>
      </c>
      <c r="C3582" s="141" t="s">
        <v>23</v>
      </c>
    </row>
    <row r="3583" spans="1:3" x14ac:dyDescent="0.35">
      <c r="A3583" s="141" t="s">
        <v>661</v>
      </c>
      <c r="B3583" s="141" t="s">
        <v>266</v>
      </c>
      <c r="C3583" s="141" t="s">
        <v>22</v>
      </c>
    </row>
    <row r="3584" spans="1:3" x14ac:dyDescent="0.35">
      <c r="A3584" s="141" t="s">
        <v>291</v>
      </c>
      <c r="B3584" s="141" t="s">
        <v>266</v>
      </c>
      <c r="C3584" s="141" t="s">
        <v>22</v>
      </c>
    </row>
    <row r="3585" spans="1:3" x14ac:dyDescent="0.35">
      <c r="A3585" s="141" t="s">
        <v>662</v>
      </c>
      <c r="B3585" s="141" t="s">
        <v>266</v>
      </c>
      <c r="C3585" s="141" t="s">
        <v>22</v>
      </c>
    </row>
    <row r="3586" spans="1:3" x14ac:dyDescent="0.35">
      <c r="A3586" s="141" t="s">
        <v>292</v>
      </c>
      <c r="B3586" s="141" t="s">
        <v>266</v>
      </c>
      <c r="C3586" s="141" t="s">
        <v>22</v>
      </c>
    </row>
    <row r="3587" spans="1:3" x14ac:dyDescent="0.35">
      <c r="A3587" s="141" t="s">
        <v>663</v>
      </c>
      <c r="B3587" s="141" t="s">
        <v>266</v>
      </c>
      <c r="C3587" s="141" t="s">
        <v>22</v>
      </c>
    </row>
    <row r="3588" spans="1:3" x14ac:dyDescent="0.35">
      <c r="A3588" s="141" t="s">
        <v>293</v>
      </c>
      <c r="B3588" s="141" t="s">
        <v>266</v>
      </c>
      <c r="C3588" s="141" t="s">
        <v>22</v>
      </c>
    </row>
    <row r="3589" spans="1:3" x14ac:dyDescent="0.35">
      <c r="A3589" s="141" t="s">
        <v>664</v>
      </c>
      <c r="B3589" s="141" t="s">
        <v>266</v>
      </c>
      <c r="C3589" s="141" t="s">
        <v>24</v>
      </c>
    </row>
    <row r="3590" spans="1:3" x14ac:dyDescent="0.35">
      <c r="A3590" s="141" t="s">
        <v>665</v>
      </c>
      <c r="B3590" s="141" t="s">
        <v>266</v>
      </c>
      <c r="C3590" s="141" t="s">
        <v>21</v>
      </c>
    </row>
    <row r="3591" spans="1:3" x14ac:dyDescent="0.35">
      <c r="A3591" s="141" t="s">
        <v>666</v>
      </c>
      <c r="B3591" s="141" t="s">
        <v>266</v>
      </c>
      <c r="C3591" s="141" t="s">
        <v>21</v>
      </c>
    </row>
    <row r="3592" spans="1:3" x14ac:dyDescent="0.35">
      <c r="A3592" s="141" t="s">
        <v>667</v>
      </c>
      <c r="B3592" s="141" t="s">
        <v>266</v>
      </c>
      <c r="C3592" s="141" t="s">
        <v>55</v>
      </c>
    </row>
    <row r="3593" spans="1:3" x14ac:dyDescent="0.35">
      <c r="A3593" s="141" t="s">
        <v>668</v>
      </c>
      <c r="B3593" s="141" t="s">
        <v>266</v>
      </c>
      <c r="C3593" s="141" t="s">
        <v>54</v>
      </c>
    </row>
    <row r="3594" spans="1:3" x14ac:dyDescent="0.35">
      <c r="A3594" s="141" t="s">
        <v>669</v>
      </c>
      <c r="B3594" s="141" t="s">
        <v>266</v>
      </c>
      <c r="C3594" s="141" t="s">
        <v>55</v>
      </c>
    </row>
    <row r="3595" spans="1:3" x14ac:dyDescent="0.35">
      <c r="A3595" s="141" t="s">
        <v>670</v>
      </c>
      <c r="B3595" s="141" t="s">
        <v>266</v>
      </c>
      <c r="C3595" s="141" t="s">
        <v>54</v>
      </c>
    </row>
    <row r="3596" spans="1:3" x14ac:dyDescent="0.35">
      <c r="A3596" s="141" t="s">
        <v>394</v>
      </c>
      <c r="B3596" s="141" t="s">
        <v>266</v>
      </c>
      <c r="C3596" s="141" t="s">
        <v>19</v>
      </c>
    </row>
    <row r="3597" spans="1:3" x14ac:dyDescent="0.35">
      <c r="A3597" s="141" t="s">
        <v>395</v>
      </c>
      <c r="B3597" s="141" t="s">
        <v>266</v>
      </c>
      <c r="C3597" s="141" t="s">
        <v>19</v>
      </c>
    </row>
    <row r="3598" spans="1:3" x14ac:dyDescent="0.35">
      <c r="A3598" s="141" t="s">
        <v>396</v>
      </c>
      <c r="B3598" s="141" t="s">
        <v>266</v>
      </c>
      <c r="C3598" s="141" t="s">
        <v>45</v>
      </c>
    </row>
    <row r="3599" spans="1:3" x14ac:dyDescent="0.35">
      <c r="A3599" s="141" t="s">
        <v>397</v>
      </c>
      <c r="B3599" s="141" t="s">
        <v>266</v>
      </c>
      <c r="C3599" s="141" t="s">
        <v>16</v>
      </c>
    </row>
    <row r="3600" spans="1:3" x14ac:dyDescent="0.35">
      <c r="A3600" s="141" t="s">
        <v>398</v>
      </c>
      <c r="B3600" s="141" t="s">
        <v>266</v>
      </c>
      <c r="C3600" s="141" t="s">
        <v>17</v>
      </c>
    </row>
    <row r="3601" spans="1:3" x14ac:dyDescent="0.35">
      <c r="A3601" s="141" t="s">
        <v>399</v>
      </c>
      <c r="B3601" s="141" t="s">
        <v>266</v>
      </c>
      <c r="C3601" s="141" t="s">
        <v>16</v>
      </c>
    </row>
    <row r="3602" spans="1:3" x14ac:dyDescent="0.35">
      <c r="A3602" s="141" t="s">
        <v>400</v>
      </c>
      <c r="B3602" s="141" t="s">
        <v>266</v>
      </c>
      <c r="C3602" s="141" t="s">
        <v>20</v>
      </c>
    </row>
    <row r="3603" spans="1:3" x14ac:dyDescent="0.35">
      <c r="A3603" s="141" t="s">
        <v>401</v>
      </c>
      <c r="B3603" s="141" t="s">
        <v>266</v>
      </c>
      <c r="C3603" s="141" t="s">
        <v>20</v>
      </c>
    </row>
    <row r="3604" spans="1:3" x14ac:dyDescent="0.35">
      <c r="A3604" s="141" t="s">
        <v>671</v>
      </c>
      <c r="B3604" s="141" t="s">
        <v>266</v>
      </c>
      <c r="C3604" s="141" t="s">
        <v>20</v>
      </c>
    </row>
    <row r="3605" spans="1:3" x14ac:dyDescent="0.35">
      <c r="A3605" s="141" t="s">
        <v>774</v>
      </c>
      <c r="B3605" s="141" t="s">
        <v>266</v>
      </c>
      <c r="C3605" s="141" t="s">
        <v>43</v>
      </c>
    </row>
    <row r="3606" spans="1:3" x14ac:dyDescent="0.35">
      <c r="A3606" s="141" t="s">
        <v>775</v>
      </c>
      <c r="B3606" s="141" t="s">
        <v>266</v>
      </c>
      <c r="C3606" s="141" t="s">
        <v>38</v>
      </c>
    </row>
    <row r="3607" spans="1:3" x14ac:dyDescent="0.35">
      <c r="A3607" s="141" t="s">
        <v>409</v>
      </c>
      <c r="B3607" s="141" t="s">
        <v>266</v>
      </c>
      <c r="C3607" s="141" t="s">
        <v>18</v>
      </c>
    </row>
    <row r="3608" spans="1:3" x14ac:dyDescent="0.35">
      <c r="A3608" s="141" t="s">
        <v>410</v>
      </c>
      <c r="B3608" s="141" t="s">
        <v>266</v>
      </c>
      <c r="C3608" s="141" t="s">
        <v>18</v>
      </c>
    </row>
    <row r="3609" spans="1:3" x14ac:dyDescent="0.35">
      <c r="A3609" s="141" t="s">
        <v>745</v>
      </c>
      <c r="B3609" s="141" t="s">
        <v>266</v>
      </c>
      <c r="C3609" s="141" t="s">
        <v>18</v>
      </c>
    </row>
    <row r="3610" spans="1:3" x14ac:dyDescent="0.35">
      <c r="A3610" s="141" t="s">
        <v>746</v>
      </c>
      <c r="B3610" s="141" t="s">
        <v>266</v>
      </c>
      <c r="C3610" s="141" t="s">
        <v>18</v>
      </c>
    </row>
    <row r="3611" spans="1:3" x14ac:dyDescent="0.35">
      <c r="A3611" s="141" t="s">
        <v>411</v>
      </c>
      <c r="B3611" s="141" t="s">
        <v>266</v>
      </c>
      <c r="C3611" s="141" t="s">
        <v>9</v>
      </c>
    </row>
    <row r="3612" spans="1:3" x14ac:dyDescent="0.35">
      <c r="A3612" s="141" t="s">
        <v>412</v>
      </c>
      <c r="B3612" s="141" t="s">
        <v>266</v>
      </c>
      <c r="C3612" s="141" t="s">
        <v>9</v>
      </c>
    </row>
    <row r="3613" spans="1:3" x14ac:dyDescent="0.35">
      <c r="A3613" s="141" t="s">
        <v>413</v>
      </c>
      <c r="B3613" s="141" t="s">
        <v>266</v>
      </c>
      <c r="C3613" s="141" t="s">
        <v>9</v>
      </c>
    </row>
    <row r="3614" spans="1:3" x14ac:dyDescent="0.35">
      <c r="A3614" s="141" t="s">
        <v>414</v>
      </c>
      <c r="B3614" s="141" t="s">
        <v>266</v>
      </c>
      <c r="C3614" s="141" t="s">
        <v>9</v>
      </c>
    </row>
    <row r="3615" spans="1:3" x14ac:dyDescent="0.35">
      <c r="A3615" s="141" t="s">
        <v>415</v>
      </c>
      <c r="B3615" s="141" t="s">
        <v>266</v>
      </c>
      <c r="C3615" s="141" t="s">
        <v>9</v>
      </c>
    </row>
    <row r="3616" spans="1:3" x14ac:dyDescent="0.35">
      <c r="A3616" s="141" t="s">
        <v>402</v>
      </c>
      <c r="B3616" s="141" t="s">
        <v>266</v>
      </c>
      <c r="C3616" s="141" t="s">
        <v>20</v>
      </c>
    </row>
    <row r="3617" spans="1:3" x14ac:dyDescent="0.35">
      <c r="A3617" s="141" t="s">
        <v>592</v>
      </c>
      <c r="B3617" s="141" t="s">
        <v>266</v>
      </c>
      <c r="C3617" s="141" t="s">
        <v>20</v>
      </c>
    </row>
    <row r="3618" spans="1:3" x14ac:dyDescent="0.35">
      <c r="A3618" s="141" t="s">
        <v>593</v>
      </c>
      <c r="B3618" s="141" t="s">
        <v>266</v>
      </c>
      <c r="C3618" s="141" t="s">
        <v>20</v>
      </c>
    </row>
    <row r="3619" spans="1:3" x14ac:dyDescent="0.35">
      <c r="A3619" s="141" t="s">
        <v>403</v>
      </c>
      <c r="B3619" s="141" t="s">
        <v>266</v>
      </c>
      <c r="C3619" s="141" t="s">
        <v>20</v>
      </c>
    </row>
    <row r="3620" spans="1:3" x14ac:dyDescent="0.35">
      <c r="A3620" s="141" t="s">
        <v>404</v>
      </c>
      <c r="B3620" s="141" t="s">
        <v>266</v>
      </c>
      <c r="C3620" s="141" t="s">
        <v>16</v>
      </c>
    </row>
    <row r="3621" spans="1:3" x14ac:dyDescent="0.35">
      <c r="A3621" s="141" t="s">
        <v>405</v>
      </c>
      <c r="B3621" s="141" t="s">
        <v>266</v>
      </c>
      <c r="C3621" s="141" t="s">
        <v>16</v>
      </c>
    </row>
    <row r="3622" spans="1:3" x14ac:dyDescent="0.35">
      <c r="A3622" s="141" t="s">
        <v>416</v>
      </c>
      <c r="B3622" s="141" t="s">
        <v>266</v>
      </c>
      <c r="C3622" s="141" t="s">
        <v>15</v>
      </c>
    </row>
    <row r="3623" spans="1:3" x14ac:dyDescent="0.35">
      <c r="A3623" s="141" t="s">
        <v>417</v>
      </c>
      <c r="B3623" s="141" t="s">
        <v>266</v>
      </c>
      <c r="C3623" s="141" t="s">
        <v>6</v>
      </c>
    </row>
    <row r="3624" spans="1:3" x14ac:dyDescent="0.35">
      <c r="A3624" s="141" t="s">
        <v>418</v>
      </c>
      <c r="B3624" s="141" t="s">
        <v>266</v>
      </c>
      <c r="C3624" s="141" t="s">
        <v>17</v>
      </c>
    </row>
    <row r="3625" spans="1:3" x14ac:dyDescent="0.35">
      <c r="A3625" s="141" t="s">
        <v>419</v>
      </c>
      <c r="B3625" s="141" t="s">
        <v>266</v>
      </c>
      <c r="C3625" s="141" t="s">
        <v>17</v>
      </c>
    </row>
    <row r="3626" spans="1:3" x14ac:dyDescent="0.35">
      <c r="A3626" s="141" t="s">
        <v>420</v>
      </c>
      <c r="B3626" s="141" t="s">
        <v>266</v>
      </c>
      <c r="C3626" s="141" t="s">
        <v>17</v>
      </c>
    </row>
    <row r="3627" spans="1:3" x14ac:dyDescent="0.35">
      <c r="A3627" s="141" t="s">
        <v>421</v>
      </c>
      <c r="B3627" s="141" t="s">
        <v>266</v>
      </c>
      <c r="C3627" s="141" t="s">
        <v>6</v>
      </c>
    </row>
    <row r="3628" spans="1:3" x14ac:dyDescent="0.35">
      <c r="A3628" s="141" t="s">
        <v>422</v>
      </c>
      <c r="B3628" s="141" t="s">
        <v>266</v>
      </c>
      <c r="C3628" s="141" t="s">
        <v>17</v>
      </c>
    </row>
    <row r="3629" spans="1:3" x14ac:dyDescent="0.35">
      <c r="A3629" s="141" t="s">
        <v>406</v>
      </c>
      <c r="B3629" s="141" t="s">
        <v>266</v>
      </c>
      <c r="C3629" s="141" t="s">
        <v>18</v>
      </c>
    </row>
    <row r="3630" spans="1:3" x14ac:dyDescent="0.35">
      <c r="A3630" s="141" t="s">
        <v>407</v>
      </c>
      <c r="B3630" s="141" t="s">
        <v>266</v>
      </c>
      <c r="C3630" s="141" t="s">
        <v>17</v>
      </c>
    </row>
    <row r="3631" spans="1:3" x14ac:dyDescent="0.35">
      <c r="A3631" s="141" t="s">
        <v>408</v>
      </c>
      <c r="B3631" s="141" t="s">
        <v>266</v>
      </c>
      <c r="C3631" s="141" t="s">
        <v>17</v>
      </c>
    </row>
    <row r="3632" spans="1:3" x14ac:dyDescent="0.35">
      <c r="A3632" s="141" t="s">
        <v>566</v>
      </c>
      <c r="B3632" s="141" t="s">
        <v>266</v>
      </c>
      <c r="C3632" s="141" t="s">
        <v>17</v>
      </c>
    </row>
    <row r="3633" spans="1:3" x14ac:dyDescent="0.35">
      <c r="A3633" s="141" t="s">
        <v>567</v>
      </c>
      <c r="B3633" s="141" t="s">
        <v>266</v>
      </c>
      <c r="C3633" s="141" t="s">
        <v>16</v>
      </c>
    </row>
    <row r="3634" spans="1:3" x14ac:dyDescent="0.35">
      <c r="A3634" s="141" t="s">
        <v>672</v>
      </c>
      <c r="B3634" s="141" t="s">
        <v>266</v>
      </c>
      <c r="C3634" s="141" t="s">
        <v>25</v>
      </c>
    </row>
    <row r="3635" spans="1:3" x14ac:dyDescent="0.35">
      <c r="A3635" s="141" t="s">
        <v>673</v>
      </c>
      <c r="B3635" s="141" t="s">
        <v>266</v>
      </c>
      <c r="C3635" s="141" t="s">
        <v>25</v>
      </c>
    </row>
    <row r="3636" spans="1:3" x14ac:dyDescent="0.35">
      <c r="A3636" s="141" t="s">
        <v>674</v>
      </c>
      <c r="B3636" s="141" t="s">
        <v>266</v>
      </c>
      <c r="C3636" s="141" t="s">
        <v>25</v>
      </c>
    </row>
    <row r="3637" spans="1:3" x14ac:dyDescent="0.35">
      <c r="A3637" s="141" t="s">
        <v>675</v>
      </c>
      <c r="B3637" s="141" t="s">
        <v>266</v>
      </c>
      <c r="C3637" s="141" t="s">
        <v>24</v>
      </c>
    </row>
    <row r="3638" spans="1:3" x14ac:dyDescent="0.35">
      <c r="A3638" s="141" t="s">
        <v>676</v>
      </c>
      <c r="B3638" s="141" t="s">
        <v>266</v>
      </c>
      <c r="C3638" s="141" t="s">
        <v>24</v>
      </c>
    </row>
    <row r="3639" spans="1:3" x14ac:dyDescent="0.35">
      <c r="A3639" s="141" t="s">
        <v>573</v>
      </c>
      <c r="B3639" s="141" t="s">
        <v>266</v>
      </c>
      <c r="C3639" s="141" t="s">
        <v>25</v>
      </c>
    </row>
    <row r="3640" spans="1:3" x14ac:dyDescent="0.35">
      <c r="A3640" s="141" t="s">
        <v>677</v>
      </c>
      <c r="B3640" s="141" t="s">
        <v>266</v>
      </c>
      <c r="C3640" s="141" t="s">
        <v>25</v>
      </c>
    </row>
    <row r="3641" spans="1:3" x14ac:dyDescent="0.35">
      <c r="A3641" s="141" t="s">
        <v>678</v>
      </c>
      <c r="B3641" s="141" t="s">
        <v>266</v>
      </c>
      <c r="C3641" s="141" t="s">
        <v>25</v>
      </c>
    </row>
    <row r="3642" spans="1:3" x14ac:dyDescent="0.35">
      <c r="A3642" s="141" t="s">
        <v>679</v>
      </c>
      <c r="B3642" s="141" t="s">
        <v>266</v>
      </c>
      <c r="C3642" s="141" t="s">
        <v>25</v>
      </c>
    </row>
    <row r="3643" spans="1:3" x14ac:dyDescent="0.35">
      <c r="A3643" s="141" t="s">
        <v>680</v>
      </c>
      <c r="B3643" s="141" t="s">
        <v>266</v>
      </c>
      <c r="C3643" s="141" t="s">
        <v>25</v>
      </c>
    </row>
    <row r="3644" spans="1:3" x14ac:dyDescent="0.35">
      <c r="A3644" s="141" t="s">
        <v>517</v>
      </c>
      <c r="B3644" s="141" t="s">
        <v>266</v>
      </c>
      <c r="C3644" s="141" t="s">
        <v>30</v>
      </c>
    </row>
    <row r="3645" spans="1:3" x14ac:dyDescent="0.35">
      <c r="A3645" s="141" t="s">
        <v>782</v>
      </c>
      <c r="B3645" s="141" t="s">
        <v>266</v>
      </c>
      <c r="C3645" s="141" t="s">
        <v>30</v>
      </c>
    </row>
    <row r="3646" spans="1:3" x14ac:dyDescent="0.35">
      <c r="A3646" s="141" t="s">
        <v>783</v>
      </c>
      <c r="B3646" s="141" t="s">
        <v>266</v>
      </c>
      <c r="C3646" s="141" t="s">
        <v>30</v>
      </c>
    </row>
    <row r="3647" spans="1:3" x14ac:dyDescent="0.35">
      <c r="A3647" s="141" t="s">
        <v>519</v>
      </c>
      <c r="B3647" s="141" t="s">
        <v>266</v>
      </c>
      <c r="C3647" s="141" t="s">
        <v>34</v>
      </c>
    </row>
    <row r="3648" spans="1:3" x14ac:dyDescent="0.35">
      <c r="A3648" s="141" t="s">
        <v>520</v>
      </c>
      <c r="B3648" s="141" t="s">
        <v>266</v>
      </c>
      <c r="C3648" s="141" t="s">
        <v>34</v>
      </c>
    </row>
    <row r="3649" spans="1:3" x14ac:dyDescent="0.35">
      <c r="A3649" s="141" t="s">
        <v>521</v>
      </c>
      <c r="B3649" s="141" t="s">
        <v>266</v>
      </c>
      <c r="C3649" s="141" t="s">
        <v>34</v>
      </c>
    </row>
    <row r="3650" spans="1:3" x14ac:dyDescent="0.35">
      <c r="A3650" s="141" t="s">
        <v>522</v>
      </c>
      <c r="B3650" s="141" t="s">
        <v>266</v>
      </c>
      <c r="C3650" s="141" t="s">
        <v>34</v>
      </c>
    </row>
    <row r="3651" spans="1:3" x14ac:dyDescent="0.35">
      <c r="A3651" s="141" t="s">
        <v>523</v>
      </c>
      <c r="B3651" s="141" t="s">
        <v>266</v>
      </c>
      <c r="C3651" s="141" t="s">
        <v>30</v>
      </c>
    </row>
    <row r="3652" spans="1:3" x14ac:dyDescent="0.35">
      <c r="A3652" s="141" t="s">
        <v>784</v>
      </c>
      <c r="B3652" s="141" t="s">
        <v>266</v>
      </c>
      <c r="C3652" s="141" t="s">
        <v>30</v>
      </c>
    </row>
    <row r="3653" spans="1:3" x14ac:dyDescent="0.35">
      <c r="A3653" s="141" t="s">
        <v>785</v>
      </c>
      <c r="B3653" s="141" t="s">
        <v>266</v>
      </c>
      <c r="C3653" s="141" t="s">
        <v>30</v>
      </c>
    </row>
    <row r="3654" spans="1:3" x14ac:dyDescent="0.35">
      <c r="A3654" s="141" t="s">
        <v>525</v>
      </c>
      <c r="B3654" s="141" t="s">
        <v>266</v>
      </c>
      <c r="C3654" s="141" t="s">
        <v>46</v>
      </c>
    </row>
    <row r="3655" spans="1:3" x14ac:dyDescent="0.35">
      <c r="A3655" s="141" t="s">
        <v>526</v>
      </c>
      <c r="B3655" s="141" t="s">
        <v>266</v>
      </c>
      <c r="C3655" s="141" t="s">
        <v>32</v>
      </c>
    </row>
    <row r="3656" spans="1:3" x14ac:dyDescent="0.35">
      <c r="A3656" s="141" t="s">
        <v>527</v>
      </c>
      <c r="B3656" s="141" t="s">
        <v>266</v>
      </c>
      <c r="C3656" s="141" t="s">
        <v>32</v>
      </c>
    </row>
    <row r="3657" spans="1:3" x14ac:dyDescent="0.35">
      <c r="A3657" s="141" t="s">
        <v>528</v>
      </c>
      <c r="B3657" s="141" t="s">
        <v>266</v>
      </c>
      <c r="C3657" s="141" t="s">
        <v>32</v>
      </c>
    </row>
    <row r="3658" spans="1:3" x14ac:dyDescent="0.35">
      <c r="A3658" s="141" t="s">
        <v>529</v>
      </c>
      <c r="B3658" s="141" t="s">
        <v>266</v>
      </c>
      <c r="C3658" s="141" t="s">
        <v>32</v>
      </c>
    </row>
    <row r="3659" spans="1:3" x14ac:dyDescent="0.35">
      <c r="A3659" s="141" t="s">
        <v>492</v>
      </c>
      <c r="B3659" s="141" t="s">
        <v>266</v>
      </c>
      <c r="C3659" s="141" t="s">
        <v>32</v>
      </c>
    </row>
    <row r="3660" spans="1:3" x14ac:dyDescent="0.35">
      <c r="A3660" s="141" t="s">
        <v>493</v>
      </c>
      <c r="B3660" s="141" t="s">
        <v>266</v>
      </c>
      <c r="C3660" s="141" t="s">
        <v>32</v>
      </c>
    </row>
    <row r="3661" spans="1:3" x14ac:dyDescent="0.35">
      <c r="A3661" s="141" t="s">
        <v>494</v>
      </c>
      <c r="B3661" s="141" t="s">
        <v>266</v>
      </c>
      <c r="C3661" s="141" t="s">
        <v>32</v>
      </c>
    </row>
    <row r="3662" spans="1:3" x14ac:dyDescent="0.35">
      <c r="A3662" s="141" t="s">
        <v>495</v>
      </c>
      <c r="B3662" s="141" t="s">
        <v>266</v>
      </c>
      <c r="C3662" s="141" t="s">
        <v>32</v>
      </c>
    </row>
    <row r="3663" spans="1:3" x14ac:dyDescent="0.35">
      <c r="A3663" s="141" t="s">
        <v>496</v>
      </c>
      <c r="B3663" s="141" t="s">
        <v>266</v>
      </c>
      <c r="C3663" s="141" t="s">
        <v>32</v>
      </c>
    </row>
    <row r="3664" spans="1:3" x14ac:dyDescent="0.35">
      <c r="A3664" s="141" t="s">
        <v>497</v>
      </c>
      <c r="B3664" s="141" t="s">
        <v>266</v>
      </c>
      <c r="C3664" s="141" t="s">
        <v>32</v>
      </c>
    </row>
    <row r="3665" spans="1:3" x14ac:dyDescent="0.35">
      <c r="A3665" s="141" t="s">
        <v>681</v>
      </c>
      <c r="B3665" s="141" t="s">
        <v>266</v>
      </c>
      <c r="C3665" s="141" t="s">
        <v>32</v>
      </c>
    </row>
    <row r="3666" spans="1:3" x14ac:dyDescent="0.35">
      <c r="A3666" s="141" t="s">
        <v>682</v>
      </c>
      <c r="B3666" s="141" t="s">
        <v>266</v>
      </c>
      <c r="C3666" s="141" t="s">
        <v>32</v>
      </c>
    </row>
    <row r="3667" spans="1:3" x14ac:dyDescent="0.35">
      <c r="A3667" s="141" t="s">
        <v>683</v>
      </c>
      <c r="B3667" s="141" t="s">
        <v>266</v>
      </c>
      <c r="C3667" s="141" t="s">
        <v>32</v>
      </c>
    </row>
    <row r="3668" spans="1:3" x14ac:dyDescent="0.35">
      <c r="A3668" s="141" t="s">
        <v>684</v>
      </c>
      <c r="B3668" s="141" t="s">
        <v>266</v>
      </c>
      <c r="C3668" s="141" t="s">
        <v>32</v>
      </c>
    </row>
    <row r="3669" spans="1:3" x14ac:dyDescent="0.35">
      <c r="A3669" s="141" t="s">
        <v>685</v>
      </c>
      <c r="B3669" s="141" t="s">
        <v>266</v>
      </c>
      <c r="C3669" s="141" t="s">
        <v>32</v>
      </c>
    </row>
    <row r="3670" spans="1:3" x14ac:dyDescent="0.35">
      <c r="A3670" s="141" t="s">
        <v>686</v>
      </c>
      <c r="B3670" s="141" t="s">
        <v>266</v>
      </c>
      <c r="C3670" s="141" t="s">
        <v>32</v>
      </c>
    </row>
    <row r="3671" spans="1:3" x14ac:dyDescent="0.35">
      <c r="A3671" s="141" t="s">
        <v>687</v>
      </c>
      <c r="B3671" s="141" t="s">
        <v>266</v>
      </c>
      <c r="C3671" s="141" t="s">
        <v>32</v>
      </c>
    </row>
    <row r="3672" spans="1:3" x14ac:dyDescent="0.35">
      <c r="A3672" s="141" t="s">
        <v>502</v>
      </c>
      <c r="B3672" s="141" t="s">
        <v>266</v>
      </c>
      <c r="C3672" s="141" t="s">
        <v>32</v>
      </c>
    </row>
    <row r="3673" spans="1:3" x14ac:dyDescent="0.35">
      <c r="A3673" s="141" t="s">
        <v>503</v>
      </c>
      <c r="B3673" s="141" t="s">
        <v>266</v>
      </c>
      <c r="C3673" s="141" t="s">
        <v>32</v>
      </c>
    </row>
    <row r="3674" spans="1:3" x14ac:dyDescent="0.35">
      <c r="A3674" s="141" t="s">
        <v>504</v>
      </c>
      <c r="B3674" s="141" t="s">
        <v>266</v>
      </c>
      <c r="C3674" s="141" t="s">
        <v>26</v>
      </c>
    </row>
    <row r="3675" spans="1:3" x14ac:dyDescent="0.35">
      <c r="A3675" s="141" t="s">
        <v>688</v>
      </c>
      <c r="B3675" s="141" t="s">
        <v>266</v>
      </c>
      <c r="C3675" s="141" t="s">
        <v>32</v>
      </c>
    </row>
    <row r="3676" spans="1:3" x14ac:dyDescent="0.35">
      <c r="A3676" s="141" t="s">
        <v>689</v>
      </c>
      <c r="B3676" s="141" t="s">
        <v>266</v>
      </c>
      <c r="C3676" s="141" t="s">
        <v>32</v>
      </c>
    </row>
    <row r="3677" spans="1:3" x14ac:dyDescent="0.35">
      <c r="A3677" s="141" t="s">
        <v>690</v>
      </c>
      <c r="B3677" s="141" t="s">
        <v>266</v>
      </c>
      <c r="C3677" s="141" t="s">
        <v>32</v>
      </c>
    </row>
    <row r="3678" spans="1:3" x14ac:dyDescent="0.35">
      <c r="A3678" s="141" t="s">
        <v>691</v>
      </c>
      <c r="B3678" s="141" t="s">
        <v>266</v>
      </c>
      <c r="C3678" s="141" t="s">
        <v>32</v>
      </c>
    </row>
    <row r="3679" spans="1:3" x14ac:dyDescent="0.35">
      <c r="A3679" s="141" t="s">
        <v>692</v>
      </c>
      <c r="B3679" s="141" t="s">
        <v>266</v>
      </c>
      <c r="C3679" s="141" t="s">
        <v>32</v>
      </c>
    </row>
    <row r="3680" spans="1:3" x14ac:dyDescent="0.35">
      <c r="A3680" s="141" t="s">
        <v>693</v>
      </c>
      <c r="B3680" s="141" t="s">
        <v>266</v>
      </c>
      <c r="C3680" s="141" t="s">
        <v>32</v>
      </c>
    </row>
    <row r="3681" spans="1:3" x14ac:dyDescent="0.35">
      <c r="A3681" s="141" t="s">
        <v>694</v>
      </c>
      <c r="B3681" s="141" t="s">
        <v>266</v>
      </c>
      <c r="C3681" s="141" t="s">
        <v>32</v>
      </c>
    </row>
    <row r="3682" spans="1:3" x14ac:dyDescent="0.35">
      <c r="A3682" s="141" t="s">
        <v>695</v>
      </c>
      <c r="B3682" s="141" t="s">
        <v>266</v>
      </c>
      <c r="C3682" s="141" t="s">
        <v>32</v>
      </c>
    </row>
    <row r="3683" spans="1:3" x14ac:dyDescent="0.35">
      <c r="A3683" s="141" t="s">
        <v>696</v>
      </c>
      <c r="B3683" s="141" t="s">
        <v>266</v>
      </c>
      <c r="C3683" s="141" t="s">
        <v>32</v>
      </c>
    </row>
    <row r="3684" spans="1:3" x14ac:dyDescent="0.35">
      <c r="A3684" s="141" t="s">
        <v>697</v>
      </c>
      <c r="B3684" s="141" t="s">
        <v>266</v>
      </c>
      <c r="C3684" s="141" t="s">
        <v>32</v>
      </c>
    </row>
    <row r="3685" spans="1:3" x14ac:dyDescent="0.35">
      <c r="A3685" s="141" t="s">
        <v>509</v>
      </c>
      <c r="B3685" s="141" t="s">
        <v>266</v>
      </c>
      <c r="C3685" s="141" t="s">
        <v>32</v>
      </c>
    </row>
    <row r="3686" spans="1:3" x14ac:dyDescent="0.35">
      <c r="A3686" s="141" t="s">
        <v>510</v>
      </c>
      <c r="B3686" s="141" t="s">
        <v>266</v>
      </c>
      <c r="C3686" s="141" t="s">
        <v>32</v>
      </c>
    </row>
    <row r="3687" spans="1:3" x14ac:dyDescent="0.35">
      <c r="A3687" s="141" t="s">
        <v>511</v>
      </c>
      <c r="B3687" s="141" t="s">
        <v>266</v>
      </c>
      <c r="C3687" s="141" t="s">
        <v>32</v>
      </c>
    </row>
    <row r="3688" spans="1:3" x14ac:dyDescent="0.35">
      <c r="A3688" s="141" t="s">
        <v>512</v>
      </c>
      <c r="B3688" s="141" t="s">
        <v>266</v>
      </c>
      <c r="C3688" s="141" t="s">
        <v>32</v>
      </c>
    </row>
    <row r="3689" spans="1:3" x14ac:dyDescent="0.35">
      <c r="A3689" s="141" t="s">
        <v>698</v>
      </c>
      <c r="B3689" s="141" t="s">
        <v>266</v>
      </c>
      <c r="C3689" s="141" t="s">
        <v>33</v>
      </c>
    </row>
    <row r="3690" spans="1:3" x14ac:dyDescent="0.35">
      <c r="A3690" s="141" t="s">
        <v>515</v>
      </c>
      <c r="B3690" s="141" t="s">
        <v>266</v>
      </c>
      <c r="C3690" s="141" t="s">
        <v>33</v>
      </c>
    </row>
    <row r="3691" spans="1:3" x14ac:dyDescent="0.35">
      <c r="A3691" s="141" t="s">
        <v>516</v>
      </c>
      <c r="B3691" s="141" t="s">
        <v>266</v>
      </c>
      <c r="C3691" s="141" t="s">
        <v>33</v>
      </c>
    </row>
    <row r="3692" spans="1:3" x14ac:dyDescent="0.35">
      <c r="A3692" s="141" t="s">
        <v>699</v>
      </c>
      <c r="B3692" s="141" t="s">
        <v>266</v>
      </c>
      <c r="C3692" s="141" t="s">
        <v>26</v>
      </c>
    </row>
    <row r="3693" spans="1:3" x14ac:dyDescent="0.35">
      <c r="A3693" s="141" t="s">
        <v>700</v>
      </c>
      <c r="B3693" s="141" t="s">
        <v>266</v>
      </c>
      <c r="C3693" s="141" t="s">
        <v>26</v>
      </c>
    </row>
    <row r="3694" spans="1:3" x14ac:dyDescent="0.35">
      <c r="A3694" s="141" t="s">
        <v>701</v>
      </c>
      <c r="B3694" s="141" t="s">
        <v>266</v>
      </c>
      <c r="C3694" s="141" t="s">
        <v>26</v>
      </c>
    </row>
    <row r="3695" spans="1:3" x14ac:dyDescent="0.35">
      <c r="A3695" s="141" t="s">
        <v>452</v>
      </c>
      <c r="B3695" s="141" t="s">
        <v>266</v>
      </c>
      <c r="C3695" s="141" t="s">
        <v>33</v>
      </c>
    </row>
    <row r="3696" spans="1:3" x14ac:dyDescent="0.35">
      <c r="A3696" s="141" t="s">
        <v>702</v>
      </c>
      <c r="B3696" s="141" t="s">
        <v>266</v>
      </c>
      <c r="C3696" s="141" t="s">
        <v>33</v>
      </c>
    </row>
    <row r="3697" spans="1:3" x14ac:dyDescent="0.35">
      <c r="A3697" s="141" t="s">
        <v>786</v>
      </c>
      <c r="B3697" s="141" t="s">
        <v>266</v>
      </c>
      <c r="C3697" s="141" t="s">
        <v>35</v>
      </c>
    </row>
    <row r="3698" spans="1:3" x14ac:dyDescent="0.35">
      <c r="A3698" s="141" t="s">
        <v>787</v>
      </c>
      <c r="B3698" s="141" t="s">
        <v>266</v>
      </c>
      <c r="C3698" s="141" t="s">
        <v>35</v>
      </c>
    </row>
    <row r="3699" spans="1:3" x14ac:dyDescent="0.35">
      <c r="A3699" s="141" t="s">
        <v>704</v>
      </c>
      <c r="B3699" s="141" t="s">
        <v>266</v>
      </c>
      <c r="C3699" s="141" t="s">
        <v>35</v>
      </c>
    </row>
    <row r="3700" spans="1:3" x14ac:dyDescent="0.35">
      <c r="A3700" s="141" t="s">
        <v>705</v>
      </c>
      <c r="B3700" s="141" t="s">
        <v>266</v>
      </c>
      <c r="C3700" s="141" t="s">
        <v>35</v>
      </c>
    </row>
    <row r="3701" spans="1:3" x14ac:dyDescent="0.35">
      <c r="A3701" s="141" t="s">
        <v>706</v>
      </c>
      <c r="B3701" s="141" t="s">
        <v>266</v>
      </c>
      <c r="C3701" s="141" t="s">
        <v>31</v>
      </c>
    </row>
    <row r="3702" spans="1:3" x14ac:dyDescent="0.35">
      <c r="A3702" s="141" t="s">
        <v>707</v>
      </c>
      <c r="B3702" s="141" t="s">
        <v>266</v>
      </c>
      <c r="C3702" s="141" t="s">
        <v>31</v>
      </c>
    </row>
    <row r="3703" spans="1:3" x14ac:dyDescent="0.35">
      <c r="A3703" s="141" t="s">
        <v>708</v>
      </c>
      <c r="B3703" s="141" t="s">
        <v>266</v>
      </c>
      <c r="C3703" s="141" t="s">
        <v>31</v>
      </c>
    </row>
    <row r="3704" spans="1:3" x14ac:dyDescent="0.35">
      <c r="A3704" s="141" t="s">
        <v>709</v>
      </c>
      <c r="B3704" s="141" t="s">
        <v>266</v>
      </c>
      <c r="C3704" s="141" t="s">
        <v>31</v>
      </c>
    </row>
    <row r="3705" spans="1:3" x14ac:dyDescent="0.35">
      <c r="A3705" s="141" t="s">
        <v>710</v>
      </c>
      <c r="B3705" s="141" t="s">
        <v>266</v>
      </c>
      <c r="C3705" s="141" t="s">
        <v>31</v>
      </c>
    </row>
    <row r="3706" spans="1:3" x14ac:dyDescent="0.35">
      <c r="A3706" s="141" t="s">
        <v>456</v>
      </c>
      <c r="B3706" s="141" t="s">
        <v>266</v>
      </c>
      <c r="C3706" s="141" t="s">
        <v>31</v>
      </c>
    </row>
    <row r="3707" spans="1:3" x14ac:dyDescent="0.35">
      <c r="A3707" s="141" t="s">
        <v>297</v>
      </c>
      <c r="B3707" s="141" t="s">
        <v>266</v>
      </c>
      <c r="C3707" s="141" t="s">
        <v>32</v>
      </c>
    </row>
    <row r="3708" spans="1:3" x14ac:dyDescent="0.35">
      <c r="A3708" s="141" t="s">
        <v>298</v>
      </c>
      <c r="B3708" s="141" t="s">
        <v>266</v>
      </c>
      <c r="C3708" s="141" t="s">
        <v>32</v>
      </c>
    </row>
    <row r="3709" spans="1:3" x14ac:dyDescent="0.35">
      <c r="A3709" s="141" t="s">
        <v>299</v>
      </c>
      <c r="B3709" s="141" t="s">
        <v>266</v>
      </c>
      <c r="C3709" s="141" t="s">
        <v>32</v>
      </c>
    </row>
    <row r="3710" spans="1:3" x14ac:dyDescent="0.35">
      <c r="A3710" s="141" t="s">
        <v>300</v>
      </c>
      <c r="B3710" s="141" t="s">
        <v>266</v>
      </c>
      <c r="C3710" s="141" t="s">
        <v>32</v>
      </c>
    </row>
    <row r="3711" spans="1:3" x14ac:dyDescent="0.35">
      <c r="A3711" s="141" t="s">
        <v>301</v>
      </c>
      <c r="B3711" s="141" t="s">
        <v>266</v>
      </c>
      <c r="C3711" s="141" t="s">
        <v>32</v>
      </c>
    </row>
    <row r="3712" spans="1:3" x14ac:dyDescent="0.35">
      <c r="A3712" s="141" t="s">
        <v>302</v>
      </c>
      <c r="B3712" s="141" t="s">
        <v>266</v>
      </c>
      <c r="C3712" s="141" t="s">
        <v>32</v>
      </c>
    </row>
    <row r="3713" spans="1:3" x14ac:dyDescent="0.35">
      <c r="A3713" s="141" t="s">
        <v>626</v>
      </c>
      <c r="B3713" s="141" t="s">
        <v>266</v>
      </c>
      <c r="C3713" s="141" t="s">
        <v>31</v>
      </c>
    </row>
    <row r="3714" spans="1:3" x14ac:dyDescent="0.35">
      <c r="A3714" s="141" t="s">
        <v>627</v>
      </c>
      <c r="B3714" s="141" t="s">
        <v>266</v>
      </c>
      <c r="C3714" s="141" t="s">
        <v>31</v>
      </c>
    </row>
    <row r="3715" spans="1:3" x14ac:dyDescent="0.35">
      <c r="A3715" s="141" t="s">
        <v>458</v>
      </c>
      <c r="B3715" s="141" t="s">
        <v>266</v>
      </c>
      <c r="C3715" s="141" t="s">
        <v>31</v>
      </c>
    </row>
    <row r="3716" spans="1:3" x14ac:dyDescent="0.35">
      <c r="A3716" s="141" t="s">
        <v>628</v>
      </c>
      <c r="B3716" s="141" t="s">
        <v>266</v>
      </c>
      <c r="C3716" s="141" t="s">
        <v>31</v>
      </c>
    </row>
    <row r="3717" spans="1:3" x14ac:dyDescent="0.35">
      <c r="A3717" s="141" t="s">
        <v>629</v>
      </c>
      <c r="B3717" s="141" t="s">
        <v>266</v>
      </c>
      <c r="C3717" s="141" t="s">
        <v>31</v>
      </c>
    </row>
    <row r="3718" spans="1:3" x14ac:dyDescent="0.35">
      <c r="A3718" s="141" t="s">
        <v>460</v>
      </c>
      <c r="B3718" s="141" t="s">
        <v>266</v>
      </c>
      <c r="C3718" s="141" t="s">
        <v>31</v>
      </c>
    </row>
    <row r="3719" spans="1:3" x14ac:dyDescent="0.35">
      <c r="A3719" s="141" t="s">
        <v>461</v>
      </c>
      <c r="B3719" s="141" t="s">
        <v>266</v>
      </c>
      <c r="C3719" s="141" t="s">
        <v>31</v>
      </c>
    </row>
    <row r="3720" spans="1:3" x14ac:dyDescent="0.35">
      <c r="A3720" s="141" t="s">
        <v>808</v>
      </c>
      <c r="B3720" s="141" t="s">
        <v>266</v>
      </c>
      <c r="C3720" s="141" t="s">
        <v>31</v>
      </c>
    </row>
    <row r="3721" spans="1:3" x14ac:dyDescent="0.35">
      <c r="A3721" s="141" t="s">
        <v>809</v>
      </c>
      <c r="B3721" s="141" t="s">
        <v>266</v>
      </c>
      <c r="C3721" s="141" t="s">
        <v>31</v>
      </c>
    </row>
    <row r="3722" spans="1:3" x14ac:dyDescent="0.35">
      <c r="A3722" s="141" t="s">
        <v>810</v>
      </c>
      <c r="B3722" s="141" t="s">
        <v>266</v>
      </c>
      <c r="C3722" s="141" t="s">
        <v>33</v>
      </c>
    </row>
    <row r="3723" spans="1:3" x14ac:dyDescent="0.35">
      <c r="A3723" s="141" t="s">
        <v>811</v>
      </c>
      <c r="B3723" s="141" t="s">
        <v>266</v>
      </c>
      <c r="C3723" s="141" t="s">
        <v>36</v>
      </c>
    </row>
    <row r="3724" spans="1:3" x14ac:dyDescent="0.35">
      <c r="A3724" s="141" t="s">
        <v>716</v>
      </c>
      <c r="B3724" s="141" t="s">
        <v>266</v>
      </c>
      <c r="C3724" s="141" t="s">
        <v>36</v>
      </c>
    </row>
    <row r="3725" spans="1:3" x14ac:dyDescent="0.35">
      <c r="A3725" s="141" t="s">
        <v>717</v>
      </c>
      <c r="B3725" s="141" t="s">
        <v>266</v>
      </c>
      <c r="C3725" s="141" t="s">
        <v>36</v>
      </c>
    </row>
    <row r="3726" spans="1:3" x14ac:dyDescent="0.35">
      <c r="A3726" s="141" t="s">
        <v>718</v>
      </c>
      <c r="B3726" s="141" t="s">
        <v>266</v>
      </c>
      <c r="C3726" s="141" t="s">
        <v>36</v>
      </c>
    </row>
    <row r="3727" spans="1:3" x14ac:dyDescent="0.35">
      <c r="A3727" s="141" t="s">
        <v>719</v>
      </c>
      <c r="B3727" s="141" t="s">
        <v>266</v>
      </c>
      <c r="C3727" s="141" t="s">
        <v>36</v>
      </c>
    </row>
    <row r="3728" spans="1:3" x14ac:dyDescent="0.35">
      <c r="A3728" s="141" t="s">
        <v>720</v>
      </c>
      <c r="B3728" s="141" t="s">
        <v>266</v>
      </c>
      <c r="C3728" s="141" t="s">
        <v>36</v>
      </c>
    </row>
    <row r="3729" spans="1:3" x14ac:dyDescent="0.35">
      <c r="A3729" s="141" t="s">
        <v>721</v>
      </c>
      <c r="B3729" s="141" t="s">
        <v>266</v>
      </c>
      <c r="C3729" s="141" t="s">
        <v>36</v>
      </c>
    </row>
    <row r="3730" spans="1:3" x14ac:dyDescent="0.35">
      <c r="A3730" s="141" t="s">
        <v>722</v>
      </c>
      <c r="B3730" s="141" t="s">
        <v>266</v>
      </c>
      <c r="C3730" s="141" t="s">
        <v>36</v>
      </c>
    </row>
    <row r="3731" spans="1:3" x14ac:dyDescent="0.35">
      <c r="A3731" s="141" t="s">
        <v>723</v>
      </c>
      <c r="B3731" s="141" t="s">
        <v>266</v>
      </c>
      <c r="C3731" s="141" t="s">
        <v>36</v>
      </c>
    </row>
    <row r="3732" spans="1:3" x14ac:dyDescent="0.35">
      <c r="A3732" s="141" t="s">
        <v>724</v>
      </c>
      <c r="B3732" s="141" t="s">
        <v>266</v>
      </c>
      <c r="C3732" s="141" t="s">
        <v>37</v>
      </c>
    </row>
    <row r="3733" spans="1:3" x14ac:dyDescent="0.35">
      <c r="A3733" s="141" t="s">
        <v>725</v>
      </c>
      <c r="B3733" s="141" t="s">
        <v>266</v>
      </c>
      <c r="C3733" s="141" t="s">
        <v>37</v>
      </c>
    </row>
    <row r="3734" spans="1:3" x14ac:dyDescent="0.35">
      <c r="A3734" s="141" t="s">
        <v>726</v>
      </c>
      <c r="B3734" s="141" t="s">
        <v>266</v>
      </c>
      <c r="C3734" s="141" t="s">
        <v>33</v>
      </c>
    </row>
    <row r="3735" spans="1:3" x14ac:dyDescent="0.35">
      <c r="A3735" s="141" t="s">
        <v>727</v>
      </c>
      <c r="B3735" s="141" t="s">
        <v>266</v>
      </c>
      <c r="C3735" s="141" t="s">
        <v>36</v>
      </c>
    </row>
    <row r="3736" spans="1:3" x14ac:dyDescent="0.35">
      <c r="A3736" s="141" t="s">
        <v>728</v>
      </c>
      <c r="B3736" s="141" t="s">
        <v>266</v>
      </c>
      <c r="C3736" s="141" t="s">
        <v>28</v>
      </c>
    </row>
    <row r="3737" spans="1:3" x14ac:dyDescent="0.35">
      <c r="A3737" s="141" t="s">
        <v>729</v>
      </c>
      <c r="B3737" s="141" t="s">
        <v>266</v>
      </c>
      <c r="C3737" s="141" t="s">
        <v>28</v>
      </c>
    </row>
    <row r="3738" spans="1:3" x14ac:dyDescent="0.35">
      <c r="A3738" s="141" t="s">
        <v>730</v>
      </c>
      <c r="B3738" s="141" t="s">
        <v>266</v>
      </c>
      <c r="C3738" s="141" t="s">
        <v>28</v>
      </c>
    </row>
    <row r="3739" spans="1:3" x14ac:dyDescent="0.35">
      <c r="A3739" s="141" t="s">
        <v>731</v>
      </c>
      <c r="B3739" s="141" t="s">
        <v>266</v>
      </c>
      <c r="C3739" s="141" t="s">
        <v>29</v>
      </c>
    </row>
    <row r="3740" spans="1:3" x14ac:dyDescent="0.35">
      <c r="A3740" s="141" t="s">
        <v>732</v>
      </c>
      <c r="B3740" s="141" t="s">
        <v>266</v>
      </c>
      <c r="C3740" s="141" t="s">
        <v>28</v>
      </c>
    </row>
    <row r="3741" spans="1:3" x14ac:dyDescent="0.35">
      <c r="A3741" s="141" t="s">
        <v>790</v>
      </c>
      <c r="B3741" s="141" t="s">
        <v>266</v>
      </c>
      <c r="C3741" s="141" t="s">
        <v>33</v>
      </c>
    </row>
    <row r="3742" spans="1:3" x14ac:dyDescent="0.35">
      <c r="A3742" s="141" t="s">
        <v>791</v>
      </c>
      <c r="B3742" s="141" t="s">
        <v>266</v>
      </c>
      <c r="C3742" s="141" t="s">
        <v>33</v>
      </c>
    </row>
    <row r="3743" spans="1:3" x14ac:dyDescent="0.35">
      <c r="A3743" s="141" t="s">
        <v>734</v>
      </c>
      <c r="B3743" s="141" t="s">
        <v>266</v>
      </c>
      <c r="C3743" s="141" t="s">
        <v>33</v>
      </c>
    </row>
    <row r="3744" spans="1:3" x14ac:dyDescent="0.35">
      <c r="A3744" s="141" t="s">
        <v>570</v>
      </c>
      <c r="B3744" s="141" t="s">
        <v>266</v>
      </c>
      <c r="C3744" s="141" t="s">
        <v>52</v>
      </c>
    </row>
    <row r="3745" spans="1:3" x14ac:dyDescent="0.35">
      <c r="A3745" s="141" t="s">
        <v>792</v>
      </c>
      <c r="B3745" s="141" t="s">
        <v>266</v>
      </c>
      <c r="C3745" s="141" t="s">
        <v>52</v>
      </c>
    </row>
    <row r="3746" spans="1:3" x14ac:dyDescent="0.35">
      <c r="A3746" s="141" t="s">
        <v>449</v>
      </c>
      <c r="B3746" s="141" t="s">
        <v>266</v>
      </c>
      <c r="C3746" s="141" t="s">
        <v>52</v>
      </c>
    </row>
    <row r="3747" spans="1:3" x14ac:dyDescent="0.35">
      <c r="A3747" s="141" t="s">
        <v>793</v>
      </c>
      <c r="B3747" s="141" t="s">
        <v>266</v>
      </c>
      <c r="C3747" s="141" t="s">
        <v>52</v>
      </c>
    </row>
    <row r="3748" spans="1:3" x14ac:dyDescent="0.35">
      <c r="A3748" s="141" t="s">
        <v>794</v>
      </c>
      <c r="B3748" s="141" t="s">
        <v>266</v>
      </c>
      <c r="C3748" s="141" t="s">
        <v>52</v>
      </c>
    </row>
    <row r="3749" spans="1:3" x14ac:dyDescent="0.35">
      <c r="A3749" s="141" t="s">
        <v>304</v>
      </c>
      <c r="B3749" s="141" t="s">
        <v>266</v>
      </c>
      <c r="C3749" s="142"/>
    </row>
    <row r="3750" spans="1:3" x14ac:dyDescent="0.35">
      <c r="A3750" s="141" t="s">
        <v>795</v>
      </c>
      <c r="B3750" s="141" t="s">
        <v>266</v>
      </c>
      <c r="C3750" s="142"/>
    </row>
    <row r="3751" spans="1:3" x14ac:dyDescent="0.35">
      <c r="A3751" s="141" t="s">
        <v>796</v>
      </c>
      <c r="B3751" s="141" t="s">
        <v>266</v>
      </c>
      <c r="C3751" s="142"/>
    </row>
    <row r="3752" spans="1:3" x14ac:dyDescent="0.35">
      <c r="A3752" s="141" t="s">
        <v>601</v>
      </c>
      <c r="B3752" s="141" t="s">
        <v>266</v>
      </c>
      <c r="C3752" s="141" t="s">
        <v>40</v>
      </c>
    </row>
    <row r="3753" spans="1:3" x14ac:dyDescent="0.35">
      <c r="A3753" s="141" t="s">
        <v>602</v>
      </c>
      <c r="B3753" s="141" t="s">
        <v>266</v>
      </c>
      <c r="C3753" s="141" t="s">
        <v>39</v>
      </c>
    </row>
    <row r="3754" spans="1:3" x14ac:dyDescent="0.35">
      <c r="A3754" s="141" t="s">
        <v>735</v>
      </c>
      <c r="B3754" s="141" t="s">
        <v>266</v>
      </c>
      <c r="C3754" s="141" t="s">
        <v>41</v>
      </c>
    </row>
    <row r="3755" spans="1:3" x14ac:dyDescent="0.35">
      <c r="A3755" s="141" t="s">
        <v>736</v>
      </c>
      <c r="B3755" s="141" t="s">
        <v>266</v>
      </c>
      <c r="C3755" s="141" t="s">
        <v>41</v>
      </c>
    </row>
    <row r="3756" spans="1:3" x14ac:dyDescent="0.35">
      <c r="A3756" s="141" t="s">
        <v>737</v>
      </c>
      <c r="B3756" s="141" t="s">
        <v>266</v>
      </c>
      <c r="C3756" s="141" t="s">
        <v>41</v>
      </c>
    </row>
    <row r="3757" spans="1:3" x14ac:dyDescent="0.35">
      <c r="A3757" s="141" t="s">
        <v>738</v>
      </c>
      <c r="B3757" s="141" t="s">
        <v>266</v>
      </c>
      <c r="C3757" s="141" t="s">
        <v>41</v>
      </c>
    </row>
    <row r="3758" spans="1:3" x14ac:dyDescent="0.35">
      <c r="A3758" s="141" t="s">
        <v>797</v>
      </c>
      <c r="B3758" s="141" t="s">
        <v>266</v>
      </c>
      <c r="C3758" s="141" t="s">
        <v>41</v>
      </c>
    </row>
    <row r="3759" spans="1:3" x14ac:dyDescent="0.35">
      <c r="A3759" s="141" t="s">
        <v>798</v>
      </c>
      <c r="B3759" s="141" t="s">
        <v>266</v>
      </c>
      <c r="C3759" s="141" t="s">
        <v>40</v>
      </c>
    </row>
    <row r="3760" spans="1:3" x14ac:dyDescent="0.35">
      <c r="A3760" s="141" t="s">
        <v>799</v>
      </c>
      <c r="B3760" s="141" t="s">
        <v>266</v>
      </c>
      <c r="C3760" s="141" t="s">
        <v>40</v>
      </c>
    </row>
    <row r="3761" spans="1:3" x14ac:dyDescent="0.35">
      <c r="A3761" s="141" t="s">
        <v>807</v>
      </c>
      <c r="B3761" s="141" t="s">
        <v>266</v>
      </c>
      <c r="C3761" s="141" t="s">
        <v>3</v>
      </c>
    </row>
    <row r="3762" spans="1:3" x14ac:dyDescent="0.35">
      <c r="A3762" s="141" t="s">
        <v>739</v>
      </c>
      <c r="B3762" s="141" t="s">
        <v>266</v>
      </c>
      <c r="C3762" s="141" t="s">
        <v>52</v>
      </c>
    </row>
    <row r="3763" spans="1:3" x14ac:dyDescent="0.35">
      <c r="A3763" s="141" t="s">
        <v>800</v>
      </c>
      <c r="B3763" s="141" t="s">
        <v>266</v>
      </c>
      <c r="C3763" s="141" t="s">
        <v>21</v>
      </c>
    </row>
    <row r="3764" spans="1:3" x14ac:dyDescent="0.35">
      <c r="A3764" s="141" t="s">
        <v>306</v>
      </c>
      <c r="B3764" s="141" t="s">
        <v>266</v>
      </c>
      <c r="C3764" s="141" t="s">
        <v>35</v>
      </c>
    </row>
    <row r="3765" spans="1:3" x14ac:dyDescent="0.35">
      <c r="A3765" s="141" t="s">
        <v>740</v>
      </c>
      <c r="B3765" s="141" t="s">
        <v>266</v>
      </c>
      <c r="C3765" s="141" t="s">
        <v>33</v>
      </c>
    </row>
    <row r="3766" spans="1:3" x14ac:dyDescent="0.35">
      <c r="A3766" s="141" t="s">
        <v>550</v>
      </c>
      <c r="B3766" s="141" t="s">
        <v>266</v>
      </c>
      <c r="C3766" s="141" t="s">
        <v>33</v>
      </c>
    </row>
    <row r="3767" spans="1:3" x14ac:dyDescent="0.35">
      <c r="A3767" s="141" t="s">
        <v>551</v>
      </c>
      <c r="B3767" s="141" t="s">
        <v>266</v>
      </c>
      <c r="C3767" s="141" t="s">
        <v>33</v>
      </c>
    </row>
    <row r="3768" spans="1:3" x14ac:dyDescent="0.35">
      <c r="A3768" s="141" t="s">
        <v>307</v>
      </c>
      <c r="B3768" s="141" t="s">
        <v>266</v>
      </c>
      <c r="C3768" s="141" t="s">
        <v>33</v>
      </c>
    </row>
    <row r="3769" spans="1:3" x14ac:dyDescent="0.35">
      <c r="A3769" s="141" t="s">
        <v>427</v>
      </c>
      <c r="B3769" s="141" t="s">
        <v>266</v>
      </c>
      <c r="C3769" s="141" t="s">
        <v>27</v>
      </c>
    </row>
    <row r="3770" spans="1:3" x14ac:dyDescent="0.35">
      <c r="A3770" s="141" t="s">
        <v>428</v>
      </c>
      <c r="B3770" s="141" t="s">
        <v>266</v>
      </c>
      <c r="C3770" s="141" t="s">
        <v>27</v>
      </c>
    </row>
    <row r="3771" spans="1:3" x14ac:dyDescent="0.35">
      <c r="A3771" s="141" t="s">
        <v>429</v>
      </c>
      <c r="B3771" s="141" t="s">
        <v>266</v>
      </c>
      <c r="C3771" s="141" t="s">
        <v>27</v>
      </c>
    </row>
    <row r="3772" spans="1:3" x14ac:dyDescent="0.35">
      <c r="A3772" s="141" t="s">
        <v>817</v>
      </c>
      <c r="B3772" s="141" t="s">
        <v>266</v>
      </c>
      <c r="C3772" s="141" t="s">
        <v>27</v>
      </c>
    </row>
    <row r="3773" spans="1:3" x14ac:dyDescent="0.35">
      <c r="A3773" s="141" t="s">
        <v>431</v>
      </c>
      <c r="B3773" s="141" t="s">
        <v>266</v>
      </c>
      <c r="C3773" s="141" t="s">
        <v>27</v>
      </c>
    </row>
    <row r="3774" spans="1:3" x14ac:dyDescent="0.35">
      <c r="A3774" s="141" t="s">
        <v>308</v>
      </c>
      <c r="B3774" s="141" t="s">
        <v>266</v>
      </c>
      <c r="C3774" s="141" t="s">
        <v>53</v>
      </c>
    </row>
    <row r="3775" spans="1:3" x14ac:dyDescent="0.35">
      <c r="A3775" s="141" t="s">
        <v>309</v>
      </c>
      <c r="B3775" s="141" t="s">
        <v>266</v>
      </c>
      <c r="C3775" s="141" t="s">
        <v>53</v>
      </c>
    </row>
    <row r="3776" spans="1:3" x14ac:dyDescent="0.35">
      <c r="A3776" s="141" t="s">
        <v>310</v>
      </c>
      <c r="B3776" s="141" t="s">
        <v>266</v>
      </c>
      <c r="C3776" s="141" t="s">
        <v>53</v>
      </c>
    </row>
    <row r="3777" spans="1:3" x14ac:dyDescent="0.35">
      <c r="A3777" s="141" t="s">
        <v>311</v>
      </c>
      <c r="B3777" s="141" t="s">
        <v>266</v>
      </c>
      <c r="C3777" s="141" t="s">
        <v>53</v>
      </c>
    </row>
    <row r="3778" spans="1:3" x14ac:dyDescent="0.35">
      <c r="A3778" s="141" t="s">
        <v>534</v>
      </c>
      <c r="B3778" s="141" t="s">
        <v>266</v>
      </c>
      <c r="C3778" s="141" t="s">
        <v>53</v>
      </c>
    </row>
    <row r="3779" spans="1:3" x14ac:dyDescent="0.35">
      <c r="A3779" s="141" t="s">
        <v>312</v>
      </c>
      <c r="B3779" s="141" t="s">
        <v>266</v>
      </c>
      <c r="C3779" s="141" t="s">
        <v>53</v>
      </c>
    </row>
    <row r="3780" spans="1:3" x14ac:dyDescent="0.35">
      <c r="A3780" s="141" t="s">
        <v>801</v>
      </c>
      <c r="B3780" s="141" t="s">
        <v>266</v>
      </c>
      <c r="C3780" s="141" t="s">
        <v>52</v>
      </c>
    </row>
    <row r="3781" spans="1:3" x14ac:dyDescent="0.35">
      <c r="A3781" s="141" t="s">
        <v>531</v>
      </c>
      <c r="B3781" s="141" t="s">
        <v>266</v>
      </c>
      <c r="C3781" s="141" t="s">
        <v>51</v>
      </c>
    </row>
    <row r="3782" spans="1:3" x14ac:dyDescent="0.35">
      <c r="A3782" s="141" t="s">
        <v>741</v>
      </c>
      <c r="B3782" s="141" t="s">
        <v>266</v>
      </c>
      <c r="C3782" s="141" t="s">
        <v>51</v>
      </c>
    </row>
    <row r="3783" spans="1:3" x14ac:dyDescent="0.35">
      <c r="A3783" s="141" t="s">
        <v>742</v>
      </c>
      <c r="B3783" s="141" t="s">
        <v>266</v>
      </c>
      <c r="C3783" s="141" t="s">
        <v>51</v>
      </c>
    </row>
    <row r="3784" spans="1:3" x14ac:dyDescent="0.35">
      <c r="A3784" s="141" t="s">
        <v>743</v>
      </c>
      <c r="B3784" s="141" t="s">
        <v>266</v>
      </c>
      <c r="C3784" s="141" t="s">
        <v>51</v>
      </c>
    </row>
    <row r="3785" spans="1:3" x14ac:dyDescent="0.35">
      <c r="A3785" s="141" t="s">
        <v>747</v>
      </c>
      <c r="B3785" s="141" t="s">
        <v>266</v>
      </c>
      <c r="C3785" s="141" t="s">
        <v>51</v>
      </c>
    </row>
    <row r="3786" spans="1:3" x14ac:dyDescent="0.35">
      <c r="A3786" s="141" t="s">
        <v>748</v>
      </c>
      <c r="B3786" s="141" t="s">
        <v>266</v>
      </c>
      <c r="C3786" s="141" t="s">
        <v>51</v>
      </c>
    </row>
    <row r="3787" spans="1:3" x14ac:dyDescent="0.35">
      <c r="A3787" s="141" t="s">
        <v>313</v>
      </c>
      <c r="B3787" s="141" t="s">
        <v>266</v>
      </c>
      <c r="C3787" s="141" t="s">
        <v>51</v>
      </c>
    </row>
    <row r="3788" spans="1:3" x14ac:dyDescent="0.35">
      <c r="A3788" s="141" t="s">
        <v>533</v>
      </c>
      <c r="B3788" s="141" t="s">
        <v>266</v>
      </c>
      <c r="C3788" s="141" t="s">
        <v>50</v>
      </c>
    </row>
    <row r="3789" spans="1:3" x14ac:dyDescent="0.35">
      <c r="A3789" s="141" t="s">
        <v>542</v>
      </c>
      <c r="B3789" s="141" t="s">
        <v>266</v>
      </c>
      <c r="C3789" s="141" t="s">
        <v>52</v>
      </c>
    </row>
    <row r="3790" spans="1:3" x14ac:dyDescent="0.35">
      <c r="A3790" s="141" t="s">
        <v>543</v>
      </c>
      <c r="B3790" s="141" t="s">
        <v>266</v>
      </c>
      <c r="C3790" s="141" t="s">
        <v>52</v>
      </c>
    </row>
    <row r="3791" spans="1:3" x14ac:dyDescent="0.35">
      <c r="A3791" s="141" t="s">
        <v>577</v>
      </c>
      <c r="B3791" s="141" t="s">
        <v>266</v>
      </c>
      <c r="C3791" s="141" t="s">
        <v>52</v>
      </c>
    </row>
    <row r="3792" spans="1:3" x14ac:dyDescent="0.35">
      <c r="A3792" s="141" t="s">
        <v>578</v>
      </c>
      <c r="B3792" s="141" t="s">
        <v>266</v>
      </c>
      <c r="C3792" s="141" t="s">
        <v>52</v>
      </c>
    </row>
    <row r="3793" spans="1:3" x14ac:dyDescent="0.35">
      <c r="A3793" s="141" t="s">
        <v>535</v>
      </c>
      <c r="B3793" s="141" t="s">
        <v>266</v>
      </c>
      <c r="C3793" s="141" t="s">
        <v>52</v>
      </c>
    </row>
    <row r="3794" spans="1:3" x14ac:dyDescent="0.35">
      <c r="A3794" s="141" t="s">
        <v>536</v>
      </c>
      <c r="B3794" s="141" t="s">
        <v>266</v>
      </c>
      <c r="C3794" s="141" t="s">
        <v>52</v>
      </c>
    </row>
    <row r="3795" spans="1:3" x14ac:dyDescent="0.35">
      <c r="A3795" s="141" t="s">
        <v>537</v>
      </c>
      <c r="B3795" s="141" t="s">
        <v>266</v>
      </c>
      <c r="C3795" s="141" t="s">
        <v>52</v>
      </c>
    </row>
    <row r="3796" spans="1:3" x14ac:dyDescent="0.35">
      <c r="A3796" s="141" t="s">
        <v>538</v>
      </c>
      <c r="B3796" s="141" t="s">
        <v>266</v>
      </c>
      <c r="C3796" s="141" t="s">
        <v>52</v>
      </c>
    </row>
    <row r="3797" spans="1:3" x14ac:dyDescent="0.35">
      <c r="A3797" s="141" t="s">
        <v>539</v>
      </c>
      <c r="B3797" s="141" t="s">
        <v>266</v>
      </c>
      <c r="C3797" s="141" t="s">
        <v>52</v>
      </c>
    </row>
    <row r="3798" spans="1:3" x14ac:dyDescent="0.35">
      <c r="A3798" s="141" t="s">
        <v>540</v>
      </c>
      <c r="B3798" s="141" t="s">
        <v>266</v>
      </c>
      <c r="C3798" s="141" t="s">
        <v>52</v>
      </c>
    </row>
    <row r="3799" spans="1:3" x14ac:dyDescent="0.35">
      <c r="A3799" s="141" t="s">
        <v>812</v>
      </c>
      <c r="B3799" s="141" t="s">
        <v>266</v>
      </c>
      <c r="C3799" s="141" t="s">
        <v>52</v>
      </c>
    </row>
    <row r="3800" spans="1:3" x14ac:dyDescent="0.35">
      <c r="A3800" s="141" t="s">
        <v>803</v>
      </c>
      <c r="B3800" s="141" t="s">
        <v>266</v>
      </c>
      <c r="C3800" s="141" t="s">
        <v>52</v>
      </c>
    </row>
    <row r="3801" spans="1:3" x14ac:dyDescent="0.35">
      <c r="A3801" s="141" t="s">
        <v>575</v>
      </c>
      <c r="B3801" s="141" t="s">
        <v>266</v>
      </c>
      <c r="C3801" s="141" t="s">
        <v>52</v>
      </c>
    </row>
    <row r="3802" spans="1:3" x14ac:dyDescent="0.35">
      <c r="A3802" s="141" t="s">
        <v>639</v>
      </c>
      <c r="B3802" s="141" t="s">
        <v>266</v>
      </c>
      <c r="C3802" s="141" t="s">
        <v>25</v>
      </c>
    </row>
    <row r="3803" spans="1:3" x14ac:dyDescent="0.35">
      <c r="A3803" s="141" t="s">
        <v>640</v>
      </c>
      <c r="B3803" s="141" t="s">
        <v>266</v>
      </c>
      <c r="C3803" s="141" t="s">
        <v>25</v>
      </c>
    </row>
    <row r="3804" spans="1:3" x14ac:dyDescent="0.35">
      <c r="A3804" s="141" t="s">
        <v>744</v>
      </c>
      <c r="B3804" s="141" t="s">
        <v>266</v>
      </c>
      <c r="C3804" s="141" t="s">
        <v>52</v>
      </c>
    </row>
    <row r="3805" spans="1:3" x14ac:dyDescent="0.35">
      <c r="A3805" s="141" t="s">
        <v>544</v>
      </c>
      <c r="B3805" s="141" t="s">
        <v>266</v>
      </c>
      <c r="C3805" s="141" t="s">
        <v>33</v>
      </c>
    </row>
    <row r="3806" spans="1:3" x14ac:dyDescent="0.35">
      <c r="A3806" s="141" t="s">
        <v>804</v>
      </c>
      <c r="B3806" s="141" t="s">
        <v>266</v>
      </c>
      <c r="C3806" s="141" t="s">
        <v>53</v>
      </c>
    </row>
    <row r="3807" spans="1:3" x14ac:dyDescent="0.35">
      <c r="A3807" s="141" t="s">
        <v>805</v>
      </c>
      <c r="B3807" s="141" t="s">
        <v>266</v>
      </c>
      <c r="C3807" s="141" t="s">
        <v>52</v>
      </c>
    </row>
    <row r="3808" spans="1:3" x14ac:dyDescent="0.35">
      <c r="A3808" s="141" t="s">
        <v>546</v>
      </c>
      <c r="B3808" s="141" t="s">
        <v>266</v>
      </c>
      <c r="C3808" s="141" t="s">
        <v>52</v>
      </c>
    </row>
    <row r="3809" spans="1:3" x14ac:dyDescent="0.35">
      <c r="A3809" s="141" t="s">
        <v>547</v>
      </c>
      <c r="B3809" s="141" t="s">
        <v>266</v>
      </c>
      <c r="C3809" s="141" t="s">
        <v>52</v>
      </c>
    </row>
    <row r="3810" spans="1:3" x14ac:dyDescent="0.35">
      <c r="A3810" s="141" t="s">
        <v>314</v>
      </c>
      <c r="B3810" s="141" t="s">
        <v>266</v>
      </c>
      <c r="C3810" s="141" t="s">
        <v>16</v>
      </c>
    </row>
    <row r="3811" spans="1:3" x14ac:dyDescent="0.35">
      <c r="A3811" s="141" t="s">
        <v>315</v>
      </c>
      <c r="B3811" s="141" t="s">
        <v>266</v>
      </c>
      <c r="C3811" s="141" t="s">
        <v>16</v>
      </c>
    </row>
    <row r="3812" spans="1:3" x14ac:dyDescent="0.35">
      <c r="A3812" s="141" t="s">
        <v>316</v>
      </c>
      <c r="B3812" s="141" t="s">
        <v>266</v>
      </c>
      <c r="C3812" s="141" t="s">
        <v>16</v>
      </c>
    </row>
    <row r="3813" spans="1:3" x14ac:dyDescent="0.35">
      <c r="A3813" s="141" t="s">
        <v>317</v>
      </c>
      <c r="B3813" s="141" t="s">
        <v>266</v>
      </c>
      <c r="C3813" s="141" t="s">
        <v>16</v>
      </c>
    </row>
    <row r="3814" spans="1:3" x14ac:dyDescent="0.35">
      <c r="A3814" s="141" t="s">
        <v>318</v>
      </c>
      <c r="B3814" s="141" t="s">
        <v>266</v>
      </c>
      <c r="C3814" s="141" t="s">
        <v>16</v>
      </c>
    </row>
    <row r="3815" spans="1:3" x14ac:dyDescent="0.35">
      <c r="A3815" s="141" t="s">
        <v>319</v>
      </c>
      <c r="B3815" s="141" t="s">
        <v>266</v>
      </c>
      <c r="C3815" s="141" t="s">
        <v>16</v>
      </c>
    </row>
    <row r="3816" spans="1:3" x14ac:dyDescent="0.35">
      <c r="A3816" s="141" t="s">
        <v>320</v>
      </c>
      <c r="B3816" s="141" t="s">
        <v>266</v>
      </c>
      <c r="C3816" s="141" t="s">
        <v>16</v>
      </c>
    </row>
    <row r="3817" spans="1:3" x14ac:dyDescent="0.35">
      <c r="A3817" s="141" t="s">
        <v>321</v>
      </c>
      <c r="B3817" s="141" t="s">
        <v>266</v>
      </c>
      <c r="C3817" s="141" t="s">
        <v>16</v>
      </c>
    </row>
    <row r="3818" spans="1:3" x14ac:dyDescent="0.35">
      <c r="A3818" s="141" t="s">
        <v>322</v>
      </c>
      <c r="B3818" s="141" t="s">
        <v>266</v>
      </c>
      <c r="C3818" s="141" t="s">
        <v>16</v>
      </c>
    </row>
    <row r="3819" spans="1:3" x14ac:dyDescent="0.35">
      <c r="A3819" s="141" t="s">
        <v>323</v>
      </c>
      <c r="B3819" s="141" t="s">
        <v>266</v>
      </c>
      <c r="C3819" s="141" t="s">
        <v>16</v>
      </c>
    </row>
    <row r="3820" spans="1:3" x14ac:dyDescent="0.35">
      <c r="A3820" s="141" t="s">
        <v>324</v>
      </c>
      <c r="B3820" s="141" t="s">
        <v>266</v>
      </c>
      <c r="C3820" s="141" t="s">
        <v>16</v>
      </c>
    </row>
    <row r="3821" spans="1:3" x14ac:dyDescent="0.35">
      <c r="A3821" s="141" t="s">
        <v>325</v>
      </c>
      <c r="B3821" s="141" t="s">
        <v>266</v>
      </c>
      <c r="C3821" s="141" t="s">
        <v>16</v>
      </c>
    </row>
    <row r="3822" spans="1:3" x14ac:dyDescent="0.35">
      <c r="A3822" s="141" t="s">
        <v>326</v>
      </c>
      <c r="B3822" s="141" t="s">
        <v>266</v>
      </c>
      <c r="C3822" s="141" t="s">
        <v>16</v>
      </c>
    </row>
    <row r="3823" spans="1:3" x14ac:dyDescent="0.35">
      <c r="A3823" s="141" t="s">
        <v>327</v>
      </c>
      <c r="B3823" s="141" t="s">
        <v>266</v>
      </c>
      <c r="C3823" s="141" t="s">
        <v>16</v>
      </c>
    </row>
    <row r="3824" spans="1:3" x14ac:dyDescent="0.35">
      <c r="A3824" s="141" t="s">
        <v>328</v>
      </c>
      <c r="B3824" s="141" t="s">
        <v>266</v>
      </c>
      <c r="C3824" s="141" t="s">
        <v>16</v>
      </c>
    </row>
    <row r="3825" spans="1:3" x14ac:dyDescent="0.35">
      <c r="A3825" s="141" t="s">
        <v>329</v>
      </c>
      <c r="B3825" s="141" t="s">
        <v>266</v>
      </c>
      <c r="C3825" s="141" t="s">
        <v>16</v>
      </c>
    </row>
    <row r="3826" spans="1:3" x14ac:dyDescent="0.35">
      <c r="A3826" s="141" t="s">
        <v>331</v>
      </c>
      <c r="B3826" s="141" t="s">
        <v>266</v>
      </c>
      <c r="C3826" s="141" t="s">
        <v>16</v>
      </c>
    </row>
    <row r="3827" spans="1:3" x14ac:dyDescent="0.35">
      <c r="A3827" s="141" t="s">
        <v>332</v>
      </c>
      <c r="B3827" s="141" t="s">
        <v>266</v>
      </c>
      <c r="C3827" s="141" t="s">
        <v>16</v>
      </c>
    </row>
    <row r="3828" spans="1:3" x14ac:dyDescent="0.35">
      <c r="A3828" s="141" t="s">
        <v>333</v>
      </c>
      <c r="B3828" s="141" t="s">
        <v>266</v>
      </c>
      <c r="C3828" s="141" t="s">
        <v>16</v>
      </c>
    </row>
    <row r="3829" spans="1:3" x14ac:dyDescent="0.35">
      <c r="A3829" s="141" t="s">
        <v>334</v>
      </c>
      <c r="B3829" s="141" t="s">
        <v>266</v>
      </c>
      <c r="C3829" s="141" t="s">
        <v>16</v>
      </c>
    </row>
    <row r="3830" spans="1:3" x14ac:dyDescent="0.35">
      <c r="A3830" s="141" t="s">
        <v>335</v>
      </c>
      <c r="B3830" s="141" t="s">
        <v>266</v>
      </c>
      <c r="C3830" s="141" t="s">
        <v>16</v>
      </c>
    </row>
    <row r="3831" spans="1:3" x14ac:dyDescent="0.35">
      <c r="A3831" s="141" t="s">
        <v>336</v>
      </c>
      <c r="B3831" s="141" t="s">
        <v>266</v>
      </c>
      <c r="C3831" s="141" t="s">
        <v>16</v>
      </c>
    </row>
    <row r="3832" spans="1:3" x14ac:dyDescent="0.35">
      <c r="A3832" s="141" t="s">
        <v>806</v>
      </c>
      <c r="B3832" s="141" t="s">
        <v>266</v>
      </c>
      <c r="C3832" s="141" t="s">
        <v>32</v>
      </c>
    </row>
    <row r="3833" spans="1:3" x14ac:dyDescent="0.35">
      <c r="A3833" s="141" t="s">
        <v>579</v>
      </c>
      <c r="B3833" s="141" t="s">
        <v>266</v>
      </c>
      <c r="C3833" s="141" t="s">
        <v>32</v>
      </c>
    </row>
    <row r="3834" spans="1:3" x14ac:dyDescent="0.35">
      <c r="A3834" s="141" t="s">
        <v>556</v>
      </c>
      <c r="B3834" s="141" t="s">
        <v>266</v>
      </c>
      <c r="C3834" s="141" t="s">
        <v>32</v>
      </c>
    </row>
    <row r="3835" spans="1:3" x14ac:dyDescent="0.35">
      <c r="A3835" s="141" t="s">
        <v>557</v>
      </c>
      <c r="B3835" s="141" t="s">
        <v>266</v>
      </c>
      <c r="C3835" s="141" t="s">
        <v>32</v>
      </c>
    </row>
    <row r="3836" spans="1:3" x14ac:dyDescent="0.35">
      <c r="A3836" s="141" t="s">
        <v>558</v>
      </c>
      <c r="B3836" s="141" t="s">
        <v>266</v>
      </c>
      <c r="C3836" s="141" t="s">
        <v>32</v>
      </c>
    </row>
    <row r="3837" spans="1:3" x14ac:dyDescent="0.35">
      <c r="A3837" s="141" t="s">
        <v>580</v>
      </c>
      <c r="B3837" s="141" t="s">
        <v>266</v>
      </c>
      <c r="C3837" s="141" t="s">
        <v>32</v>
      </c>
    </row>
    <row r="3838" spans="1:3" x14ac:dyDescent="0.35">
      <c r="A3838" s="141" t="s">
        <v>611</v>
      </c>
      <c r="B3838" s="141" t="s">
        <v>266</v>
      </c>
      <c r="C3838" s="141" t="s">
        <v>43</v>
      </c>
    </row>
    <row r="3839" spans="1:3" x14ac:dyDescent="0.35">
      <c r="A3839" s="141" t="s">
        <v>612</v>
      </c>
      <c r="B3839" s="141" t="s">
        <v>266</v>
      </c>
      <c r="C3839" s="141" t="s">
        <v>43</v>
      </c>
    </row>
    <row r="3840" spans="1:3" x14ac:dyDescent="0.35">
      <c r="A3840" s="141" t="s">
        <v>613</v>
      </c>
      <c r="B3840" s="141" t="s">
        <v>266</v>
      </c>
      <c r="C3840" s="141" t="s">
        <v>43</v>
      </c>
    </row>
    <row r="3841" spans="1:3" x14ac:dyDescent="0.35">
      <c r="A3841" s="141" t="s">
        <v>614</v>
      </c>
      <c r="B3841" s="141" t="s">
        <v>266</v>
      </c>
      <c r="C3841" s="141" t="s">
        <v>43</v>
      </c>
    </row>
    <row r="3842" spans="1:3" x14ac:dyDescent="0.35">
      <c r="A3842" s="141" t="s">
        <v>615</v>
      </c>
      <c r="B3842" s="141" t="s">
        <v>266</v>
      </c>
      <c r="C3842" s="141" t="s">
        <v>43</v>
      </c>
    </row>
    <row r="3843" spans="1:3" x14ac:dyDescent="0.35">
      <c r="A3843" s="141" t="s">
        <v>616</v>
      </c>
      <c r="B3843" s="141" t="s">
        <v>266</v>
      </c>
      <c r="C3843" s="141" t="s">
        <v>43</v>
      </c>
    </row>
    <row r="3844" spans="1:3" x14ac:dyDescent="0.35">
      <c r="A3844" s="141" t="s">
        <v>617</v>
      </c>
      <c r="B3844" s="141" t="s">
        <v>266</v>
      </c>
      <c r="C3844" s="141" t="s">
        <v>43</v>
      </c>
    </row>
    <row r="3845" spans="1:3" x14ac:dyDescent="0.35">
      <c r="A3845" s="141" t="s">
        <v>605</v>
      </c>
      <c r="B3845" s="141" t="s">
        <v>266</v>
      </c>
      <c r="C3845" s="141" t="s">
        <v>43</v>
      </c>
    </row>
    <row r="3846" spans="1:3" x14ac:dyDescent="0.35">
      <c r="A3846" s="141" t="s">
        <v>606</v>
      </c>
      <c r="B3846" s="141" t="s">
        <v>266</v>
      </c>
      <c r="C3846" s="141" t="s">
        <v>43</v>
      </c>
    </row>
    <row r="3847" spans="1:3" x14ac:dyDescent="0.35">
      <c r="A3847" s="141" t="s">
        <v>607</v>
      </c>
      <c r="B3847" s="141" t="s">
        <v>266</v>
      </c>
      <c r="C3847" s="141" t="s">
        <v>43</v>
      </c>
    </row>
    <row r="3848" spans="1:3" x14ac:dyDescent="0.35">
      <c r="A3848" s="141" t="s">
        <v>608</v>
      </c>
      <c r="B3848" s="141" t="s">
        <v>266</v>
      </c>
      <c r="C3848" s="141" t="s">
        <v>43</v>
      </c>
    </row>
    <row r="3849" spans="1:3" x14ac:dyDescent="0.35">
      <c r="A3849" s="141" t="s">
        <v>609</v>
      </c>
      <c r="B3849" s="141" t="s">
        <v>266</v>
      </c>
      <c r="C3849" s="141" t="s">
        <v>43</v>
      </c>
    </row>
    <row r="3850" spans="1:3" x14ac:dyDescent="0.35">
      <c r="A3850" s="141" t="s">
        <v>610</v>
      </c>
      <c r="B3850" s="141" t="s">
        <v>266</v>
      </c>
      <c r="C3850" s="141" t="s">
        <v>43</v>
      </c>
    </row>
    <row r="3851" spans="1:3" x14ac:dyDescent="0.35">
      <c r="A3851" s="141" t="s">
        <v>618</v>
      </c>
      <c r="B3851" s="141" t="s">
        <v>266</v>
      </c>
      <c r="C3851" s="141" t="s">
        <v>43</v>
      </c>
    </row>
    <row r="3852" spans="1:3" x14ac:dyDescent="0.35">
      <c r="A3852" s="141" t="s">
        <v>559</v>
      </c>
      <c r="B3852" s="141" t="s">
        <v>266</v>
      </c>
      <c r="C3852" s="141" t="s">
        <v>47</v>
      </c>
    </row>
    <row r="3853" spans="1:3" x14ac:dyDescent="0.35">
      <c r="A3853" s="141" t="s">
        <v>560</v>
      </c>
      <c r="B3853" s="141" t="s">
        <v>266</v>
      </c>
      <c r="C3853" s="141" t="s">
        <v>47</v>
      </c>
    </row>
    <row r="3854" spans="1:3" x14ac:dyDescent="0.35">
      <c r="A3854" s="141" t="s">
        <v>561</v>
      </c>
      <c r="B3854" s="141" t="s">
        <v>266</v>
      </c>
      <c r="C3854" s="141" t="s">
        <v>47</v>
      </c>
    </row>
    <row r="3855" spans="1:3" x14ac:dyDescent="0.35">
      <c r="A3855" s="141" t="s">
        <v>562</v>
      </c>
      <c r="B3855" s="141" t="s">
        <v>266</v>
      </c>
      <c r="C3855" s="141" t="s">
        <v>48</v>
      </c>
    </row>
    <row r="3856" spans="1:3" x14ac:dyDescent="0.35">
      <c r="A3856" s="141" t="s">
        <v>563</v>
      </c>
      <c r="B3856" s="141" t="s">
        <v>266</v>
      </c>
      <c r="C3856" s="141" t="s">
        <v>47</v>
      </c>
    </row>
    <row r="3857" spans="1:3" x14ac:dyDescent="0.35">
      <c r="A3857" s="141" t="s">
        <v>818</v>
      </c>
      <c r="B3857" s="141" t="s">
        <v>266</v>
      </c>
      <c r="C3857" s="141" t="s">
        <v>12</v>
      </c>
    </row>
    <row r="3858" spans="1:3" x14ac:dyDescent="0.35">
      <c r="A3858" s="141" t="s">
        <v>813</v>
      </c>
      <c r="B3858" s="141" t="s">
        <v>266</v>
      </c>
      <c r="C3858" s="141" t="s">
        <v>12</v>
      </c>
    </row>
    <row r="3859" spans="1:3" x14ac:dyDescent="0.35">
      <c r="A3859" s="141" t="s">
        <v>814</v>
      </c>
      <c r="B3859" s="141" t="s">
        <v>266</v>
      </c>
      <c r="C3859" s="141" t="s">
        <v>12</v>
      </c>
    </row>
    <row r="3860" spans="1:3" x14ac:dyDescent="0.35">
      <c r="A3860" s="141" t="s">
        <v>815</v>
      </c>
      <c r="B3860" s="141" t="s">
        <v>266</v>
      </c>
      <c r="C3860" s="141" t="s">
        <v>12</v>
      </c>
    </row>
    <row r="3861" spans="1:3" x14ac:dyDescent="0.35">
      <c r="A3861" s="141" t="s">
        <v>816</v>
      </c>
      <c r="B3861" s="141" t="s">
        <v>266</v>
      </c>
      <c r="C3861" s="141" t="s">
        <v>12</v>
      </c>
    </row>
    <row r="3862" spans="1:3" x14ac:dyDescent="0.35">
      <c r="A3862" s="141" t="s">
        <v>788</v>
      </c>
      <c r="B3862" s="141" t="s">
        <v>266</v>
      </c>
      <c r="C3862" s="141" t="s">
        <v>25</v>
      </c>
    </row>
    <row r="3863" spans="1:3" x14ac:dyDescent="0.35">
      <c r="A3863" s="141" t="s">
        <v>789</v>
      </c>
      <c r="B3863" s="141" t="s">
        <v>266</v>
      </c>
      <c r="C3863" s="141" t="s">
        <v>25</v>
      </c>
    </row>
    <row r="3864" spans="1:3" x14ac:dyDescent="0.35">
      <c r="A3864" s="141" t="s">
        <v>352</v>
      </c>
      <c r="B3864" s="141" t="s">
        <v>267</v>
      </c>
      <c r="C3864" s="141" t="s">
        <v>2</v>
      </c>
    </row>
    <row r="3865" spans="1:3" x14ac:dyDescent="0.35">
      <c r="A3865" s="141" t="s">
        <v>354</v>
      </c>
      <c r="B3865" s="141" t="s">
        <v>267</v>
      </c>
      <c r="C3865" s="141" t="s">
        <v>2</v>
      </c>
    </row>
    <row r="3866" spans="1:3" x14ac:dyDescent="0.35">
      <c r="A3866" s="141" t="s">
        <v>818</v>
      </c>
      <c r="B3866" s="141" t="s">
        <v>267</v>
      </c>
      <c r="C3866" s="141" t="s">
        <v>12</v>
      </c>
    </row>
    <row r="3867" spans="1:3" x14ac:dyDescent="0.35">
      <c r="A3867" s="141" t="s">
        <v>813</v>
      </c>
      <c r="B3867" s="141" t="s">
        <v>267</v>
      </c>
      <c r="C3867" s="141" t="s">
        <v>12</v>
      </c>
    </row>
    <row r="3868" spans="1:3" x14ac:dyDescent="0.35">
      <c r="A3868" s="141" t="s">
        <v>814</v>
      </c>
      <c r="B3868" s="141" t="s">
        <v>267</v>
      </c>
      <c r="C3868" s="141" t="s">
        <v>12</v>
      </c>
    </row>
    <row r="3869" spans="1:3" x14ac:dyDescent="0.35">
      <c r="A3869" s="141" t="s">
        <v>815</v>
      </c>
      <c r="B3869" s="141" t="s">
        <v>267</v>
      </c>
      <c r="C3869" s="141" t="s">
        <v>12</v>
      </c>
    </row>
    <row r="3870" spans="1:3" x14ac:dyDescent="0.35">
      <c r="A3870" s="141" t="s">
        <v>816</v>
      </c>
      <c r="B3870" s="141" t="s">
        <v>267</v>
      </c>
      <c r="C3870" s="141" t="s">
        <v>12</v>
      </c>
    </row>
    <row r="3871" spans="1:3" x14ac:dyDescent="0.35">
      <c r="A3871" s="141" t="s">
        <v>356</v>
      </c>
      <c r="B3871" s="141" t="s">
        <v>267</v>
      </c>
      <c r="C3871" s="141" t="s">
        <v>14</v>
      </c>
    </row>
    <row r="3872" spans="1:3" x14ac:dyDescent="0.35">
      <c r="A3872" s="141" t="s">
        <v>357</v>
      </c>
      <c r="B3872" s="141" t="s">
        <v>267</v>
      </c>
      <c r="C3872" s="141" t="s">
        <v>14</v>
      </c>
    </row>
    <row r="3873" spans="1:3" x14ac:dyDescent="0.35">
      <c r="A3873" s="141" t="s">
        <v>358</v>
      </c>
      <c r="B3873" s="141" t="s">
        <v>267</v>
      </c>
      <c r="C3873" s="141" t="s">
        <v>14</v>
      </c>
    </row>
    <row r="3874" spans="1:3" x14ac:dyDescent="0.35">
      <c r="A3874" s="141" t="s">
        <v>654</v>
      </c>
      <c r="B3874" s="141" t="s">
        <v>267</v>
      </c>
      <c r="C3874" s="141" t="s">
        <v>14</v>
      </c>
    </row>
    <row r="3875" spans="1:3" x14ac:dyDescent="0.35">
      <c r="A3875" s="141" t="s">
        <v>655</v>
      </c>
      <c r="B3875" s="141" t="s">
        <v>267</v>
      </c>
      <c r="C3875" s="141" t="s">
        <v>14</v>
      </c>
    </row>
    <row r="3876" spans="1:3" x14ac:dyDescent="0.35">
      <c r="A3876" s="141" t="s">
        <v>749</v>
      </c>
      <c r="B3876" s="141" t="s">
        <v>267</v>
      </c>
      <c r="C3876" s="141" t="s">
        <v>14</v>
      </c>
    </row>
    <row r="3877" spans="1:3" x14ac:dyDescent="0.35">
      <c r="A3877" s="141" t="s">
        <v>750</v>
      </c>
      <c r="B3877" s="141" t="s">
        <v>267</v>
      </c>
      <c r="C3877" s="141" t="s">
        <v>13</v>
      </c>
    </row>
    <row r="3878" spans="1:3" x14ac:dyDescent="0.35">
      <c r="A3878" s="141" t="s">
        <v>751</v>
      </c>
      <c r="B3878" s="141" t="s">
        <v>267</v>
      </c>
      <c r="C3878" s="141" t="s">
        <v>13</v>
      </c>
    </row>
    <row r="3879" spans="1:3" x14ac:dyDescent="0.35">
      <c r="A3879" s="141" t="s">
        <v>581</v>
      </c>
      <c r="B3879" s="141" t="s">
        <v>267</v>
      </c>
      <c r="C3879" s="141" t="s">
        <v>13</v>
      </c>
    </row>
    <row r="3880" spans="1:3" x14ac:dyDescent="0.35">
      <c r="A3880" s="141" t="s">
        <v>667</v>
      </c>
      <c r="B3880" s="141" t="s">
        <v>267</v>
      </c>
      <c r="C3880" s="141" t="s">
        <v>55</v>
      </c>
    </row>
    <row r="3881" spans="1:3" x14ac:dyDescent="0.35">
      <c r="A3881" s="141" t="s">
        <v>669</v>
      </c>
      <c r="B3881" s="141" t="s">
        <v>267</v>
      </c>
      <c r="C3881" s="141" t="s">
        <v>55</v>
      </c>
    </row>
    <row r="3882" spans="1:3" x14ac:dyDescent="0.35">
      <c r="A3882" s="141" t="s">
        <v>668</v>
      </c>
      <c r="B3882" s="141" t="s">
        <v>267</v>
      </c>
      <c r="C3882" s="141" t="s">
        <v>54</v>
      </c>
    </row>
    <row r="3883" spans="1:3" x14ac:dyDescent="0.35">
      <c r="A3883" s="141" t="s">
        <v>670</v>
      </c>
      <c r="B3883" s="141" t="s">
        <v>267</v>
      </c>
      <c r="C3883" s="141" t="s">
        <v>54</v>
      </c>
    </row>
    <row r="3884" spans="1:3" x14ac:dyDescent="0.35">
      <c r="A3884" s="141" t="s">
        <v>359</v>
      </c>
      <c r="B3884" s="141" t="s">
        <v>267</v>
      </c>
      <c r="C3884" s="141" t="s">
        <v>46</v>
      </c>
    </row>
    <row r="3885" spans="1:3" x14ac:dyDescent="0.35">
      <c r="A3885" s="141" t="s">
        <v>360</v>
      </c>
      <c r="B3885" s="141" t="s">
        <v>267</v>
      </c>
      <c r="C3885" s="141" t="s">
        <v>46</v>
      </c>
    </row>
    <row r="3886" spans="1:3" x14ac:dyDescent="0.35">
      <c r="A3886" s="141" t="s">
        <v>819</v>
      </c>
      <c r="B3886" s="141" t="s">
        <v>267</v>
      </c>
      <c r="C3886" s="141" t="s">
        <v>45</v>
      </c>
    </row>
    <row r="3887" spans="1:3" x14ac:dyDescent="0.35">
      <c r="A3887" s="141" t="s">
        <v>820</v>
      </c>
      <c r="B3887" s="141" t="s">
        <v>267</v>
      </c>
      <c r="C3887" s="141" t="s">
        <v>45</v>
      </c>
    </row>
    <row r="3888" spans="1:3" x14ac:dyDescent="0.35">
      <c r="A3888" s="141" t="s">
        <v>821</v>
      </c>
      <c r="B3888" s="141" t="s">
        <v>267</v>
      </c>
      <c r="C3888" s="141" t="s">
        <v>45</v>
      </c>
    </row>
    <row r="3889" spans="1:3" x14ac:dyDescent="0.35">
      <c r="A3889" s="141" t="s">
        <v>822</v>
      </c>
      <c r="B3889" s="141" t="s">
        <v>267</v>
      </c>
      <c r="C3889" s="141" t="s">
        <v>45</v>
      </c>
    </row>
    <row r="3890" spans="1:3" x14ac:dyDescent="0.35">
      <c r="A3890" s="141" t="s">
        <v>823</v>
      </c>
      <c r="B3890" s="141" t="s">
        <v>267</v>
      </c>
      <c r="C3890" s="141" t="s">
        <v>45</v>
      </c>
    </row>
    <row r="3891" spans="1:3" x14ac:dyDescent="0.35">
      <c r="A3891" s="141" t="s">
        <v>824</v>
      </c>
      <c r="B3891" s="141" t="s">
        <v>267</v>
      </c>
      <c r="C3891" s="141" t="s">
        <v>45</v>
      </c>
    </row>
    <row r="3892" spans="1:3" x14ac:dyDescent="0.35">
      <c r="A3892" s="141" t="s">
        <v>825</v>
      </c>
      <c r="B3892" s="141" t="s">
        <v>267</v>
      </c>
      <c r="C3892" s="141" t="s">
        <v>45</v>
      </c>
    </row>
    <row r="3893" spans="1:3" x14ac:dyDescent="0.35">
      <c r="A3893" s="141" t="s">
        <v>826</v>
      </c>
      <c r="B3893" s="141" t="s">
        <v>267</v>
      </c>
      <c r="C3893" s="141" t="s">
        <v>45</v>
      </c>
    </row>
    <row r="3894" spans="1:3" x14ac:dyDescent="0.35">
      <c r="A3894" s="141" t="s">
        <v>827</v>
      </c>
      <c r="B3894" s="141" t="s">
        <v>267</v>
      </c>
      <c r="C3894" s="141" t="s">
        <v>45</v>
      </c>
    </row>
    <row r="3895" spans="1:3" x14ac:dyDescent="0.35">
      <c r="A3895" s="141" t="s">
        <v>828</v>
      </c>
      <c r="B3895" s="141" t="s">
        <v>267</v>
      </c>
      <c r="C3895" s="141" t="s">
        <v>45</v>
      </c>
    </row>
    <row r="3896" spans="1:3" x14ac:dyDescent="0.35">
      <c r="A3896" s="141" t="s">
        <v>829</v>
      </c>
      <c r="B3896" s="141" t="s">
        <v>267</v>
      </c>
      <c r="C3896" s="141" t="s">
        <v>45</v>
      </c>
    </row>
    <row r="3897" spans="1:3" x14ac:dyDescent="0.35">
      <c r="A3897" s="141" t="s">
        <v>830</v>
      </c>
      <c r="B3897" s="141" t="s">
        <v>267</v>
      </c>
      <c r="C3897" s="141" t="s">
        <v>45</v>
      </c>
    </row>
    <row r="3898" spans="1:3" x14ac:dyDescent="0.35">
      <c r="A3898" s="141" t="s">
        <v>831</v>
      </c>
      <c r="B3898" s="141" t="s">
        <v>267</v>
      </c>
      <c r="C3898" s="141" t="s">
        <v>45</v>
      </c>
    </row>
    <row r="3899" spans="1:3" x14ac:dyDescent="0.35">
      <c r="A3899" s="141" t="s">
        <v>832</v>
      </c>
      <c r="B3899" s="141" t="s">
        <v>267</v>
      </c>
      <c r="C3899" s="141" t="s">
        <v>45</v>
      </c>
    </row>
    <row r="3900" spans="1:3" x14ac:dyDescent="0.35">
      <c r="A3900" s="141" t="s">
        <v>776</v>
      </c>
      <c r="B3900" s="141" t="s">
        <v>267</v>
      </c>
      <c r="C3900" s="141" t="s">
        <v>45</v>
      </c>
    </row>
    <row r="3901" spans="1:3" x14ac:dyDescent="0.35">
      <c r="A3901" s="141" t="s">
        <v>777</v>
      </c>
      <c r="B3901" s="141" t="s">
        <v>267</v>
      </c>
      <c r="C3901" s="141" t="s">
        <v>46</v>
      </c>
    </row>
    <row r="3902" spans="1:3" x14ac:dyDescent="0.35">
      <c r="A3902" s="141" t="s">
        <v>778</v>
      </c>
      <c r="B3902" s="141" t="s">
        <v>267</v>
      </c>
      <c r="C3902" s="141" t="s">
        <v>45</v>
      </c>
    </row>
    <row r="3903" spans="1:3" x14ac:dyDescent="0.35">
      <c r="A3903" s="141" t="s">
        <v>779</v>
      </c>
      <c r="B3903" s="141" t="s">
        <v>267</v>
      </c>
      <c r="C3903" s="141" t="s">
        <v>45</v>
      </c>
    </row>
    <row r="3904" spans="1:3" x14ac:dyDescent="0.35">
      <c r="A3904" s="141" t="s">
        <v>780</v>
      </c>
      <c r="B3904" s="141" t="s">
        <v>267</v>
      </c>
      <c r="C3904" s="141" t="s">
        <v>45</v>
      </c>
    </row>
    <row r="3905" spans="1:3" x14ac:dyDescent="0.35">
      <c r="A3905" s="141" t="s">
        <v>781</v>
      </c>
      <c r="B3905" s="141" t="s">
        <v>267</v>
      </c>
      <c r="C3905" s="141" t="s">
        <v>45</v>
      </c>
    </row>
    <row r="3906" spans="1:3" x14ac:dyDescent="0.35">
      <c r="A3906" s="141" t="s">
        <v>586</v>
      </c>
      <c r="B3906" s="141" t="s">
        <v>267</v>
      </c>
      <c r="C3906" s="141" t="s">
        <v>4</v>
      </c>
    </row>
    <row r="3907" spans="1:3" x14ac:dyDescent="0.35">
      <c r="A3907" s="141" t="s">
        <v>587</v>
      </c>
      <c r="B3907" s="141" t="s">
        <v>267</v>
      </c>
      <c r="C3907" s="141" t="s">
        <v>4</v>
      </c>
    </row>
    <row r="3908" spans="1:3" x14ac:dyDescent="0.35">
      <c r="A3908" s="141" t="s">
        <v>588</v>
      </c>
      <c r="B3908" s="141" t="s">
        <v>267</v>
      </c>
      <c r="C3908" s="141" t="s">
        <v>4</v>
      </c>
    </row>
    <row r="3909" spans="1:3" x14ac:dyDescent="0.35">
      <c r="A3909" s="141" t="s">
        <v>365</v>
      </c>
      <c r="B3909" s="141" t="s">
        <v>267</v>
      </c>
      <c r="C3909" s="141" t="s">
        <v>7</v>
      </c>
    </row>
    <row r="3910" spans="1:3" x14ac:dyDescent="0.35">
      <c r="A3910" s="141" t="s">
        <v>589</v>
      </c>
      <c r="B3910" s="141" t="s">
        <v>267</v>
      </c>
      <c r="C3910" s="141" t="s">
        <v>4</v>
      </c>
    </row>
    <row r="3911" spans="1:3" x14ac:dyDescent="0.35">
      <c r="A3911" s="141" t="s">
        <v>366</v>
      </c>
      <c r="B3911" s="141" t="s">
        <v>267</v>
      </c>
      <c r="C3911" s="141" t="s">
        <v>8</v>
      </c>
    </row>
    <row r="3912" spans="1:3" x14ac:dyDescent="0.35">
      <c r="A3912" s="141" t="s">
        <v>367</v>
      </c>
      <c r="B3912" s="141" t="s">
        <v>267</v>
      </c>
      <c r="C3912" s="141" t="s">
        <v>8</v>
      </c>
    </row>
    <row r="3913" spans="1:3" x14ac:dyDescent="0.35">
      <c r="A3913" s="141" t="s">
        <v>368</v>
      </c>
      <c r="B3913" s="141" t="s">
        <v>267</v>
      </c>
      <c r="C3913" s="141" t="s">
        <v>10</v>
      </c>
    </row>
    <row r="3914" spans="1:3" x14ac:dyDescent="0.35">
      <c r="A3914" s="141" t="s">
        <v>590</v>
      </c>
      <c r="B3914" s="141" t="s">
        <v>267</v>
      </c>
      <c r="C3914" s="141" t="s">
        <v>10</v>
      </c>
    </row>
    <row r="3915" spans="1:3" x14ac:dyDescent="0.35">
      <c r="A3915" s="141" t="s">
        <v>591</v>
      </c>
      <c r="B3915" s="141" t="s">
        <v>267</v>
      </c>
      <c r="C3915" s="141" t="s">
        <v>10</v>
      </c>
    </row>
    <row r="3916" spans="1:3" x14ac:dyDescent="0.35">
      <c r="A3916" s="141" t="s">
        <v>370</v>
      </c>
      <c r="B3916" s="141" t="s">
        <v>267</v>
      </c>
      <c r="C3916" s="141" t="s">
        <v>10</v>
      </c>
    </row>
    <row r="3917" spans="1:3" x14ac:dyDescent="0.35">
      <c r="A3917" s="141" t="s">
        <v>371</v>
      </c>
      <c r="B3917" s="141" t="s">
        <v>267</v>
      </c>
      <c r="C3917" s="141" t="s">
        <v>10</v>
      </c>
    </row>
    <row r="3918" spans="1:3" x14ac:dyDescent="0.35">
      <c r="A3918" s="141" t="s">
        <v>372</v>
      </c>
      <c r="B3918" s="141" t="s">
        <v>267</v>
      </c>
      <c r="C3918" s="141" t="s">
        <v>10</v>
      </c>
    </row>
    <row r="3919" spans="1:3" x14ac:dyDescent="0.35">
      <c r="A3919" s="141" t="s">
        <v>373</v>
      </c>
      <c r="B3919" s="141" t="s">
        <v>267</v>
      </c>
      <c r="C3919" s="141" t="s">
        <v>10</v>
      </c>
    </row>
    <row r="3920" spans="1:3" x14ac:dyDescent="0.35">
      <c r="A3920" s="141" t="s">
        <v>374</v>
      </c>
      <c r="B3920" s="141" t="s">
        <v>267</v>
      </c>
      <c r="C3920" s="141" t="s">
        <v>10</v>
      </c>
    </row>
    <row r="3921" spans="1:3" x14ac:dyDescent="0.35">
      <c r="A3921" s="141" t="s">
        <v>375</v>
      </c>
      <c r="B3921" s="141" t="s">
        <v>267</v>
      </c>
      <c r="C3921" s="141" t="s">
        <v>10</v>
      </c>
    </row>
    <row r="3922" spans="1:3" x14ac:dyDescent="0.35">
      <c r="A3922" s="141" t="s">
        <v>376</v>
      </c>
      <c r="B3922" s="141" t="s">
        <v>267</v>
      </c>
      <c r="C3922" s="141" t="s">
        <v>10</v>
      </c>
    </row>
    <row r="3923" spans="1:3" x14ac:dyDescent="0.35">
      <c r="A3923" s="141" t="s">
        <v>377</v>
      </c>
      <c r="B3923" s="141" t="s">
        <v>267</v>
      </c>
      <c r="C3923" s="141" t="s">
        <v>11</v>
      </c>
    </row>
    <row r="3924" spans="1:3" x14ac:dyDescent="0.35">
      <c r="A3924" s="141" t="s">
        <v>378</v>
      </c>
      <c r="B3924" s="141" t="s">
        <v>267</v>
      </c>
      <c r="C3924" s="141" t="s">
        <v>11</v>
      </c>
    </row>
    <row r="3925" spans="1:3" x14ac:dyDescent="0.35">
      <c r="A3925" s="141" t="s">
        <v>379</v>
      </c>
      <c r="B3925" s="141" t="s">
        <v>267</v>
      </c>
      <c r="C3925" s="141" t="s">
        <v>11</v>
      </c>
    </row>
    <row r="3926" spans="1:3" x14ac:dyDescent="0.35">
      <c r="A3926" s="141" t="s">
        <v>380</v>
      </c>
      <c r="B3926" s="141" t="s">
        <v>267</v>
      </c>
      <c r="C3926" s="141" t="s">
        <v>11</v>
      </c>
    </row>
    <row r="3927" spans="1:3" x14ac:dyDescent="0.35">
      <c r="A3927" s="141" t="s">
        <v>381</v>
      </c>
      <c r="B3927" s="141" t="s">
        <v>267</v>
      </c>
      <c r="C3927" s="141" t="s">
        <v>11</v>
      </c>
    </row>
    <row r="3928" spans="1:3" x14ac:dyDescent="0.35">
      <c r="A3928" s="141" t="s">
        <v>382</v>
      </c>
      <c r="B3928" s="141" t="s">
        <v>267</v>
      </c>
      <c r="C3928" s="141" t="s">
        <v>11</v>
      </c>
    </row>
    <row r="3929" spans="1:3" x14ac:dyDescent="0.35">
      <c r="A3929" s="141" t="s">
        <v>383</v>
      </c>
      <c r="B3929" s="141" t="s">
        <v>267</v>
      </c>
      <c r="C3929" s="141" t="s">
        <v>5</v>
      </c>
    </row>
    <row r="3930" spans="1:3" x14ac:dyDescent="0.35">
      <c r="A3930" s="141" t="s">
        <v>564</v>
      </c>
      <c r="B3930" s="141" t="s">
        <v>267</v>
      </c>
      <c r="C3930" s="141" t="s">
        <v>7</v>
      </c>
    </row>
    <row r="3931" spans="1:3" x14ac:dyDescent="0.35">
      <c r="A3931" s="141" t="s">
        <v>565</v>
      </c>
      <c r="B3931" s="141" t="s">
        <v>267</v>
      </c>
      <c r="C3931" s="141" t="s">
        <v>7</v>
      </c>
    </row>
    <row r="3932" spans="1:3" x14ac:dyDescent="0.35">
      <c r="A3932" s="141" t="s">
        <v>385</v>
      </c>
      <c r="B3932" s="141" t="s">
        <v>267</v>
      </c>
      <c r="C3932" s="141" t="s">
        <v>7</v>
      </c>
    </row>
    <row r="3933" spans="1:3" x14ac:dyDescent="0.35">
      <c r="A3933" s="141" t="s">
        <v>386</v>
      </c>
      <c r="B3933" s="141" t="s">
        <v>267</v>
      </c>
      <c r="C3933" s="141" t="s">
        <v>7</v>
      </c>
    </row>
    <row r="3934" spans="1:3" x14ac:dyDescent="0.35">
      <c r="A3934" s="141" t="s">
        <v>387</v>
      </c>
      <c r="B3934" s="141" t="s">
        <v>267</v>
      </c>
      <c r="C3934" s="141" t="s">
        <v>7</v>
      </c>
    </row>
    <row r="3935" spans="1:3" x14ac:dyDescent="0.35">
      <c r="A3935" s="141" t="s">
        <v>388</v>
      </c>
      <c r="B3935" s="141" t="s">
        <v>267</v>
      </c>
      <c r="C3935" s="141" t="s">
        <v>8</v>
      </c>
    </row>
    <row r="3936" spans="1:3" x14ac:dyDescent="0.35">
      <c r="A3936" s="141" t="s">
        <v>389</v>
      </c>
      <c r="B3936" s="141" t="s">
        <v>267</v>
      </c>
      <c r="C3936" s="141" t="s">
        <v>8</v>
      </c>
    </row>
    <row r="3937" spans="1:3" x14ac:dyDescent="0.35">
      <c r="A3937" s="141" t="s">
        <v>390</v>
      </c>
      <c r="B3937" s="141" t="s">
        <v>267</v>
      </c>
      <c r="C3937" s="141" t="s">
        <v>16</v>
      </c>
    </row>
    <row r="3938" spans="1:3" x14ac:dyDescent="0.35">
      <c r="A3938" s="141" t="s">
        <v>391</v>
      </c>
      <c r="B3938" s="141" t="s">
        <v>267</v>
      </c>
      <c r="C3938" s="141" t="s">
        <v>16</v>
      </c>
    </row>
    <row r="3939" spans="1:3" x14ac:dyDescent="0.35">
      <c r="A3939" s="141" t="s">
        <v>392</v>
      </c>
      <c r="B3939" s="141" t="s">
        <v>267</v>
      </c>
      <c r="C3939" s="141" t="s">
        <v>16</v>
      </c>
    </row>
    <row r="3940" spans="1:3" x14ac:dyDescent="0.35">
      <c r="A3940" s="141" t="s">
        <v>393</v>
      </c>
      <c r="B3940" s="141" t="s">
        <v>267</v>
      </c>
      <c r="C3940" s="141" t="s">
        <v>9</v>
      </c>
    </row>
    <row r="3941" spans="1:3" x14ac:dyDescent="0.35">
      <c r="A3941" s="141" t="s">
        <v>394</v>
      </c>
      <c r="B3941" s="141" t="s">
        <v>267</v>
      </c>
      <c r="C3941" s="141" t="s">
        <v>19</v>
      </c>
    </row>
    <row r="3942" spans="1:3" x14ac:dyDescent="0.35">
      <c r="A3942" s="141" t="s">
        <v>395</v>
      </c>
      <c r="B3942" s="141" t="s">
        <v>267</v>
      </c>
      <c r="C3942" s="141" t="s">
        <v>19</v>
      </c>
    </row>
    <row r="3943" spans="1:3" x14ac:dyDescent="0.35">
      <c r="A3943" s="141" t="s">
        <v>396</v>
      </c>
      <c r="B3943" s="141" t="s">
        <v>267</v>
      </c>
      <c r="C3943" s="141" t="s">
        <v>45</v>
      </c>
    </row>
    <row r="3944" spans="1:3" x14ac:dyDescent="0.35">
      <c r="A3944" s="141" t="s">
        <v>397</v>
      </c>
      <c r="B3944" s="141" t="s">
        <v>267</v>
      </c>
      <c r="C3944" s="141" t="s">
        <v>16</v>
      </c>
    </row>
    <row r="3945" spans="1:3" x14ac:dyDescent="0.35">
      <c r="A3945" s="141" t="s">
        <v>398</v>
      </c>
      <c r="B3945" s="141" t="s">
        <v>267</v>
      </c>
      <c r="C3945" s="141" t="s">
        <v>17</v>
      </c>
    </row>
    <row r="3946" spans="1:3" x14ac:dyDescent="0.35">
      <c r="A3946" s="141" t="s">
        <v>399</v>
      </c>
      <c r="B3946" s="141" t="s">
        <v>267</v>
      </c>
      <c r="C3946" s="141" t="s">
        <v>16</v>
      </c>
    </row>
    <row r="3947" spans="1:3" x14ac:dyDescent="0.35">
      <c r="A3947" s="141" t="s">
        <v>400</v>
      </c>
      <c r="B3947" s="141" t="s">
        <v>267</v>
      </c>
      <c r="C3947" s="141" t="s">
        <v>20</v>
      </c>
    </row>
    <row r="3948" spans="1:3" x14ac:dyDescent="0.35">
      <c r="A3948" s="141" t="s">
        <v>401</v>
      </c>
      <c r="B3948" s="141" t="s">
        <v>267</v>
      </c>
      <c r="C3948" s="141" t="s">
        <v>20</v>
      </c>
    </row>
    <row r="3949" spans="1:3" x14ac:dyDescent="0.35">
      <c r="A3949" s="141" t="s">
        <v>671</v>
      </c>
      <c r="B3949" s="141" t="s">
        <v>267</v>
      </c>
      <c r="C3949" s="141" t="s">
        <v>20</v>
      </c>
    </row>
    <row r="3950" spans="1:3" x14ac:dyDescent="0.35">
      <c r="A3950" s="141" t="s">
        <v>402</v>
      </c>
      <c r="B3950" s="141" t="s">
        <v>267</v>
      </c>
      <c r="C3950" s="141" t="s">
        <v>20</v>
      </c>
    </row>
    <row r="3951" spans="1:3" x14ac:dyDescent="0.35">
      <c r="A3951" s="141" t="s">
        <v>592</v>
      </c>
      <c r="B3951" s="141" t="s">
        <v>267</v>
      </c>
      <c r="C3951" s="141" t="s">
        <v>20</v>
      </c>
    </row>
    <row r="3952" spans="1:3" x14ac:dyDescent="0.35">
      <c r="A3952" s="141" t="s">
        <v>593</v>
      </c>
      <c r="B3952" s="141" t="s">
        <v>267</v>
      </c>
      <c r="C3952" s="141" t="s">
        <v>20</v>
      </c>
    </row>
    <row r="3953" spans="1:3" x14ac:dyDescent="0.35">
      <c r="A3953" s="141" t="s">
        <v>403</v>
      </c>
      <c r="B3953" s="141" t="s">
        <v>267</v>
      </c>
      <c r="C3953" s="141" t="s">
        <v>20</v>
      </c>
    </row>
    <row r="3954" spans="1:3" x14ac:dyDescent="0.35">
      <c r="A3954" s="141" t="s">
        <v>404</v>
      </c>
      <c r="B3954" s="141" t="s">
        <v>267</v>
      </c>
      <c r="C3954" s="141" t="s">
        <v>16</v>
      </c>
    </row>
    <row r="3955" spans="1:3" x14ac:dyDescent="0.35">
      <c r="A3955" s="141" t="s">
        <v>405</v>
      </c>
      <c r="B3955" s="141" t="s">
        <v>267</v>
      </c>
      <c r="C3955" s="141" t="s">
        <v>16</v>
      </c>
    </row>
    <row r="3956" spans="1:3" x14ac:dyDescent="0.35">
      <c r="A3956" s="141" t="s">
        <v>406</v>
      </c>
      <c r="B3956" s="141" t="s">
        <v>267</v>
      </c>
      <c r="C3956" s="141" t="s">
        <v>18</v>
      </c>
    </row>
    <row r="3957" spans="1:3" x14ac:dyDescent="0.35">
      <c r="A3957" s="141" t="s">
        <v>407</v>
      </c>
      <c r="B3957" s="141" t="s">
        <v>267</v>
      </c>
      <c r="C3957" s="141" t="s">
        <v>17</v>
      </c>
    </row>
    <row r="3958" spans="1:3" x14ac:dyDescent="0.35">
      <c r="A3958" s="141" t="s">
        <v>566</v>
      </c>
      <c r="B3958" s="141" t="s">
        <v>267</v>
      </c>
      <c r="C3958" s="141" t="s">
        <v>17</v>
      </c>
    </row>
    <row r="3959" spans="1:3" x14ac:dyDescent="0.35">
      <c r="A3959" s="141" t="s">
        <v>833</v>
      </c>
      <c r="B3959" s="141" t="s">
        <v>267</v>
      </c>
      <c r="C3959" s="141" t="s">
        <v>17</v>
      </c>
    </row>
    <row r="3960" spans="1:3" x14ac:dyDescent="0.35">
      <c r="A3960" s="141" t="s">
        <v>409</v>
      </c>
      <c r="B3960" s="141" t="s">
        <v>267</v>
      </c>
      <c r="C3960" s="141" t="s">
        <v>18</v>
      </c>
    </row>
    <row r="3961" spans="1:3" x14ac:dyDescent="0.35">
      <c r="A3961" s="141" t="s">
        <v>410</v>
      </c>
      <c r="B3961" s="141" t="s">
        <v>267</v>
      </c>
      <c r="C3961" s="141" t="s">
        <v>18</v>
      </c>
    </row>
    <row r="3962" spans="1:3" x14ac:dyDescent="0.35">
      <c r="A3962" s="141" t="s">
        <v>745</v>
      </c>
      <c r="B3962" s="141" t="s">
        <v>267</v>
      </c>
      <c r="C3962" s="141" t="s">
        <v>18</v>
      </c>
    </row>
    <row r="3963" spans="1:3" x14ac:dyDescent="0.35">
      <c r="A3963" s="141" t="s">
        <v>746</v>
      </c>
      <c r="B3963" s="141" t="s">
        <v>267</v>
      </c>
      <c r="C3963" s="141" t="s">
        <v>18</v>
      </c>
    </row>
    <row r="3964" spans="1:3" x14ac:dyDescent="0.35">
      <c r="A3964" s="141" t="s">
        <v>411</v>
      </c>
      <c r="B3964" s="141" t="s">
        <v>267</v>
      </c>
      <c r="C3964" s="141" t="s">
        <v>9</v>
      </c>
    </row>
    <row r="3965" spans="1:3" x14ac:dyDescent="0.35">
      <c r="A3965" s="141" t="s">
        <v>412</v>
      </c>
      <c r="B3965" s="141" t="s">
        <v>267</v>
      </c>
      <c r="C3965" s="141" t="s">
        <v>9</v>
      </c>
    </row>
    <row r="3966" spans="1:3" x14ac:dyDescent="0.35">
      <c r="A3966" s="141" t="s">
        <v>413</v>
      </c>
      <c r="B3966" s="141" t="s">
        <v>267</v>
      </c>
      <c r="C3966" s="141" t="s">
        <v>9</v>
      </c>
    </row>
    <row r="3967" spans="1:3" x14ac:dyDescent="0.35">
      <c r="A3967" s="141" t="s">
        <v>414</v>
      </c>
      <c r="B3967" s="141" t="s">
        <v>267</v>
      </c>
      <c r="C3967" s="141" t="s">
        <v>9</v>
      </c>
    </row>
    <row r="3968" spans="1:3" x14ac:dyDescent="0.35">
      <c r="A3968" s="141" t="s">
        <v>415</v>
      </c>
      <c r="B3968" s="141" t="s">
        <v>267</v>
      </c>
      <c r="C3968" s="141" t="s">
        <v>9</v>
      </c>
    </row>
    <row r="3969" spans="1:3" x14ac:dyDescent="0.35">
      <c r="A3969" s="141" t="s">
        <v>416</v>
      </c>
      <c r="B3969" s="141" t="s">
        <v>267</v>
      </c>
      <c r="C3969" s="141" t="s">
        <v>15</v>
      </c>
    </row>
    <row r="3970" spans="1:3" x14ac:dyDescent="0.35">
      <c r="A3970" s="141" t="s">
        <v>417</v>
      </c>
      <c r="B3970" s="141" t="s">
        <v>267</v>
      </c>
      <c r="C3970" s="141" t="s">
        <v>6</v>
      </c>
    </row>
    <row r="3971" spans="1:3" x14ac:dyDescent="0.35">
      <c r="A3971" s="141" t="s">
        <v>418</v>
      </c>
      <c r="B3971" s="141" t="s">
        <v>267</v>
      </c>
      <c r="C3971" s="141" t="s">
        <v>17</v>
      </c>
    </row>
    <row r="3972" spans="1:3" x14ac:dyDescent="0.35">
      <c r="A3972" s="141" t="s">
        <v>419</v>
      </c>
      <c r="B3972" s="141" t="s">
        <v>267</v>
      </c>
      <c r="C3972" s="141" t="s">
        <v>17</v>
      </c>
    </row>
    <row r="3973" spans="1:3" x14ac:dyDescent="0.35">
      <c r="A3973" s="141" t="s">
        <v>420</v>
      </c>
      <c r="B3973" s="141" t="s">
        <v>267</v>
      </c>
      <c r="C3973" s="141" t="s">
        <v>17</v>
      </c>
    </row>
    <row r="3974" spans="1:3" x14ac:dyDescent="0.35">
      <c r="A3974" s="141" t="s">
        <v>421</v>
      </c>
      <c r="B3974" s="141" t="s">
        <v>267</v>
      </c>
      <c r="C3974" s="141" t="s">
        <v>6</v>
      </c>
    </row>
    <row r="3975" spans="1:3" x14ac:dyDescent="0.35">
      <c r="A3975" s="141" t="s">
        <v>422</v>
      </c>
      <c r="B3975" s="141" t="s">
        <v>267</v>
      </c>
      <c r="C3975" s="141" t="s">
        <v>17</v>
      </c>
    </row>
    <row r="3976" spans="1:3" x14ac:dyDescent="0.35">
      <c r="A3976" s="141" t="s">
        <v>658</v>
      </c>
      <c r="B3976" s="141" t="s">
        <v>267</v>
      </c>
      <c r="C3976" s="141" t="s">
        <v>21</v>
      </c>
    </row>
    <row r="3977" spans="1:3" x14ac:dyDescent="0.35">
      <c r="A3977" s="141" t="s">
        <v>427</v>
      </c>
      <c r="B3977" s="141" t="s">
        <v>267</v>
      </c>
      <c r="C3977" s="141" t="s">
        <v>27</v>
      </c>
    </row>
    <row r="3978" spans="1:3" x14ac:dyDescent="0.35">
      <c r="A3978" s="141" t="s">
        <v>428</v>
      </c>
      <c r="B3978" s="141" t="s">
        <v>267</v>
      </c>
      <c r="C3978" s="141" t="s">
        <v>27</v>
      </c>
    </row>
    <row r="3979" spans="1:3" x14ac:dyDescent="0.35">
      <c r="A3979" s="141" t="s">
        <v>817</v>
      </c>
      <c r="B3979" s="141" t="s">
        <v>267</v>
      </c>
      <c r="C3979" s="141" t="s">
        <v>27</v>
      </c>
    </row>
    <row r="3980" spans="1:3" x14ac:dyDescent="0.35">
      <c r="A3980" s="141" t="s">
        <v>429</v>
      </c>
      <c r="B3980" s="141" t="s">
        <v>267</v>
      </c>
      <c r="C3980" s="141" t="s">
        <v>27</v>
      </c>
    </row>
    <row r="3981" spans="1:3" x14ac:dyDescent="0.35">
      <c r="A3981" s="141" t="s">
        <v>431</v>
      </c>
      <c r="B3981" s="141" t="s">
        <v>267</v>
      </c>
      <c r="C3981" s="141" t="s">
        <v>27</v>
      </c>
    </row>
    <row r="3982" spans="1:3" x14ac:dyDescent="0.35">
      <c r="A3982" s="141" t="s">
        <v>287</v>
      </c>
      <c r="B3982" s="141" t="s">
        <v>267</v>
      </c>
      <c r="C3982" s="141" t="s">
        <v>21</v>
      </c>
    </row>
    <row r="3983" spans="1:3" x14ac:dyDescent="0.35">
      <c r="A3983" s="141" t="s">
        <v>290</v>
      </c>
      <c r="B3983" s="141" t="s">
        <v>267</v>
      </c>
      <c r="C3983" s="141" t="s">
        <v>23</v>
      </c>
    </row>
    <row r="3984" spans="1:3" x14ac:dyDescent="0.35">
      <c r="A3984" s="141" t="s">
        <v>661</v>
      </c>
      <c r="B3984" s="141" t="s">
        <v>267</v>
      </c>
      <c r="C3984" s="141" t="s">
        <v>22</v>
      </c>
    </row>
    <row r="3985" spans="1:3" x14ac:dyDescent="0.35">
      <c r="A3985" s="141" t="s">
        <v>291</v>
      </c>
      <c r="B3985" s="141" t="s">
        <v>267</v>
      </c>
      <c r="C3985" s="141" t="s">
        <v>22</v>
      </c>
    </row>
    <row r="3986" spans="1:3" x14ac:dyDescent="0.35">
      <c r="A3986" s="141" t="s">
        <v>662</v>
      </c>
      <c r="B3986" s="141" t="s">
        <v>267</v>
      </c>
      <c r="C3986" s="141" t="s">
        <v>22</v>
      </c>
    </row>
    <row r="3987" spans="1:3" x14ac:dyDescent="0.35">
      <c r="A3987" s="141" t="s">
        <v>292</v>
      </c>
      <c r="B3987" s="141" t="s">
        <v>267</v>
      </c>
      <c r="C3987" s="141" t="s">
        <v>22</v>
      </c>
    </row>
    <row r="3988" spans="1:3" x14ac:dyDescent="0.35">
      <c r="A3988" s="141" t="s">
        <v>663</v>
      </c>
      <c r="B3988" s="141" t="s">
        <v>267</v>
      </c>
      <c r="C3988" s="141" t="s">
        <v>22</v>
      </c>
    </row>
    <row r="3989" spans="1:3" x14ac:dyDescent="0.35">
      <c r="A3989" s="141" t="s">
        <v>293</v>
      </c>
      <c r="B3989" s="141" t="s">
        <v>267</v>
      </c>
      <c r="C3989" s="141" t="s">
        <v>22</v>
      </c>
    </row>
    <row r="3990" spans="1:3" x14ac:dyDescent="0.35">
      <c r="A3990" s="141" t="s">
        <v>664</v>
      </c>
      <c r="B3990" s="141" t="s">
        <v>267</v>
      </c>
      <c r="C3990" s="141" t="s">
        <v>24</v>
      </c>
    </row>
    <row r="3991" spans="1:3" x14ac:dyDescent="0.35">
      <c r="A3991" s="141" t="s">
        <v>665</v>
      </c>
      <c r="B3991" s="141" t="s">
        <v>267</v>
      </c>
      <c r="C3991" s="141" t="s">
        <v>21</v>
      </c>
    </row>
    <row r="3992" spans="1:3" x14ac:dyDescent="0.35">
      <c r="A3992" s="141" t="s">
        <v>666</v>
      </c>
      <c r="B3992" s="141" t="s">
        <v>267</v>
      </c>
      <c r="C3992" s="141" t="s">
        <v>21</v>
      </c>
    </row>
    <row r="3993" spans="1:3" x14ac:dyDescent="0.35">
      <c r="A3993" s="141" t="s">
        <v>304</v>
      </c>
      <c r="B3993" s="141" t="s">
        <v>267</v>
      </c>
      <c r="C3993" s="142"/>
    </row>
    <row r="3994" spans="1:3" x14ac:dyDescent="0.35">
      <c r="A3994" s="141" t="s">
        <v>795</v>
      </c>
      <c r="B3994" s="141" t="s">
        <v>267</v>
      </c>
      <c r="C3994" s="142"/>
    </row>
    <row r="3995" spans="1:3" x14ac:dyDescent="0.35">
      <c r="A3995" s="141" t="s">
        <v>796</v>
      </c>
      <c r="B3995" s="141" t="s">
        <v>267</v>
      </c>
      <c r="C3995" s="142"/>
    </row>
    <row r="3996" spans="1:3" x14ac:dyDescent="0.35">
      <c r="A3996" s="141" t="s">
        <v>601</v>
      </c>
      <c r="B3996" s="141" t="s">
        <v>267</v>
      </c>
      <c r="C3996" s="141" t="s">
        <v>40</v>
      </c>
    </row>
    <row r="3997" spans="1:3" x14ac:dyDescent="0.35">
      <c r="A3997" s="141" t="s">
        <v>602</v>
      </c>
      <c r="B3997" s="141" t="s">
        <v>267</v>
      </c>
      <c r="C3997" s="141" t="s">
        <v>39</v>
      </c>
    </row>
    <row r="3998" spans="1:3" x14ac:dyDescent="0.35">
      <c r="A3998" s="141" t="s">
        <v>735</v>
      </c>
      <c r="B3998" s="141" t="s">
        <v>267</v>
      </c>
      <c r="C3998" s="141" t="s">
        <v>41</v>
      </c>
    </row>
    <row r="3999" spans="1:3" x14ac:dyDescent="0.35">
      <c r="A3999" s="141" t="s">
        <v>736</v>
      </c>
      <c r="B3999" s="141" t="s">
        <v>267</v>
      </c>
      <c r="C3999" s="141" t="s">
        <v>41</v>
      </c>
    </row>
    <row r="4000" spans="1:3" x14ac:dyDescent="0.35">
      <c r="A4000" s="141" t="s">
        <v>737</v>
      </c>
      <c r="B4000" s="141" t="s">
        <v>267</v>
      </c>
      <c r="C4000" s="141" t="s">
        <v>41</v>
      </c>
    </row>
    <row r="4001" spans="1:3" x14ac:dyDescent="0.35">
      <c r="A4001" s="141" t="s">
        <v>738</v>
      </c>
      <c r="B4001" s="141" t="s">
        <v>267</v>
      </c>
      <c r="C4001" s="141" t="s">
        <v>41</v>
      </c>
    </row>
    <row r="4002" spans="1:3" x14ac:dyDescent="0.35">
      <c r="A4002" s="141" t="s">
        <v>797</v>
      </c>
      <c r="B4002" s="141" t="s">
        <v>267</v>
      </c>
      <c r="C4002" s="141" t="s">
        <v>41</v>
      </c>
    </row>
    <row r="4003" spans="1:3" x14ac:dyDescent="0.35">
      <c r="A4003" s="141" t="s">
        <v>798</v>
      </c>
      <c r="B4003" s="141" t="s">
        <v>267</v>
      </c>
      <c r="C4003" s="141" t="s">
        <v>40</v>
      </c>
    </row>
    <row r="4004" spans="1:3" x14ac:dyDescent="0.35">
      <c r="A4004" s="141" t="s">
        <v>799</v>
      </c>
      <c r="B4004" s="141" t="s">
        <v>267</v>
      </c>
      <c r="C4004" s="141" t="s">
        <v>40</v>
      </c>
    </row>
    <row r="4005" spans="1:3" x14ac:dyDescent="0.35">
      <c r="A4005" s="141" t="s">
        <v>775</v>
      </c>
      <c r="B4005" s="141" t="s">
        <v>267</v>
      </c>
      <c r="C4005" s="141" t="s">
        <v>38</v>
      </c>
    </row>
    <row r="4006" spans="1:3" x14ac:dyDescent="0.35">
      <c r="A4006" s="141" t="s">
        <v>605</v>
      </c>
      <c r="B4006" s="141" t="s">
        <v>267</v>
      </c>
      <c r="C4006" s="141" t="s">
        <v>43</v>
      </c>
    </row>
    <row r="4007" spans="1:3" x14ac:dyDescent="0.35">
      <c r="A4007" s="141" t="s">
        <v>606</v>
      </c>
      <c r="B4007" s="141" t="s">
        <v>267</v>
      </c>
      <c r="C4007" s="141" t="s">
        <v>43</v>
      </c>
    </row>
    <row r="4008" spans="1:3" x14ac:dyDescent="0.35">
      <c r="A4008" s="141" t="s">
        <v>607</v>
      </c>
      <c r="B4008" s="141" t="s">
        <v>267</v>
      </c>
      <c r="C4008" s="141" t="s">
        <v>43</v>
      </c>
    </row>
    <row r="4009" spans="1:3" x14ac:dyDescent="0.35">
      <c r="A4009" s="141" t="s">
        <v>608</v>
      </c>
      <c r="B4009" s="141" t="s">
        <v>267</v>
      </c>
      <c r="C4009" s="141" t="s">
        <v>43</v>
      </c>
    </row>
    <row r="4010" spans="1:3" x14ac:dyDescent="0.35">
      <c r="A4010" s="141" t="s">
        <v>609</v>
      </c>
      <c r="B4010" s="141" t="s">
        <v>267</v>
      </c>
      <c r="C4010" s="141" t="s">
        <v>43</v>
      </c>
    </row>
    <row r="4011" spans="1:3" x14ac:dyDescent="0.35">
      <c r="A4011" s="141" t="s">
        <v>610</v>
      </c>
      <c r="B4011" s="141" t="s">
        <v>267</v>
      </c>
      <c r="C4011" s="141" t="s">
        <v>43</v>
      </c>
    </row>
    <row r="4012" spans="1:3" x14ac:dyDescent="0.35">
      <c r="A4012" s="141" t="s">
        <v>611</v>
      </c>
      <c r="B4012" s="141" t="s">
        <v>267</v>
      </c>
      <c r="C4012" s="141" t="s">
        <v>43</v>
      </c>
    </row>
    <row r="4013" spans="1:3" x14ac:dyDescent="0.35">
      <c r="A4013" s="141" t="s">
        <v>612</v>
      </c>
      <c r="B4013" s="141" t="s">
        <v>267</v>
      </c>
      <c r="C4013" s="141" t="s">
        <v>43</v>
      </c>
    </row>
    <row r="4014" spans="1:3" x14ac:dyDescent="0.35">
      <c r="A4014" s="141" t="s">
        <v>613</v>
      </c>
      <c r="B4014" s="141" t="s">
        <v>267</v>
      </c>
      <c r="C4014" s="141" t="s">
        <v>43</v>
      </c>
    </row>
    <row r="4015" spans="1:3" x14ac:dyDescent="0.35">
      <c r="A4015" s="141" t="s">
        <v>614</v>
      </c>
      <c r="B4015" s="141" t="s">
        <v>267</v>
      </c>
      <c r="C4015" s="141" t="s">
        <v>43</v>
      </c>
    </row>
    <row r="4016" spans="1:3" x14ac:dyDescent="0.35">
      <c r="A4016" s="141" t="s">
        <v>615</v>
      </c>
      <c r="B4016" s="141" t="s">
        <v>267</v>
      </c>
      <c r="C4016" s="141" t="s">
        <v>43</v>
      </c>
    </row>
    <row r="4017" spans="1:3" x14ac:dyDescent="0.35">
      <c r="A4017" s="141" t="s">
        <v>616</v>
      </c>
      <c r="B4017" s="141" t="s">
        <v>267</v>
      </c>
      <c r="C4017" s="141" t="s">
        <v>43</v>
      </c>
    </row>
    <row r="4018" spans="1:3" x14ac:dyDescent="0.35">
      <c r="A4018" s="141" t="s">
        <v>617</v>
      </c>
      <c r="B4018" s="141" t="s">
        <v>267</v>
      </c>
      <c r="C4018" s="141" t="s">
        <v>43</v>
      </c>
    </row>
    <row r="4019" spans="1:3" x14ac:dyDescent="0.35">
      <c r="A4019" s="141" t="s">
        <v>618</v>
      </c>
      <c r="B4019" s="141" t="s">
        <v>267</v>
      </c>
      <c r="C4019" s="141" t="s">
        <v>43</v>
      </c>
    </row>
    <row r="4020" spans="1:3" x14ac:dyDescent="0.35">
      <c r="A4020" s="141" t="s">
        <v>774</v>
      </c>
      <c r="B4020" s="141" t="s">
        <v>267</v>
      </c>
      <c r="C4020" s="141" t="s">
        <v>43</v>
      </c>
    </row>
    <row r="4021" spans="1:3" x14ac:dyDescent="0.35">
      <c r="A4021" s="141" t="s">
        <v>792</v>
      </c>
      <c r="B4021" s="141" t="s">
        <v>267</v>
      </c>
      <c r="C4021" s="141" t="s">
        <v>52</v>
      </c>
    </row>
    <row r="4022" spans="1:3" x14ac:dyDescent="0.35">
      <c r="A4022" s="141" t="s">
        <v>570</v>
      </c>
      <c r="B4022" s="141" t="s">
        <v>267</v>
      </c>
      <c r="C4022" s="141" t="s">
        <v>52</v>
      </c>
    </row>
    <row r="4023" spans="1:3" x14ac:dyDescent="0.35">
      <c r="A4023" s="141" t="s">
        <v>449</v>
      </c>
      <c r="B4023" s="141" t="s">
        <v>267</v>
      </c>
      <c r="C4023" s="141" t="s">
        <v>52</v>
      </c>
    </row>
    <row r="4024" spans="1:3" x14ac:dyDescent="0.35">
      <c r="A4024" s="141" t="s">
        <v>793</v>
      </c>
      <c r="B4024" s="141" t="s">
        <v>267</v>
      </c>
      <c r="C4024" s="141" t="s">
        <v>52</v>
      </c>
    </row>
    <row r="4025" spans="1:3" x14ac:dyDescent="0.35">
      <c r="A4025" s="141" t="s">
        <v>794</v>
      </c>
      <c r="B4025" s="141" t="s">
        <v>267</v>
      </c>
      <c r="C4025" s="141" t="s">
        <v>52</v>
      </c>
    </row>
    <row r="4026" spans="1:3" x14ac:dyDescent="0.35">
      <c r="A4026" s="141" t="s">
        <v>739</v>
      </c>
      <c r="B4026" s="141" t="s">
        <v>267</v>
      </c>
      <c r="C4026" s="141" t="s">
        <v>52</v>
      </c>
    </row>
    <row r="4027" spans="1:3" x14ac:dyDescent="0.35">
      <c r="A4027" s="141" t="s">
        <v>800</v>
      </c>
      <c r="B4027" s="141" t="s">
        <v>267</v>
      </c>
      <c r="C4027" s="141" t="s">
        <v>21</v>
      </c>
    </row>
    <row r="4028" spans="1:3" x14ac:dyDescent="0.35">
      <c r="A4028" s="141" t="s">
        <v>807</v>
      </c>
      <c r="B4028" s="141" t="s">
        <v>267</v>
      </c>
      <c r="C4028" s="141" t="s">
        <v>3</v>
      </c>
    </row>
    <row r="4029" spans="1:3" x14ac:dyDescent="0.35">
      <c r="A4029" s="141" t="s">
        <v>699</v>
      </c>
      <c r="B4029" s="141" t="s">
        <v>267</v>
      </c>
      <c r="C4029" s="141" t="s">
        <v>26</v>
      </c>
    </row>
    <row r="4030" spans="1:3" x14ac:dyDescent="0.35">
      <c r="A4030" s="141" t="s">
        <v>700</v>
      </c>
      <c r="B4030" s="141" t="s">
        <v>267</v>
      </c>
      <c r="C4030" s="141" t="s">
        <v>26</v>
      </c>
    </row>
    <row r="4031" spans="1:3" x14ac:dyDescent="0.35">
      <c r="A4031" s="141" t="s">
        <v>701</v>
      </c>
      <c r="B4031" s="141" t="s">
        <v>267</v>
      </c>
      <c r="C4031" s="141" t="s">
        <v>26</v>
      </c>
    </row>
    <row r="4032" spans="1:3" x14ac:dyDescent="0.35">
      <c r="A4032" s="141" t="s">
        <v>452</v>
      </c>
      <c r="B4032" s="141" t="s">
        <v>267</v>
      </c>
      <c r="C4032" s="141" t="s">
        <v>33</v>
      </c>
    </row>
    <row r="4033" spans="1:3" x14ac:dyDescent="0.35">
      <c r="A4033" s="141" t="s">
        <v>702</v>
      </c>
      <c r="B4033" s="141" t="s">
        <v>267</v>
      </c>
      <c r="C4033" s="141" t="s">
        <v>33</v>
      </c>
    </row>
    <row r="4034" spans="1:3" x14ac:dyDescent="0.35">
      <c r="A4034" s="141" t="s">
        <v>672</v>
      </c>
      <c r="B4034" s="141" t="s">
        <v>267</v>
      </c>
      <c r="C4034" s="141" t="s">
        <v>25</v>
      </c>
    </row>
    <row r="4035" spans="1:3" x14ac:dyDescent="0.35">
      <c r="A4035" s="141" t="s">
        <v>673</v>
      </c>
      <c r="B4035" s="141" t="s">
        <v>267</v>
      </c>
      <c r="C4035" s="141" t="s">
        <v>25</v>
      </c>
    </row>
    <row r="4036" spans="1:3" x14ac:dyDescent="0.35">
      <c r="A4036" s="141" t="s">
        <v>674</v>
      </c>
      <c r="B4036" s="141" t="s">
        <v>267</v>
      </c>
      <c r="C4036" s="141" t="s">
        <v>25</v>
      </c>
    </row>
    <row r="4037" spans="1:3" x14ac:dyDescent="0.35">
      <c r="A4037" s="141" t="s">
        <v>676</v>
      </c>
      <c r="B4037" s="141" t="s">
        <v>267</v>
      </c>
      <c r="C4037" s="141" t="s">
        <v>24</v>
      </c>
    </row>
    <row r="4038" spans="1:3" x14ac:dyDescent="0.35">
      <c r="A4038" s="141" t="s">
        <v>573</v>
      </c>
      <c r="B4038" s="141" t="s">
        <v>267</v>
      </c>
      <c r="C4038" s="141" t="s">
        <v>25</v>
      </c>
    </row>
    <row r="4039" spans="1:3" x14ac:dyDescent="0.35">
      <c r="A4039" s="141" t="s">
        <v>677</v>
      </c>
      <c r="B4039" s="141" t="s">
        <v>267</v>
      </c>
      <c r="C4039" s="141" t="s">
        <v>25</v>
      </c>
    </row>
    <row r="4040" spans="1:3" x14ac:dyDescent="0.35">
      <c r="A4040" s="141" t="s">
        <v>678</v>
      </c>
      <c r="B4040" s="141" t="s">
        <v>267</v>
      </c>
      <c r="C4040" s="141" t="s">
        <v>25</v>
      </c>
    </row>
    <row r="4041" spans="1:3" x14ac:dyDescent="0.35">
      <c r="A4041" s="141" t="s">
        <v>679</v>
      </c>
      <c r="B4041" s="141" t="s">
        <v>267</v>
      </c>
      <c r="C4041" s="141" t="s">
        <v>25</v>
      </c>
    </row>
    <row r="4042" spans="1:3" x14ac:dyDescent="0.35">
      <c r="A4042" s="141" t="s">
        <v>680</v>
      </c>
      <c r="B4042" s="141" t="s">
        <v>267</v>
      </c>
      <c r="C4042" s="141" t="s">
        <v>25</v>
      </c>
    </row>
    <row r="4043" spans="1:3" x14ac:dyDescent="0.35">
      <c r="A4043" s="141" t="s">
        <v>675</v>
      </c>
      <c r="B4043" s="141" t="s">
        <v>267</v>
      </c>
      <c r="C4043" s="141" t="s">
        <v>24</v>
      </c>
    </row>
    <row r="4044" spans="1:3" x14ac:dyDescent="0.35">
      <c r="A4044" s="141" t="s">
        <v>706</v>
      </c>
      <c r="B4044" s="141" t="s">
        <v>267</v>
      </c>
      <c r="C4044" s="141" t="s">
        <v>31</v>
      </c>
    </row>
    <row r="4045" spans="1:3" x14ac:dyDescent="0.35">
      <c r="A4045" s="141" t="s">
        <v>707</v>
      </c>
      <c r="B4045" s="141" t="s">
        <v>267</v>
      </c>
      <c r="C4045" s="141" t="s">
        <v>31</v>
      </c>
    </row>
    <row r="4046" spans="1:3" x14ac:dyDescent="0.35">
      <c r="A4046" s="141" t="s">
        <v>708</v>
      </c>
      <c r="B4046" s="141" t="s">
        <v>267</v>
      </c>
      <c r="C4046" s="141" t="s">
        <v>31</v>
      </c>
    </row>
    <row r="4047" spans="1:3" x14ac:dyDescent="0.35">
      <c r="A4047" s="141" t="s">
        <v>709</v>
      </c>
      <c r="B4047" s="141" t="s">
        <v>267</v>
      </c>
      <c r="C4047" s="141" t="s">
        <v>31</v>
      </c>
    </row>
    <row r="4048" spans="1:3" x14ac:dyDescent="0.35">
      <c r="A4048" s="141" t="s">
        <v>710</v>
      </c>
      <c r="B4048" s="141" t="s">
        <v>267</v>
      </c>
      <c r="C4048" s="141" t="s">
        <v>31</v>
      </c>
    </row>
    <row r="4049" spans="1:3" x14ac:dyDescent="0.35">
      <c r="A4049" s="141" t="s">
        <v>456</v>
      </c>
      <c r="B4049" s="141" t="s">
        <v>267</v>
      </c>
      <c r="C4049" s="141" t="s">
        <v>31</v>
      </c>
    </row>
    <row r="4050" spans="1:3" x14ac:dyDescent="0.35">
      <c r="A4050" s="141" t="s">
        <v>626</v>
      </c>
      <c r="B4050" s="141" t="s">
        <v>267</v>
      </c>
      <c r="C4050" s="141" t="s">
        <v>31</v>
      </c>
    </row>
    <row r="4051" spans="1:3" x14ac:dyDescent="0.35">
      <c r="A4051" s="141" t="s">
        <v>627</v>
      </c>
      <c r="B4051" s="141" t="s">
        <v>267</v>
      </c>
      <c r="C4051" s="141" t="s">
        <v>31</v>
      </c>
    </row>
    <row r="4052" spans="1:3" x14ac:dyDescent="0.35">
      <c r="A4052" s="141" t="s">
        <v>458</v>
      </c>
      <c r="B4052" s="141" t="s">
        <v>267</v>
      </c>
      <c r="C4052" s="141" t="s">
        <v>31</v>
      </c>
    </row>
    <row r="4053" spans="1:3" x14ac:dyDescent="0.35">
      <c r="A4053" s="141" t="s">
        <v>628</v>
      </c>
      <c r="B4053" s="141" t="s">
        <v>267</v>
      </c>
      <c r="C4053" s="141" t="s">
        <v>31</v>
      </c>
    </row>
    <row r="4054" spans="1:3" x14ac:dyDescent="0.35">
      <c r="A4054" s="141" t="s">
        <v>629</v>
      </c>
      <c r="B4054" s="141" t="s">
        <v>267</v>
      </c>
      <c r="C4054" s="141" t="s">
        <v>31</v>
      </c>
    </row>
    <row r="4055" spans="1:3" x14ac:dyDescent="0.35">
      <c r="A4055" s="141" t="s">
        <v>460</v>
      </c>
      <c r="B4055" s="141" t="s">
        <v>267</v>
      </c>
      <c r="C4055" s="141" t="s">
        <v>31</v>
      </c>
    </row>
    <row r="4056" spans="1:3" x14ac:dyDescent="0.35">
      <c r="A4056" s="141" t="s">
        <v>461</v>
      </c>
      <c r="B4056" s="141" t="s">
        <v>267</v>
      </c>
      <c r="C4056" s="141" t="s">
        <v>31</v>
      </c>
    </row>
    <row r="4057" spans="1:3" x14ac:dyDescent="0.35">
      <c r="A4057" s="141" t="s">
        <v>808</v>
      </c>
      <c r="B4057" s="141" t="s">
        <v>267</v>
      </c>
      <c r="C4057" s="141" t="s">
        <v>31</v>
      </c>
    </row>
    <row r="4058" spans="1:3" x14ac:dyDescent="0.35">
      <c r="A4058" s="141" t="s">
        <v>809</v>
      </c>
      <c r="B4058" s="141" t="s">
        <v>267</v>
      </c>
      <c r="C4058" s="141" t="s">
        <v>31</v>
      </c>
    </row>
    <row r="4059" spans="1:3" x14ac:dyDescent="0.35">
      <c r="A4059" s="141" t="s">
        <v>297</v>
      </c>
      <c r="B4059" s="141" t="s">
        <v>267</v>
      </c>
      <c r="C4059" s="141" t="s">
        <v>32</v>
      </c>
    </row>
    <row r="4060" spans="1:3" x14ac:dyDescent="0.35">
      <c r="A4060" s="141" t="s">
        <v>298</v>
      </c>
      <c r="B4060" s="141" t="s">
        <v>267</v>
      </c>
      <c r="C4060" s="141" t="s">
        <v>32</v>
      </c>
    </row>
    <row r="4061" spans="1:3" x14ac:dyDescent="0.35">
      <c r="A4061" s="141" t="s">
        <v>299</v>
      </c>
      <c r="B4061" s="141" t="s">
        <v>267</v>
      </c>
      <c r="C4061" s="141" t="s">
        <v>32</v>
      </c>
    </row>
    <row r="4062" spans="1:3" x14ac:dyDescent="0.35">
      <c r="A4062" s="141" t="s">
        <v>300</v>
      </c>
      <c r="B4062" s="141" t="s">
        <v>267</v>
      </c>
      <c r="C4062" s="141" t="s">
        <v>32</v>
      </c>
    </row>
    <row r="4063" spans="1:3" x14ac:dyDescent="0.35">
      <c r="A4063" s="141" t="s">
        <v>301</v>
      </c>
      <c r="B4063" s="141" t="s">
        <v>267</v>
      </c>
      <c r="C4063" s="141" t="s">
        <v>32</v>
      </c>
    </row>
    <row r="4064" spans="1:3" x14ac:dyDescent="0.35">
      <c r="A4064" s="141" t="s">
        <v>302</v>
      </c>
      <c r="B4064" s="141" t="s">
        <v>267</v>
      </c>
      <c r="C4064" s="141" t="s">
        <v>32</v>
      </c>
    </row>
    <row r="4065" spans="1:3" x14ac:dyDescent="0.35">
      <c r="A4065" s="141" t="s">
        <v>810</v>
      </c>
      <c r="B4065" s="141" t="s">
        <v>267</v>
      </c>
      <c r="C4065" s="141" t="s">
        <v>33</v>
      </c>
    </row>
    <row r="4066" spans="1:3" x14ac:dyDescent="0.35">
      <c r="A4066" s="141" t="s">
        <v>790</v>
      </c>
      <c r="B4066" s="141" t="s">
        <v>267</v>
      </c>
      <c r="C4066" s="141" t="s">
        <v>33</v>
      </c>
    </row>
    <row r="4067" spans="1:3" x14ac:dyDescent="0.35">
      <c r="A4067" s="141" t="s">
        <v>791</v>
      </c>
      <c r="B4067" s="141" t="s">
        <v>267</v>
      </c>
      <c r="C4067" s="141" t="s">
        <v>33</v>
      </c>
    </row>
    <row r="4068" spans="1:3" x14ac:dyDescent="0.35">
      <c r="A4068" s="141" t="s">
        <v>734</v>
      </c>
      <c r="B4068" s="141" t="s">
        <v>267</v>
      </c>
      <c r="C4068" s="141" t="s">
        <v>33</v>
      </c>
    </row>
    <row r="4069" spans="1:3" x14ac:dyDescent="0.35">
      <c r="A4069" s="141" t="s">
        <v>811</v>
      </c>
      <c r="B4069" s="141" t="s">
        <v>267</v>
      </c>
      <c r="C4069" s="141" t="s">
        <v>36</v>
      </c>
    </row>
    <row r="4070" spans="1:3" x14ac:dyDescent="0.35">
      <c r="A4070" s="141" t="s">
        <v>728</v>
      </c>
      <c r="B4070" s="141" t="s">
        <v>267</v>
      </c>
      <c r="C4070" s="141" t="s">
        <v>28</v>
      </c>
    </row>
    <row r="4071" spans="1:3" x14ac:dyDescent="0.35">
      <c r="A4071" s="141" t="s">
        <v>729</v>
      </c>
      <c r="B4071" s="141" t="s">
        <v>267</v>
      </c>
      <c r="C4071" s="141" t="s">
        <v>28</v>
      </c>
    </row>
    <row r="4072" spans="1:3" x14ac:dyDescent="0.35">
      <c r="A4072" s="141" t="s">
        <v>730</v>
      </c>
      <c r="B4072" s="141" t="s">
        <v>267</v>
      </c>
      <c r="C4072" s="141" t="s">
        <v>28</v>
      </c>
    </row>
    <row r="4073" spans="1:3" x14ac:dyDescent="0.35">
      <c r="A4073" s="141" t="s">
        <v>731</v>
      </c>
      <c r="B4073" s="141" t="s">
        <v>267</v>
      </c>
      <c r="C4073" s="141" t="s">
        <v>29</v>
      </c>
    </row>
    <row r="4074" spans="1:3" x14ac:dyDescent="0.35">
      <c r="A4074" s="141" t="s">
        <v>716</v>
      </c>
      <c r="B4074" s="141" t="s">
        <v>267</v>
      </c>
      <c r="C4074" s="141" t="s">
        <v>36</v>
      </c>
    </row>
    <row r="4075" spans="1:3" x14ac:dyDescent="0.35">
      <c r="A4075" s="141" t="s">
        <v>717</v>
      </c>
      <c r="B4075" s="141" t="s">
        <v>267</v>
      </c>
      <c r="C4075" s="141" t="s">
        <v>36</v>
      </c>
    </row>
    <row r="4076" spans="1:3" x14ac:dyDescent="0.35">
      <c r="A4076" s="141" t="s">
        <v>718</v>
      </c>
      <c r="B4076" s="141" t="s">
        <v>267</v>
      </c>
      <c r="C4076" s="141" t="s">
        <v>36</v>
      </c>
    </row>
    <row r="4077" spans="1:3" x14ac:dyDescent="0.35">
      <c r="A4077" s="141" t="s">
        <v>719</v>
      </c>
      <c r="B4077" s="141" t="s">
        <v>267</v>
      </c>
      <c r="C4077" s="141" t="s">
        <v>36</v>
      </c>
    </row>
    <row r="4078" spans="1:3" x14ac:dyDescent="0.35">
      <c r="A4078" s="141" t="s">
        <v>720</v>
      </c>
      <c r="B4078" s="141" t="s">
        <v>267</v>
      </c>
      <c r="C4078" s="141" t="s">
        <v>36</v>
      </c>
    </row>
    <row r="4079" spans="1:3" x14ac:dyDescent="0.35">
      <c r="A4079" s="141" t="s">
        <v>721</v>
      </c>
      <c r="B4079" s="141" t="s">
        <v>267</v>
      </c>
      <c r="C4079" s="141" t="s">
        <v>36</v>
      </c>
    </row>
    <row r="4080" spans="1:3" x14ac:dyDescent="0.35">
      <c r="A4080" s="141" t="s">
        <v>834</v>
      </c>
      <c r="B4080" s="141" t="s">
        <v>267</v>
      </c>
      <c r="C4080" s="141" t="s">
        <v>36</v>
      </c>
    </row>
    <row r="4081" spans="1:3" x14ac:dyDescent="0.35">
      <c r="A4081" s="141" t="s">
        <v>724</v>
      </c>
      <c r="B4081" s="141" t="s">
        <v>267</v>
      </c>
      <c r="C4081" s="141" t="s">
        <v>37</v>
      </c>
    </row>
    <row r="4082" spans="1:3" x14ac:dyDescent="0.35">
      <c r="A4082" s="141" t="s">
        <v>725</v>
      </c>
      <c r="B4082" s="141" t="s">
        <v>267</v>
      </c>
      <c r="C4082" s="141" t="s">
        <v>37</v>
      </c>
    </row>
    <row r="4083" spans="1:3" x14ac:dyDescent="0.35">
      <c r="A4083" s="141" t="s">
        <v>726</v>
      </c>
      <c r="B4083" s="141" t="s">
        <v>267</v>
      </c>
      <c r="C4083" s="141" t="s">
        <v>33</v>
      </c>
    </row>
    <row r="4084" spans="1:3" x14ac:dyDescent="0.35">
      <c r="A4084" s="141" t="s">
        <v>732</v>
      </c>
      <c r="B4084" s="141" t="s">
        <v>267</v>
      </c>
      <c r="C4084" s="141" t="s">
        <v>28</v>
      </c>
    </row>
    <row r="4085" spans="1:3" x14ac:dyDescent="0.35">
      <c r="A4085" s="141" t="s">
        <v>727</v>
      </c>
      <c r="B4085" s="141" t="s">
        <v>267</v>
      </c>
      <c r="C4085" s="141" t="s">
        <v>36</v>
      </c>
    </row>
    <row r="4086" spans="1:3" x14ac:dyDescent="0.35">
      <c r="A4086" s="141" t="s">
        <v>492</v>
      </c>
      <c r="B4086" s="141" t="s">
        <v>267</v>
      </c>
      <c r="C4086" s="141" t="s">
        <v>32</v>
      </c>
    </row>
    <row r="4087" spans="1:3" x14ac:dyDescent="0.35">
      <c r="A4087" s="141" t="s">
        <v>493</v>
      </c>
      <c r="B4087" s="141" t="s">
        <v>267</v>
      </c>
      <c r="C4087" s="141" t="s">
        <v>32</v>
      </c>
    </row>
    <row r="4088" spans="1:3" x14ac:dyDescent="0.35">
      <c r="A4088" s="141" t="s">
        <v>494</v>
      </c>
      <c r="B4088" s="141" t="s">
        <v>267</v>
      </c>
      <c r="C4088" s="141" t="s">
        <v>32</v>
      </c>
    </row>
    <row r="4089" spans="1:3" x14ac:dyDescent="0.35">
      <c r="A4089" s="141" t="s">
        <v>495</v>
      </c>
      <c r="B4089" s="141" t="s">
        <v>267</v>
      </c>
      <c r="C4089" s="141" t="s">
        <v>32</v>
      </c>
    </row>
    <row r="4090" spans="1:3" x14ac:dyDescent="0.35">
      <c r="A4090" s="141" t="s">
        <v>496</v>
      </c>
      <c r="B4090" s="141" t="s">
        <v>267</v>
      </c>
      <c r="C4090" s="141" t="s">
        <v>32</v>
      </c>
    </row>
    <row r="4091" spans="1:3" x14ac:dyDescent="0.35">
      <c r="A4091" s="141" t="s">
        <v>497</v>
      </c>
      <c r="B4091" s="141" t="s">
        <v>267</v>
      </c>
      <c r="C4091" s="141" t="s">
        <v>32</v>
      </c>
    </row>
    <row r="4092" spans="1:3" x14ac:dyDescent="0.35">
      <c r="A4092" s="141" t="s">
        <v>681</v>
      </c>
      <c r="B4092" s="141" t="s">
        <v>267</v>
      </c>
      <c r="C4092" s="141" t="s">
        <v>32</v>
      </c>
    </row>
    <row r="4093" spans="1:3" x14ac:dyDescent="0.35">
      <c r="A4093" s="141" t="s">
        <v>682</v>
      </c>
      <c r="B4093" s="141" t="s">
        <v>267</v>
      </c>
      <c r="C4093" s="141" t="s">
        <v>32</v>
      </c>
    </row>
    <row r="4094" spans="1:3" x14ac:dyDescent="0.35">
      <c r="A4094" s="141" t="s">
        <v>683</v>
      </c>
      <c r="B4094" s="141" t="s">
        <v>267</v>
      </c>
      <c r="C4094" s="141" t="s">
        <v>32</v>
      </c>
    </row>
    <row r="4095" spans="1:3" x14ac:dyDescent="0.35">
      <c r="A4095" s="141" t="s">
        <v>684</v>
      </c>
      <c r="B4095" s="141" t="s">
        <v>267</v>
      </c>
      <c r="C4095" s="141" t="s">
        <v>32</v>
      </c>
    </row>
    <row r="4096" spans="1:3" x14ac:dyDescent="0.35">
      <c r="A4096" s="141" t="s">
        <v>685</v>
      </c>
      <c r="B4096" s="141" t="s">
        <v>267</v>
      </c>
      <c r="C4096" s="141" t="s">
        <v>32</v>
      </c>
    </row>
    <row r="4097" spans="1:3" x14ac:dyDescent="0.35">
      <c r="A4097" s="141" t="s">
        <v>686</v>
      </c>
      <c r="B4097" s="141" t="s">
        <v>267</v>
      </c>
      <c r="C4097" s="141" t="s">
        <v>32</v>
      </c>
    </row>
    <row r="4098" spans="1:3" x14ac:dyDescent="0.35">
      <c r="A4098" s="141" t="s">
        <v>687</v>
      </c>
      <c r="B4098" s="141" t="s">
        <v>267</v>
      </c>
      <c r="C4098" s="141" t="s">
        <v>32</v>
      </c>
    </row>
    <row r="4099" spans="1:3" x14ac:dyDescent="0.35">
      <c r="A4099" s="141" t="s">
        <v>502</v>
      </c>
      <c r="B4099" s="141" t="s">
        <v>267</v>
      </c>
      <c r="C4099" s="141" t="s">
        <v>32</v>
      </c>
    </row>
    <row r="4100" spans="1:3" x14ac:dyDescent="0.35">
      <c r="A4100" s="141" t="s">
        <v>503</v>
      </c>
      <c r="B4100" s="141" t="s">
        <v>267</v>
      </c>
      <c r="C4100" s="141" t="s">
        <v>32</v>
      </c>
    </row>
    <row r="4101" spans="1:3" x14ac:dyDescent="0.35">
      <c r="A4101" s="141" t="s">
        <v>504</v>
      </c>
      <c r="B4101" s="141" t="s">
        <v>267</v>
      </c>
      <c r="C4101" s="141" t="s">
        <v>26</v>
      </c>
    </row>
    <row r="4102" spans="1:3" x14ac:dyDescent="0.35">
      <c r="A4102" s="141" t="s">
        <v>688</v>
      </c>
      <c r="B4102" s="141" t="s">
        <v>267</v>
      </c>
      <c r="C4102" s="141" t="s">
        <v>32</v>
      </c>
    </row>
    <row r="4103" spans="1:3" x14ac:dyDescent="0.35">
      <c r="A4103" s="141" t="s">
        <v>689</v>
      </c>
      <c r="B4103" s="141" t="s">
        <v>267</v>
      </c>
      <c r="C4103" s="141" t="s">
        <v>32</v>
      </c>
    </row>
    <row r="4104" spans="1:3" x14ac:dyDescent="0.35">
      <c r="A4104" s="141" t="s">
        <v>690</v>
      </c>
      <c r="B4104" s="141" t="s">
        <v>267</v>
      </c>
      <c r="C4104" s="141" t="s">
        <v>32</v>
      </c>
    </row>
    <row r="4105" spans="1:3" x14ac:dyDescent="0.35">
      <c r="A4105" s="141" t="s">
        <v>691</v>
      </c>
      <c r="B4105" s="141" t="s">
        <v>267</v>
      </c>
      <c r="C4105" s="141" t="s">
        <v>32</v>
      </c>
    </row>
    <row r="4106" spans="1:3" x14ac:dyDescent="0.35">
      <c r="A4106" s="141" t="s">
        <v>694</v>
      </c>
      <c r="B4106" s="141" t="s">
        <v>267</v>
      </c>
      <c r="C4106" s="141" t="s">
        <v>32</v>
      </c>
    </row>
    <row r="4107" spans="1:3" x14ac:dyDescent="0.35">
      <c r="A4107" s="141" t="s">
        <v>695</v>
      </c>
      <c r="B4107" s="141" t="s">
        <v>267</v>
      </c>
      <c r="C4107" s="141" t="s">
        <v>32</v>
      </c>
    </row>
    <row r="4108" spans="1:3" x14ac:dyDescent="0.35">
      <c r="A4108" s="141" t="s">
        <v>696</v>
      </c>
      <c r="B4108" s="141" t="s">
        <v>267</v>
      </c>
      <c r="C4108" s="141" t="s">
        <v>32</v>
      </c>
    </row>
    <row r="4109" spans="1:3" x14ac:dyDescent="0.35">
      <c r="A4109" s="141" t="s">
        <v>697</v>
      </c>
      <c r="B4109" s="141" t="s">
        <v>267</v>
      </c>
      <c r="C4109" s="141" t="s">
        <v>32</v>
      </c>
    </row>
    <row r="4110" spans="1:3" x14ac:dyDescent="0.35">
      <c r="A4110" s="141" t="s">
        <v>692</v>
      </c>
      <c r="B4110" s="141" t="s">
        <v>267</v>
      </c>
      <c r="C4110" s="141" t="s">
        <v>32</v>
      </c>
    </row>
    <row r="4111" spans="1:3" x14ac:dyDescent="0.35">
      <c r="A4111" s="141" t="s">
        <v>693</v>
      </c>
      <c r="B4111" s="141" t="s">
        <v>267</v>
      </c>
      <c r="C4111" s="141" t="s">
        <v>32</v>
      </c>
    </row>
    <row r="4112" spans="1:3" x14ac:dyDescent="0.35">
      <c r="A4112" s="141" t="s">
        <v>509</v>
      </c>
      <c r="B4112" s="141" t="s">
        <v>267</v>
      </c>
      <c r="C4112" s="141" t="s">
        <v>32</v>
      </c>
    </row>
    <row r="4113" spans="1:3" x14ac:dyDescent="0.35">
      <c r="A4113" s="141" t="s">
        <v>510</v>
      </c>
      <c r="B4113" s="141" t="s">
        <v>267</v>
      </c>
      <c r="C4113" s="141" t="s">
        <v>32</v>
      </c>
    </row>
    <row r="4114" spans="1:3" x14ac:dyDescent="0.35">
      <c r="A4114" s="141" t="s">
        <v>511</v>
      </c>
      <c r="B4114" s="141" t="s">
        <v>267</v>
      </c>
      <c r="C4114" s="141" t="s">
        <v>32</v>
      </c>
    </row>
    <row r="4115" spans="1:3" x14ac:dyDescent="0.35">
      <c r="A4115" s="141" t="s">
        <v>512</v>
      </c>
      <c r="B4115" s="141" t="s">
        <v>267</v>
      </c>
      <c r="C4115" s="141" t="s">
        <v>32</v>
      </c>
    </row>
    <row r="4116" spans="1:3" x14ac:dyDescent="0.35">
      <c r="A4116" s="141" t="s">
        <v>786</v>
      </c>
      <c r="B4116" s="141" t="s">
        <v>267</v>
      </c>
      <c r="C4116" s="141" t="s">
        <v>35</v>
      </c>
    </row>
    <row r="4117" spans="1:3" x14ac:dyDescent="0.35">
      <c r="A4117" s="141" t="s">
        <v>787</v>
      </c>
      <c r="B4117" s="141" t="s">
        <v>267</v>
      </c>
      <c r="C4117" s="141" t="s">
        <v>35</v>
      </c>
    </row>
    <row r="4118" spans="1:3" x14ac:dyDescent="0.35">
      <c r="A4118" s="141" t="s">
        <v>704</v>
      </c>
      <c r="B4118" s="141" t="s">
        <v>267</v>
      </c>
      <c r="C4118" s="141" t="s">
        <v>35</v>
      </c>
    </row>
    <row r="4119" spans="1:3" x14ac:dyDescent="0.35">
      <c r="A4119" s="141" t="s">
        <v>705</v>
      </c>
      <c r="B4119" s="141" t="s">
        <v>267</v>
      </c>
      <c r="C4119" s="141" t="s">
        <v>35</v>
      </c>
    </row>
    <row r="4120" spans="1:3" x14ac:dyDescent="0.35">
      <c r="A4120" s="141" t="s">
        <v>698</v>
      </c>
      <c r="B4120" s="141" t="s">
        <v>267</v>
      </c>
      <c r="C4120" s="141" t="s">
        <v>33</v>
      </c>
    </row>
    <row r="4121" spans="1:3" x14ac:dyDescent="0.35">
      <c r="A4121" s="141" t="s">
        <v>515</v>
      </c>
      <c r="B4121" s="141" t="s">
        <v>267</v>
      </c>
      <c r="C4121" s="141" t="s">
        <v>33</v>
      </c>
    </row>
    <row r="4122" spans="1:3" x14ac:dyDescent="0.35">
      <c r="A4122" s="141" t="s">
        <v>516</v>
      </c>
      <c r="B4122" s="141" t="s">
        <v>267</v>
      </c>
      <c r="C4122" s="141" t="s">
        <v>33</v>
      </c>
    </row>
    <row r="4123" spans="1:3" x14ac:dyDescent="0.35">
      <c r="A4123" s="141" t="s">
        <v>517</v>
      </c>
      <c r="B4123" s="141" t="s">
        <v>267</v>
      </c>
      <c r="C4123" s="141" t="s">
        <v>30</v>
      </c>
    </row>
    <row r="4124" spans="1:3" x14ac:dyDescent="0.35">
      <c r="A4124" s="141" t="s">
        <v>782</v>
      </c>
      <c r="B4124" s="141" t="s">
        <v>267</v>
      </c>
      <c r="C4124" s="141" t="s">
        <v>30</v>
      </c>
    </row>
    <row r="4125" spans="1:3" x14ac:dyDescent="0.35">
      <c r="A4125" s="141" t="s">
        <v>783</v>
      </c>
      <c r="B4125" s="141" t="s">
        <v>267</v>
      </c>
      <c r="C4125" s="141" t="s">
        <v>30</v>
      </c>
    </row>
    <row r="4126" spans="1:3" x14ac:dyDescent="0.35">
      <c r="A4126" s="141" t="s">
        <v>519</v>
      </c>
      <c r="B4126" s="141" t="s">
        <v>267</v>
      </c>
      <c r="C4126" s="141" t="s">
        <v>34</v>
      </c>
    </row>
    <row r="4127" spans="1:3" x14ac:dyDescent="0.35">
      <c r="A4127" s="141" t="s">
        <v>520</v>
      </c>
      <c r="B4127" s="141" t="s">
        <v>267</v>
      </c>
      <c r="C4127" s="141" t="s">
        <v>34</v>
      </c>
    </row>
    <row r="4128" spans="1:3" x14ac:dyDescent="0.35">
      <c r="A4128" s="141" t="s">
        <v>521</v>
      </c>
      <c r="B4128" s="141" t="s">
        <v>267</v>
      </c>
      <c r="C4128" s="141" t="s">
        <v>34</v>
      </c>
    </row>
    <row r="4129" spans="1:3" x14ac:dyDescent="0.35">
      <c r="A4129" s="141" t="s">
        <v>522</v>
      </c>
      <c r="B4129" s="141" t="s">
        <v>267</v>
      </c>
      <c r="C4129" s="141" t="s">
        <v>34</v>
      </c>
    </row>
    <row r="4130" spans="1:3" x14ac:dyDescent="0.35">
      <c r="A4130" s="141" t="s">
        <v>523</v>
      </c>
      <c r="B4130" s="141" t="s">
        <v>267</v>
      </c>
      <c r="C4130" s="141" t="s">
        <v>30</v>
      </c>
    </row>
    <row r="4131" spans="1:3" x14ac:dyDescent="0.35">
      <c r="A4131" s="141" t="s">
        <v>784</v>
      </c>
      <c r="B4131" s="141" t="s">
        <v>267</v>
      </c>
      <c r="C4131" s="141" t="s">
        <v>30</v>
      </c>
    </row>
    <row r="4132" spans="1:3" x14ac:dyDescent="0.35">
      <c r="A4132" s="141" t="s">
        <v>785</v>
      </c>
      <c r="B4132" s="141" t="s">
        <v>267</v>
      </c>
      <c r="C4132" s="141" t="s">
        <v>30</v>
      </c>
    </row>
    <row r="4133" spans="1:3" x14ac:dyDescent="0.35">
      <c r="A4133" s="141" t="s">
        <v>525</v>
      </c>
      <c r="B4133" s="141" t="s">
        <v>267</v>
      </c>
      <c r="C4133" s="141" t="s">
        <v>46</v>
      </c>
    </row>
    <row r="4134" spans="1:3" x14ac:dyDescent="0.35">
      <c r="A4134" s="141" t="s">
        <v>526</v>
      </c>
      <c r="B4134" s="141" t="s">
        <v>267</v>
      </c>
      <c r="C4134" s="141" t="s">
        <v>32</v>
      </c>
    </row>
    <row r="4135" spans="1:3" x14ac:dyDescent="0.35">
      <c r="A4135" s="141" t="s">
        <v>527</v>
      </c>
      <c r="B4135" s="141" t="s">
        <v>267</v>
      </c>
      <c r="C4135" s="141" t="s">
        <v>32</v>
      </c>
    </row>
    <row r="4136" spans="1:3" x14ac:dyDescent="0.35">
      <c r="A4136" s="141" t="s">
        <v>528</v>
      </c>
      <c r="B4136" s="141" t="s">
        <v>267</v>
      </c>
      <c r="C4136" s="141" t="s">
        <v>32</v>
      </c>
    </row>
    <row r="4137" spans="1:3" x14ac:dyDescent="0.35">
      <c r="A4137" s="141" t="s">
        <v>529</v>
      </c>
      <c r="B4137" s="141" t="s">
        <v>267</v>
      </c>
      <c r="C4137" s="141" t="s">
        <v>32</v>
      </c>
    </row>
    <row r="4138" spans="1:3" x14ac:dyDescent="0.35">
      <c r="A4138" s="141" t="s">
        <v>788</v>
      </c>
      <c r="B4138" s="141" t="s">
        <v>267</v>
      </c>
      <c r="C4138" s="141" t="s">
        <v>25</v>
      </c>
    </row>
    <row r="4139" spans="1:3" x14ac:dyDescent="0.35">
      <c r="A4139" s="141" t="s">
        <v>789</v>
      </c>
      <c r="B4139" s="141" t="s">
        <v>267</v>
      </c>
      <c r="C4139" s="141" t="s">
        <v>25</v>
      </c>
    </row>
    <row r="4140" spans="1:3" x14ac:dyDescent="0.35">
      <c r="A4140" s="141" t="s">
        <v>531</v>
      </c>
      <c r="B4140" s="141" t="s">
        <v>267</v>
      </c>
      <c r="C4140" s="141" t="s">
        <v>51</v>
      </c>
    </row>
    <row r="4141" spans="1:3" x14ac:dyDescent="0.35">
      <c r="A4141" s="141" t="s">
        <v>741</v>
      </c>
      <c r="B4141" s="141" t="s">
        <v>267</v>
      </c>
      <c r="C4141" s="141" t="s">
        <v>51</v>
      </c>
    </row>
    <row r="4142" spans="1:3" x14ac:dyDescent="0.35">
      <c r="A4142" s="141" t="s">
        <v>742</v>
      </c>
      <c r="B4142" s="141" t="s">
        <v>267</v>
      </c>
      <c r="C4142" s="141" t="s">
        <v>51</v>
      </c>
    </row>
    <row r="4143" spans="1:3" x14ac:dyDescent="0.35">
      <c r="A4143" s="141" t="s">
        <v>743</v>
      </c>
      <c r="B4143" s="141" t="s">
        <v>267</v>
      </c>
      <c r="C4143" s="141" t="s">
        <v>51</v>
      </c>
    </row>
    <row r="4144" spans="1:3" x14ac:dyDescent="0.35">
      <c r="A4144" s="141" t="s">
        <v>747</v>
      </c>
      <c r="B4144" s="141" t="s">
        <v>267</v>
      </c>
      <c r="C4144" s="141" t="s">
        <v>51</v>
      </c>
    </row>
    <row r="4145" spans="1:3" x14ac:dyDescent="0.35">
      <c r="A4145" s="141" t="s">
        <v>748</v>
      </c>
      <c r="B4145" s="141" t="s">
        <v>267</v>
      </c>
      <c r="C4145" s="141" t="s">
        <v>51</v>
      </c>
    </row>
    <row r="4146" spans="1:3" x14ac:dyDescent="0.35">
      <c r="A4146" s="141" t="s">
        <v>533</v>
      </c>
      <c r="B4146" s="141" t="s">
        <v>267</v>
      </c>
      <c r="C4146" s="141" t="s">
        <v>50</v>
      </c>
    </row>
    <row r="4147" spans="1:3" x14ac:dyDescent="0.35">
      <c r="A4147" s="141" t="s">
        <v>308</v>
      </c>
      <c r="B4147" s="141" t="s">
        <v>267</v>
      </c>
      <c r="C4147" s="141" t="s">
        <v>53</v>
      </c>
    </row>
    <row r="4148" spans="1:3" x14ac:dyDescent="0.35">
      <c r="A4148" s="141" t="s">
        <v>309</v>
      </c>
      <c r="B4148" s="141" t="s">
        <v>267</v>
      </c>
      <c r="C4148" s="141" t="s">
        <v>53</v>
      </c>
    </row>
    <row r="4149" spans="1:3" x14ac:dyDescent="0.35">
      <c r="A4149" s="141" t="s">
        <v>310</v>
      </c>
      <c r="B4149" s="141" t="s">
        <v>267</v>
      </c>
      <c r="C4149" s="141" t="s">
        <v>53</v>
      </c>
    </row>
    <row r="4150" spans="1:3" x14ac:dyDescent="0.35">
      <c r="A4150" s="141" t="s">
        <v>311</v>
      </c>
      <c r="B4150" s="141" t="s">
        <v>267</v>
      </c>
      <c r="C4150" s="141" t="s">
        <v>53</v>
      </c>
    </row>
    <row r="4151" spans="1:3" x14ac:dyDescent="0.35">
      <c r="A4151" s="141" t="s">
        <v>534</v>
      </c>
      <c r="B4151" s="141" t="s">
        <v>267</v>
      </c>
      <c r="C4151" s="141" t="s">
        <v>53</v>
      </c>
    </row>
    <row r="4152" spans="1:3" x14ac:dyDescent="0.35">
      <c r="A4152" s="141" t="s">
        <v>312</v>
      </c>
      <c r="B4152" s="141" t="s">
        <v>267</v>
      </c>
      <c r="C4152" s="141" t="s">
        <v>53</v>
      </c>
    </row>
    <row r="4153" spans="1:3" x14ac:dyDescent="0.35">
      <c r="A4153" s="141" t="s">
        <v>744</v>
      </c>
      <c r="B4153" s="141" t="s">
        <v>267</v>
      </c>
      <c r="C4153" s="141" t="s">
        <v>52</v>
      </c>
    </row>
    <row r="4154" spans="1:3" x14ac:dyDescent="0.35">
      <c r="A4154" s="141" t="s">
        <v>577</v>
      </c>
      <c r="B4154" s="141" t="s">
        <v>267</v>
      </c>
      <c r="C4154" s="141" t="s">
        <v>52</v>
      </c>
    </row>
    <row r="4155" spans="1:3" x14ac:dyDescent="0.35">
      <c r="A4155" s="141" t="s">
        <v>578</v>
      </c>
      <c r="B4155" s="141" t="s">
        <v>267</v>
      </c>
      <c r="C4155" s="141" t="s">
        <v>52</v>
      </c>
    </row>
    <row r="4156" spans="1:3" x14ac:dyDescent="0.35">
      <c r="A4156" s="141" t="s">
        <v>535</v>
      </c>
      <c r="B4156" s="141" t="s">
        <v>267</v>
      </c>
      <c r="C4156" s="141" t="s">
        <v>52</v>
      </c>
    </row>
    <row r="4157" spans="1:3" x14ac:dyDescent="0.35">
      <c r="A4157" s="141" t="s">
        <v>536</v>
      </c>
      <c r="B4157" s="141" t="s">
        <v>267</v>
      </c>
      <c r="C4157" s="141" t="s">
        <v>52</v>
      </c>
    </row>
    <row r="4158" spans="1:3" x14ac:dyDescent="0.35">
      <c r="A4158" s="141" t="s">
        <v>537</v>
      </c>
      <c r="B4158" s="141" t="s">
        <v>267</v>
      </c>
      <c r="C4158" s="141" t="s">
        <v>52</v>
      </c>
    </row>
    <row r="4159" spans="1:3" x14ac:dyDescent="0.35">
      <c r="A4159" s="141" t="s">
        <v>538</v>
      </c>
      <c r="B4159" s="141" t="s">
        <v>267</v>
      </c>
      <c r="C4159" s="141" t="s">
        <v>52</v>
      </c>
    </row>
    <row r="4160" spans="1:3" x14ac:dyDescent="0.35">
      <c r="A4160" s="141" t="s">
        <v>539</v>
      </c>
      <c r="B4160" s="141" t="s">
        <v>267</v>
      </c>
      <c r="C4160" s="141" t="s">
        <v>52</v>
      </c>
    </row>
    <row r="4161" spans="1:3" x14ac:dyDescent="0.35">
      <c r="A4161" s="141" t="s">
        <v>540</v>
      </c>
      <c r="B4161" s="141" t="s">
        <v>267</v>
      </c>
      <c r="C4161" s="141" t="s">
        <v>52</v>
      </c>
    </row>
    <row r="4162" spans="1:3" x14ac:dyDescent="0.35">
      <c r="A4162" s="141" t="s">
        <v>812</v>
      </c>
      <c r="B4162" s="141" t="s">
        <v>267</v>
      </c>
      <c r="C4162" s="141" t="s">
        <v>52</v>
      </c>
    </row>
    <row r="4163" spans="1:3" x14ac:dyDescent="0.35">
      <c r="A4163" s="141" t="s">
        <v>803</v>
      </c>
      <c r="B4163" s="141" t="s">
        <v>267</v>
      </c>
      <c r="C4163" s="141" t="s">
        <v>52</v>
      </c>
    </row>
    <row r="4164" spans="1:3" x14ac:dyDescent="0.35">
      <c r="A4164" s="141" t="s">
        <v>542</v>
      </c>
      <c r="B4164" s="141" t="s">
        <v>267</v>
      </c>
      <c r="C4164" s="141" t="s">
        <v>52</v>
      </c>
    </row>
    <row r="4165" spans="1:3" x14ac:dyDescent="0.35">
      <c r="A4165" s="141" t="s">
        <v>543</v>
      </c>
      <c r="B4165" s="141" t="s">
        <v>267</v>
      </c>
      <c r="C4165" s="141" t="s">
        <v>52</v>
      </c>
    </row>
    <row r="4166" spans="1:3" x14ac:dyDescent="0.35">
      <c r="A4166" s="141" t="s">
        <v>544</v>
      </c>
      <c r="B4166" s="141" t="s">
        <v>267</v>
      </c>
      <c r="C4166" s="141" t="s">
        <v>33</v>
      </c>
    </row>
    <row r="4167" spans="1:3" x14ac:dyDescent="0.35">
      <c r="A4167" s="141" t="s">
        <v>804</v>
      </c>
      <c r="B4167" s="141" t="s">
        <v>267</v>
      </c>
      <c r="C4167" s="141" t="s">
        <v>53</v>
      </c>
    </row>
    <row r="4168" spans="1:3" x14ac:dyDescent="0.35">
      <c r="A4168" s="141" t="s">
        <v>805</v>
      </c>
      <c r="B4168" s="141" t="s">
        <v>267</v>
      </c>
      <c r="C4168" s="141" t="s">
        <v>52</v>
      </c>
    </row>
    <row r="4169" spans="1:3" x14ac:dyDescent="0.35">
      <c r="A4169" s="141" t="s">
        <v>546</v>
      </c>
      <c r="B4169" s="141" t="s">
        <v>267</v>
      </c>
      <c r="C4169" s="141" t="s">
        <v>52</v>
      </c>
    </row>
    <row r="4170" spans="1:3" x14ac:dyDescent="0.35">
      <c r="A4170" s="141" t="s">
        <v>547</v>
      </c>
      <c r="B4170" s="141" t="s">
        <v>267</v>
      </c>
      <c r="C4170" s="141" t="s">
        <v>52</v>
      </c>
    </row>
    <row r="4171" spans="1:3" x14ac:dyDescent="0.35">
      <c r="A4171" s="141" t="s">
        <v>740</v>
      </c>
      <c r="B4171" s="141" t="s">
        <v>267</v>
      </c>
      <c r="C4171" s="141" t="s">
        <v>33</v>
      </c>
    </row>
    <row r="4172" spans="1:3" x14ac:dyDescent="0.35">
      <c r="A4172" s="141" t="s">
        <v>550</v>
      </c>
      <c r="B4172" s="141" t="s">
        <v>267</v>
      </c>
      <c r="C4172" s="141" t="s">
        <v>33</v>
      </c>
    </row>
    <row r="4173" spans="1:3" x14ac:dyDescent="0.35">
      <c r="A4173" s="141" t="s">
        <v>551</v>
      </c>
      <c r="B4173" s="141" t="s">
        <v>267</v>
      </c>
      <c r="C4173" s="141" t="s">
        <v>33</v>
      </c>
    </row>
    <row r="4174" spans="1:3" x14ac:dyDescent="0.35">
      <c r="A4174" s="141" t="s">
        <v>306</v>
      </c>
      <c r="B4174" s="141" t="s">
        <v>267</v>
      </c>
      <c r="C4174" s="141" t="s">
        <v>35</v>
      </c>
    </row>
    <row r="4175" spans="1:3" x14ac:dyDescent="0.35">
      <c r="A4175" s="141" t="s">
        <v>307</v>
      </c>
      <c r="B4175" s="141" t="s">
        <v>267</v>
      </c>
      <c r="C4175" s="141" t="s">
        <v>33</v>
      </c>
    </row>
    <row r="4176" spans="1:3" x14ac:dyDescent="0.35">
      <c r="A4176" s="141" t="s">
        <v>314</v>
      </c>
      <c r="B4176" s="141" t="s">
        <v>267</v>
      </c>
      <c r="C4176" s="141" t="s">
        <v>16</v>
      </c>
    </row>
    <row r="4177" spans="1:3" x14ac:dyDescent="0.35">
      <c r="A4177" s="141" t="s">
        <v>315</v>
      </c>
      <c r="B4177" s="141" t="s">
        <v>267</v>
      </c>
      <c r="C4177" s="141" t="s">
        <v>16</v>
      </c>
    </row>
    <row r="4178" spans="1:3" x14ac:dyDescent="0.35">
      <c r="A4178" s="141" t="s">
        <v>316</v>
      </c>
      <c r="B4178" s="141" t="s">
        <v>267</v>
      </c>
      <c r="C4178" s="141" t="s">
        <v>16</v>
      </c>
    </row>
    <row r="4179" spans="1:3" x14ac:dyDescent="0.35">
      <c r="A4179" s="141" t="s">
        <v>317</v>
      </c>
      <c r="B4179" s="141" t="s">
        <v>267</v>
      </c>
      <c r="C4179" s="141" t="s">
        <v>16</v>
      </c>
    </row>
    <row r="4180" spans="1:3" x14ac:dyDescent="0.35">
      <c r="A4180" s="141" t="s">
        <v>318</v>
      </c>
      <c r="B4180" s="141" t="s">
        <v>267</v>
      </c>
      <c r="C4180" s="141" t="s">
        <v>16</v>
      </c>
    </row>
    <row r="4181" spans="1:3" x14ac:dyDescent="0.35">
      <c r="A4181" s="141" t="s">
        <v>319</v>
      </c>
      <c r="B4181" s="141" t="s">
        <v>267</v>
      </c>
      <c r="C4181" s="141" t="s">
        <v>16</v>
      </c>
    </row>
    <row r="4182" spans="1:3" x14ac:dyDescent="0.35">
      <c r="A4182" s="141" t="s">
        <v>320</v>
      </c>
      <c r="B4182" s="141" t="s">
        <v>267</v>
      </c>
      <c r="C4182" s="141" t="s">
        <v>16</v>
      </c>
    </row>
    <row r="4183" spans="1:3" x14ac:dyDescent="0.35">
      <c r="A4183" s="141" t="s">
        <v>322</v>
      </c>
      <c r="B4183" s="141" t="s">
        <v>267</v>
      </c>
      <c r="C4183" s="141" t="s">
        <v>16</v>
      </c>
    </row>
    <row r="4184" spans="1:3" x14ac:dyDescent="0.35">
      <c r="A4184" s="141" t="s">
        <v>324</v>
      </c>
      <c r="B4184" s="141" t="s">
        <v>267</v>
      </c>
      <c r="C4184" s="141" t="s">
        <v>16</v>
      </c>
    </row>
    <row r="4185" spans="1:3" x14ac:dyDescent="0.35">
      <c r="A4185" s="141" t="s">
        <v>326</v>
      </c>
      <c r="B4185" s="141" t="s">
        <v>267</v>
      </c>
      <c r="C4185" s="141" t="s">
        <v>16</v>
      </c>
    </row>
    <row r="4186" spans="1:3" x14ac:dyDescent="0.35">
      <c r="A4186" s="141" t="s">
        <v>327</v>
      </c>
      <c r="B4186" s="141" t="s">
        <v>267</v>
      </c>
      <c r="C4186" s="141" t="s">
        <v>16</v>
      </c>
    </row>
    <row r="4187" spans="1:3" x14ac:dyDescent="0.35">
      <c r="A4187" s="141" t="s">
        <v>328</v>
      </c>
      <c r="B4187" s="141" t="s">
        <v>267</v>
      </c>
      <c r="C4187" s="141" t="s">
        <v>16</v>
      </c>
    </row>
    <row r="4188" spans="1:3" x14ac:dyDescent="0.35">
      <c r="A4188" s="141" t="s">
        <v>329</v>
      </c>
      <c r="B4188" s="141" t="s">
        <v>267</v>
      </c>
      <c r="C4188" s="141" t="s">
        <v>16</v>
      </c>
    </row>
    <row r="4189" spans="1:3" x14ac:dyDescent="0.35">
      <c r="A4189" s="141" t="s">
        <v>331</v>
      </c>
      <c r="B4189" s="141" t="s">
        <v>267</v>
      </c>
      <c r="C4189" s="141" t="s">
        <v>16</v>
      </c>
    </row>
    <row r="4190" spans="1:3" x14ac:dyDescent="0.35">
      <c r="A4190" s="141" t="s">
        <v>332</v>
      </c>
      <c r="B4190" s="141" t="s">
        <v>267</v>
      </c>
      <c r="C4190" s="141" t="s">
        <v>16</v>
      </c>
    </row>
    <row r="4191" spans="1:3" x14ac:dyDescent="0.35">
      <c r="A4191" s="141" t="s">
        <v>333</v>
      </c>
      <c r="B4191" s="141" t="s">
        <v>267</v>
      </c>
      <c r="C4191" s="141" t="s">
        <v>16</v>
      </c>
    </row>
    <row r="4192" spans="1:3" x14ac:dyDescent="0.35">
      <c r="A4192" s="141" t="s">
        <v>334</v>
      </c>
      <c r="B4192" s="141" t="s">
        <v>267</v>
      </c>
      <c r="C4192" s="141" t="s">
        <v>16</v>
      </c>
    </row>
    <row r="4193" spans="1:3" x14ac:dyDescent="0.35">
      <c r="A4193" s="141" t="s">
        <v>335</v>
      </c>
      <c r="B4193" s="141" t="s">
        <v>267</v>
      </c>
      <c r="C4193" s="141" t="s">
        <v>16</v>
      </c>
    </row>
    <row r="4194" spans="1:3" x14ac:dyDescent="0.35">
      <c r="A4194" s="141" t="s">
        <v>336</v>
      </c>
      <c r="B4194" s="141" t="s">
        <v>267</v>
      </c>
      <c r="C4194" s="141" t="s">
        <v>16</v>
      </c>
    </row>
    <row r="4195" spans="1:3" x14ac:dyDescent="0.35">
      <c r="A4195" s="141" t="s">
        <v>806</v>
      </c>
      <c r="B4195" s="141" t="s">
        <v>267</v>
      </c>
      <c r="C4195" s="141" t="s">
        <v>32</v>
      </c>
    </row>
    <row r="4196" spans="1:3" x14ac:dyDescent="0.35">
      <c r="A4196" s="141" t="s">
        <v>579</v>
      </c>
      <c r="B4196" s="141" t="s">
        <v>267</v>
      </c>
      <c r="C4196" s="141" t="s">
        <v>32</v>
      </c>
    </row>
    <row r="4197" spans="1:3" x14ac:dyDescent="0.35">
      <c r="A4197" s="141" t="s">
        <v>556</v>
      </c>
      <c r="B4197" s="141" t="s">
        <v>267</v>
      </c>
      <c r="C4197" s="141" t="s">
        <v>32</v>
      </c>
    </row>
    <row r="4198" spans="1:3" x14ac:dyDescent="0.35">
      <c r="A4198" s="141" t="s">
        <v>557</v>
      </c>
      <c r="B4198" s="141" t="s">
        <v>267</v>
      </c>
      <c r="C4198" s="141" t="s">
        <v>32</v>
      </c>
    </row>
    <row r="4199" spans="1:3" x14ac:dyDescent="0.35">
      <c r="A4199" s="141" t="s">
        <v>558</v>
      </c>
      <c r="B4199" s="141" t="s">
        <v>267</v>
      </c>
      <c r="C4199" s="141" t="s">
        <v>32</v>
      </c>
    </row>
    <row r="4200" spans="1:3" x14ac:dyDescent="0.35">
      <c r="A4200" s="141" t="s">
        <v>580</v>
      </c>
      <c r="B4200" s="141" t="s">
        <v>267</v>
      </c>
      <c r="C4200" s="141" t="s">
        <v>32</v>
      </c>
    </row>
    <row r="4201" spans="1:3" x14ac:dyDescent="0.35">
      <c r="A4201" s="141" t="s">
        <v>559</v>
      </c>
      <c r="B4201" s="141" t="s">
        <v>267</v>
      </c>
      <c r="C4201" s="141" t="s">
        <v>47</v>
      </c>
    </row>
    <row r="4202" spans="1:3" x14ac:dyDescent="0.35">
      <c r="A4202" s="141" t="s">
        <v>560</v>
      </c>
      <c r="B4202" s="141" t="s">
        <v>267</v>
      </c>
      <c r="C4202" s="141" t="s">
        <v>47</v>
      </c>
    </row>
    <row r="4203" spans="1:3" x14ac:dyDescent="0.35">
      <c r="A4203" s="141" t="s">
        <v>561</v>
      </c>
      <c r="B4203" s="141" t="s">
        <v>267</v>
      </c>
      <c r="C4203" s="141" t="s">
        <v>47</v>
      </c>
    </row>
    <row r="4204" spans="1:3" x14ac:dyDescent="0.35">
      <c r="A4204" s="141" t="s">
        <v>562</v>
      </c>
      <c r="B4204" s="141" t="s">
        <v>267</v>
      </c>
      <c r="C4204" s="141" t="s">
        <v>48</v>
      </c>
    </row>
    <row r="4205" spans="1:3" x14ac:dyDescent="0.35">
      <c r="A4205" s="141" t="s">
        <v>563</v>
      </c>
      <c r="B4205" s="141" t="s">
        <v>267</v>
      </c>
      <c r="C4205" s="141" t="s">
        <v>47</v>
      </c>
    </row>
    <row r="4206" spans="1:3" x14ac:dyDescent="0.35">
      <c r="A4206" s="141" t="s">
        <v>352</v>
      </c>
      <c r="B4206" s="141" t="s">
        <v>268</v>
      </c>
      <c r="C4206" s="141" t="s">
        <v>2</v>
      </c>
    </row>
    <row r="4207" spans="1:3" x14ac:dyDescent="0.35">
      <c r="A4207" s="141" t="s">
        <v>354</v>
      </c>
      <c r="B4207" s="141" t="s">
        <v>268</v>
      </c>
      <c r="C4207" s="141" t="s">
        <v>2</v>
      </c>
    </row>
    <row r="4208" spans="1:3" x14ac:dyDescent="0.35">
      <c r="A4208" s="141" t="s">
        <v>818</v>
      </c>
      <c r="B4208" s="141" t="s">
        <v>268</v>
      </c>
      <c r="C4208" s="141" t="s">
        <v>12</v>
      </c>
    </row>
    <row r="4209" spans="1:3" x14ac:dyDescent="0.35">
      <c r="A4209" s="141" t="s">
        <v>813</v>
      </c>
      <c r="B4209" s="141" t="s">
        <v>268</v>
      </c>
      <c r="C4209" s="141" t="s">
        <v>12</v>
      </c>
    </row>
    <row r="4210" spans="1:3" x14ac:dyDescent="0.35">
      <c r="A4210" s="141" t="s">
        <v>814</v>
      </c>
      <c r="B4210" s="141" t="s">
        <v>268</v>
      </c>
      <c r="C4210" s="141" t="s">
        <v>12</v>
      </c>
    </row>
    <row r="4211" spans="1:3" x14ac:dyDescent="0.35">
      <c r="A4211" s="141" t="s">
        <v>815</v>
      </c>
      <c r="B4211" s="141" t="s">
        <v>268</v>
      </c>
      <c r="C4211" s="141" t="s">
        <v>12</v>
      </c>
    </row>
    <row r="4212" spans="1:3" x14ac:dyDescent="0.35">
      <c r="A4212" s="141" t="s">
        <v>816</v>
      </c>
      <c r="B4212" s="141" t="s">
        <v>268</v>
      </c>
      <c r="C4212" s="141" t="s">
        <v>12</v>
      </c>
    </row>
    <row r="4213" spans="1:3" x14ac:dyDescent="0.35">
      <c r="A4213" s="141" t="s">
        <v>356</v>
      </c>
      <c r="B4213" s="141" t="s">
        <v>268</v>
      </c>
      <c r="C4213" s="141" t="s">
        <v>14</v>
      </c>
    </row>
    <row r="4214" spans="1:3" x14ac:dyDescent="0.35">
      <c r="A4214" s="141" t="s">
        <v>357</v>
      </c>
      <c r="B4214" s="141" t="s">
        <v>268</v>
      </c>
      <c r="C4214" s="141" t="s">
        <v>14</v>
      </c>
    </row>
    <row r="4215" spans="1:3" x14ac:dyDescent="0.35">
      <c r="A4215" s="141" t="s">
        <v>358</v>
      </c>
      <c r="B4215" s="141" t="s">
        <v>268</v>
      </c>
      <c r="C4215" s="141" t="s">
        <v>14</v>
      </c>
    </row>
    <row r="4216" spans="1:3" x14ac:dyDescent="0.35">
      <c r="A4216" s="141" t="s">
        <v>654</v>
      </c>
      <c r="B4216" s="141" t="s">
        <v>268</v>
      </c>
      <c r="C4216" s="141" t="s">
        <v>14</v>
      </c>
    </row>
    <row r="4217" spans="1:3" x14ac:dyDescent="0.35">
      <c r="A4217" s="141" t="s">
        <v>655</v>
      </c>
      <c r="B4217" s="141" t="s">
        <v>268</v>
      </c>
      <c r="C4217" s="141" t="s">
        <v>14</v>
      </c>
    </row>
    <row r="4218" spans="1:3" x14ac:dyDescent="0.35">
      <c r="A4218" s="141" t="s">
        <v>749</v>
      </c>
      <c r="B4218" s="141" t="s">
        <v>268</v>
      </c>
      <c r="C4218" s="141" t="s">
        <v>14</v>
      </c>
    </row>
    <row r="4219" spans="1:3" x14ac:dyDescent="0.35">
      <c r="A4219" s="141" t="s">
        <v>750</v>
      </c>
      <c r="B4219" s="141" t="s">
        <v>268</v>
      </c>
      <c r="C4219" s="141" t="s">
        <v>13</v>
      </c>
    </row>
    <row r="4220" spans="1:3" x14ac:dyDescent="0.35">
      <c r="A4220" s="141" t="s">
        <v>751</v>
      </c>
      <c r="B4220" s="141" t="s">
        <v>268</v>
      </c>
      <c r="C4220" s="141" t="s">
        <v>13</v>
      </c>
    </row>
    <row r="4221" spans="1:3" x14ac:dyDescent="0.35">
      <c r="A4221" s="141" t="s">
        <v>581</v>
      </c>
      <c r="B4221" s="141" t="s">
        <v>268</v>
      </c>
      <c r="C4221" s="141" t="s">
        <v>13</v>
      </c>
    </row>
    <row r="4222" spans="1:3" x14ac:dyDescent="0.35">
      <c r="A4222" s="141" t="s">
        <v>667</v>
      </c>
      <c r="B4222" s="141" t="s">
        <v>268</v>
      </c>
      <c r="C4222" s="141" t="s">
        <v>55</v>
      </c>
    </row>
    <row r="4223" spans="1:3" x14ac:dyDescent="0.35">
      <c r="A4223" s="141" t="s">
        <v>669</v>
      </c>
      <c r="B4223" s="141" t="s">
        <v>268</v>
      </c>
      <c r="C4223" s="141" t="s">
        <v>55</v>
      </c>
    </row>
    <row r="4224" spans="1:3" x14ac:dyDescent="0.35">
      <c r="A4224" s="141" t="s">
        <v>668</v>
      </c>
      <c r="B4224" s="141" t="s">
        <v>268</v>
      </c>
      <c r="C4224" s="141" t="s">
        <v>54</v>
      </c>
    </row>
    <row r="4225" spans="1:3" x14ac:dyDescent="0.35">
      <c r="A4225" s="141" t="s">
        <v>670</v>
      </c>
      <c r="B4225" s="141" t="s">
        <v>268</v>
      </c>
      <c r="C4225" s="141" t="s">
        <v>54</v>
      </c>
    </row>
    <row r="4226" spans="1:3" x14ac:dyDescent="0.35">
      <c r="A4226" s="141" t="s">
        <v>359</v>
      </c>
      <c r="B4226" s="141" t="s">
        <v>268</v>
      </c>
      <c r="C4226" s="141" t="s">
        <v>46</v>
      </c>
    </row>
    <row r="4227" spans="1:3" x14ac:dyDescent="0.35">
      <c r="A4227" s="141" t="s">
        <v>360</v>
      </c>
      <c r="B4227" s="141" t="s">
        <v>268</v>
      </c>
      <c r="C4227" s="141" t="s">
        <v>46</v>
      </c>
    </row>
    <row r="4228" spans="1:3" x14ac:dyDescent="0.35">
      <c r="A4228" s="141" t="s">
        <v>819</v>
      </c>
      <c r="B4228" s="141" t="s">
        <v>268</v>
      </c>
      <c r="C4228" s="141" t="s">
        <v>45</v>
      </c>
    </row>
    <row r="4229" spans="1:3" x14ac:dyDescent="0.35">
      <c r="A4229" s="141" t="s">
        <v>820</v>
      </c>
      <c r="B4229" s="141" t="s">
        <v>268</v>
      </c>
      <c r="C4229" s="141" t="s">
        <v>45</v>
      </c>
    </row>
    <row r="4230" spans="1:3" x14ac:dyDescent="0.35">
      <c r="A4230" s="141" t="s">
        <v>821</v>
      </c>
      <c r="B4230" s="141" t="s">
        <v>268</v>
      </c>
      <c r="C4230" s="141" t="s">
        <v>45</v>
      </c>
    </row>
    <row r="4231" spans="1:3" x14ac:dyDescent="0.35">
      <c r="A4231" s="141" t="s">
        <v>822</v>
      </c>
      <c r="B4231" s="141" t="s">
        <v>268</v>
      </c>
      <c r="C4231" s="141" t="s">
        <v>45</v>
      </c>
    </row>
    <row r="4232" spans="1:3" x14ac:dyDescent="0.35">
      <c r="A4232" s="141" t="s">
        <v>823</v>
      </c>
      <c r="B4232" s="141" t="s">
        <v>268</v>
      </c>
      <c r="C4232" s="141" t="s">
        <v>45</v>
      </c>
    </row>
    <row r="4233" spans="1:3" x14ac:dyDescent="0.35">
      <c r="A4233" s="141" t="s">
        <v>824</v>
      </c>
      <c r="B4233" s="141" t="s">
        <v>268</v>
      </c>
      <c r="C4233" s="141" t="s">
        <v>45</v>
      </c>
    </row>
    <row r="4234" spans="1:3" x14ac:dyDescent="0.35">
      <c r="A4234" s="141" t="s">
        <v>825</v>
      </c>
      <c r="B4234" s="141" t="s">
        <v>268</v>
      </c>
      <c r="C4234" s="141" t="s">
        <v>45</v>
      </c>
    </row>
    <row r="4235" spans="1:3" x14ac:dyDescent="0.35">
      <c r="A4235" s="141" t="s">
        <v>826</v>
      </c>
      <c r="B4235" s="141" t="s">
        <v>268</v>
      </c>
      <c r="C4235" s="141" t="s">
        <v>45</v>
      </c>
    </row>
    <row r="4236" spans="1:3" x14ac:dyDescent="0.35">
      <c r="A4236" s="141" t="s">
        <v>827</v>
      </c>
      <c r="B4236" s="141" t="s">
        <v>268</v>
      </c>
      <c r="C4236" s="141" t="s">
        <v>45</v>
      </c>
    </row>
    <row r="4237" spans="1:3" x14ac:dyDescent="0.35">
      <c r="A4237" s="141" t="s">
        <v>828</v>
      </c>
      <c r="B4237" s="141" t="s">
        <v>268</v>
      </c>
      <c r="C4237" s="141" t="s">
        <v>45</v>
      </c>
    </row>
    <row r="4238" spans="1:3" x14ac:dyDescent="0.35">
      <c r="A4238" s="141" t="s">
        <v>829</v>
      </c>
      <c r="B4238" s="141" t="s">
        <v>268</v>
      </c>
      <c r="C4238" s="141" t="s">
        <v>45</v>
      </c>
    </row>
    <row r="4239" spans="1:3" x14ac:dyDescent="0.35">
      <c r="A4239" s="141" t="s">
        <v>830</v>
      </c>
      <c r="B4239" s="141" t="s">
        <v>268</v>
      </c>
      <c r="C4239" s="141" t="s">
        <v>45</v>
      </c>
    </row>
    <row r="4240" spans="1:3" x14ac:dyDescent="0.35">
      <c r="A4240" s="141" t="s">
        <v>831</v>
      </c>
      <c r="B4240" s="141" t="s">
        <v>268</v>
      </c>
      <c r="C4240" s="141" t="s">
        <v>45</v>
      </c>
    </row>
    <row r="4241" spans="1:3" x14ac:dyDescent="0.35">
      <c r="A4241" s="141" t="s">
        <v>832</v>
      </c>
      <c r="B4241" s="141" t="s">
        <v>268</v>
      </c>
      <c r="C4241" s="141" t="s">
        <v>45</v>
      </c>
    </row>
    <row r="4242" spans="1:3" x14ac:dyDescent="0.35">
      <c r="A4242" s="141" t="s">
        <v>776</v>
      </c>
      <c r="B4242" s="141" t="s">
        <v>268</v>
      </c>
      <c r="C4242" s="141" t="s">
        <v>45</v>
      </c>
    </row>
    <row r="4243" spans="1:3" x14ac:dyDescent="0.35">
      <c r="A4243" s="141" t="s">
        <v>777</v>
      </c>
      <c r="B4243" s="141" t="s">
        <v>268</v>
      </c>
      <c r="C4243" s="141" t="s">
        <v>46</v>
      </c>
    </row>
    <row r="4244" spans="1:3" x14ac:dyDescent="0.35">
      <c r="A4244" s="141" t="s">
        <v>778</v>
      </c>
      <c r="B4244" s="141" t="s">
        <v>268</v>
      </c>
      <c r="C4244" s="141" t="s">
        <v>45</v>
      </c>
    </row>
    <row r="4245" spans="1:3" x14ac:dyDescent="0.35">
      <c r="A4245" s="141" t="s">
        <v>779</v>
      </c>
      <c r="B4245" s="141" t="s">
        <v>268</v>
      </c>
      <c r="C4245" s="141" t="s">
        <v>45</v>
      </c>
    </row>
    <row r="4246" spans="1:3" x14ac:dyDescent="0.35">
      <c r="A4246" s="141" t="s">
        <v>780</v>
      </c>
      <c r="B4246" s="141" t="s">
        <v>268</v>
      </c>
      <c r="C4246" s="141" t="s">
        <v>45</v>
      </c>
    </row>
    <row r="4247" spans="1:3" x14ac:dyDescent="0.35">
      <c r="A4247" s="141" t="s">
        <v>781</v>
      </c>
      <c r="B4247" s="141" t="s">
        <v>268</v>
      </c>
      <c r="C4247" s="141" t="s">
        <v>45</v>
      </c>
    </row>
    <row r="4248" spans="1:3" x14ac:dyDescent="0.35">
      <c r="A4248" s="141" t="s">
        <v>586</v>
      </c>
      <c r="B4248" s="141" t="s">
        <v>268</v>
      </c>
      <c r="C4248" s="141" t="s">
        <v>4</v>
      </c>
    </row>
    <row r="4249" spans="1:3" x14ac:dyDescent="0.35">
      <c r="A4249" s="141" t="s">
        <v>587</v>
      </c>
      <c r="B4249" s="141" t="s">
        <v>268</v>
      </c>
      <c r="C4249" s="141" t="s">
        <v>4</v>
      </c>
    </row>
    <row r="4250" spans="1:3" x14ac:dyDescent="0.35">
      <c r="A4250" s="141" t="s">
        <v>588</v>
      </c>
      <c r="B4250" s="141" t="s">
        <v>268</v>
      </c>
      <c r="C4250" s="141" t="s">
        <v>4</v>
      </c>
    </row>
    <row r="4251" spans="1:3" x14ac:dyDescent="0.35">
      <c r="A4251" s="141" t="s">
        <v>365</v>
      </c>
      <c r="B4251" s="141" t="s">
        <v>268</v>
      </c>
      <c r="C4251" s="141" t="s">
        <v>7</v>
      </c>
    </row>
    <row r="4252" spans="1:3" x14ac:dyDescent="0.35">
      <c r="A4252" s="141" t="s">
        <v>589</v>
      </c>
      <c r="B4252" s="141" t="s">
        <v>268</v>
      </c>
      <c r="C4252" s="141" t="s">
        <v>4</v>
      </c>
    </row>
    <row r="4253" spans="1:3" x14ac:dyDescent="0.35">
      <c r="A4253" s="141" t="s">
        <v>366</v>
      </c>
      <c r="B4253" s="141" t="s">
        <v>268</v>
      </c>
      <c r="C4253" s="141" t="s">
        <v>8</v>
      </c>
    </row>
    <row r="4254" spans="1:3" x14ac:dyDescent="0.35">
      <c r="A4254" s="141" t="s">
        <v>367</v>
      </c>
      <c r="B4254" s="141" t="s">
        <v>268</v>
      </c>
      <c r="C4254" s="141" t="s">
        <v>8</v>
      </c>
    </row>
    <row r="4255" spans="1:3" x14ac:dyDescent="0.35">
      <c r="A4255" s="141" t="s">
        <v>368</v>
      </c>
      <c r="B4255" s="141" t="s">
        <v>268</v>
      </c>
      <c r="C4255" s="141" t="s">
        <v>10</v>
      </c>
    </row>
    <row r="4256" spans="1:3" x14ac:dyDescent="0.35">
      <c r="A4256" s="141" t="s">
        <v>590</v>
      </c>
      <c r="B4256" s="141" t="s">
        <v>268</v>
      </c>
      <c r="C4256" s="141" t="s">
        <v>10</v>
      </c>
    </row>
    <row r="4257" spans="1:3" x14ac:dyDescent="0.35">
      <c r="A4257" s="141" t="s">
        <v>591</v>
      </c>
      <c r="B4257" s="141" t="s">
        <v>268</v>
      </c>
      <c r="C4257" s="141" t="s">
        <v>10</v>
      </c>
    </row>
    <row r="4258" spans="1:3" x14ac:dyDescent="0.35">
      <c r="A4258" s="141" t="s">
        <v>370</v>
      </c>
      <c r="B4258" s="141" t="s">
        <v>268</v>
      </c>
      <c r="C4258" s="141" t="s">
        <v>10</v>
      </c>
    </row>
    <row r="4259" spans="1:3" x14ac:dyDescent="0.35">
      <c r="A4259" s="141" t="s">
        <v>371</v>
      </c>
      <c r="B4259" s="141" t="s">
        <v>268</v>
      </c>
      <c r="C4259" s="141" t="s">
        <v>10</v>
      </c>
    </row>
    <row r="4260" spans="1:3" x14ac:dyDescent="0.35">
      <c r="A4260" s="141" t="s">
        <v>372</v>
      </c>
      <c r="B4260" s="141" t="s">
        <v>268</v>
      </c>
      <c r="C4260" s="141" t="s">
        <v>10</v>
      </c>
    </row>
    <row r="4261" spans="1:3" x14ac:dyDescent="0.35">
      <c r="A4261" s="141" t="s">
        <v>373</v>
      </c>
      <c r="B4261" s="141" t="s">
        <v>268</v>
      </c>
      <c r="C4261" s="141" t="s">
        <v>10</v>
      </c>
    </row>
    <row r="4262" spans="1:3" x14ac:dyDescent="0.35">
      <c r="A4262" s="141" t="s">
        <v>374</v>
      </c>
      <c r="B4262" s="141" t="s">
        <v>268</v>
      </c>
      <c r="C4262" s="141" t="s">
        <v>10</v>
      </c>
    </row>
    <row r="4263" spans="1:3" x14ac:dyDescent="0.35">
      <c r="A4263" s="141" t="s">
        <v>375</v>
      </c>
      <c r="B4263" s="141" t="s">
        <v>268</v>
      </c>
      <c r="C4263" s="141" t="s">
        <v>10</v>
      </c>
    </row>
    <row r="4264" spans="1:3" x14ac:dyDescent="0.35">
      <c r="A4264" s="141" t="s">
        <v>376</v>
      </c>
      <c r="B4264" s="141" t="s">
        <v>268</v>
      </c>
      <c r="C4264" s="141" t="s">
        <v>10</v>
      </c>
    </row>
    <row r="4265" spans="1:3" x14ac:dyDescent="0.35">
      <c r="A4265" s="141" t="s">
        <v>377</v>
      </c>
      <c r="B4265" s="141" t="s">
        <v>268</v>
      </c>
      <c r="C4265" s="141" t="s">
        <v>11</v>
      </c>
    </row>
    <row r="4266" spans="1:3" x14ac:dyDescent="0.35">
      <c r="A4266" s="141" t="s">
        <v>378</v>
      </c>
      <c r="B4266" s="141" t="s">
        <v>268</v>
      </c>
      <c r="C4266" s="141" t="s">
        <v>11</v>
      </c>
    </row>
    <row r="4267" spans="1:3" x14ac:dyDescent="0.35">
      <c r="A4267" s="141" t="s">
        <v>379</v>
      </c>
      <c r="B4267" s="141" t="s">
        <v>268</v>
      </c>
      <c r="C4267" s="141" t="s">
        <v>11</v>
      </c>
    </row>
    <row r="4268" spans="1:3" x14ac:dyDescent="0.35">
      <c r="A4268" s="141" t="s">
        <v>380</v>
      </c>
      <c r="B4268" s="141" t="s">
        <v>268</v>
      </c>
      <c r="C4268" s="141" t="s">
        <v>11</v>
      </c>
    </row>
    <row r="4269" spans="1:3" x14ac:dyDescent="0.35">
      <c r="A4269" s="141" t="s">
        <v>381</v>
      </c>
      <c r="B4269" s="141" t="s">
        <v>268</v>
      </c>
      <c r="C4269" s="141" t="s">
        <v>11</v>
      </c>
    </row>
    <row r="4270" spans="1:3" x14ac:dyDescent="0.35">
      <c r="A4270" s="141" t="s">
        <v>382</v>
      </c>
      <c r="B4270" s="141" t="s">
        <v>268</v>
      </c>
      <c r="C4270" s="141" t="s">
        <v>11</v>
      </c>
    </row>
    <row r="4271" spans="1:3" x14ac:dyDescent="0.35">
      <c r="A4271" s="141" t="s">
        <v>383</v>
      </c>
      <c r="B4271" s="141" t="s">
        <v>268</v>
      </c>
      <c r="C4271" s="141" t="s">
        <v>5</v>
      </c>
    </row>
    <row r="4272" spans="1:3" x14ac:dyDescent="0.35">
      <c r="A4272" s="141" t="s">
        <v>564</v>
      </c>
      <c r="B4272" s="141" t="s">
        <v>268</v>
      </c>
      <c r="C4272" s="141" t="s">
        <v>7</v>
      </c>
    </row>
    <row r="4273" spans="1:3" x14ac:dyDescent="0.35">
      <c r="A4273" s="141" t="s">
        <v>565</v>
      </c>
      <c r="B4273" s="141" t="s">
        <v>268</v>
      </c>
      <c r="C4273" s="141" t="s">
        <v>7</v>
      </c>
    </row>
    <row r="4274" spans="1:3" x14ac:dyDescent="0.35">
      <c r="A4274" s="141" t="s">
        <v>385</v>
      </c>
      <c r="B4274" s="141" t="s">
        <v>268</v>
      </c>
      <c r="C4274" s="141" t="s">
        <v>7</v>
      </c>
    </row>
    <row r="4275" spans="1:3" x14ac:dyDescent="0.35">
      <c r="A4275" s="141" t="s">
        <v>386</v>
      </c>
      <c r="B4275" s="141" t="s">
        <v>268</v>
      </c>
      <c r="C4275" s="141" t="s">
        <v>7</v>
      </c>
    </row>
    <row r="4276" spans="1:3" x14ac:dyDescent="0.35">
      <c r="A4276" s="141" t="s">
        <v>387</v>
      </c>
      <c r="B4276" s="141" t="s">
        <v>268</v>
      </c>
      <c r="C4276" s="141" t="s">
        <v>7</v>
      </c>
    </row>
    <row r="4277" spans="1:3" x14ac:dyDescent="0.35">
      <c r="A4277" s="141" t="s">
        <v>388</v>
      </c>
      <c r="B4277" s="141" t="s">
        <v>268</v>
      </c>
      <c r="C4277" s="141" t="s">
        <v>8</v>
      </c>
    </row>
    <row r="4278" spans="1:3" x14ac:dyDescent="0.35">
      <c r="A4278" s="141" t="s">
        <v>389</v>
      </c>
      <c r="B4278" s="141" t="s">
        <v>268</v>
      </c>
      <c r="C4278" s="141" t="s">
        <v>8</v>
      </c>
    </row>
    <row r="4279" spans="1:3" x14ac:dyDescent="0.35">
      <c r="A4279" s="141" t="s">
        <v>390</v>
      </c>
      <c r="B4279" s="141" t="s">
        <v>268</v>
      </c>
      <c r="C4279" s="141" t="s">
        <v>16</v>
      </c>
    </row>
    <row r="4280" spans="1:3" x14ac:dyDescent="0.35">
      <c r="A4280" s="141" t="s">
        <v>391</v>
      </c>
      <c r="B4280" s="141" t="s">
        <v>268</v>
      </c>
      <c r="C4280" s="141" t="s">
        <v>16</v>
      </c>
    </row>
    <row r="4281" spans="1:3" x14ac:dyDescent="0.35">
      <c r="A4281" s="141" t="s">
        <v>392</v>
      </c>
      <c r="B4281" s="141" t="s">
        <v>268</v>
      </c>
      <c r="C4281" s="141" t="s">
        <v>16</v>
      </c>
    </row>
    <row r="4282" spans="1:3" x14ac:dyDescent="0.35">
      <c r="A4282" s="141" t="s">
        <v>393</v>
      </c>
      <c r="B4282" s="141" t="s">
        <v>268</v>
      </c>
      <c r="C4282" s="141" t="s">
        <v>9</v>
      </c>
    </row>
    <row r="4283" spans="1:3" x14ac:dyDescent="0.35">
      <c r="A4283" s="141" t="s">
        <v>394</v>
      </c>
      <c r="B4283" s="141" t="s">
        <v>268</v>
      </c>
      <c r="C4283" s="141" t="s">
        <v>19</v>
      </c>
    </row>
    <row r="4284" spans="1:3" x14ac:dyDescent="0.35">
      <c r="A4284" s="141" t="s">
        <v>395</v>
      </c>
      <c r="B4284" s="141" t="s">
        <v>268</v>
      </c>
      <c r="C4284" s="141" t="s">
        <v>19</v>
      </c>
    </row>
    <row r="4285" spans="1:3" x14ac:dyDescent="0.35">
      <c r="A4285" s="141" t="s">
        <v>396</v>
      </c>
      <c r="B4285" s="141" t="s">
        <v>268</v>
      </c>
      <c r="C4285" s="141" t="s">
        <v>45</v>
      </c>
    </row>
    <row r="4286" spans="1:3" x14ac:dyDescent="0.35">
      <c r="A4286" s="141" t="s">
        <v>397</v>
      </c>
      <c r="B4286" s="141" t="s">
        <v>268</v>
      </c>
      <c r="C4286" s="141" t="s">
        <v>16</v>
      </c>
    </row>
    <row r="4287" spans="1:3" x14ac:dyDescent="0.35">
      <c r="A4287" s="141" t="s">
        <v>398</v>
      </c>
      <c r="B4287" s="141" t="s">
        <v>268</v>
      </c>
      <c r="C4287" s="141" t="s">
        <v>17</v>
      </c>
    </row>
    <row r="4288" spans="1:3" x14ac:dyDescent="0.35">
      <c r="A4288" s="141" t="s">
        <v>399</v>
      </c>
      <c r="B4288" s="141" t="s">
        <v>268</v>
      </c>
      <c r="C4288" s="141" t="s">
        <v>16</v>
      </c>
    </row>
    <row r="4289" spans="1:3" x14ac:dyDescent="0.35">
      <c r="A4289" s="141" t="s">
        <v>400</v>
      </c>
      <c r="B4289" s="141" t="s">
        <v>268</v>
      </c>
      <c r="C4289" s="141" t="s">
        <v>20</v>
      </c>
    </row>
    <row r="4290" spans="1:3" x14ac:dyDescent="0.35">
      <c r="A4290" s="141" t="s">
        <v>401</v>
      </c>
      <c r="B4290" s="141" t="s">
        <v>268</v>
      </c>
      <c r="C4290" s="141" t="s">
        <v>20</v>
      </c>
    </row>
    <row r="4291" spans="1:3" x14ac:dyDescent="0.35">
      <c r="A4291" s="141" t="s">
        <v>671</v>
      </c>
      <c r="B4291" s="141" t="s">
        <v>268</v>
      </c>
      <c r="C4291" s="141" t="s">
        <v>20</v>
      </c>
    </row>
    <row r="4292" spans="1:3" x14ac:dyDescent="0.35">
      <c r="A4292" s="141" t="s">
        <v>402</v>
      </c>
      <c r="B4292" s="141" t="s">
        <v>268</v>
      </c>
      <c r="C4292" s="141" t="s">
        <v>20</v>
      </c>
    </row>
    <row r="4293" spans="1:3" x14ac:dyDescent="0.35">
      <c r="A4293" s="141" t="s">
        <v>592</v>
      </c>
      <c r="B4293" s="141" t="s">
        <v>268</v>
      </c>
      <c r="C4293" s="141" t="s">
        <v>20</v>
      </c>
    </row>
    <row r="4294" spans="1:3" x14ac:dyDescent="0.35">
      <c r="A4294" s="141" t="s">
        <v>593</v>
      </c>
      <c r="B4294" s="141" t="s">
        <v>268</v>
      </c>
      <c r="C4294" s="141" t="s">
        <v>20</v>
      </c>
    </row>
    <row r="4295" spans="1:3" x14ac:dyDescent="0.35">
      <c r="A4295" s="141" t="s">
        <v>403</v>
      </c>
      <c r="B4295" s="141" t="s">
        <v>268</v>
      </c>
      <c r="C4295" s="141" t="s">
        <v>20</v>
      </c>
    </row>
    <row r="4296" spans="1:3" x14ac:dyDescent="0.35">
      <c r="A4296" s="141" t="s">
        <v>404</v>
      </c>
      <c r="B4296" s="141" t="s">
        <v>268</v>
      </c>
      <c r="C4296" s="141" t="s">
        <v>16</v>
      </c>
    </row>
    <row r="4297" spans="1:3" x14ac:dyDescent="0.35">
      <c r="A4297" s="141" t="s">
        <v>405</v>
      </c>
      <c r="B4297" s="141" t="s">
        <v>268</v>
      </c>
      <c r="C4297" s="141" t="s">
        <v>16</v>
      </c>
    </row>
    <row r="4298" spans="1:3" x14ac:dyDescent="0.35">
      <c r="A4298" s="141" t="s">
        <v>406</v>
      </c>
      <c r="B4298" s="141" t="s">
        <v>268</v>
      </c>
      <c r="C4298" s="141" t="s">
        <v>18</v>
      </c>
    </row>
    <row r="4299" spans="1:3" x14ac:dyDescent="0.35">
      <c r="A4299" s="141" t="s">
        <v>407</v>
      </c>
      <c r="B4299" s="141" t="s">
        <v>268</v>
      </c>
      <c r="C4299" s="141" t="s">
        <v>17</v>
      </c>
    </row>
    <row r="4300" spans="1:3" x14ac:dyDescent="0.35">
      <c r="A4300" s="141" t="s">
        <v>566</v>
      </c>
      <c r="B4300" s="141" t="s">
        <v>268</v>
      </c>
      <c r="C4300" s="141" t="s">
        <v>17</v>
      </c>
    </row>
    <row r="4301" spans="1:3" x14ac:dyDescent="0.35">
      <c r="A4301" s="141" t="s">
        <v>833</v>
      </c>
      <c r="B4301" s="141" t="s">
        <v>268</v>
      </c>
      <c r="C4301" s="141" t="s">
        <v>17</v>
      </c>
    </row>
    <row r="4302" spans="1:3" x14ac:dyDescent="0.35">
      <c r="A4302" s="141" t="s">
        <v>409</v>
      </c>
      <c r="B4302" s="141" t="s">
        <v>268</v>
      </c>
      <c r="C4302" s="141" t="s">
        <v>18</v>
      </c>
    </row>
    <row r="4303" spans="1:3" x14ac:dyDescent="0.35">
      <c r="A4303" s="141" t="s">
        <v>410</v>
      </c>
      <c r="B4303" s="141" t="s">
        <v>268</v>
      </c>
      <c r="C4303" s="141" t="s">
        <v>18</v>
      </c>
    </row>
    <row r="4304" spans="1:3" x14ac:dyDescent="0.35">
      <c r="A4304" s="141" t="s">
        <v>295</v>
      </c>
      <c r="B4304" s="141" t="s">
        <v>268</v>
      </c>
      <c r="C4304" s="141" t="s">
        <v>18</v>
      </c>
    </row>
    <row r="4305" spans="1:3" x14ac:dyDescent="0.35">
      <c r="A4305" s="141" t="s">
        <v>411</v>
      </c>
      <c r="B4305" s="141" t="s">
        <v>268</v>
      </c>
      <c r="C4305" s="141" t="s">
        <v>9</v>
      </c>
    </row>
    <row r="4306" spans="1:3" x14ac:dyDescent="0.35">
      <c r="A4306" s="141" t="s">
        <v>412</v>
      </c>
      <c r="B4306" s="141" t="s">
        <v>268</v>
      </c>
      <c r="C4306" s="141" t="s">
        <v>9</v>
      </c>
    </row>
    <row r="4307" spans="1:3" x14ac:dyDescent="0.35">
      <c r="A4307" s="141" t="s">
        <v>413</v>
      </c>
      <c r="B4307" s="141" t="s">
        <v>268</v>
      </c>
      <c r="C4307" s="141" t="s">
        <v>9</v>
      </c>
    </row>
    <row r="4308" spans="1:3" x14ac:dyDescent="0.35">
      <c r="A4308" s="141" t="s">
        <v>414</v>
      </c>
      <c r="B4308" s="141" t="s">
        <v>268</v>
      </c>
      <c r="C4308" s="141" t="s">
        <v>9</v>
      </c>
    </row>
    <row r="4309" spans="1:3" x14ac:dyDescent="0.35">
      <c r="A4309" s="141" t="s">
        <v>415</v>
      </c>
      <c r="B4309" s="141" t="s">
        <v>268</v>
      </c>
      <c r="C4309" s="141" t="s">
        <v>9</v>
      </c>
    </row>
    <row r="4310" spans="1:3" x14ac:dyDescent="0.35">
      <c r="A4310" s="141" t="s">
        <v>416</v>
      </c>
      <c r="B4310" s="141" t="s">
        <v>268</v>
      </c>
      <c r="C4310" s="141" t="s">
        <v>15</v>
      </c>
    </row>
    <row r="4311" spans="1:3" x14ac:dyDescent="0.35">
      <c r="A4311" s="141" t="s">
        <v>417</v>
      </c>
      <c r="B4311" s="141" t="s">
        <v>268</v>
      </c>
      <c r="C4311" s="141" t="s">
        <v>6</v>
      </c>
    </row>
    <row r="4312" spans="1:3" x14ac:dyDescent="0.35">
      <c r="A4312" s="141" t="s">
        <v>418</v>
      </c>
      <c r="B4312" s="141" t="s">
        <v>268</v>
      </c>
      <c r="C4312" s="141" t="s">
        <v>17</v>
      </c>
    </row>
    <row r="4313" spans="1:3" x14ac:dyDescent="0.35">
      <c r="A4313" s="141" t="s">
        <v>419</v>
      </c>
      <c r="B4313" s="141" t="s">
        <v>268</v>
      </c>
      <c r="C4313" s="141" t="s">
        <v>17</v>
      </c>
    </row>
    <row r="4314" spans="1:3" x14ac:dyDescent="0.35">
      <c r="A4314" s="141" t="s">
        <v>420</v>
      </c>
      <c r="B4314" s="141" t="s">
        <v>268</v>
      </c>
      <c r="C4314" s="141" t="s">
        <v>17</v>
      </c>
    </row>
    <row r="4315" spans="1:3" x14ac:dyDescent="0.35">
      <c r="A4315" s="141" t="s">
        <v>421</v>
      </c>
      <c r="B4315" s="141" t="s">
        <v>268</v>
      </c>
      <c r="C4315" s="141" t="s">
        <v>6</v>
      </c>
    </row>
    <row r="4316" spans="1:3" x14ac:dyDescent="0.35">
      <c r="A4316" s="141" t="s">
        <v>422</v>
      </c>
      <c r="B4316" s="141" t="s">
        <v>268</v>
      </c>
      <c r="C4316" s="141" t="s">
        <v>17</v>
      </c>
    </row>
    <row r="4317" spans="1:3" x14ac:dyDescent="0.35">
      <c r="A4317" s="141" t="s">
        <v>658</v>
      </c>
      <c r="B4317" s="141" t="s">
        <v>268</v>
      </c>
      <c r="C4317" s="141" t="s">
        <v>21</v>
      </c>
    </row>
    <row r="4318" spans="1:3" x14ac:dyDescent="0.35">
      <c r="A4318" s="141" t="s">
        <v>427</v>
      </c>
      <c r="B4318" s="141" t="s">
        <v>268</v>
      </c>
      <c r="C4318" s="141" t="s">
        <v>27</v>
      </c>
    </row>
    <row r="4319" spans="1:3" x14ac:dyDescent="0.35">
      <c r="A4319" s="141" t="s">
        <v>428</v>
      </c>
      <c r="B4319" s="141" t="s">
        <v>268</v>
      </c>
      <c r="C4319" s="141" t="s">
        <v>27</v>
      </c>
    </row>
    <row r="4320" spans="1:3" x14ac:dyDescent="0.35">
      <c r="A4320" s="141" t="s">
        <v>817</v>
      </c>
      <c r="B4320" s="141" t="s">
        <v>268</v>
      </c>
      <c r="C4320" s="141" t="s">
        <v>27</v>
      </c>
    </row>
    <row r="4321" spans="1:3" x14ac:dyDescent="0.35">
      <c r="A4321" s="141" t="s">
        <v>429</v>
      </c>
      <c r="B4321" s="141" t="s">
        <v>268</v>
      </c>
      <c r="C4321" s="141" t="s">
        <v>27</v>
      </c>
    </row>
    <row r="4322" spans="1:3" x14ac:dyDescent="0.35">
      <c r="A4322" s="141" t="s">
        <v>431</v>
      </c>
      <c r="B4322" s="141" t="s">
        <v>268</v>
      </c>
      <c r="C4322" s="141" t="s">
        <v>27</v>
      </c>
    </row>
    <row r="4323" spans="1:3" x14ac:dyDescent="0.35">
      <c r="A4323" s="141" t="s">
        <v>287</v>
      </c>
      <c r="B4323" s="141" t="s">
        <v>268</v>
      </c>
      <c r="C4323" s="141" t="s">
        <v>21</v>
      </c>
    </row>
    <row r="4324" spans="1:3" x14ac:dyDescent="0.35">
      <c r="A4324" s="141" t="s">
        <v>290</v>
      </c>
      <c r="B4324" s="141" t="s">
        <v>268</v>
      </c>
      <c r="C4324" s="141" t="s">
        <v>23</v>
      </c>
    </row>
    <row r="4325" spans="1:3" x14ac:dyDescent="0.35">
      <c r="A4325" s="141" t="s">
        <v>661</v>
      </c>
      <c r="B4325" s="141" t="s">
        <v>268</v>
      </c>
      <c r="C4325" s="141" t="s">
        <v>22</v>
      </c>
    </row>
    <row r="4326" spans="1:3" x14ac:dyDescent="0.35">
      <c r="A4326" s="141" t="s">
        <v>291</v>
      </c>
      <c r="B4326" s="141" t="s">
        <v>268</v>
      </c>
      <c r="C4326" s="141" t="s">
        <v>22</v>
      </c>
    </row>
    <row r="4327" spans="1:3" x14ac:dyDescent="0.35">
      <c r="A4327" s="141" t="s">
        <v>662</v>
      </c>
      <c r="B4327" s="141" t="s">
        <v>268</v>
      </c>
      <c r="C4327" s="141" t="s">
        <v>22</v>
      </c>
    </row>
    <row r="4328" spans="1:3" x14ac:dyDescent="0.35">
      <c r="A4328" s="141" t="s">
        <v>292</v>
      </c>
      <c r="B4328" s="141" t="s">
        <v>268</v>
      </c>
      <c r="C4328" s="141" t="s">
        <v>22</v>
      </c>
    </row>
    <row r="4329" spans="1:3" x14ac:dyDescent="0.35">
      <c r="A4329" s="141" t="s">
        <v>663</v>
      </c>
      <c r="B4329" s="141" t="s">
        <v>268</v>
      </c>
      <c r="C4329" s="141" t="s">
        <v>22</v>
      </c>
    </row>
    <row r="4330" spans="1:3" x14ac:dyDescent="0.35">
      <c r="A4330" s="141" t="s">
        <v>293</v>
      </c>
      <c r="B4330" s="141" t="s">
        <v>268</v>
      </c>
      <c r="C4330" s="141" t="s">
        <v>22</v>
      </c>
    </row>
    <row r="4331" spans="1:3" x14ac:dyDescent="0.35">
      <c r="A4331" s="141" t="s">
        <v>664</v>
      </c>
      <c r="B4331" s="141" t="s">
        <v>268</v>
      </c>
      <c r="C4331" s="141" t="s">
        <v>24</v>
      </c>
    </row>
    <row r="4332" spans="1:3" x14ac:dyDescent="0.35">
      <c r="A4332" s="141" t="s">
        <v>665</v>
      </c>
      <c r="B4332" s="141" t="s">
        <v>268</v>
      </c>
      <c r="C4332" s="141" t="s">
        <v>21</v>
      </c>
    </row>
    <row r="4333" spans="1:3" x14ac:dyDescent="0.35">
      <c r="A4333" s="141" t="s">
        <v>666</v>
      </c>
      <c r="B4333" s="141" t="s">
        <v>268</v>
      </c>
      <c r="C4333" s="141" t="s">
        <v>21</v>
      </c>
    </row>
    <row r="4334" spans="1:3" x14ac:dyDescent="0.35">
      <c r="A4334" s="141" t="s">
        <v>304</v>
      </c>
      <c r="B4334" s="141" t="s">
        <v>268</v>
      </c>
      <c r="C4334" s="142"/>
    </row>
    <row r="4335" spans="1:3" x14ac:dyDescent="0.35">
      <c r="A4335" s="141" t="s">
        <v>795</v>
      </c>
      <c r="B4335" s="141" t="s">
        <v>268</v>
      </c>
      <c r="C4335" s="142"/>
    </row>
    <row r="4336" spans="1:3" x14ac:dyDescent="0.35">
      <c r="A4336" s="141" t="s">
        <v>796</v>
      </c>
      <c r="B4336" s="141" t="s">
        <v>268</v>
      </c>
      <c r="C4336" s="142"/>
    </row>
    <row r="4337" spans="1:3" x14ac:dyDescent="0.35">
      <c r="A4337" s="141" t="s">
        <v>601</v>
      </c>
      <c r="B4337" s="141" t="s">
        <v>268</v>
      </c>
      <c r="C4337" s="141" t="s">
        <v>40</v>
      </c>
    </row>
    <row r="4338" spans="1:3" x14ac:dyDescent="0.35">
      <c r="A4338" s="141" t="s">
        <v>602</v>
      </c>
      <c r="B4338" s="141" t="s">
        <v>268</v>
      </c>
      <c r="C4338" s="141" t="s">
        <v>39</v>
      </c>
    </row>
    <row r="4339" spans="1:3" x14ac:dyDescent="0.35">
      <c r="A4339" s="141" t="s">
        <v>735</v>
      </c>
      <c r="B4339" s="141" t="s">
        <v>268</v>
      </c>
      <c r="C4339" s="141" t="s">
        <v>41</v>
      </c>
    </row>
    <row r="4340" spans="1:3" x14ac:dyDescent="0.35">
      <c r="A4340" s="141" t="s">
        <v>736</v>
      </c>
      <c r="B4340" s="141" t="s">
        <v>268</v>
      </c>
      <c r="C4340" s="141" t="s">
        <v>41</v>
      </c>
    </row>
    <row r="4341" spans="1:3" x14ac:dyDescent="0.35">
      <c r="A4341" s="141" t="s">
        <v>737</v>
      </c>
      <c r="B4341" s="141" t="s">
        <v>268</v>
      </c>
      <c r="C4341" s="141" t="s">
        <v>41</v>
      </c>
    </row>
    <row r="4342" spans="1:3" x14ac:dyDescent="0.35">
      <c r="A4342" s="141" t="s">
        <v>738</v>
      </c>
      <c r="B4342" s="141" t="s">
        <v>268</v>
      </c>
      <c r="C4342" s="141" t="s">
        <v>41</v>
      </c>
    </row>
    <row r="4343" spans="1:3" x14ac:dyDescent="0.35">
      <c r="A4343" s="141" t="s">
        <v>797</v>
      </c>
      <c r="B4343" s="141" t="s">
        <v>268</v>
      </c>
      <c r="C4343" s="141" t="s">
        <v>41</v>
      </c>
    </row>
    <row r="4344" spans="1:3" x14ac:dyDescent="0.35">
      <c r="A4344" s="141" t="s">
        <v>798</v>
      </c>
      <c r="B4344" s="141" t="s">
        <v>268</v>
      </c>
      <c r="C4344" s="141" t="s">
        <v>40</v>
      </c>
    </row>
    <row r="4345" spans="1:3" x14ac:dyDescent="0.35">
      <c r="A4345" s="141" t="s">
        <v>799</v>
      </c>
      <c r="B4345" s="141" t="s">
        <v>268</v>
      </c>
      <c r="C4345" s="141" t="s">
        <v>40</v>
      </c>
    </row>
    <row r="4346" spans="1:3" x14ac:dyDescent="0.35">
      <c r="A4346" s="141" t="s">
        <v>775</v>
      </c>
      <c r="B4346" s="141" t="s">
        <v>268</v>
      </c>
      <c r="C4346" s="141" t="s">
        <v>38</v>
      </c>
    </row>
    <row r="4347" spans="1:3" x14ac:dyDescent="0.35">
      <c r="A4347" s="141" t="s">
        <v>605</v>
      </c>
      <c r="B4347" s="141" t="s">
        <v>268</v>
      </c>
      <c r="C4347" s="141" t="s">
        <v>43</v>
      </c>
    </row>
    <row r="4348" spans="1:3" x14ac:dyDescent="0.35">
      <c r="A4348" s="141" t="s">
        <v>606</v>
      </c>
      <c r="B4348" s="141" t="s">
        <v>268</v>
      </c>
      <c r="C4348" s="141" t="s">
        <v>43</v>
      </c>
    </row>
    <row r="4349" spans="1:3" x14ac:dyDescent="0.35">
      <c r="A4349" s="141" t="s">
        <v>607</v>
      </c>
      <c r="B4349" s="141" t="s">
        <v>268</v>
      </c>
      <c r="C4349" s="141" t="s">
        <v>43</v>
      </c>
    </row>
    <row r="4350" spans="1:3" x14ac:dyDescent="0.35">
      <c r="A4350" s="141" t="s">
        <v>608</v>
      </c>
      <c r="B4350" s="141" t="s">
        <v>268</v>
      </c>
      <c r="C4350" s="141" t="s">
        <v>43</v>
      </c>
    </row>
    <row r="4351" spans="1:3" x14ac:dyDescent="0.35">
      <c r="A4351" s="141" t="s">
        <v>609</v>
      </c>
      <c r="B4351" s="141" t="s">
        <v>268</v>
      </c>
      <c r="C4351" s="141" t="s">
        <v>43</v>
      </c>
    </row>
    <row r="4352" spans="1:3" x14ac:dyDescent="0.35">
      <c r="A4352" s="141" t="s">
        <v>610</v>
      </c>
      <c r="B4352" s="141" t="s">
        <v>268</v>
      </c>
      <c r="C4352" s="141" t="s">
        <v>43</v>
      </c>
    </row>
    <row r="4353" spans="1:3" x14ac:dyDescent="0.35">
      <c r="A4353" s="141" t="s">
        <v>611</v>
      </c>
      <c r="B4353" s="141" t="s">
        <v>268</v>
      </c>
      <c r="C4353" s="141" t="s">
        <v>43</v>
      </c>
    </row>
    <row r="4354" spans="1:3" x14ac:dyDescent="0.35">
      <c r="A4354" s="141" t="s">
        <v>612</v>
      </c>
      <c r="B4354" s="141" t="s">
        <v>268</v>
      </c>
      <c r="C4354" s="141" t="s">
        <v>43</v>
      </c>
    </row>
    <row r="4355" spans="1:3" x14ac:dyDescent="0.35">
      <c r="A4355" s="141" t="s">
        <v>613</v>
      </c>
      <c r="B4355" s="141" t="s">
        <v>268</v>
      </c>
      <c r="C4355" s="141" t="s">
        <v>43</v>
      </c>
    </row>
    <row r="4356" spans="1:3" x14ac:dyDescent="0.35">
      <c r="A4356" s="141" t="s">
        <v>614</v>
      </c>
      <c r="B4356" s="141" t="s">
        <v>268</v>
      </c>
      <c r="C4356" s="141" t="s">
        <v>43</v>
      </c>
    </row>
    <row r="4357" spans="1:3" x14ac:dyDescent="0.35">
      <c r="A4357" s="141" t="s">
        <v>615</v>
      </c>
      <c r="B4357" s="141" t="s">
        <v>268</v>
      </c>
      <c r="C4357" s="141" t="s">
        <v>43</v>
      </c>
    </row>
    <row r="4358" spans="1:3" x14ac:dyDescent="0.35">
      <c r="A4358" s="141" t="s">
        <v>616</v>
      </c>
      <c r="B4358" s="141" t="s">
        <v>268</v>
      </c>
      <c r="C4358" s="141" t="s">
        <v>43</v>
      </c>
    </row>
    <row r="4359" spans="1:3" x14ac:dyDescent="0.35">
      <c r="A4359" s="141" t="s">
        <v>617</v>
      </c>
      <c r="B4359" s="141" t="s">
        <v>268</v>
      </c>
      <c r="C4359" s="141" t="s">
        <v>43</v>
      </c>
    </row>
    <row r="4360" spans="1:3" x14ac:dyDescent="0.35">
      <c r="A4360" s="141" t="s">
        <v>618</v>
      </c>
      <c r="B4360" s="141" t="s">
        <v>268</v>
      </c>
      <c r="C4360" s="141" t="s">
        <v>43</v>
      </c>
    </row>
    <row r="4361" spans="1:3" x14ac:dyDescent="0.35">
      <c r="A4361" s="141" t="s">
        <v>774</v>
      </c>
      <c r="B4361" s="141" t="s">
        <v>268</v>
      </c>
      <c r="C4361" s="141" t="s">
        <v>43</v>
      </c>
    </row>
    <row r="4362" spans="1:3" x14ac:dyDescent="0.35">
      <c r="A4362" s="141" t="s">
        <v>792</v>
      </c>
      <c r="B4362" s="141" t="s">
        <v>268</v>
      </c>
      <c r="C4362" s="141" t="s">
        <v>52</v>
      </c>
    </row>
    <row r="4363" spans="1:3" x14ac:dyDescent="0.35">
      <c r="A4363" s="141" t="s">
        <v>570</v>
      </c>
      <c r="B4363" s="141" t="s">
        <v>268</v>
      </c>
      <c r="C4363" s="141" t="s">
        <v>52</v>
      </c>
    </row>
    <row r="4364" spans="1:3" x14ac:dyDescent="0.35">
      <c r="A4364" s="141" t="s">
        <v>449</v>
      </c>
      <c r="B4364" s="141" t="s">
        <v>268</v>
      </c>
      <c r="C4364" s="141" t="s">
        <v>52</v>
      </c>
    </row>
    <row r="4365" spans="1:3" x14ac:dyDescent="0.35">
      <c r="A4365" s="141" t="s">
        <v>793</v>
      </c>
      <c r="B4365" s="141" t="s">
        <v>268</v>
      </c>
      <c r="C4365" s="141" t="s">
        <v>52</v>
      </c>
    </row>
    <row r="4366" spans="1:3" x14ac:dyDescent="0.35">
      <c r="A4366" s="141" t="s">
        <v>794</v>
      </c>
      <c r="B4366" s="141" t="s">
        <v>268</v>
      </c>
      <c r="C4366" s="141" t="s">
        <v>52</v>
      </c>
    </row>
    <row r="4367" spans="1:3" x14ac:dyDescent="0.35">
      <c r="A4367" s="141" t="s">
        <v>739</v>
      </c>
      <c r="B4367" s="141" t="s">
        <v>268</v>
      </c>
      <c r="C4367" s="141" t="s">
        <v>52</v>
      </c>
    </row>
    <row r="4368" spans="1:3" x14ac:dyDescent="0.35">
      <c r="A4368" s="141" t="s">
        <v>800</v>
      </c>
      <c r="B4368" s="141" t="s">
        <v>268</v>
      </c>
      <c r="C4368" s="141" t="s">
        <v>21</v>
      </c>
    </row>
    <row r="4369" spans="1:3" x14ac:dyDescent="0.35">
      <c r="A4369" s="141" t="s">
        <v>807</v>
      </c>
      <c r="B4369" s="141" t="s">
        <v>268</v>
      </c>
      <c r="C4369" s="141" t="s">
        <v>3</v>
      </c>
    </row>
    <row r="4370" spans="1:3" x14ac:dyDescent="0.35">
      <c r="A4370" s="141" t="s">
        <v>699</v>
      </c>
      <c r="B4370" s="141" t="s">
        <v>268</v>
      </c>
      <c r="C4370" s="141" t="s">
        <v>26</v>
      </c>
    </row>
    <row r="4371" spans="1:3" x14ac:dyDescent="0.35">
      <c r="A4371" s="141" t="s">
        <v>700</v>
      </c>
      <c r="B4371" s="141" t="s">
        <v>268</v>
      </c>
      <c r="C4371" s="141" t="s">
        <v>26</v>
      </c>
    </row>
    <row r="4372" spans="1:3" x14ac:dyDescent="0.35">
      <c r="A4372" s="141" t="s">
        <v>701</v>
      </c>
      <c r="B4372" s="141" t="s">
        <v>268</v>
      </c>
      <c r="C4372" s="141" t="s">
        <v>26</v>
      </c>
    </row>
    <row r="4373" spans="1:3" x14ac:dyDescent="0.35">
      <c r="A4373" s="141" t="s">
        <v>452</v>
      </c>
      <c r="B4373" s="141" t="s">
        <v>268</v>
      </c>
      <c r="C4373" s="141" t="s">
        <v>33</v>
      </c>
    </row>
    <row r="4374" spans="1:3" x14ac:dyDescent="0.35">
      <c r="A4374" s="141" t="s">
        <v>702</v>
      </c>
      <c r="B4374" s="141" t="s">
        <v>268</v>
      </c>
      <c r="C4374" s="141" t="s">
        <v>33</v>
      </c>
    </row>
    <row r="4375" spans="1:3" x14ac:dyDescent="0.35">
      <c r="A4375" s="141" t="s">
        <v>672</v>
      </c>
      <c r="B4375" s="141" t="s">
        <v>268</v>
      </c>
      <c r="C4375" s="141" t="s">
        <v>25</v>
      </c>
    </row>
    <row r="4376" spans="1:3" x14ac:dyDescent="0.35">
      <c r="A4376" s="141" t="s">
        <v>673</v>
      </c>
      <c r="B4376" s="141" t="s">
        <v>268</v>
      </c>
      <c r="C4376" s="141" t="s">
        <v>25</v>
      </c>
    </row>
    <row r="4377" spans="1:3" x14ac:dyDescent="0.35">
      <c r="A4377" s="141" t="s">
        <v>674</v>
      </c>
      <c r="B4377" s="141" t="s">
        <v>268</v>
      </c>
      <c r="C4377" s="141" t="s">
        <v>25</v>
      </c>
    </row>
    <row r="4378" spans="1:3" x14ac:dyDescent="0.35">
      <c r="A4378" s="141" t="s">
        <v>676</v>
      </c>
      <c r="B4378" s="141" t="s">
        <v>268</v>
      </c>
      <c r="C4378" s="141" t="s">
        <v>24</v>
      </c>
    </row>
    <row r="4379" spans="1:3" x14ac:dyDescent="0.35">
      <c r="A4379" s="141" t="s">
        <v>573</v>
      </c>
      <c r="B4379" s="141" t="s">
        <v>268</v>
      </c>
      <c r="C4379" s="141" t="s">
        <v>25</v>
      </c>
    </row>
    <row r="4380" spans="1:3" x14ac:dyDescent="0.35">
      <c r="A4380" s="141" t="s">
        <v>677</v>
      </c>
      <c r="B4380" s="141" t="s">
        <v>268</v>
      </c>
      <c r="C4380" s="141" t="s">
        <v>25</v>
      </c>
    </row>
    <row r="4381" spans="1:3" x14ac:dyDescent="0.35">
      <c r="A4381" s="141" t="s">
        <v>678</v>
      </c>
      <c r="B4381" s="141" t="s">
        <v>268</v>
      </c>
      <c r="C4381" s="141" t="s">
        <v>25</v>
      </c>
    </row>
    <row r="4382" spans="1:3" x14ac:dyDescent="0.35">
      <c r="A4382" s="141" t="s">
        <v>679</v>
      </c>
      <c r="B4382" s="141" t="s">
        <v>268</v>
      </c>
      <c r="C4382" s="141" t="s">
        <v>25</v>
      </c>
    </row>
    <row r="4383" spans="1:3" x14ac:dyDescent="0.35">
      <c r="A4383" s="141" t="s">
        <v>680</v>
      </c>
      <c r="B4383" s="141" t="s">
        <v>268</v>
      </c>
      <c r="C4383" s="141" t="s">
        <v>25</v>
      </c>
    </row>
    <row r="4384" spans="1:3" x14ac:dyDescent="0.35">
      <c r="A4384" s="141" t="s">
        <v>675</v>
      </c>
      <c r="B4384" s="141" t="s">
        <v>268</v>
      </c>
      <c r="C4384" s="141" t="s">
        <v>24</v>
      </c>
    </row>
    <row r="4385" spans="1:3" x14ac:dyDescent="0.35">
      <c r="A4385" s="141" t="s">
        <v>706</v>
      </c>
      <c r="B4385" s="141" t="s">
        <v>268</v>
      </c>
      <c r="C4385" s="141" t="s">
        <v>31</v>
      </c>
    </row>
    <row r="4386" spans="1:3" x14ac:dyDescent="0.35">
      <c r="A4386" s="141" t="s">
        <v>707</v>
      </c>
      <c r="B4386" s="141" t="s">
        <v>268</v>
      </c>
      <c r="C4386" s="141" t="s">
        <v>31</v>
      </c>
    </row>
    <row r="4387" spans="1:3" x14ac:dyDescent="0.35">
      <c r="A4387" s="141" t="s">
        <v>708</v>
      </c>
      <c r="B4387" s="141" t="s">
        <v>268</v>
      </c>
      <c r="C4387" s="141" t="s">
        <v>31</v>
      </c>
    </row>
    <row r="4388" spans="1:3" x14ac:dyDescent="0.35">
      <c r="A4388" s="141" t="s">
        <v>709</v>
      </c>
      <c r="B4388" s="141" t="s">
        <v>268</v>
      </c>
      <c r="C4388" s="141" t="s">
        <v>31</v>
      </c>
    </row>
    <row r="4389" spans="1:3" x14ac:dyDescent="0.35">
      <c r="A4389" s="141" t="s">
        <v>710</v>
      </c>
      <c r="B4389" s="141" t="s">
        <v>268</v>
      </c>
      <c r="C4389" s="141" t="s">
        <v>31</v>
      </c>
    </row>
    <row r="4390" spans="1:3" x14ac:dyDescent="0.35">
      <c r="A4390" s="141" t="s">
        <v>456</v>
      </c>
      <c r="B4390" s="141" t="s">
        <v>268</v>
      </c>
      <c r="C4390" s="141" t="s">
        <v>31</v>
      </c>
    </row>
    <row r="4391" spans="1:3" x14ac:dyDescent="0.35">
      <c r="A4391" s="141" t="s">
        <v>626</v>
      </c>
      <c r="B4391" s="141" t="s">
        <v>268</v>
      </c>
      <c r="C4391" s="141" t="s">
        <v>31</v>
      </c>
    </row>
    <row r="4392" spans="1:3" x14ac:dyDescent="0.35">
      <c r="A4392" s="141" t="s">
        <v>627</v>
      </c>
      <c r="B4392" s="141" t="s">
        <v>268</v>
      </c>
      <c r="C4392" s="141" t="s">
        <v>31</v>
      </c>
    </row>
    <row r="4393" spans="1:3" x14ac:dyDescent="0.35">
      <c r="A4393" s="141" t="s">
        <v>458</v>
      </c>
      <c r="B4393" s="141" t="s">
        <v>268</v>
      </c>
      <c r="C4393" s="141" t="s">
        <v>31</v>
      </c>
    </row>
    <row r="4394" spans="1:3" x14ac:dyDescent="0.35">
      <c r="A4394" s="141" t="s">
        <v>628</v>
      </c>
      <c r="B4394" s="141" t="s">
        <v>268</v>
      </c>
      <c r="C4394" s="141" t="s">
        <v>31</v>
      </c>
    </row>
    <row r="4395" spans="1:3" x14ac:dyDescent="0.35">
      <c r="A4395" s="141" t="s">
        <v>629</v>
      </c>
      <c r="B4395" s="141" t="s">
        <v>268</v>
      </c>
      <c r="C4395" s="141" t="s">
        <v>31</v>
      </c>
    </row>
    <row r="4396" spans="1:3" x14ac:dyDescent="0.35">
      <c r="A4396" s="141" t="s">
        <v>460</v>
      </c>
      <c r="B4396" s="141" t="s">
        <v>268</v>
      </c>
      <c r="C4396" s="141" t="s">
        <v>31</v>
      </c>
    </row>
    <row r="4397" spans="1:3" x14ac:dyDescent="0.35">
      <c r="A4397" s="141" t="s">
        <v>461</v>
      </c>
      <c r="B4397" s="141" t="s">
        <v>268</v>
      </c>
      <c r="C4397" s="141" t="s">
        <v>31</v>
      </c>
    </row>
    <row r="4398" spans="1:3" x14ac:dyDescent="0.35">
      <c r="A4398" s="141" t="s">
        <v>808</v>
      </c>
      <c r="B4398" s="141" t="s">
        <v>268</v>
      </c>
      <c r="C4398" s="141" t="s">
        <v>31</v>
      </c>
    </row>
    <row r="4399" spans="1:3" x14ac:dyDescent="0.35">
      <c r="A4399" s="141" t="s">
        <v>809</v>
      </c>
      <c r="B4399" s="141" t="s">
        <v>268</v>
      </c>
      <c r="C4399" s="141" t="s">
        <v>31</v>
      </c>
    </row>
    <row r="4400" spans="1:3" x14ac:dyDescent="0.35">
      <c r="A4400" s="141" t="s">
        <v>297</v>
      </c>
      <c r="B4400" s="141" t="s">
        <v>268</v>
      </c>
      <c r="C4400" s="141" t="s">
        <v>32</v>
      </c>
    </row>
    <row r="4401" spans="1:3" x14ac:dyDescent="0.35">
      <c r="A4401" s="141" t="s">
        <v>298</v>
      </c>
      <c r="B4401" s="141" t="s">
        <v>268</v>
      </c>
      <c r="C4401" s="141" t="s">
        <v>32</v>
      </c>
    </row>
    <row r="4402" spans="1:3" x14ac:dyDescent="0.35">
      <c r="A4402" s="141" t="s">
        <v>299</v>
      </c>
      <c r="B4402" s="141" t="s">
        <v>268</v>
      </c>
      <c r="C4402" s="141" t="s">
        <v>32</v>
      </c>
    </row>
    <row r="4403" spans="1:3" x14ac:dyDescent="0.35">
      <c r="A4403" s="141" t="s">
        <v>300</v>
      </c>
      <c r="B4403" s="141" t="s">
        <v>268</v>
      </c>
      <c r="C4403" s="141" t="s">
        <v>32</v>
      </c>
    </row>
    <row r="4404" spans="1:3" x14ac:dyDescent="0.35">
      <c r="A4404" s="141" t="s">
        <v>301</v>
      </c>
      <c r="B4404" s="141" t="s">
        <v>268</v>
      </c>
      <c r="C4404" s="141" t="s">
        <v>32</v>
      </c>
    </row>
    <row r="4405" spans="1:3" x14ac:dyDescent="0.35">
      <c r="A4405" s="141" t="s">
        <v>302</v>
      </c>
      <c r="B4405" s="141" t="s">
        <v>268</v>
      </c>
      <c r="C4405" s="141" t="s">
        <v>32</v>
      </c>
    </row>
    <row r="4406" spans="1:3" x14ac:dyDescent="0.35">
      <c r="A4406" s="141" t="s">
        <v>810</v>
      </c>
      <c r="B4406" s="141" t="s">
        <v>268</v>
      </c>
      <c r="C4406" s="141" t="s">
        <v>33</v>
      </c>
    </row>
    <row r="4407" spans="1:3" x14ac:dyDescent="0.35">
      <c r="A4407" s="141" t="s">
        <v>790</v>
      </c>
      <c r="B4407" s="141" t="s">
        <v>268</v>
      </c>
      <c r="C4407" s="141" t="s">
        <v>33</v>
      </c>
    </row>
    <row r="4408" spans="1:3" x14ac:dyDescent="0.35">
      <c r="A4408" s="141" t="s">
        <v>791</v>
      </c>
      <c r="B4408" s="141" t="s">
        <v>268</v>
      </c>
      <c r="C4408" s="141" t="s">
        <v>33</v>
      </c>
    </row>
    <row r="4409" spans="1:3" x14ac:dyDescent="0.35">
      <c r="A4409" s="141" t="s">
        <v>734</v>
      </c>
      <c r="B4409" s="141" t="s">
        <v>268</v>
      </c>
      <c r="C4409" s="141" t="s">
        <v>33</v>
      </c>
    </row>
    <row r="4410" spans="1:3" x14ac:dyDescent="0.35">
      <c r="A4410" s="141" t="s">
        <v>811</v>
      </c>
      <c r="B4410" s="141" t="s">
        <v>268</v>
      </c>
      <c r="C4410" s="141" t="s">
        <v>36</v>
      </c>
    </row>
    <row r="4411" spans="1:3" x14ac:dyDescent="0.35">
      <c r="A4411" s="141" t="s">
        <v>728</v>
      </c>
      <c r="B4411" s="141" t="s">
        <v>268</v>
      </c>
      <c r="C4411" s="141" t="s">
        <v>28</v>
      </c>
    </row>
    <row r="4412" spans="1:3" x14ac:dyDescent="0.35">
      <c r="A4412" s="141" t="s">
        <v>729</v>
      </c>
      <c r="B4412" s="141" t="s">
        <v>268</v>
      </c>
      <c r="C4412" s="141" t="s">
        <v>28</v>
      </c>
    </row>
    <row r="4413" spans="1:3" x14ac:dyDescent="0.35">
      <c r="A4413" s="141" t="s">
        <v>730</v>
      </c>
      <c r="B4413" s="141" t="s">
        <v>268</v>
      </c>
      <c r="C4413" s="141" t="s">
        <v>28</v>
      </c>
    </row>
    <row r="4414" spans="1:3" x14ac:dyDescent="0.35">
      <c r="A4414" s="141" t="s">
        <v>731</v>
      </c>
      <c r="B4414" s="141" t="s">
        <v>268</v>
      </c>
      <c r="C4414" s="141" t="s">
        <v>29</v>
      </c>
    </row>
    <row r="4415" spans="1:3" x14ac:dyDescent="0.35">
      <c r="A4415" s="141" t="s">
        <v>716</v>
      </c>
      <c r="B4415" s="141" t="s">
        <v>268</v>
      </c>
      <c r="C4415" s="141" t="s">
        <v>36</v>
      </c>
    </row>
    <row r="4416" spans="1:3" x14ac:dyDescent="0.35">
      <c r="A4416" s="141" t="s">
        <v>717</v>
      </c>
      <c r="B4416" s="141" t="s">
        <v>268</v>
      </c>
      <c r="C4416" s="141" t="s">
        <v>36</v>
      </c>
    </row>
    <row r="4417" spans="1:3" x14ac:dyDescent="0.35">
      <c r="A4417" s="141" t="s">
        <v>718</v>
      </c>
      <c r="B4417" s="141" t="s">
        <v>268</v>
      </c>
      <c r="C4417" s="141" t="s">
        <v>36</v>
      </c>
    </row>
    <row r="4418" spans="1:3" x14ac:dyDescent="0.35">
      <c r="A4418" s="141" t="s">
        <v>719</v>
      </c>
      <c r="B4418" s="141" t="s">
        <v>268</v>
      </c>
      <c r="C4418" s="141" t="s">
        <v>36</v>
      </c>
    </row>
    <row r="4419" spans="1:3" x14ac:dyDescent="0.35">
      <c r="A4419" s="141" t="s">
        <v>720</v>
      </c>
      <c r="B4419" s="141" t="s">
        <v>268</v>
      </c>
      <c r="C4419" s="141" t="s">
        <v>36</v>
      </c>
    </row>
    <row r="4420" spans="1:3" x14ac:dyDescent="0.35">
      <c r="A4420" s="141" t="s">
        <v>721</v>
      </c>
      <c r="B4420" s="141" t="s">
        <v>268</v>
      </c>
      <c r="C4420" s="141" t="s">
        <v>36</v>
      </c>
    </row>
    <row r="4421" spans="1:3" x14ac:dyDescent="0.35">
      <c r="A4421" s="141" t="s">
        <v>834</v>
      </c>
      <c r="B4421" s="141" t="s">
        <v>268</v>
      </c>
      <c r="C4421" s="141" t="s">
        <v>36</v>
      </c>
    </row>
    <row r="4422" spans="1:3" x14ac:dyDescent="0.35">
      <c r="A4422" s="141" t="s">
        <v>724</v>
      </c>
      <c r="B4422" s="141" t="s">
        <v>268</v>
      </c>
      <c r="C4422" s="141" t="s">
        <v>37</v>
      </c>
    </row>
    <row r="4423" spans="1:3" x14ac:dyDescent="0.35">
      <c r="A4423" s="141" t="s">
        <v>725</v>
      </c>
      <c r="B4423" s="141" t="s">
        <v>268</v>
      </c>
      <c r="C4423" s="141" t="s">
        <v>37</v>
      </c>
    </row>
    <row r="4424" spans="1:3" x14ac:dyDescent="0.35">
      <c r="A4424" s="141" t="s">
        <v>726</v>
      </c>
      <c r="B4424" s="141" t="s">
        <v>268</v>
      </c>
      <c r="C4424" s="141" t="s">
        <v>33</v>
      </c>
    </row>
    <row r="4425" spans="1:3" x14ac:dyDescent="0.35">
      <c r="A4425" s="141" t="s">
        <v>732</v>
      </c>
      <c r="B4425" s="141" t="s">
        <v>268</v>
      </c>
      <c r="C4425" s="141" t="s">
        <v>28</v>
      </c>
    </row>
    <row r="4426" spans="1:3" x14ac:dyDescent="0.35">
      <c r="A4426" s="141" t="s">
        <v>727</v>
      </c>
      <c r="B4426" s="141" t="s">
        <v>268</v>
      </c>
      <c r="C4426" s="141" t="s">
        <v>36</v>
      </c>
    </row>
    <row r="4427" spans="1:3" x14ac:dyDescent="0.35">
      <c r="A4427" s="141" t="s">
        <v>492</v>
      </c>
      <c r="B4427" s="141" t="s">
        <v>268</v>
      </c>
      <c r="C4427" s="141" t="s">
        <v>32</v>
      </c>
    </row>
    <row r="4428" spans="1:3" x14ac:dyDescent="0.35">
      <c r="A4428" s="141" t="s">
        <v>493</v>
      </c>
      <c r="B4428" s="141" t="s">
        <v>268</v>
      </c>
      <c r="C4428" s="141" t="s">
        <v>32</v>
      </c>
    </row>
    <row r="4429" spans="1:3" x14ac:dyDescent="0.35">
      <c r="A4429" s="141" t="s">
        <v>494</v>
      </c>
      <c r="B4429" s="141" t="s">
        <v>268</v>
      </c>
      <c r="C4429" s="141" t="s">
        <v>32</v>
      </c>
    </row>
    <row r="4430" spans="1:3" x14ac:dyDescent="0.35">
      <c r="A4430" s="141" t="s">
        <v>495</v>
      </c>
      <c r="B4430" s="141" t="s">
        <v>268</v>
      </c>
      <c r="C4430" s="141" t="s">
        <v>32</v>
      </c>
    </row>
    <row r="4431" spans="1:3" x14ac:dyDescent="0.35">
      <c r="A4431" s="141" t="s">
        <v>496</v>
      </c>
      <c r="B4431" s="141" t="s">
        <v>268</v>
      </c>
      <c r="C4431" s="141" t="s">
        <v>32</v>
      </c>
    </row>
    <row r="4432" spans="1:3" x14ac:dyDescent="0.35">
      <c r="A4432" s="141" t="s">
        <v>497</v>
      </c>
      <c r="B4432" s="141" t="s">
        <v>268</v>
      </c>
      <c r="C4432" s="141" t="s">
        <v>32</v>
      </c>
    </row>
    <row r="4433" spans="1:3" x14ac:dyDescent="0.35">
      <c r="A4433" s="141" t="s">
        <v>681</v>
      </c>
      <c r="B4433" s="141" t="s">
        <v>268</v>
      </c>
      <c r="C4433" s="141" t="s">
        <v>32</v>
      </c>
    </row>
    <row r="4434" spans="1:3" x14ac:dyDescent="0.35">
      <c r="A4434" s="141" t="s">
        <v>682</v>
      </c>
      <c r="B4434" s="141" t="s">
        <v>268</v>
      </c>
      <c r="C4434" s="141" t="s">
        <v>32</v>
      </c>
    </row>
    <row r="4435" spans="1:3" x14ac:dyDescent="0.35">
      <c r="A4435" s="141" t="s">
        <v>683</v>
      </c>
      <c r="B4435" s="141" t="s">
        <v>268</v>
      </c>
      <c r="C4435" s="141" t="s">
        <v>32</v>
      </c>
    </row>
    <row r="4436" spans="1:3" x14ac:dyDescent="0.35">
      <c r="A4436" s="141" t="s">
        <v>684</v>
      </c>
      <c r="B4436" s="141" t="s">
        <v>268</v>
      </c>
      <c r="C4436" s="141" t="s">
        <v>32</v>
      </c>
    </row>
    <row r="4437" spans="1:3" x14ac:dyDescent="0.35">
      <c r="A4437" s="141" t="s">
        <v>685</v>
      </c>
      <c r="B4437" s="141" t="s">
        <v>268</v>
      </c>
      <c r="C4437" s="141" t="s">
        <v>32</v>
      </c>
    </row>
    <row r="4438" spans="1:3" x14ac:dyDescent="0.35">
      <c r="A4438" s="141" t="s">
        <v>686</v>
      </c>
      <c r="B4438" s="141" t="s">
        <v>268</v>
      </c>
      <c r="C4438" s="141" t="s">
        <v>32</v>
      </c>
    </row>
    <row r="4439" spans="1:3" x14ac:dyDescent="0.35">
      <c r="A4439" s="141" t="s">
        <v>687</v>
      </c>
      <c r="B4439" s="141" t="s">
        <v>268</v>
      </c>
      <c r="C4439" s="141" t="s">
        <v>32</v>
      </c>
    </row>
    <row r="4440" spans="1:3" x14ac:dyDescent="0.35">
      <c r="A4440" s="141" t="s">
        <v>502</v>
      </c>
      <c r="B4440" s="141" t="s">
        <v>268</v>
      </c>
      <c r="C4440" s="141" t="s">
        <v>32</v>
      </c>
    </row>
    <row r="4441" spans="1:3" x14ac:dyDescent="0.35">
      <c r="A4441" s="141" t="s">
        <v>503</v>
      </c>
      <c r="B4441" s="141" t="s">
        <v>268</v>
      </c>
      <c r="C4441" s="141" t="s">
        <v>32</v>
      </c>
    </row>
    <row r="4442" spans="1:3" x14ac:dyDescent="0.35">
      <c r="A4442" s="141" t="s">
        <v>504</v>
      </c>
      <c r="B4442" s="141" t="s">
        <v>268</v>
      </c>
      <c r="C4442" s="141" t="s">
        <v>26</v>
      </c>
    </row>
    <row r="4443" spans="1:3" x14ac:dyDescent="0.35">
      <c r="A4443" s="141" t="s">
        <v>688</v>
      </c>
      <c r="B4443" s="141" t="s">
        <v>268</v>
      </c>
      <c r="C4443" s="141" t="s">
        <v>32</v>
      </c>
    </row>
    <row r="4444" spans="1:3" x14ac:dyDescent="0.35">
      <c r="A4444" s="141" t="s">
        <v>689</v>
      </c>
      <c r="B4444" s="141" t="s">
        <v>268</v>
      </c>
      <c r="C4444" s="141" t="s">
        <v>32</v>
      </c>
    </row>
    <row r="4445" spans="1:3" x14ac:dyDescent="0.35">
      <c r="A4445" s="141" t="s">
        <v>690</v>
      </c>
      <c r="B4445" s="141" t="s">
        <v>268</v>
      </c>
      <c r="C4445" s="141" t="s">
        <v>32</v>
      </c>
    </row>
    <row r="4446" spans="1:3" x14ac:dyDescent="0.35">
      <c r="A4446" s="141" t="s">
        <v>691</v>
      </c>
      <c r="B4446" s="141" t="s">
        <v>268</v>
      </c>
      <c r="C4446" s="141" t="s">
        <v>32</v>
      </c>
    </row>
    <row r="4447" spans="1:3" x14ac:dyDescent="0.35">
      <c r="A4447" s="141" t="s">
        <v>694</v>
      </c>
      <c r="B4447" s="141" t="s">
        <v>268</v>
      </c>
      <c r="C4447" s="141" t="s">
        <v>32</v>
      </c>
    </row>
    <row r="4448" spans="1:3" x14ac:dyDescent="0.35">
      <c r="A4448" s="141" t="s">
        <v>695</v>
      </c>
      <c r="B4448" s="141" t="s">
        <v>268</v>
      </c>
      <c r="C4448" s="141" t="s">
        <v>32</v>
      </c>
    </row>
    <row r="4449" spans="1:3" x14ac:dyDescent="0.35">
      <c r="A4449" s="141" t="s">
        <v>696</v>
      </c>
      <c r="B4449" s="141" t="s">
        <v>268</v>
      </c>
      <c r="C4449" s="141" t="s">
        <v>32</v>
      </c>
    </row>
    <row r="4450" spans="1:3" x14ac:dyDescent="0.35">
      <c r="A4450" s="141" t="s">
        <v>697</v>
      </c>
      <c r="B4450" s="141" t="s">
        <v>268</v>
      </c>
      <c r="C4450" s="141" t="s">
        <v>32</v>
      </c>
    </row>
    <row r="4451" spans="1:3" x14ac:dyDescent="0.35">
      <c r="A4451" s="141" t="s">
        <v>692</v>
      </c>
      <c r="B4451" s="141" t="s">
        <v>268</v>
      </c>
      <c r="C4451" s="141" t="s">
        <v>32</v>
      </c>
    </row>
    <row r="4452" spans="1:3" x14ac:dyDescent="0.35">
      <c r="A4452" s="141" t="s">
        <v>693</v>
      </c>
      <c r="B4452" s="141" t="s">
        <v>268</v>
      </c>
      <c r="C4452" s="141" t="s">
        <v>32</v>
      </c>
    </row>
    <row r="4453" spans="1:3" x14ac:dyDescent="0.35">
      <c r="A4453" s="141" t="s">
        <v>509</v>
      </c>
      <c r="B4453" s="141" t="s">
        <v>268</v>
      </c>
      <c r="C4453" s="141" t="s">
        <v>32</v>
      </c>
    </row>
    <row r="4454" spans="1:3" x14ac:dyDescent="0.35">
      <c r="A4454" s="141" t="s">
        <v>510</v>
      </c>
      <c r="B4454" s="141" t="s">
        <v>268</v>
      </c>
      <c r="C4454" s="141" t="s">
        <v>32</v>
      </c>
    </row>
    <row r="4455" spans="1:3" x14ac:dyDescent="0.35">
      <c r="A4455" s="141" t="s">
        <v>511</v>
      </c>
      <c r="B4455" s="141" t="s">
        <v>268</v>
      </c>
      <c r="C4455" s="141" t="s">
        <v>32</v>
      </c>
    </row>
    <row r="4456" spans="1:3" x14ac:dyDescent="0.35">
      <c r="A4456" s="141" t="s">
        <v>512</v>
      </c>
      <c r="B4456" s="141" t="s">
        <v>268</v>
      </c>
      <c r="C4456" s="141" t="s">
        <v>32</v>
      </c>
    </row>
    <row r="4457" spans="1:3" x14ac:dyDescent="0.35">
      <c r="A4457" s="141" t="s">
        <v>786</v>
      </c>
      <c r="B4457" s="141" t="s">
        <v>268</v>
      </c>
      <c r="C4457" s="141" t="s">
        <v>35</v>
      </c>
    </row>
    <row r="4458" spans="1:3" x14ac:dyDescent="0.35">
      <c r="A4458" s="141" t="s">
        <v>787</v>
      </c>
      <c r="B4458" s="141" t="s">
        <v>268</v>
      </c>
      <c r="C4458" s="141" t="s">
        <v>35</v>
      </c>
    </row>
    <row r="4459" spans="1:3" x14ac:dyDescent="0.35">
      <c r="A4459" s="141" t="s">
        <v>704</v>
      </c>
      <c r="B4459" s="141" t="s">
        <v>268</v>
      </c>
      <c r="C4459" s="141" t="s">
        <v>35</v>
      </c>
    </row>
    <row r="4460" spans="1:3" x14ac:dyDescent="0.35">
      <c r="A4460" s="141" t="s">
        <v>705</v>
      </c>
      <c r="B4460" s="141" t="s">
        <v>268</v>
      </c>
      <c r="C4460" s="141" t="s">
        <v>35</v>
      </c>
    </row>
    <row r="4461" spans="1:3" x14ac:dyDescent="0.35">
      <c r="A4461" s="141" t="s">
        <v>698</v>
      </c>
      <c r="B4461" s="141" t="s">
        <v>268</v>
      </c>
      <c r="C4461" s="141" t="s">
        <v>33</v>
      </c>
    </row>
    <row r="4462" spans="1:3" x14ac:dyDescent="0.35">
      <c r="A4462" s="141" t="s">
        <v>515</v>
      </c>
      <c r="B4462" s="141" t="s">
        <v>268</v>
      </c>
      <c r="C4462" s="141" t="s">
        <v>33</v>
      </c>
    </row>
    <row r="4463" spans="1:3" x14ac:dyDescent="0.35">
      <c r="A4463" s="141" t="s">
        <v>516</v>
      </c>
      <c r="B4463" s="141" t="s">
        <v>268</v>
      </c>
      <c r="C4463" s="141" t="s">
        <v>33</v>
      </c>
    </row>
    <row r="4464" spans="1:3" x14ac:dyDescent="0.35">
      <c r="A4464" s="141" t="s">
        <v>783</v>
      </c>
      <c r="B4464" s="141" t="s">
        <v>268</v>
      </c>
      <c r="C4464" s="141" t="s">
        <v>30</v>
      </c>
    </row>
    <row r="4465" spans="1:3" x14ac:dyDescent="0.35">
      <c r="A4465" s="141" t="s">
        <v>517</v>
      </c>
      <c r="B4465" s="141" t="s">
        <v>268</v>
      </c>
      <c r="C4465" s="141" t="s">
        <v>30</v>
      </c>
    </row>
    <row r="4466" spans="1:3" x14ac:dyDescent="0.35">
      <c r="A4466" s="141" t="s">
        <v>782</v>
      </c>
      <c r="B4466" s="141" t="s">
        <v>268</v>
      </c>
      <c r="C4466" s="141" t="s">
        <v>30</v>
      </c>
    </row>
    <row r="4467" spans="1:3" x14ac:dyDescent="0.35">
      <c r="A4467" s="141" t="s">
        <v>519</v>
      </c>
      <c r="B4467" s="141" t="s">
        <v>268</v>
      </c>
      <c r="C4467" s="141" t="s">
        <v>34</v>
      </c>
    </row>
    <row r="4468" spans="1:3" x14ac:dyDescent="0.35">
      <c r="A4468" s="141" t="s">
        <v>520</v>
      </c>
      <c r="B4468" s="141" t="s">
        <v>268</v>
      </c>
      <c r="C4468" s="141" t="s">
        <v>34</v>
      </c>
    </row>
    <row r="4469" spans="1:3" x14ac:dyDescent="0.35">
      <c r="A4469" s="141" t="s">
        <v>521</v>
      </c>
      <c r="B4469" s="141" t="s">
        <v>268</v>
      </c>
      <c r="C4469" s="141" t="s">
        <v>34</v>
      </c>
    </row>
    <row r="4470" spans="1:3" x14ac:dyDescent="0.35">
      <c r="A4470" s="141" t="s">
        <v>522</v>
      </c>
      <c r="B4470" s="141" t="s">
        <v>268</v>
      </c>
      <c r="C4470" s="141" t="s">
        <v>34</v>
      </c>
    </row>
    <row r="4471" spans="1:3" x14ac:dyDescent="0.35">
      <c r="A4471" s="141" t="s">
        <v>523</v>
      </c>
      <c r="B4471" s="141" t="s">
        <v>268</v>
      </c>
      <c r="C4471" s="141" t="s">
        <v>30</v>
      </c>
    </row>
    <row r="4472" spans="1:3" x14ac:dyDescent="0.35">
      <c r="A4472" s="141" t="s">
        <v>784</v>
      </c>
      <c r="B4472" s="141" t="s">
        <v>268</v>
      </c>
      <c r="C4472" s="141" t="s">
        <v>30</v>
      </c>
    </row>
    <row r="4473" spans="1:3" x14ac:dyDescent="0.35">
      <c r="A4473" s="141" t="s">
        <v>785</v>
      </c>
      <c r="B4473" s="141" t="s">
        <v>268</v>
      </c>
      <c r="C4473" s="141" t="s">
        <v>30</v>
      </c>
    </row>
    <row r="4474" spans="1:3" x14ac:dyDescent="0.35">
      <c r="A4474" s="141" t="s">
        <v>525</v>
      </c>
      <c r="B4474" s="141" t="s">
        <v>268</v>
      </c>
      <c r="C4474" s="141" t="s">
        <v>46</v>
      </c>
    </row>
    <row r="4475" spans="1:3" x14ac:dyDescent="0.35">
      <c r="A4475" s="141" t="s">
        <v>526</v>
      </c>
      <c r="B4475" s="141" t="s">
        <v>268</v>
      </c>
      <c r="C4475" s="141" t="s">
        <v>32</v>
      </c>
    </row>
    <row r="4476" spans="1:3" x14ac:dyDescent="0.35">
      <c r="A4476" s="141" t="s">
        <v>527</v>
      </c>
      <c r="B4476" s="141" t="s">
        <v>268</v>
      </c>
      <c r="C4476" s="141" t="s">
        <v>32</v>
      </c>
    </row>
    <row r="4477" spans="1:3" x14ac:dyDescent="0.35">
      <c r="A4477" s="141" t="s">
        <v>528</v>
      </c>
      <c r="B4477" s="141" t="s">
        <v>268</v>
      </c>
      <c r="C4477" s="141" t="s">
        <v>32</v>
      </c>
    </row>
    <row r="4478" spans="1:3" x14ac:dyDescent="0.35">
      <c r="A4478" s="141" t="s">
        <v>529</v>
      </c>
      <c r="B4478" s="141" t="s">
        <v>268</v>
      </c>
      <c r="C4478" s="141" t="s">
        <v>32</v>
      </c>
    </row>
    <row r="4479" spans="1:3" x14ac:dyDescent="0.35">
      <c r="A4479" s="141" t="s">
        <v>788</v>
      </c>
      <c r="B4479" s="141" t="s">
        <v>268</v>
      </c>
      <c r="C4479" s="141" t="s">
        <v>25</v>
      </c>
    </row>
    <row r="4480" spans="1:3" x14ac:dyDescent="0.35">
      <c r="A4480" s="141" t="s">
        <v>789</v>
      </c>
      <c r="B4480" s="141" t="s">
        <v>268</v>
      </c>
      <c r="C4480" s="141" t="s">
        <v>25</v>
      </c>
    </row>
    <row r="4481" spans="1:3" x14ac:dyDescent="0.35">
      <c r="A4481" s="141" t="s">
        <v>531</v>
      </c>
      <c r="B4481" s="141" t="s">
        <v>268</v>
      </c>
      <c r="C4481" s="141" t="s">
        <v>51</v>
      </c>
    </row>
    <row r="4482" spans="1:3" x14ac:dyDescent="0.35">
      <c r="A4482" s="141" t="s">
        <v>741</v>
      </c>
      <c r="B4482" s="141" t="s">
        <v>268</v>
      </c>
      <c r="C4482" s="141" t="s">
        <v>51</v>
      </c>
    </row>
    <row r="4483" spans="1:3" x14ac:dyDescent="0.35">
      <c r="A4483" s="141" t="s">
        <v>742</v>
      </c>
      <c r="B4483" s="141" t="s">
        <v>268</v>
      </c>
      <c r="C4483" s="141" t="s">
        <v>51</v>
      </c>
    </row>
    <row r="4484" spans="1:3" x14ac:dyDescent="0.35">
      <c r="A4484" s="141" t="s">
        <v>743</v>
      </c>
      <c r="B4484" s="141" t="s">
        <v>268</v>
      </c>
      <c r="C4484" s="141" t="s">
        <v>51</v>
      </c>
    </row>
    <row r="4485" spans="1:3" x14ac:dyDescent="0.35">
      <c r="A4485" s="141" t="s">
        <v>747</v>
      </c>
      <c r="B4485" s="141" t="s">
        <v>268</v>
      </c>
      <c r="C4485" s="141" t="s">
        <v>51</v>
      </c>
    </row>
    <row r="4486" spans="1:3" x14ac:dyDescent="0.35">
      <c r="A4486" s="141" t="s">
        <v>748</v>
      </c>
      <c r="B4486" s="141" t="s">
        <v>268</v>
      </c>
      <c r="C4486" s="141" t="s">
        <v>51</v>
      </c>
    </row>
    <row r="4487" spans="1:3" x14ac:dyDescent="0.35">
      <c r="A4487" s="141" t="s">
        <v>533</v>
      </c>
      <c r="B4487" s="141" t="s">
        <v>268</v>
      </c>
      <c r="C4487" s="141" t="s">
        <v>50</v>
      </c>
    </row>
    <row r="4488" spans="1:3" x14ac:dyDescent="0.35">
      <c r="A4488" s="141" t="s">
        <v>308</v>
      </c>
      <c r="B4488" s="141" t="s">
        <v>268</v>
      </c>
      <c r="C4488" s="141" t="s">
        <v>53</v>
      </c>
    </row>
    <row r="4489" spans="1:3" x14ac:dyDescent="0.35">
      <c r="A4489" s="141" t="s">
        <v>309</v>
      </c>
      <c r="B4489" s="141" t="s">
        <v>268</v>
      </c>
      <c r="C4489" s="141" t="s">
        <v>53</v>
      </c>
    </row>
    <row r="4490" spans="1:3" x14ac:dyDescent="0.35">
      <c r="A4490" s="141" t="s">
        <v>310</v>
      </c>
      <c r="B4490" s="141" t="s">
        <v>268</v>
      </c>
      <c r="C4490" s="141" t="s">
        <v>53</v>
      </c>
    </row>
    <row r="4491" spans="1:3" x14ac:dyDescent="0.35">
      <c r="A4491" s="141" t="s">
        <v>311</v>
      </c>
      <c r="B4491" s="141" t="s">
        <v>268</v>
      </c>
      <c r="C4491" s="141" t="s">
        <v>53</v>
      </c>
    </row>
    <row r="4492" spans="1:3" x14ac:dyDescent="0.35">
      <c r="A4492" s="141" t="s">
        <v>534</v>
      </c>
      <c r="B4492" s="141" t="s">
        <v>268</v>
      </c>
      <c r="C4492" s="141" t="s">
        <v>53</v>
      </c>
    </row>
    <row r="4493" spans="1:3" x14ac:dyDescent="0.35">
      <c r="A4493" s="141" t="s">
        <v>312</v>
      </c>
      <c r="B4493" s="141" t="s">
        <v>268</v>
      </c>
      <c r="C4493" s="141" t="s">
        <v>53</v>
      </c>
    </row>
    <row r="4494" spans="1:3" x14ac:dyDescent="0.35">
      <c r="A4494" s="141" t="s">
        <v>744</v>
      </c>
      <c r="B4494" s="141" t="s">
        <v>268</v>
      </c>
      <c r="C4494" s="141" t="s">
        <v>52</v>
      </c>
    </row>
    <row r="4495" spans="1:3" x14ac:dyDescent="0.35">
      <c r="A4495" s="141" t="s">
        <v>577</v>
      </c>
      <c r="B4495" s="141" t="s">
        <v>268</v>
      </c>
      <c r="C4495" s="141" t="s">
        <v>52</v>
      </c>
    </row>
    <row r="4496" spans="1:3" x14ac:dyDescent="0.35">
      <c r="A4496" s="141" t="s">
        <v>578</v>
      </c>
      <c r="B4496" s="141" t="s">
        <v>268</v>
      </c>
      <c r="C4496" s="141" t="s">
        <v>52</v>
      </c>
    </row>
    <row r="4497" spans="1:3" x14ac:dyDescent="0.35">
      <c r="A4497" s="141" t="s">
        <v>535</v>
      </c>
      <c r="B4497" s="141" t="s">
        <v>268</v>
      </c>
      <c r="C4497" s="141" t="s">
        <v>52</v>
      </c>
    </row>
    <row r="4498" spans="1:3" x14ac:dyDescent="0.35">
      <c r="A4498" s="141" t="s">
        <v>536</v>
      </c>
      <c r="B4498" s="141" t="s">
        <v>268</v>
      </c>
      <c r="C4498" s="141" t="s">
        <v>52</v>
      </c>
    </row>
    <row r="4499" spans="1:3" x14ac:dyDescent="0.35">
      <c r="A4499" s="141" t="s">
        <v>537</v>
      </c>
      <c r="B4499" s="141" t="s">
        <v>268</v>
      </c>
      <c r="C4499" s="141" t="s">
        <v>52</v>
      </c>
    </row>
    <row r="4500" spans="1:3" x14ac:dyDescent="0.35">
      <c r="A4500" s="141" t="s">
        <v>538</v>
      </c>
      <c r="B4500" s="141" t="s">
        <v>268</v>
      </c>
      <c r="C4500" s="141" t="s">
        <v>52</v>
      </c>
    </row>
    <row r="4501" spans="1:3" x14ac:dyDescent="0.35">
      <c r="A4501" s="141" t="s">
        <v>539</v>
      </c>
      <c r="B4501" s="141" t="s">
        <v>268</v>
      </c>
      <c r="C4501" s="141" t="s">
        <v>52</v>
      </c>
    </row>
    <row r="4502" spans="1:3" x14ac:dyDescent="0.35">
      <c r="A4502" s="141" t="s">
        <v>540</v>
      </c>
      <c r="B4502" s="141" t="s">
        <v>268</v>
      </c>
      <c r="C4502" s="141" t="s">
        <v>52</v>
      </c>
    </row>
    <row r="4503" spans="1:3" x14ac:dyDescent="0.35">
      <c r="A4503" s="141" t="s">
        <v>812</v>
      </c>
      <c r="B4503" s="141" t="s">
        <v>268</v>
      </c>
      <c r="C4503" s="141" t="s">
        <v>52</v>
      </c>
    </row>
    <row r="4504" spans="1:3" x14ac:dyDescent="0.35">
      <c r="A4504" s="141" t="s">
        <v>803</v>
      </c>
      <c r="B4504" s="141" t="s">
        <v>268</v>
      </c>
      <c r="C4504" s="141" t="s">
        <v>52</v>
      </c>
    </row>
    <row r="4505" spans="1:3" x14ac:dyDescent="0.35">
      <c r="A4505" s="141" t="s">
        <v>542</v>
      </c>
      <c r="B4505" s="141" t="s">
        <v>268</v>
      </c>
      <c r="C4505" s="141" t="s">
        <v>52</v>
      </c>
    </row>
    <row r="4506" spans="1:3" x14ac:dyDescent="0.35">
      <c r="A4506" s="141" t="s">
        <v>543</v>
      </c>
      <c r="B4506" s="141" t="s">
        <v>268</v>
      </c>
      <c r="C4506" s="141" t="s">
        <v>52</v>
      </c>
    </row>
    <row r="4507" spans="1:3" x14ac:dyDescent="0.35">
      <c r="A4507" s="141" t="s">
        <v>544</v>
      </c>
      <c r="B4507" s="141" t="s">
        <v>268</v>
      </c>
      <c r="C4507" s="141" t="s">
        <v>33</v>
      </c>
    </row>
    <row r="4508" spans="1:3" x14ac:dyDescent="0.35">
      <c r="A4508" s="141" t="s">
        <v>804</v>
      </c>
      <c r="B4508" s="141" t="s">
        <v>268</v>
      </c>
      <c r="C4508" s="141" t="s">
        <v>53</v>
      </c>
    </row>
    <row r="4509" spans="1:3" x14ac:dyDescent="0.35">
      <c r="A4509" s="141" t="s">
        <v>805</v>
      </c>
      <c r="B4509" s="141" t="s">
        <v>268</v>
      </c>
      <c r="C4509" s="141" t="s">
        <v>52</v>
      </c>
    </row>
    <row r="4510" spans="1:3" x14ac:dyDescent="0.35">
      <c r="A4510" s="141" t="s">
        <v>546</v>
      </c>
      <c r="B4510" s="141" t="s">
        <v>268</v>
      </c>
      <c r="C4510" s="141" t="s">
        <v>52</v>
      </c>
    </row>
    <row r="4511" spans="1:3" x14ac:dyDescent="0.35">
      <c r="A4511" s="141" t="s">
        <v>547</v>
      </c>
      <c r="B4511" s="141" t="s">
        <v>268</v>
      </c>
      <c r="C4511" s="141" t="s">
        <v>52</v>
      </c>
    </row>
    <row r="4512" spans="1:3" x14ac:dyDescent="0.35">
      <c r="A4512" s="141" t="s">
        <v>740</v>
      </c>
      <c r="B4512" s="141" t="s">
        <v>268</v>
      </c>
      <c r="C4512" s="141" t="s">
        <v>33</v>
      </c>
    </row>
    <row r="4513" spans="1:3" x14ac:dyDescent="0.35">
      <c r="A4513" s="141" t="s">
        <v>550</v>
      </c>
      <c r="B4513" s="141" t="s">
        <v>268</v>
      </c>
      <c r="C4513" s="141" t="s">
        <v>33</v>
      </c>
    </row>
    <row r="4514" spans="1:3" x14ac:dyDescent="0.35">
      <c r="A4514" s="141" t="s">
        <v>551</v>
      </c>
      <c r="B4514" s="141" t="s">
        <v>268</v>
      </c>
      <c r="C4514" s="141" t="s">
        <v>33</v>
      </c>
    </row>
    <row r="4515" spans="1:3" x14ac:dyDescent="0.35">
      <c r="A4515" s="141" t="s">
        <v>306</v>
      </c>
      <c r="B4515" s="141" t="s">
        <v>268</v>
      </c>
      <c r="C4515" s="141" t="s">
        <v>35</v>
      </c>
    </row>
    <row r="4516" spans="1:3" x14ac:dyDescent="0.35">
      <c r="A4516" s="141" t="s">
        <v>307</v>
      </c>
      <c r="B4516" s="141" t="s">
        <v>268</v>
      </c>
      <c r="C4516" s="141" t="s">
        <v>33</v>
      </c>
    </row>
    <row r="4517" spans="1:3" x14ac:dyDescent="0.35">
      <c r="A4517" s="141" t="s">
        <v>314</v>
      </c>
      <c r="B4517" s="141" t="s">
        <v>268</v>
      </c>
      <c r="C4517" s="141" t="s">
        <v>16</v>
      </c>
    </row>
    <row r="4518" spans="1:3" x14ac:dyDescent="0.35">
      <c r="A4518" s="141" t="s">
        <v>315</v>
      </c>
      <c r="B4518" s="141" t="s">
        <v>268</v>
      </c>
      <c r="C4518" s="141" t="s">
        <v>16</v>
      </c>
    </row>
    <row r="4519" spans="1:3" x14ac:dyDescent="0.35">
      <c r="A4519" s="141" t="s">
        <v>316</v>
      </c>
      <c r="B4519" s="141" t="s">
        <v>268</v>
      </c>
      <c r="C4519" s="141" t="s">
        <v>16</v>
      </c>
    </row>
    <row r="4520" spans="1:3" x14ac:dyDescent="0.35">
      <c r="A4520" s="141" t="s">
        <v>317</v>
      </c>
      <c r="B4520" s="141" t="s">
        <v>268</v>
      </c>
      <c r="C4520" s="141" t="s">
        <v>16</v>
      </c>
    </row>
    <row r="4521" spans="1:3" x14ac:dyDescent="0.35">
      <c r="A4521" s="141" t="s">
        <v>318</v>
      </c>
      <c r="B4521" s="141" t="s">
        <v>268</v>
      </c>
      <c r="C4521" s="141" t="s">
        <v>16</v>
      </c>
    </row>
    <row r="4522" spans="1:3" x14ac:dyDescent="0.35">
      <c r="A4522" s="141" t="s">
        <v>319</v>
      </c>
      <c r="B4522" s="141" t="s">
        <v>268</v>
      </c>
      <c r="C4522" s="141" t="s">
        <v>16</v>
      </c>
    </row>
    <row r="4523" spans="1:3" x14ac:dyDescent="0.35">
      <c r="A4523" s="141" t="s">
        <v>320</v>
      </c>
      <c r="B4523" s="141" t="s">
        <v>268</v>
      </c>
      <c r="C4523" s="141" t="s">
        <v>16</v>
      </c>
    </row>
    <row r="4524" spans="1:3" x14ac:dyDescent="0.35">
      <c r="A4524" s="141" t="s">
        <v>321</v>
      </c>
      <c r="B4524" s="141" t="s">
        <v>268</v>
      </c>
      <c r="C4524" s="141" t="s">
        <v>16</v>
      </c>
    </row>
    <row r="4525" spans="1:3" x14ac:dyDescent="0.35">
      <c r="A4525" s="141" t="s">
        <v>323</v>
      </c>
      <c r="B4525" s="141" t="s">
        <v>268</v>
      </c>
      <c r="C4525" s="141" t="s">
        <v>16</v>
      </c>
    </row>
    <row r="4526" spans="1:3" x14ac:dyDescent="0.35">
      <c r="A4526" s="141" t="s">
        <v>322</v>
      </c>
      <c r="B4526" s="141" t="s">
        <v>268</v>
      </c>
      <c r="C4526" s="141" t="s">
        <v>16</v>
      </c>
    </row>
    <row r="4527" spans="1:3" x14ac:dyDescent="0.35">
      <c r="A4527" s="141" t="s">
        <v>324</v>
      </c>
      <c r="B4527" s="141" t="s">
        <v>268</v>
      </c>
      <c r="C4527" s="141" t="s">
        <v>16</v>
      </c>
    </row>
    <row r="4528" spans="1:3" x14ac:dyDescent="0.35">
      <c r="A4528" s="141" t="s">
        <v>326</v>
      </c>
      <c r="B4528" s="141" t="s">
        <v>268</v>
      </c>
      <c r="C4528" s="141" t="s">
        <v>16</v>
      </c>
    </row>
    <row r="4529" spans="1:3" x14ac:dyDescent="0.35">
      <c r="A4529" s="141" t="s">
        <v>327</v>
      </c>
      <c r="B4529" s="141" t="s">
        <v>268</v>
      </c>
      <c r="C4529" s="141" t="s">
        <v>16</v>
      </c>
    </row>
    <row r="4530" spans="1:3" x14ac:dyDescent="0.35">
      <c r="A4530" s="141" t="s">
        <v>328</v>
      </c>
      <c r="B4530" s="141" t="s">
        <v>268</v>
      </c>
      <c r="C4530" s="141" t="s">
        <v>16</v>
      </c>
    </row>
    <row r="4531" spans="1:3" x14ac:dyDescent="0.35">
      <c r="A4531" s="141" t="s">
        <v>331</v>
      </c>
      <c r="B4531" s="141" t="s">
        <v>268</v>
      </c>
      <c r="C4531" s="141" t="s">
        <v>16</v>
      </c>
    </row>
    <row r="4532" spans="1:3" x14ac:dyDescent="0.35">
      <c r="A4532" s="141" t="s">
        <v>332</v>
      </c>
      <c r="B4532" s="141" t="s">
        <v>268</v>
      </c>
      <c r="C4532" s="141" t="s">
        <v>16</v>
      </c>
    </row>
    <row r="4533" spans="1:3" x14ac:dyDescent="0.35">
      <c r="A4533" s="141" t="s">
        <v>333</v>
      </c>
      <c r="B4533" s="141" t="s">
        <v>268</v>
      </c>
      <c r="C4533" s="141" t="s">
        <v>16</v>
      </c>
    </row>
    <row r="4534" spans="1:3" x14ac:dyDescent="0.35">
      <c r="A4534" s="141" t="s">
        <v>806</v>
      </c>
      <c r="B4534" s="141" t="s">
        <v>268</v>
      </c>
      <c r="C4534" s="141" t="s">
        <v>32</v>
      </c>
    </row>
    <row r="4535" spans="1:3" x14ac:dyDescent="0.35">
      <c r="A4535" s="141" t="s">
        <v>579</v>
      </c>
      <c r="B4535" s="141" t="s">
        <v>268</v>
      </c>
      <c r="C4535" s="141" t="s">
        <v>32</v>
      </c>
    </row>
    <row r="4536" spans="1:3" x14ac:dyDescent="0.35">
      <c r="A4536" s="141" t="s">
        <v>556</v>
      </c>
      <c r="B4536" s="141" t="s">
        <v>268</v>
      </c>
      <c r="C4536" s="141" t="s">
        <v>32</v>
      </c>
    </row>
    <row r="4537" spans="1:3" x14ac:dyDescent="0.35">
      <c r="A4537" s="141" t="s">
        <v>557</v>
      </c>
      <c r="B4537" s="141" t="s">
        <v>268</v>
      </c>
      <c r="C4537" s="141" t="s">
        <v>32</v>
      </c>
    </row>
    <row r="4538" spans="1:3" x14ac:dyDescent="0.35">
      <c r="A4538" s="141" t="s">
        <v>558</v>
      </c>
      <c r="B4538" s="141" t="s">
        <v>268</v>
      </c>
      <c r="C4538" s="141" t="s">
        <v>32</v>
      </c>
    </row>
    <row r="4539" spans="1:3" x14ac:dyDescent="0.35">
      <c r="A4539" s="141" t="s">
        <v>580</v>
      </c>
      <c r="B4539" s="141" t="s">
        <v>268</v>
      </c>
      <c r="C4539" s="141" t="s">
        <v>32</v>
      </c>
    </row>
    <row r="4540" spans="1:3" x14ac:dyDescent="0.35">
      <c r="A4540" s="141" t="s">
        <v>559</v>
      </c>
      <c r="B4540" s="141" t="s">
        <v>268</v>
      </c>
      <c r="C4540" s="141" t="s">
        <v>47</v>
      </c>
    </row>
    <row r="4541" spans="1:3" x14ac:dyDescent="0.35">
      <c r="A4541" s="141" t="s">
        <v>560</v>
      </c>
      <c r="B4541" s="141" t="s">
        <v>268</v>
      </c>
      <c r="C4541" s="141" t="s">
        <v>47</v>
      </c>
    </row>
    <row r="4542" spans="1:3" x14ac:dyDescent="0.35">
      <c r="A4542" s="141" t="s">
        <v>561</v>
      </c>
      <c r="B4542" s="141" t="s">
        <v>268</v>
      </c>
      <c r="C4542" s="141" t="s">
        <v>47</v>
      </c>
    </row>
    <row r="4543" spans="1:3" x14ac:dyDescent="0.35">
      <c r="A4543" s="141" t="s">
        <v>562</v>
      </c>
      <c r="B4543" s="141" t="s">
        <v>268</v>
      </c>
      <c r="C4543" s="141" t="s">
        <v>48</v>
      </c>
    </row>
    <row r="4544" spans="1:3" x14ac:dyDescent="0.35">
      <c r="A4544" s="141" t="s">
        <v>563</v>
      </c>
      <c r="B4544" s="141" t="s">
        <v>268</v>
      </c>
      <c r="C4544" s="141" t="s">
        <v>47</v>
      </c>
    </row>
    <row r="4545" spans="1:3" x14ac:dyDescent="0.35">
      <c r="A4545" s="141" t="s">
        <v>352</v>
      </c>
      <c r="B4545" s="141" t="s">
        <v>269</v>
      </c>
      <c r="C4545" s="141" t="s">
        <v>2</v>
      </c>
    </row>
    <row r="4546" spans="1:3" x14ac:dyDescent="0.35">
      <c r="A4546" s="141" t="s">
        <v>354</v>
      </c>
      <c r="B4546" s="141" t="s">
        <v>269</v>
      </c>
      <c r="C4546" s="141" t="s">
        <v>2</v>
      </c>
    </row>
    <row r="4547" spans="1:3" x14ac:dyDescent="0.35">
      <c r="A4547" s="141" t="s">
        <v>818</v>
      </c>
      <c r="B4547" s="141" t="s">
        <v>269</v>
      </c>
      <c r="C4547" s="141" t="s">
        <v>12</v>
      </c>
    </row>
    <row r="4548" spans="1:3" x14ac:dyDescent="0.35">
      <c r="A4548" s="141" t="s">
        <v>835</v>
      </c>
      <c r="B4548" s="141" t="s">
        <v>269</v>
      </c>
      <c r="C4548" s="141" t="s">
        <v>12</v>
      </c>
    </row>
    <row r="4549" spans="1:3" x14ac:dyDescent="0.35">
      <c r="A4549" s="141" t="s">
        <v>836</v>
      </c>
      <c r="B4549" s="141" t="s">
        <v>269</v>
      </c>
      <c r="C4549" s="141" t="s">
        <v>12</v>
      </c>
    </row>
    <row r="4550" spans="1:3" x14ac:dyDescent="0.35">
      <c r="A4550" s="141" t="s">
        <v>837</v>
      </c>
      <c r="B4550" s="141" t="s">
        <v>269</v>
      </c>
      <c r="C4550" s="141" t="s">
        <v>14</v>
      </c>
    </row>
    <row r="4551" spans="1:3" x14ac:dyDescent="0.35">
      <c r="A4551" s="141" t="s">
        <v>358</v>
      </c>
      <c r="B4551" s="141" t="s">
        <v>269</v>
      </c>
      <c r="C4551" s="141" t="s">
        <v>14</v>
      </c>
    </row>
    <row r="4552" spans="1:3" x14ac:dyDescent="0.35">
      <c r="A4552" s="141" t="s">
        <v>654</v>
      </c>
      <c r="B4552" s="141" t="s">
        <v>269</v>
      </c>
      <c r="C4552" s="141" t="s">
        <v>14</v>
      </c>
    </row>
    <row r="4553" spans="1:3" x14ac:dyDescent="0.35">
      <c r="A4553" s="141" t="s">
        <v>655</v>
      </c>
      <c r="B4553" s="141" t="s">
        <v>269</v>
      </c>
      <c r="C4553" s="141" t="s">
        <v>14</v>
      </c>
    </row>
    <row r="4554" spans="1:3" x14ac:dyDescent="0.35">
      <c r="A4554" s="141" t="s">
        <v>749</v>
      </c>
      <c r="B4554" s="141" t="s">
        <v>269</v>
      </c>
      <c r="C4554" s="141" t="s">
        <v>14</v>
      </c>
    </row>
    <row r="4555" spans="1:3" x14ac:dyDescent="0.35">
      <c r="A4555" s="141" t="s">
        <v>838</v>
      </c>
      <c r="B4555" s="141" t="s">
        <v>269</v>
      </c>
      <c r="C4555" s="141" t="s">
        <v>13</v>
      </c>
    </row>
    <row r="4556" spans="1:3" x14ac:dyDescent="0.35">
      <c r="A4556" s="141" t="s">
        <v>839</v>
      </c>
      <c r="B4556" s="141" t="s">
        <v>269</v>
      </c>
      <c r="C4556" s="141" t="s">
        <v>13</v>
      </c>
    </row>
    <row r="4557" spans="1:3" x14ac:dyDescent="0.35">
      <c r="A4557" s="141" t="s">
        <v>667</v>
      </c>
      <c r="B4557" s="141" t="s">
        <v>269</v>
      </c>
      <c r="C4557" s="141" t="s">
        <v>55</v>
      </c>
    </row>
    <row r="4558" spans="1:3" x14ac:dyDescent="0.35">
      <c r="A4558" s="141" t="s">
        <v>669</v>
      </c>
      <c r="B4558" s="141" t="s">
        <v>269</v>
      </c>
      <c r="C4558" s="141" t="s">
        <v>55</v>
      </c>
    </row>
    <row r="4559" spans="1:3" x14ac:dyDescent="0.35">
      <c r="A4559" s="141" t="s">
        <v>668</v>
      </c>
      <c r="B4559" s="141" t="s">
        <v>269</v>
      </c>
      <c r="C4559" s="141" t="s">
        <v>54</v>
      </c>
    </row>
    <row r="4560" spans="1:3" x14ac:dyDescent="0.35">
      <c r="A4560" s="141" t="s">
        <v>670</v>
      </c>
      <c r="B4560" s="141" t="s">
        <v>269</v>
      </c>
      <c r="C4560" s="141" t="s">
        <v>54</v>
      </c>
    </row>
    <row r="4561" spans="1:3" x14ac:dyDescent="0.35">
      <c r="A4561" s="141" t="s">
        <v>359</v>
      </c>
      <c r="B4561" s="141" t="s">
        <v>269</v>
      </c>
      <c r="C4561" s="141" t="s">
        <v>46</v>
      </c>
    </row>
    <row r="4562" spans="1:3" x14ac:dyDescent="0.35">
      <c r="A4562" s="141" t="s">
        <v>360</v>
      </c>
      <c r="B4562" s="141" t="s">
        <v>269</v>
      </c>
      <c r="C4562" s="141" t="s">
        <v>46</v>
      </c>
    </row>
    <row r="4563" spans="1:3" x14ac:dyDescent="0.35">
      <c r="A4563" s="141" t="s">
        <v>819</v>
      </c>
      <c r="B4563" s="141" t="s">
        <v>269</v>
      </c>
      <c r="C4563" s="141" t="s">
        <v>45</v>
      </c>
    </row>
    <row r="4564" spans="1:3" x14ac:dyDescent="0.35">
      <c r="A4564" s="141" t="s">
        <v>820</v>
      </c>
      <c r="B4564" s="141" t="s">
        <v>269</v>
      </c>
      <c r="C4564" s="141" t="s">
        <v>45</v>
      </c>
    </row>
    <row r="4565" spans="1:3" x14ac:dyDescent="0.35">
      <c r="A4565" s="141" t="s">
        <v>821</v>
      </c>
      <c r="B4565" s="141" t="s">
        <v>269</v>
      </c>
      <c r="C4565" s="141" t="s">
        <v>45</v>
      </c>
    </row>
    <row r="4566" spans="1:3" x14ac:dyDescent="0.35">
      <c r="A4566" s="141" t="s">
        <v>822</v>
      </c>
      <c r="B4566" s="141" t="s">
        <v>269</v>
      </c>
      <c r="C4566" s="141" t="s">
        <v>45</v>
      </c>
    </row>
    <row r="4567" spans="1:3" x14ac:dyDescent="0.35">
      <c r="A4567" s="141" t="s">
        <v>823</v>
      </c>
      <c r="B4567" s="141" t="s">
        <v>269</v>
      </c>
      <c r="C4567" s="141" t="s">
        <v>45</v>
      </c>
    </row>
    <row r="4568" spans="1:3" x14ac:dyDescent="0.35">
      <c r="A4568" s="141" t="s">
        <v>824</v>
      </c>
      <c r="B4568" s="141" t="s">
        <v>269</v>
      </c>
      <c r="C4568" s="141" t="s">
        <v>45</v>
      </c>
    </row>
    <row r="4569" spans="1:3" x14ac:dyDescent="0.35">
      <c r="A4569" s="141" t="s">
        <v>825</v>
      </c>
      <c r="B4569" s="141" t="s">
        <v>269</v>
      </c>
      <c r="C4569" s="141" t="s">
        <v>45</v>
      </c>
    </row>
    <row r="4570" spans="1:3" x14ac:dyDescent="0.35">
      <c r="A4570" s="141" t="s">
        <v>826</v>
      </c>
      <c r="B4570" s="141" t="s">
        <v>269</v>
      </c>
      <c r="C4570" s="141" t="s">
        <v>45</v>
      </c>
    </row>
    <row r="4571" spans="1:3" x14ac:dyDescent="0.35">
      <c r="A4571" s="141" t="s">
        <v>827</v>
      </c>
      <c r="B4571" s="141" t="s">
        <v>269</v>
      </c>
      <c r="C4571" s="141" t="s">
        <v>45</v>
      </c>
    </row>
    <row r="4572" spans="1:3" x14ac:dyDescent="0.35">
      <c r="A4572" s="141" t="s">
        <v>828</v>
      </c>
      <c r="B4572" s="141" t="s">
        <v>269</v>
      </c>
      <c r="C4572" s="141" t="s">
        <v>45</v>
      </c>
    </row>
    <row r="4573" spans="1:3" x14ac:dyDescent="0.35">
      <c r="A4573" s="141" t="s">
        <v>829</v>
      </c>
      <c r="B4573" s="141" t="s">
        <v>269</v>
      </c>
      <c r="C4573" s="141" t="s">
        <v>45</v>
      </c>
    </row>
    <row r="4574" spans="1:3" x14ac:dyDescent="0.35">
      <c r="A4574" s="141" t="s">
        <v>830</v>
      </c>
      <c r="B4574" s="141" t="s">
        <v>269</v>
      </c>
      <c r="C4574" s="141" t="s">
        <v>45</v>
      </c>
    </row>
    <row r="4575" spans="1:3" x14ac:dyDescent="0.35">
      <c r="A4575" s="141" t="s">
        <v>831</v>
      </c>
      <c r="B4575" s="141" t="s">
        <v>269</v>
      </c>
      <c r="C4575" s="141" t="s">
        <v>45</v>
      </c>
    </row>
    <row r="4576" spans="1:3" x14ac:dyDescent="0.35">
      <c r="A4576" s="141" t="s">
        <v>832</v>
      </c>
      <c r="B4576" s="141" t="s">
        <v>269</v>
      </c>
      <c r="C4576" s="141" t="s">
        <v>45</v>
      </c>
    </row>
    <row r="4577" spans="1:3" x14ac:dyDescent="0.35">
      <c r="A4577" s="141" t="s">
        <v>776</v>
      </c>
      <c r="B4577" s="141" t="s">
        <v>269</v>
      </c>
      <c r="C4577" s="141" t="s">
        <v>45</v>
      </c>
    </row>
    <row r="4578" spans="1:3" x14ac:dyDescent="0.35">
      <c r="A4578" s="141" t="s">
        <v>777</v>
      </c>
      <c r="B4578" s="141" t="s">
        <v>269</v>
      </c>
      <c r="C4578" s="141" t="s">
        <v>46</v>
      </c>
    </row>
    <row r="4579" spans="1:3" x14ac:dyDescent="0.35">
      <c r="A4579" s="141" t="s">
        <v>778</v>
      </c>
      <c r="B4579" s="141" t="s">
        <v>269</v>
      </c>
      <c r="C4579" s="141" t="s">
        <v>45</v>
      </c>
    </row>
    <row r="4580" spans="1:3" x14ac:dyDescent="0.35">
      <c r="A4580" s="141" t="s">
        <v>779</v>
      </c>
      <c r="B4580" s="141" t="s">
        <v>269</v>
      </c>
      <c r="C4580" s="141" t="s">
        <v>45</v>
      </c>
    </row>
    <row r="4581" spans="1:3" x14ac:dyDescent="0.35">
      <c r="A4581" s="141" t="s">
        <v>780</v>
      </c>
      <c r="B4581" s="141" t="s">
        <v>269</v>
      </c>
      <c r="C4581" s="141" t="s">
        <v>45</v>
      </c>
    </row>
    <row r="4582" spans="1:3" x14ac:dyDescent="0.35">
      <c r="A4582" s="141" t="s">
        <v>781</v>
      </c>
      <c r="B4582" s="141" t="s">
        <v>269</v>
      </c>
      <c r="C4582" s="141" t="s">
        <v>45</v>
      </c>
    </row>
    <row r="4583" spans="1:3" x14ac:dyDescent="0.35">
      <c r="A4583" s="141" t="s">
        <v>586</v>
      </c>
      <c r="B4583" s="141" t="s">
        <v>269</v>
      </c>
      <c r="C4583" s="141" t="s">
        <v>4</v>
      </c>
    </row>
    <row r="4584" spans="1:3" x14ac:dyDescent="0.35">
      <c r="A4584" s="141" t="s">
        <v>587</v>
      </c>
      <c r="B4584" s="141" t="s">
        <v>269</v>
      </c>
      <c r="C4584" s="141" t="s">
        <v>4</v>
      </c>
    </row>
    <row r="4585" spans="1:3" x14ac:dyDescent="0.35">
      <c r="A4585" s="141" t="s">
        <v>588</v>
      </c>
      <c r="B4585" s="141" t="s">
        <v>269</v>
      </c>
      <c r="C4585" s="141" t="s">
        <v>4</v>
      </c>
    </row>
    <row r="4586" spans="1:3" x14ac:dyDescent="0.35">
      <c r="A4586" s="141" t="s">
        <v>365</v>
      </c>
      <c r="B4586" s="141" t="s">
        <v>269</v>
      </c>
      <c r="C4586" s="141" t="s">
        <v>7</v>
      </c>
    </row>
    <row r="4587" spans="1:3" x14ac:dyDescent="0.35">
      <c r="A4587" s="141" t="s">
        <v>589</v>
      </c>
      <c r="B4587" s="141" t="s">
        <v>269</v>
      </c>
      <c r="C4587" s="141" t="s">
        <v>4</v>
      </c>
    </row>
    <row r="4588" spans="1:3" x14ac:dyDescent="0.35">
      <c r="A4588" s="141" t="s">
        <v>366</v>
      </c>
      <c r="B4588" s="141" t="s">
        <v>269</v>
      </c>
      <c r="C4588" s="141" t="s">
        <v>8</v>
      </c>
    </row>
    <row r="4589" spans="1:3" x14ac:dyDescent="0.35">
      <c r="A4589" s="141" t="s">
        <v>367</v>
      </c>
      <c r="B4589" s="141" t="s">
        <v>269</v>
      </c>
      <c r="C4589" s="141" t="s">
        <v>8</v>
      </c>
    </row>
    <row r="4590" spans="1:3" x14ac:dyDescent="0.35">
      <c r="A4590" s="141" t="s">
        <v>840</v>
      </c>
      <c r="B4590" s="141" t="s">
        <v>269</v>
      </c>
      <c r="C4590" s="141" t="s">
        <v>10</v>
      </c>
    </row>
    <row r="4591" spans="1:3" x14ac:dyDescent="0.35">
      <c r="A4591" s="141" t="s">
        <v>841</v>
      </c>
      <c r="B4591" s="141" t="s">
        <v>269</v>
      </c>
      <c r="C4591" s="141" t="s">
        <v>10</v>
      </c>
    </row>
    <row r="4592" spans="1:3" x14ac:dyDescent="0.35">
      <c r="A4592" s="141" t="s">
        <v>370</v>
      </c>
      <c r="B4592" s="141" t="s">
        <v>269</v>
      </c>
      <c r="C4592" s="141" t="s">
        <v>10</v>
      </c>
    </row>
    <row r="4593" spans="1:3" x14ac:dyDescent="0.35">
      <c r="A4593" s="141" t="s">
        <v>371</v>
      </c>
      <c r="B4593" s="141" t="s">
        <v>269</v>
      </c>
      <c r="C4593" s="141" t="s">
        <v>10</v>
      </c>
    </row>
    <row r="4594" spans="1:3" x14ac:dyDescent="0.35">
      <c r="A4594" s="141" t="s">
        <v>372</v>
      </c>
      <c r="B4594" s="141" t="s">
        <v>269</v>
      </c>
      <c r="C4594" s="141" t="s">
        <v>10</v>
      </c>
    </row>
    <row r="4595" spans="1:3" x14ac:dyDescent="0.35">
      <c r="A4595" s="141" t="s">
        <v>373</v>
      </c>
      <c r="B4595" s="141" t="s">
        <v>269</v>
      </c>
      <c r="C4595" s="141" t="s">
        <v>10</v>
      </c>
    </row>
    <row r="4596" spans="1:3" x14ac:dyDescent="0.35">
      <c r="A4596" s="141" t="s">
        <v>374</v>
      </c>
      <c r="B4596" s="141" t="s">
        <v>269</v>
      </c>
      <c r="C4596" s="141" t="s">
        <v>10</v>
      </c>
    </row>
    <row r="4597" spans="1:3" x14ac:dyDescent="0.35">
      <c r="A4597" s="141" t="s">
        <v>375</v>
      </c>
      <c r="B4597" s="141" t="s">
        <v>269</v>
      </c>
      <c r="C4597" s="141" t="s">
        <v>10</v>
      </c>
    </row>
    <row r="4598" spans="1:3" x14ac:dyDescent="0.35">
      <c r="A4598" s="141" t="s">
        <v>376</v>
      </c>
      <c r="B4598" s="141" t="s">
        <v>269</v>
      </c>
      <c r="C4598" s="141" t="s">
        <v>10</v>
      </c>
    </row>
    <row r="4599" spans="1:3" x14ac:dyDescent="0.35">
      <c r="A4599" s="141" t="s">
        <v>842</v>
      </c>
      <c r="B4599" s="141" t="s">
        <v>269</v>
      </c>
      <c r="C4599" s="141" t="s">
        <v>11</v>
      </c>
    </row>
    <row r="4600" spans="1:3" x14ac:dyDescent="0.35">
      <c r="A4600" s="141" t="s">
        <v>843</v>
      </c>
      <c r="B4600" s="141" t="s">
        <v>269</v>
      </c>
      <c r="C4600" s="141" t="s">
        <v>11</v>
      </c>
    </row>
    <row r="4601" spans="1:3" x14ac:dyDescent="0.35">
      <c r="A4601" s="141" t="s">
        <v>844</v>
      </c>
      <c r="B4601" s="141" t="s">
        <v>269</v>
      </c>
      <c r="C4601" s="141" t="s">
        <v>11</v>
      </c>
    </row>
    <row r="4602" spans="1:3" x14ac:dyDescent="0.35">
      <c r="A4602" s="141" t="s">
        <v>845</v>
      </c>
      <c r="B4602" s="141" t="s">
        <v>269</v>
      </c>
      <c r="C4602" s="141" t="s">
        <v>11</v>
      </c>
    </row>
    <row r="4603" spans="1:3" x14ac:dyDescent="0.35">
      <c r="A4603" s="141" t="s">
        <v>383</v>
      </c>
      <c r="B4603" s="141" t="s">
        <v>269</v>
      </c>
      <c r="C4603" s="141" t="s">
        <v>5</v>
      </c>
    </row>
    <row r="4604" spans="1:3" x14ac:dyDescent="0.35">
      <c r="A4604" s="141" t="s">
        <v>564</v>
      </c>
      <c r="B4604" s="141" t="s">
        <v>269</v>
      </c>
      <c r="C4604" s="141" t="s">
        <v>7</v>
      </c>
    </row>
    <row r="4605" spans="1:3" x14ac:dyDescent="0.35">
      <c r="A4605" s="141" t="s">
        <v>565</v>
      </c>
      <c r="B4605" s="141" t="s">
        <v>269</v>
      </c>
      <c r="C4605" s="141" t="s">
        <v>7</v>
      </c>
    </row>
    <row r="4606" spans="1:3" x14ac:dyDescent="0.35">
      <c r="A4606" s="141" t="s">
        <v>385</v>
      </c>
      <c r="B4606" s="141" t="s">
        <v>269</v>
      </c>
      <c r="C4606" s="141" t="s">
        <v>7</v>
      </c>
    </row>
    <row r="4607" spans="1:3" x14ac:dyDescent="0.35">
      <c r="A4607" s="141" t="s">
        <v>386</v>
      </c>
      <c r="B4607" s="141" t="s">
        <v>269</v>
      </c>
      <c r="C4607" s="141" t="s">
        <v>7</v>
      </c>
    </row>
    <row r="4608" spans="1:3" x14ac:dyDescent="0.35">
      <c r="A4608" s="141" t="s">
        <v>387</v>
      </c>
      <c r="B4608" s="141" t="s">
        <v>269</v>
      </c>
      <c r="C4608" s="141" t="s">
        <v>7</v>
      </c>
    </row>
    <row r="4609" spans="1:3" x14ac:dyDescent="0.35">
      <c r="A4609" s="141" t="s">
        <v>388</v>
      </c>
      <c r="B4609" s="141" t="s">
        <v>269</v>
      </c>
      <c r="C4609" s="141" t="s">
        <v>8</v>
      </c>
    </row>
    <row r="4610" spans="1:3" x14ac:dyDescent="0.35">
      <c r="A4610" s="141" t="s">
        <v>389</v>
      </c>
      <c r="B4610" s="141" t="s">
        <v>269</v>
      </c>
      <c r="C4610" s="141" t="s">
        <v>8</v>
      </c>
    </row>
    <row r="4611" spans="1:3" x14ac:dyDescent="0.35">
      <c r="A4611" s="141" t="s">
        <v>390</v>
      </c>
      <c r="B4611" s="141" t="s">
        <v>269</v>
      </c>
      <c r="C4611" s="141" t="s">
        <v>16</v>
      </c>
    </row>
    <row r="4612" spans="1:3" x14ac:dyDescent="0.35">
      <c r="A4612" s="141" t="s">
        <v>846</v>
      </c>
      <c r="B4612" s="141" t="s">
        <v>269</v>
      </c>
      <c r="C4612" s="141" t="s">
        <v>16</v>
      </c>
    </row>
    <row r="4613" spans="1:3" x14ac:dyDescent="0.35">
      <c r="A4613" s="141" t="s">
        <v>393</v>
      </c>
      <c r="B4613" s="141" t="s">
        <v>269</v>
      </c>
      <c r="C4613" s="141" t="s">
        <v>9</v>
      </c>
    </row>
    <row r="4614" spans="1:3" x14ac:dyDescent="0.35">
      <c r="A4614" s="141" t="s">
        <v>394</v>
      </c>
      <c r="B4614" s="141" t="s">
        <v>269</v>
      </c>
      <c r="C4614" s="141" t="s">
        <v>19</v>
      </c>
    </row>
    <row r="4615" spans="1:3" x14ac:dyDescent="0.35">
      <c r="A4615" s="141" t="s">
        <v>395</v>
      </c>
      <c r="B4615" s="141" t="s">
        <v>269</v>
      </c>
      <c r="C4615" s="141" t="s">
        <v>19</v>
      </c>
    </row>
    <row r="4616" spans="1:3" x14ac:dyDescent="0.35">
      <c r="A4616" s="141" t="s">
        <v>396</v>
      </c>
      <c r="B4616" s="141" t="s">
        <v>269</v>
      </c>
      <c r="C4616" s="141" t="s">
        <v>45</v>
      </c>
    </row>
    <row r="4617" spans="1:3" x14ac:dyDescent="0.35">
      <c r="A4617" s="141" t="s">
        <v>397</v>
      </c>
      <c r="B4617" s="141" t="s">
        <v>269</v>
      </c>
      <c r="C4617" s="141" t="s">
        <v>16</v>
      </c>
    </row>
    <row r="4618" spans="1:3" x14ac:dyDescent="0.35">
      <c r="A4618" s="141" t="s">
        <v>398</v>
      </c>
      <c r="B4618" s="141" t="s">
        <v>269</v>
      </c>
      <c r="C4618" s="141" t="s">
        <v>17</v>
      </c>
    </row>
    <row r="4619" spans="1:3" x14ac:dyDescent="0.35">
      <c r="A4619" s="141" t="s">
        <v>399</v>
      </c>
      <c r="B4619" s="141" t="s">
        <v>269</v>
      </c>
      <c r="C4619" s="141" t="s">
        <v>16</v>
      </c>
    </row>
    <row r="4620" spans="1:3" x14ac:dyDescent="0.35">
      <c r="A4620" s="141" t="s">
        <v>400</v>
      </c>
      <c r="B4620" s="141" t="s">
        <v>269</v>
      </c>
      <c r="C4620" s="141" t="s">
        <v>20</v>
      </c>
    </row>
    <row r="4621" spans="1:3" x14ac:dyDescent="0.35">
      <c r="A4621" s="141" t="s">
        <v>401</v>
      </c>
      <c r="B4621" s="141" t="s">
        <v>269</v>
      </c>
      <c r="C4621" s="141" t="s">
        <v>20</v>
      </c>
    </row>
    <row r="4622" spans="1:3" x14ac:dyDescent="0.35">
      <c r="A4622" s="141" t="s">
        <v>671</v>
      </c>
      <c r="B4622" s="141" t="s">
        <v>269</v>
      </c>
      <c r="C4622" s="141" t="s">
        <v>20</v>
      </c>
    </row>
    <row r="4623" spans="1:3" x14ac:dyDescent="0.35">
      <c r="A4623" s="141" t="s">
        <v>402</v>
      </c>
      <c r="B4623" s="141" t="s">
        <v>269</v>
      </c>
      <c r="C4623" s="141" t="s">
        <v>20</v>
      </c>
    </row>
    <row r="4624" spans="1:3" x14ac:dyDescent="0.35">
      <c r="A4624" s="141" t="s">
        <v>592</v>
      </c>
      <c r="B4624" s="141" t="s">
        <v>269</v>
      </c>
      <c r="C4624" s="141" t="s">
        <v>20</v>
      </c>
    </row>
    <row r="4625" spans="1:3" x14ac:dyDescent="0.35">
      <c r="A4625" s="141" t="s">
        <v>593</v>
      </c>
      <c r="B4625" s="141" t="s">
        <v>269</v>
      </c>
      <c r="C4625" s="141" t="s">
        <v>20</v>
      </c>
    </row>
    <row r="4626" spans="1:3" x14ac:dyDescent="0.35">
      <c r="A4626" s="141" t="s">
        <v>403</v>
      </c>
      <c r="B4626" s="141" t="s">
        <v>269</v>
      </c>
      <c r="C4626" s="141" t="s">
        <v>20</v>
      </c>
    </row>
    <row r="4627" spans="1:3" x14ac:dyDescent="0.35">
      <c r="A4627" s="141" t="s">
        <v>404</v>
      </c>
      <c r="B4627" s="141" t="s">
        <v>269</v>
      </c>
      <c r="C4627" s="141" t="s">
        <v>16</v>
      </c>
    </row>
    <row r="4628" spans="1:3" x14ac:dyDescent="0.35">
      <c r="A4628" s="141" t="s">
        <v>405</v>
      </c>
      <c r="B4628" s="141" t="s">
        <v>269</v>
      </c>
      <c r="C4628" s="141" t="s">
        <v>16</v>
      </c>
    </row>
    <row r="4629" spans="1:3" x14ac:dyDescent="0.35">
      <c r="A4629" s="141" t="s">
        <v>406</v>
      </c>
      <c r="B4629" s="141" t="s">
        <v>269</v>
      </c>
      <c r="C4629" s="141" t="s">
        <v>18</v>
      </c>
    </row>
    <row r="4630" spans="1:3" x14ac:dyDescent="0.35">
      <c r="A4630" s="141" t="s">
        <v>407</v>
      </c>
      <c r="B4630" s="141" t="s">
        <v>269</v>
      </c>
      <c r="C4630" s="141" t="s">
        <v>17</v>
      </c>
    </row>
    <row r="4631" spans="1:3" x14ac:dyDescent="0.35">
      <c r="A4631" s="141" t="s">
        <v>566</v>
      </c>
      <c r="B4631" s="141" t="s">
        <v>269</v>
      </c>
      <c r="C4631" s="141" t="s">
        <v>17</v>
      </c>
    </row>
    <row r="4632" spans="1:3" x14ac:dyDescent="0.35">
      <c r="A4632" s="141" t="s">
        <v>833</v>
      </c>
      <c r="B4632" s="141" t="s">
        <v>269</v>
      </c>
      <c r="C4632" s="141" t="s">
        <v>17</v>
      </c>
    </row>
    <row r="4633" spans="1:3" x14ac:dyDescent="0.35">
      <c r="A4633" s="141" t="s">
        <v>409</v>
      </c>
      <c r="B4633" s="141" t="s">
        <v>269</v>
      </c>
      <c r="C4633" s="141" t="s">
        <v>18</v>
      </c>
    </row>
    <row r="4634" spans="1:3" x14ac:dyDescent="0.35">
      <c r="A4634" s="141" t="s">
        <v>410</v>
      </c>
      <c r="B4634" s="141" t="s">
        <v>269</v>
      </c>
      <c r="C4634" s="141" t="s">
        <v>18</v>
      </c>
    </row>
    <row r="4635" spans="1:3" x14ac:dyDescent="0.35">
      <c r="A4635" s="141" t="s">
        <v>295</v>
      </c>
      <c r="B4635" s="141" t="s">
        <v>269</v>
      </c>
      <c r="C4635" s="141" t="s">
        <v>18</v>
      </c>
    </row>
    <row r="4636" spans="1:3" x14ac:dyDescent="0.35">
      <c r="A4636" s="141" t="s">
        <v>411</v>
      </c>
      <c r="B4636" s="141" t="s">
        <v>269</v>
      </c>
      <c r="C4636" s="141" t="s">
        <v>9</v>
      </c>
    </row>
    <row r="4637" spans="1:3" x14ac:dyDescent="0.35">
      <c r="A4637" s="141" t="s">
        <v>412</v>
      </c>
      <c r="B4637" s="141" t="s">
        <v>269</v>
      </c>
      <c r="C4637" s="141" t="s">
        <v>9</v>
      </c>
    </row>
    <row r="4638" spans="1:3" x14ac:dyDescent="0.35">
      <c r="A4638" s="141" t="s">
        <v>413</v>
      </c>
      <c r="B4638" s="141" t="s">
        <v>269</v>
      </c>
      <c r="C4638" s="141" t="s">
        <v>9</v>
      </c>
    </row>
    <row r="4639" spans="1:3" x14ac:dyDescent="0.35">
      <c r="A4639" s="141" t="s">
        <v>414</v>
      </c>
      <c r="B4639" s="141" t="s">
        <v>269</v>
      </c>
      <c r="C4639" s="141" t="s">
        <v>9</v>
      </c>
    </row>
    <row r="4640" spans="1:3" x14ac:dyDescent="0.35">
      <c r="A4640" s="141" t="s">
        <v>415</v>
      </c>
      <c r="B4640" s="141" t="s">
        <v>269</v>
      </c>
      <c r="C4640" s="141" t="s">
        <v>9</v>
      </c>
    </row>
    <row r="4641" spans="1:3" x14ac:dyDescent="0.35">
      <c r="A4641" s="141" t="s">
        <v>416</v>
      </c>
      <c r="B4641" s="141" t="s">
        <v>269</v>
      </c>
      <c r="C4641" s="141" t="s">
        <v>15</v>
      </c>
    </row>
    <row r="4642" spans="1:3" x14ac:dyDescent="0.35">
      <c r="A4642" s="141" t="s">
        <v>417</v>
      </c>
      <c r="B4642" s="141" t="s">
        <v>269</v>
      </c>
      <c r="C4642" s="141" t="s">
        <v>6</v>
      </c>
    </row>
    <row r="4643" spans="1:3" x14ac:dyDescent="0.35">
      <c r="A4643" s="141" t="s">
        <v>418</v>
      </c>
      <c r="B4643" s="141" t="s">
        <v>269</v>
      </c>
      <c r="C4643" s="141" t="s">
        <v>17</v>
      </c>
    </row>
    <row r="4644" spans="1:3" x14ac:dyDescent="0.35">
      <c r="A4644" s="141" t="s">
        <v>419</v>
      </c>
      <c r="B4644" s="141" t="s">
        <v>269</v>
      </c>
      <c r="C4644" s="141" t="s">
        <v>17</v>
      </c>
    </row>
    <row r="4645" spans="1:3" x14ac:dyDescent="0.35">
      <c r="A4645" s="141" t="s">
        <v>420</v>
      </c>
      <c r="B4645" s="141" t="s">
        <v>269</v>
      </c>
      <c r="C4645" s="141" t="s">
        <v>17</v>
      </c>
    </row>
    <row r="4646" spans="1:3" x14ac:dyDescent="0.35">
      <c r="A4646" s="141" t="s">
        <v>421</v>
      </c>
      <c r="B4646" s="141" t="s">
        <v>269</v>
      </c>
      <c r="C4646" s="141" t="s">
        <v>6</v>
      </c>
    </row>
    <row r="4647" spans="1:3" x14ac:dyDescent="0.35">
      <c r="A4647" s="141" t="s">
        <v>422</v>
      </c>
      <c r="B4647" s="141" t="s">
        <v>269</v>
      </c>
      <c r="C4647" s="141" t="s">
        <v>17</v>
      </c>
    </row>
    <row r="4648" spans="1:3" x14ac:dyDescent="0.35">
      <c r="A4648" s="141" t="s">
        <v>658</v>
      </c>
      <c r="B4648" s="141" t="s">
        <v>269</v>
      </c>
      <c r="C4648" s="141" t="s">
        <v>21</v>
      </c>
    </row>
    <row r="4649" spans="1:3" x14ac:dyDescent="0.35">
      <c r="A4649" s="141" t="s">
        <v>427</v>
      </c>
      <c r="B4649" s="141" t="s">
        <v>269</v>
      </c>
      <c r="C4649" s="141" t="s">
        <v>27</v>
      </c>
    </row>
    <row r="4650" spans="1:3" x14ac:dyDescent="0.35">
      <c r="A4650" s="141" t="s">
        <v>428</v>
      </c>
      <c r="B4650" s="141" t="s">
        <v>269</v>
      </c>
      <c r="C4650" s="141" t="s">
        <v>27</v>
      </c>
    </row>
    <row r="4651" spans="1:3" x14ac:dyDescent="0.35">
      <c r="A4651" s="141" t="s">
        <v>817</v>
      </c>
      <c r="B4651" s="141" t="s">
        <v>269</v>
      </c>
      <c r="C4651" s="141" t="s">
        <v>27</v>
      </c>
    </row>
    <row r="4652" spans="1:3" x14ac:dyDescent="0.35">
      <c r="A4652" s="141" t="s">
        <v>429</v>
      </c>
      <c r="B4652" s="141" t="s">
        <v>269</v>
      </c>
      <c r="C4652" s="141" t="s">
        <v>27</v>
      </c>
    </row>
    <row r="4653" spans="1:3" x14ac:dyDescent="0.35">
      <c r="A4653" s="141" t="s">
        <v>431</v>
      </c>
      <c r="B4653" s="141" t="s">
        <v>269</v>
      </c>
      <c r="C4653" s="141" t="s">
        <v>27</v>
      </c>
    </row>
    <row r="4654" spans="1:3" x14ac:dyDescent="0.35">
      <c r="A4654" s="141" t="s">
        <v>847</v>
      </c>
      <c r="B4654" s="141" t="s">
        <v>269</v>
      </c>
      <c r="C4654" s="141" t="s">
        <v>21</v>
      </c>
    </row>
    <row r="4655" spans="1:3" x14ac:dyDescent="0.35">
      <c r="A4655" s="141" t="s">
        <v>290</v>
      </c>
      <c r="B4655" s="141" t="s">
        <v>269</v>
      </c>
      <c r="C4655" s="141" t="s">
        <v>23</v>
      </c>
    </row>
    <row r="4656" spans="1:3" x14ac:dyDescent="0.35">
      <c r="A4656" s="141" t="s">
        <v>848</v>
      </c>
      <c r="B4656" s="141" t="s">
        <v>269</v>
      </c>
      <c r="C4656" s="141" t="s">
        <v>22</v>
      </c>
    </row>
    <row r="4657" spans="1:3" x14ac:dyDescent="0.35">
      <c r="A4657" s="141" t="s">
        <v>849</v>
      </c>
      <c r="B4657" s="141" t="s">
        <v>269</v>
      </c>
      <c r="C4657" s="141" t="s">
        <v>22</v>
      </c>
    </row>
    <row r="4658" spans="1:3" x14ac:dyDescent="0.35">
      <c r="A4658" s="141" t="s">
        <v>850</v>
      </c>
      <c r="B4658" s="141" t="s">
        <v>269</v>
      </c>
      <c r="C4658" s="141" t="s">
        <v>22</v>
      </c>
    </row>
    <row r="4659" spans="1:3" x14ac:dyDescent="0.35">
      <c r="A4659" s="141" t="s">
        <v>851</v>
      </c>
      <c r="B4659" s="141" t="s">
        <v>269</v>
      </c>
      <c r="C4659" s="141" t="s">
        <v>24</v>
      </c>
    </row>
    <row r="4660" spans="1:3" x14ac:dyDescent="0.35">
      <c r="A4660" s="141" t="s">
        <v>294</v>
      </c>
      <c r="B4660" s="141" t="s">
        <v>269</v>
      </c>
      <c r="C4660" s="141" t="s">
        <v>21</v>
      </c>
    </row>
    <row r="4661" spans="1:3" x14ac:dyDescent="0.35">
      <c r="A4661" s="141" t="s">
        <v>852</v>
      </c>
      <c r="B4661" s="141" t="s">
        <v>269</v>
      </c>
      <c r="C4661" s="141" t="s">
        <v>21</v>
      </c>
    </row>
    <row r="4662" spans="1:3" x14ac:dyDescent="0.35">
      <c r="A4662" s="141" t="s">
        <v>304</v>
      </c>
      <c r="B4662" s="141" t="s">
        <v>269</v>
      </c>
      <c r="C4662" s="142"/>
    </row>
    <row r="4663" spans="1:3" x14ac:dyDescent="0.35">
      <c r="A4663" s="141" t="s">
        <v>795</v>
      </c>
      <c r="B4663" s="141" t="s">
        <v>269</v>
      </c>
      <c r="C4663" s="142"/>
    </row>
    <row r="4664" spans="1:3" x14ac:dyDescent="0.35">
      <c r="A4664" s="141" t="s">
        <v>796</v>
      </c>
      <c r="B4664" s="141" t="s">
        <v>269</v>
      </c>
      <c r="C4664" s="142"/>
    </row>
    <row r="4665" spans="1:3" x14ac:dyDescent="0.35">
      <c r="A4665" s="141" t="s">
        <v>601</v>
      </c>
      <c r="B4665" s="141" t="s">
        <v>269</v>
      </c>
      <c r="C4665" s="141" t="s">
        <v>40</v>
      </c>
    </row>
    <row r="4666" spans="1:3" x14ac:dyDescent="0.35">
      <c r="A4666" s="141" t="s">
        <v>602</v>
      </c>
      <c r="B4666" s="141" t="s">
        <v>269</v>
      </c>
      <c r="C4666" s="141" t="s">
        <v>39</v>
      </c>
    </row>
    <row r="4667" spans="1:3" x14ac:dyDescent="0.35">
      <c r="A4667" s="141" t="s">
        <v>735</v>
      </c>
      <c r="B4667" s="141" t="s">
        <v>269</v>
      </c>
      <c r="C4667" s="141" t="s">
        <v>41</v>
      </c>
    </row>
    <row r="4668" spans="1:3" x14ac:dyDescent="0.35">
      <c r="A4668" s="141" t="s">
        <v>736</v>
      </c>
      <c r="B4668" s="141" t="s">
        <v>269</v>
      </c>
      <c r="C4668" s="141" t="s">
        <v>41</v>
      </c>
    </row>
    <row r="4669" spans="1:3" x14ac:dyDescent="0.35">
      <c r="A4669" s="141" t="s">
        <v>737</v>
      </c>
      <c r="B4669" s="141" t="s">
        <v>269</v>
      </c>
      <c r="C4669" s="141" t="s">
        <v>41</v>
      </c>
    </row>
    <row r="4670" spans="1:3" x14ac:dyDescent="0.35">
      <c r="A4670" s="141" t="s">
        <v>738</v>
      </c>
      <c r="B4670" s="141" t="s">
        <v>269</v>
      </c>
      <c r="C4670" s="141" t="s">
        <v>41</v>
      </c>
    </row>
    <row r="4671" spans="1:3" x14ac:dyDescent="0.35">
      <c r="A4671" s="141" t="s">
        <v>797</v>
      </c>
      <c r="B4671" s="141" t="s">
        <v>269</v>
      </c>
      <c r="C4671" s="141" t="s">
        <v>41</v>
      </c>
    </row>
    <row r="4672" spans="1:3" x14ac:dyDescent="0.35">
      <c r="A4672" s="141" t="s">
        <v>798</v>
      </c>
      <c r="B4672" s="141" t="s">
        <v>269</v>
      </c>
      <c r="C4672" s="141" t="s">
        <v>40</v>
      </c>
    </row>
    <row r="4673" spans="1:3" x14ac:dyDescent="0.35">
      <c r="A4673" s="141" t="s">
        <v>799</v>
      </c>
      <c r="B4673" s="141" t="s">
        <v>269</v>
      </c>
      <c r="C4673" s="141" t="s">
        <v>40</v>
      </c>
    </row>
    <row r="4674" spans="1:3" x14ac:dyDescent="0.35">
      <c r="A4674" s="141" t="s">
        <v>775</v>
      </c>
      <c r="B4674" s="141" t="s">
        <v>269</v>
      </c>
      <c r="C4674" s="141" t="s">
        <v>38</v>
      </c>
    </row>
    <row r="4675" spans="1:3" x14ac:dyDescent="0.35">
      <c r="A4675" s="141" t="s">
        <v>605</v>
      </c>
      <c r="B4675" s="141" t="s">
        <v>269</v>
      </c>
      <c r="C4675" s="141" t="s">
        <v>43</v>
      </c>
    </row>
    <row r="4676" spans="1:3" x14ac:dyDescent="0.35">
      <c r="A4676" s="141" t="s">
        <v>606</v>
      </c>
      <c r="B4676" s="141" t="s">
        <v>269</v>
      </c>
      <c r="C4676" s="141" t="s">
        <v>43</v>
      </c>
    </row>
    <row r="4677" spans="1:3" x14ac:dyDescent="0.35">
      <c r="A4677" s="141" t="s">
        <v>607</v>
      </c>
      <c r="B4677" s="141" t="s">
        <v>269</v>
      </c>
      <c r="C4677" s="141" t="s">
        <v>43</v>
      </c>
    </row>
    <row r="4678" spans="1:3" x14ac:dyDescent="0.35">
      <c r="A4678" s="141" t="s">
        <v>608</v>
      </c>
      <c r="B4678" s="141" t="s">
        <v>269</v>
      </c>
      <c r="C4678" s="141" t="s">
        <v>43</v>
      </c>
    </row>
    <row r="4679" spans="1:3" x14ac:dyDescent="0.35">
      <c r="A4679" s="141" t="s">
        <v>609</v>
      </c>
      <c r="B4679" s="141" t="s">
        <v>269</v>
      </c>
      <c r="C4679" s="141" t="s">
        <v>43</v>
      </c>
    </row>
    <row r="4680" spans="1:3" x14ac:dyDescent="0.35">
      <c r="A4680" s="141" t="s">
        <v>610</v>
      </c>
      <c r="B4680" s="141" t="s">
        <v>269</v>
      </c>
      <c r="C4680" s="141" t="s">
        <v>43</v>
      </c>
    </row>
    <row r="4681" spans="1:3" x14ac:dyDescent="0.35">
      <c r="A4681" s="141" t="s">
        <v>612</v>
      </c>
      <c r="B4681" s="141" t="s">
        <v>269</v>
      </c>
      <c r="C4681" s="141" t="s">
        <v>43</v>
      </c>
    </row>
    <row r="4682" spans="1:3" x14ac:dyDescent="0.35">
      <c r="A4682" s="141" t="s">
        <v>853</v>
      </c>
      <c r="B4682" s="141" t="s">
        <v>269</v>
      </c>
      <c r="C4682" s="141" t="s">
        <v>43</v>
      </c>
    </row>
    <row r="4683" spans="1:3" x14ac:dyDescent="0.35">
      <c r="A4683" s="141" t="s">
        <v>614</v>
      </c>
      <c r="B4683" s="141" t="s">
        <v>269</v>
      </c>
      <c r="C4683" s="141" t="s">
        <v>43</v>
      </c>
    </row>
    <row r="4684" spans="1:3" x14ac:dyDescent="0.35">
      <c r="A4684" s="141" t="s">
        <v>615</v>
      </c>
      <c r="B4684" s="141" t="s">
        <v>269</v>
      </c>
      <c r="C4684" s="141" t="s">
        <v>43</v>
      </c>
    </row>
    <row r="4685" spans="1:3" x14ac:dyDescent="0.35">
      <c r="A4685" s="141" t="s">
        <v>616</v>
      </c>
      <c r="B4685" s="141" t="s">
        <v>269</v>
      </c>
      <c r="C4685" s="141" t="s">
        <v>43</v>
      </c>
    </row>
    <row r="4686" spans="1:3" x14ac:dyDescent="0.35">
      <c r="A4686" s="141" t="s">
        <v>854</v>
      </c>
      <c r="B4686" s="141" t="s">
        <v>269</v>
      </c>
      <c r="C4686" s="141" t="s">
        <v>43</v>
      </c>
    </row>
    <row r="4687" spans="1:3" x14ac:dyDescent="0.35">
      <c r="A4687" s="141" t="s">
        <v>618</v>
      </c>
      <c r="B4687" s="141" t="s">
        <v>269</v>
      </c>
      <c r="C4687" s="141" t="s">
        <v>43</v>
      </c>
    </row>
    <row r="4688" spans="1:3" x14ac:dyDescent="0.35">
      <c r="A4688" s="141" t="s">
        <v>774</v>
      </c>
      <c r="B4688" s="141" t="s">
        <v>269</v>
      </c>
      <c r="C4688" s="141" t="s">
        <v>43</v>
      </c>
    </row>
    <row r="4689" spans="1:3" x14ac:dyDescent="0.35">
      <c r="A4689" s="141" t="s">
        <v>855</v>
      </c>
      <c r="B4689" s="141" t="s">
        <v>269</v>
      </c>
      <c r="C4689" s="141" t="s">
        <v>52</v>
      </c>
    </row>
    <row r="4690" spans="1:3" x14ac:dyDescent="0.35">
      <c r="A4690" s="141" t="s">
        <v>570</v>
      </c>
      <c r="B4690" s="141" t="s">
        <v>269</v>
      </c>
      <c r="C4690" s="141" t="s">
        <v>52</v>
      </c>
    </row>
    <row r="4691" spans="1:3" x14ac:dyDescent="0.35">
      <c r="A4691" s="141" t="s">
        <v>856</v>
      </c>
      <c r="B4691" s="141" t="s">
        <v>269</v>
      </c>
      <c r="C4691" s="141" t="s">
        <v>52</v>
      </c>
    </row>
    <row r="4692" spans="1:3" x14ac:dyDescent="0.35">
      <c r="A4692" s="141" t="s">
        <v>857</v>
      </c>
      <c r="B4692" s="141" t="s">
        <v>269</v>
      </c>
      <c r="C4692" s="141" t="s">
        <v>52</v>
      </c>
    </row>
    <row r="4693" spans="1:3" x14ac:dyDescent="0.35">
      <c r="A4693" s="141" t="s">
        <v>739</v>
      </c>
      <c r="B4693" s="141" t="s">
        <v>269</v>
      </c>
      <c r="C4693" s="141" t="s">
        <v>52</v>
      </c>
    </row>
    <row r="4694" spans="1:3" x14ac:dyDescent="0.35">
      <c r="A4694" s="141" t="s">
        <v>800</v>
      </c>
      <c r="B4694" s="141" t="s">
        <v>269</v>
      </c>
      <c r="C4694" s="141" t="s">
        <v>21</v>
      </c>
    </row>
    <row r="4695" spans="1:3" x14ac:dyDescent="0.35">
      <c r="A4695" s="141" t="s">
        <v>807</v>
      </c>
      <c r="B4695" s="141" t="s">
        <v>269</v>
      </c>
      <c r="C4695" s="141" t="s">
        <v>3</v>
      </c>
    </row>
    <row r="4696" spans="1:3" x14ac:dyDescent="0.35">
      <c r="A4696" s="141" t="s">
        <v>858</v>
      </c>
      <c r="B4696" s="141" t="s">
        <v>269</v>
      </c>
      <c r="C4696" s="141" t="s">
        <v>26</v>
      </c>
    </row>
    <row r="4697" spans="1:3" x14ac:dyDescent="0.35">
      <c r="A4697" s="141" t="s">
        <v>859</v>
      </c>
      <c r="B4697" s="141" t="s">
        <v>269</v>
      </c>
      <c r="C4697" s="141" t="s">
        <v>26</v>
      </c>
    </row>
    <row r="4698" spans="1:3" x14ac:dyDescent="0.35">
      <c r="A4698" s="141" t="s">
        <v>452</v>
      </c>
      <c r="B4698" s="141" t="s">
        <v>269</v>
      </c>
      <c r="C4698" s="141" t="s">
        <v>33</v>
      </c>
    </row>
    <row r="4699" spans="1:3" x14ac:dyDescent="0.35">
      <c r="A4699" s="141" t="s">
        <v>702</v>
      </c>
      <c r="B4699" s="141" t="s">
        <v>269</v>
      </c>
      <c r="C4699" s="141" t="s">
        <v>33</v>
      </c>
    </row>
    <row r="4700" spans="1:3" x14ac:dyDescent="0.35">
      <c r="A4700" s="141" t="s">
        <v>672</v>
      </c>
      <c r="B4700" s="141" t="s">
        <v>269</v>
      </c>
      <c r="C4700" s="141" t="s">
        <v>25</v>
      </c>
    </row>
    <row r="4701" spans="1:3" x14ac:dyDescent="0.35">
      <c r="A4701" s="141" t="s">
        <v>673</v>
      </c>
      <c r="B4701" s="141" t="s">
        <v>269</v>
      </c>
      <c r="C4701" s="141" t="s">
        <v>25</v>
      </c>
    </row>
    <row r="4702" spans="1:3" x14ac:dyDescent="0.35">
      <c r="A4702" s="141" t="s">
        <v>674</v>
      </c>
      <c r="B4702" s="141" t="s">
        <v>269</v>
      </c>
      <c r="C4702" s="141" t="s">
        <v>25</v>
      </c>
    </row>
    <row r="4703" spans="1:3" x14ac:dyDescent="0.35">
      <c r="A4703" s="141" t="s">
        <v>676</v>
      </c>
      <c r="B4703" s="141" t="s">
        <v>269</v>
      </c>
      <c r="C4703" s="141" t="s">
        <v>24</v>
      </c>
    </row>
    <row r="4704" spans="1:3" x14ac:dyDescent="0.35">
      <c r="A4704" s="141" t="s">
        <v>573</v>
      </c>
      <c r="B4704" s="141" t="s">
        <v>269</v>
      </c>
      <c r="C4704" s="141" t="s">
        <v>25</v>
      </c>
    </row>
    <row r="4705" spans="1:3" x14ac:dyDescent="0.35">
      <c r="A4705" s="141" t="s">
        <v>677</v>
      </c>
      <c r="B4705" s="141" t="s">
        <v>269</v>
      </c>
      <c r="C4705" s="141" t="s">
        <v>25</v>
      </c>
    </row>
    <row r="4706" spans="1:3" x14ac:dyDescent="0.35">
      <c r="A4706" s="141" t="s">
        <v>678</v>
      </c>
      <c r="B4706" s="141" t="s">
        <v>269</v>
      </c>
      <c r="C4706" s="141" t="s">
        <v>25</v>
      </c>
    </row>
    <row r="4707" spans="1:3" x14ac:dyDescent="0.35">
      <c r="A4707" s="141" t="s">
        <v>679</v>
      </c>
      <c r="B4707" s="141" t="s">
        <v>269</v>
      </c>
      <c r="C4707" s="141" t="s">
        <v>25</v>
      </c>
    </row>
    <row r="4708" spans="1:3" x14ac:dyDescent="0.35">
      <c r="A4708" s="141" t="s">
        <v>680</v>
      </c>
      <c r="B4708" s="141" t="s">
        <v>269</v>
      </c>
      <c r="C4708" s="141" t="s">
        <v>25</v>
      </c>
    </row>
    <row r="4709" spans="1:3" x14ac:dyDescent="0.35">
      <c r="A4709" s="141" t="s">
        <v>675</v>
      </c>
      <c r="B4709" s="141" t="s">
        <v>269</v>
      </c>
      <c r="C4709" s="141" t="s">
        <v>24</v>
      </c>
    </row>
    <row r="4710" spans="1:3" x14ac:dyDescent="0.35">
      <c r="A4710" s="141" t="s">
        <v>706</v>
      </c>
      <c r="B4710" s="141" t="s">
        <v>269</v>
      </c>
      <c r="C4710" s="141" t="s">
        <v>31</v>
      </c>
    </row>
    <row r="4711" spans="1:3" x14ac:dyDescent="0.35">
      <c r="A4711" s="141" t="s">
        <v>707</v>
      </c>
      <c r="B4711" s="141" t="s">
        <v>269</v>
      </c>
      <c r="C4711" s="141" t="s">
        <v>31</v>
      </c>
    </row>
    <row r="4712" spans="1:3" x14ac:dyDescent="0.35">
      <c r="A4712" s="141" t="s">
        <v>708</v>
      </c>
      <c r="B4712" s="141" t="s">
        <v>269</v>
      </c>
      <c r="C4712" s="141" t="s">
        <v>31</v>
      </c>
    </row>
    <row r="4713" spans="1:3" x14ac:dyDescent="0.35">
      <c r="A4713" s="141" t="s">
        <v>709</v>
      </c>
      <c r="B4713" s="141" t="s">
        <v>269</v>
      </c>
      <c r="C4713" s="141" t="s">
        <v>31</v>
      </c>
    </row>
    <row r="4714" spans="1:3" x14ac:dyDescent="0.35">
      <c r="A4714" s="141" t="s">
        <v>710</v>
      </c>
      <c r="B4714" s="141" t="s">
        <v>269</v>
      </c>
      <c r="C4714" s="141" t="s">
        <v>31</v>
      </c>
    </row>
    <row r="4715" spans="1:3" x14ac:dyDescent="0.35">
      <c r="A4715" s="141" t="s">
        <v>456</v>
      </c>
      <c r="B4715" s="141" t="s">
        <v>269</v>
      </c>
      <c r="C4715" s="141" t="s">
        <v>31</v>
      </c>
    </row>
    <row r="4716" spans="1:3" x14ac:dyDescent="0.35">
      <c r="A4716" s="141" t="s">
        <v>626</v>
      </c>
      <c r="B4716" s="141" t="s">
        <v>269</v>
      </c>
      <c r="C4716" s="141" t="s">
        <v>31</v>
      </c>
    </row>
    <row r="4717" spans="1:3" x14ac:dyDescent="0.35">
      <c r="A4717" s="141" t="s">
        <v>627</v>
      </c>
      <c r="B4717" s="141" t="s">
        <v>269</v>
      </c>
      <c r="C4717" s="141" t="s">
        <v>31</v>
      </c>
    </row>
    <row r="4718" spans="1:3" x14ac:dyDescent="0.35">
      <c r="A4718" s="141" t="s">
        <v>458</v>
      </c>
      <c r="B4718" s="141" t="s">
        <v>269</v>
      </c>
      <c r="C4718" s="141" t="s">
        <v>31</v>
      </c>
    </row>
    <row r="4719" spans="1:3" x14ac:dyDescent="0.35">
      <c r="A4719" s="141" t="s">
        <v>628</v>
      </c>
      <c r="B4719" s="141" t="s">
        <v>269</v>
      </c>
      <c r="C4719" s="141" t="s">
        <v>31</v>
      </c>
    </row>
    <row r="4720" spans="1:3" x14ac:dyDescent="0.35">
      <c r="A4720" s="141" t="s">
        <v>629</v>
      </c>
      <c r="B4720" s="141" t="s">
        <v>269</v>
      </c>
      <c r="C4720" s="141" t="s">
        <v>31</v>
      </c>
    </row>
    <row r="4721" spans="1:3" x14ac:dyDescent="0.35">
      <c r="A4721" s="141" t="s">
        <v>460</v>
      </c>
      <c r="B4721" s="141" t="s">
        <v>269</v>
      </c>
      <c r="C4721" s="141" t="s">
        <v>31</v>
      </c>
    </row>
    <row r="4722" spans="1:3" x14ac:dyDescent="0.35">
      <c r="A4722" s="141" t="s">
        <v>461</v>
      </c>
      <c r="B4722" s="141" t="s">
        <v>269</v>
      </c>
      <c r="C4722" s="141" t="s">
        <v>31</v>
      </c>
    </row>
    <row r="4723" spans="1:3" x14ac:dyDescent="0.35">
      <c r="A4723" s="141" t="s">
        <v>808</v>
      </c>
      <c r="B4723" s="141" t="s">
        <v>269</v>
      </c>
      <c r="C4723" s="141" t="s">
        <v>31</v>
      </c>
    </row>
    <row r="4724" spans="1:3" x14ac:dyDescent="0.35">
      <c r="A4724" s="141" t="s">
        <v>809</v>
      </c>
      <c r="B4724" s="141" t="s">
        <v>269</v>
      </c>
      <c r="C4724" s="141" t="s">
        <v>31</v>
      </c>
    </row>
    <row r="4725" spans="1:3" x14ac:dyDescent="0.35">
      <c r="A4725" s="141" t="s">
        <v>297</v>
      </c>
      <c r="B4725" s="141" t="s">
        <v>269</v>
      </c>
      <c r="C4725" s="141" t="s">
        <v>32</v>
      </c>
    </row>
    <row r="4726" spans="1:3" x14ac:dyDescent="0.35">
      <c r="A4726" s="141" t="s">
        <v>298</v>
      </c>
      <c r="B4726" s="141" t="s">
        <v>269</v>
      </c>
      <c r="C4726" s="141" t="s">
        <v>32</v>
      </c>
    </row>
    <row r="4727" spans="1:3" x14ac:dyDescent="0.35">
      <c r="A4727" s="141" t="s">
        <v>299</v>
      </c>
      <c r="B4727" s="141" t="s">
        <v>269</v>
      </c>
      <c r="C4727" s="141" t="s">
        <v>32</v>
      </c>
    </row>
    <row r="4728" spans="1:3" x14ac:dyDescent="0.35">
      <c r="A4728" s="141" t="s">
        <v>300</v>
      </c>
      <c r="B4728" s="141" t="s">
        <v>269</v>
      </c>
      <c r="C4728" s="141" t="s">
        <v>32</v>
      </c>
    </row>
    <row r="4729" spans="1:3" x14ac:dyDescent="0.35">
      <c r="A4729" s="141" t="s">
        <v>301</v>
      </c>
      <c r="B4729" s="141" t="s">
        <v>269</v>
      </c>
      <c r="C4729" s="141" t="s">
        <v>32</v>
      </c>
    </row>
    <row r="4730" spans="1:3" x14ac:dyDescent="0.35">
      <c r="A4730" s="141" t="s">
        <v>302</v>
      </c>
      <c r="B4730" s="141" t="s">
        <v>269</v>
      </c>
      <c r="C4730" s="141" t="s">
        <v>32</v>
      </c>
    </row>
    <row r="4731" spans="1:3" x14ac:dyDescent="0.35">
      <c r="A4731" s="141" t="s">
        <v>810</v>
      </c>
      <c r="B4731" s="141" t="s">
        <v>269</v>
      </c>
      <c r="C4731" s="141" t="s">
        <v>33</v>
      </c>
    </row>
    <row r="4732" spans="1:3" x14ac:dyDescent="0.35">
      <c r="A4732" s="141" t="s">
        <v>790</v>
      </c>
      <c r="B4732" s="141" t="s">
        <v>269</v>
      </c>
      <c r="C4732" s="141" t="s">
        <v>33</v>
      </c>
    </row>
    <row r="4733" spans="1:3" x14ac:dyDescent="0.35">
      <c r="A4733" s="141" t="s">
        <v>791</v>
      </c>
      <c r="B4733" s="141" t="s">
        <v>269</v>
      </c>
      <c r="C4733" s="141" t="s">
        <v>33</v>
      </c>
    </row>
    <row r="4734" spans="1:3" x14ac:dyDescent="0.35">
      <c r="A4734" s="141" t="s">
        <v>734</v>
      </c>
      <c r="B4734" s="141" t="s">
        <v>269</v>
      </c>
      <c r="C4734" s="141" t="s">
        <v>33</v>
      </c>
    </row>
    <row r="4735" spans="1:3" x14ac:dyDescent="0.35">
      <c r="A4735" s="141" t="s">
        <v>811</v>
      </c>
      <c r="B4735" s="141" t="s">
        <v>269</v>
      </c>
      <c r="C4735" s="141" t="s">
        <v>36</v>
      </c>
    </row>
    <row r="4736" spans="1:3" x14ac:dyDescent="0.35">
      <c r="A4736" s="141" t="s">
        <v>728</v>
      </c>
      <c r="B4736" s="141" t="s">
        <v>269</v>
      </c>
      <c r="C4736" s="141" t="s">
        <v>28</v>
      </c>
    </row>
    <row r="4737" spans="1:3" x14ac:dyDescent="0.35">
      <c r="A4737" s="141" t="s">
        <v>729</v>
      </c>
      <c r="B4737" s="141" t="s">
        <v>269</v>
      </c>
      <c r="C4737" s="141" t="s">
        <v>28</v>
      </c>
    </row>
    <row r="4738" spans="1:3" x14ac:dyDescent="0.35">
      <c r="A4738" s="141" t="s">
        <v>730</v>
      </c>
      <c r="B4738" s="141" t="s">
        <v>269</v>
      </c>
      <c r="C4738" s="141" t="s">
        <v>28</v>
      </c>
    </row>
    <row r="4739" spans="1:3" x14ac:dyDescent="0.35">
      <c r="A4739" s="141" t="s">
        <v>731</v>
      </c>
      <c r="B4739" s="141" t="s">
        <v>269</v>
      </c>
      <c r="C4739" s="141" t="s">
        <v>29</v>
      </c>
    </row>
    <row r="4740" spans="1:3" x14ac:dyDescent="0.35">
      <c r="A4740" s="141" t="s">
        <v>716</v>
      </c>
      <c r="B4740" s="141" t="s">
        <v>269</v>
      </c>
      <c r="C4740" s="141" t="s">
        <v>36</v>
      </c>
    </row>
    <row r="4741" spans="1:3" x14ac:dyDescent="0.35">
      <c r="A4741" s="141" t="s">
        <v>717</v>
      </c>
      <c r="B4741" s="141" t="s">
        <v>269</v>
      </c>
      <c r="C4741" s="141" t="s">
        <v>36</v>
      </c>
    </row>
    <row r="4742" spans="1:3" x14ac:dyDescent="0.35">
      <c r="A4742" s="141" t="s">
        <v>718</v>
      </c>
      <c r="B4742" s="141" t="s">
        <v>269</v>
      </c>
      <c r="C4742" s="141" t="s">
        <v>36</v>
      </c>
    </row>
    <row r="4743" spans="1:3" x14ac:dyDescent="0.35">
      <c r="A4743" s="141" t="s">
        <v>719</v>
      </c>
      <c r="B4743" s="141" t="s">
        <v>269</v>
      </c>
      <c r="C4743" s="141" t="s">
        <v>36</v>
      </c>
    </row>
    <row r="4744" spans="1:3" x14ac:dyDescent="0.35">
      <c r="A4744" s="141" t="s">
        <v>720</v>
      </c>
      <c r="B4744" s="141" t="s">
        <v>269</v>
      </c>
      <c r="C4744" s="141" t="s">
        <v>36</v>
      </c>
    </row>
    <row r="4745" spans="1:3" x14ac:dyDescent="0.35">
      <c r="A4745" s="141" t="s">
        <v>721</v>
      </c>
      <c r="B4745" s="141" t="s">
        <v>269</v>
      </c>
      <c r="C4745" s="141" t="s">
        <v>36</v>
      </c>
    </row>
    <row r="4746" spans="1:3" x14ac:dyDescent="0.35">
      <c r="A4746" s="141" t="s">
        <v>834</v>
      </c>
      <c r="B4746" s="141" t="s">
        <v>269</v>
      </c>
      <c r="C4746" s="141" t="s">
        <v>36</v>
      </c>
    </row>
    <row r="4747" spans="1:3" x14ac:dyDescent="0.35">
      <c r="A4747" s="141" t="s">
        <v>724</v>
      </c>
      <c r="B4747" s="141" t="s">
        <v>269</v>
      </c>
      <c r="C4747" s="141" t="s">
        <v>37</v>
      </c>
    </row>
    <row r="4748" spans="1:3" x14ac:dyDescent="0.35">
      <c r="A4748" s="141" t="s">
        <v>725</v>
      </c>
      <c r="B4748" s="141" t="s">
        <v>269</v>
      </c>
      <c r="C4748" s="141" t="s">
        <v>37</v>
      </c>
    </row>
    <row r="4749" spans="1:3" x14ac:dyDescent="0.35">
      <c r="A4749" s="141" t="s">
        <v>726</v>
      </c>
      <c r="B4749" s="141" t="s">
        <v>269</v>
      </c>
      <c r="C4749" s="141" t="s">
        <v>33</v>
      </c>
    </row>
    <row r="4750" spans="1:3" x14ac:dyDescent="0.35">
      <c r="A4750" s="141" t="s">
        <v>732</v>
      </c>
      <c r="B4750" s="141" t="s">
        <v>269</v>
      </c>
      <c r="C4750" s="141" t="s">
        <v>28</v>
      </c>
    </row>
    <row r="4751" spans="1:3" x14ac:dyDescent="0.35">
      <c r="A4751" s="141" t="s">
        <v>727</v>
      </c>
      <c r="B4751" s="141" t="s">
        <v>269</v>
      </c>
      <c r="C4751" s="141" t="s">
        <v>36</v>
      </c>
    </row>
    <row r="4752" spans="1:3" x14ac:dyDescent="0.35">
      <c r="A4752" s="141" t="s">
        <v>492</v>
      </c>
      <c r="B4752" s="141" t="s">
        <v>269</v>
      </c>
      <c r="C4752" s="141" t="s">
        <v>32</v>
      </c>
    </row>
    <row r="4753" spans="1:3" x14ac:dyDescent="0.35">
      <c r="A4753" s="141" t="s">
        <v>493</v>
      </c>
      <c r="B4753" s="141" t="s">
        <v>269</v>
      </c>
      <c r="C4753" s="141" t="s">
        <v>32</v>
      </c>
    </row>
    <row r="4754" spans="1:3" x14ac:dyDescent="0.35">
      <c r="A4754" s="141" t="s">
        <v>494</v>
      </c>
      <c r="B4754" s="141" t="s">
        <v>269</v>
      </c>
      <c r="C4754" s="141" t="s">
        <v>32</v>
      </c>
    </row>
    <row r="4755" spans="1:3" x14ac:dyDescent="0.35">
      <c r="A4755" s="141" t="s">
        <v>495</v>
      </c>
      <c r="B4755" s="141" t="s">
        <v>269</v>
      </c>
      <c r="C4755" s="141" t="s">
        <v>32</v>
      </c>
    </row>
    <row r="4756" spans="1:3" x14ac:dyDescent="0.35">
      <c r="A4756" s="141" t="s">
        <v>496</v>
      </c>
      <c r="B4756" s="141" t="s">
        <v>269</v>
      </c>
      <c r="C4756" s="141" t="s">
        <v>32</v>
      </c>
    </row>
    <row r="4757" spans="1:3" x14ac:dyDescent="0.35">
      <c r="A4757" s="141" t="s">
        <v>497</v>
      </c>
      <c r="B4757" s="141" t="s">
        <v>269</v>
      </c>
      <c r="C4757" s="141" t="s">
        <v>32</v>
      </c>
    </row>
    <row r="4758" spans="1:3" x14ac:dyDescent="0.35">
      <c r="A4758" s="141" t="s">
        <v>681</v>
      </c>
      <c r="B4758" s="141" t="s">
        <v>269</v>
      </c>
      <c r="C4758" s="141" t="s">
        <v>32</v>
      </c>
    </row>
    <row r="4759" spans="1:3" x14ac:dyDescent="0.35">
      <c r="A4759" s="141" t="s">
        <v>682</v>
      </c>
      <c r="B4759" s="141" t="s">
        <v>269</v>
      </c>
      <c r="C4759" s="141" t="s">
        <v>32</v>
      </c>
    </row>
    <row r="4760" spans="1:3" x14ac:dyDescent="0.35">
      <c r="A4760" s="141" t="s">
        <v>683</v>
      </c>
      <c r="B4760" s="141" t="s">
        <v>269</v>
      </c>
      <c r="C4760" s="141" t="s">
        <v>32</v>
      </c>
    </row>
    <row r="4761" spans="1:3" x14ac:dyDescent="0.35">
      <c r="A4761" s="141" t="s">
        <v>684</v>
      </c>
      <c r="B4761" s="141" t="s">
        <v>269</v>
      </c>
      <c r="C4761" s="141" t="s">
        <v>32</v>
      </c>
    </row>
    <row r="4762" spans="1:3" x14ac:dyDescent="0.35">
      <c r="A4762" s="141" t="s">
        <v>685</v>
      </c>
      <c r="B4762" s="141" t="s">
        <v>269</v>
      </c>
      <c r="C4762" s="141" t="s">
        <v>32</v>
      </c>
    </row>
    <row r="4763" spans="1:3" x14ac:dyDescent="0.35">
      <c r="A4763" s="141" t="s">
        <v>686</v>
      </c>
      <c r="B4763" s="141" t="s">
        <v>269</v>
      </c>
      <c r="C4763" s="141" t="s">
        <v>32</v>
      </c>
    </row>
    <row r="4764" spans="1:3" x14ac:dyDescent="0.35">
      <c r="A4764" s="141" t="s">
        <v>687</v>
      </c>
      <c r="B4764" s="141" t="s">
        <v>269</v>
      </c>
      <c r="C4764" s="141" t="s">
        <v>32</v>
      </c>
    </row>
    <row r="4765" spans="1:3" x14ac:dyDescent="0.35">
      <c r="A4765" s="141" t="s">
        <v>502</v>
      </c>
      <c r="B4765" s="141" t="s">
        <v>269</v>
      </c>
      <c r="C4765" s="141" t="s">
        <v>32</v>
      </c>
    </row>
    <row r="4766" spans="1:3" x14ac:dyDescent="0.35">
      <c r="A4766" s="141" t="s">
        <v>503</v>
      </c>
      <c r="B4766" s="141" t="s">
        <v>269</v>
      </c>
      <c r="C4766" s="141" t="s">
        <v>32</v>
      </c>
    </row>
    <row r="4767" spans="1:3" x14ac:dyDescent="0.35">
      <c r="A4767" s="141" t="s">
        <v>504</v>
      </c>
      <c r="B4767" s="141" t="s">
        <v>269</v>
      </c>
      <c r="C4767" s="141" t="s">
        <v>26</v>
      </c>
    </row>
    <row r="4768" spans="1:3" x14ac:dyDescent="0.35">
      <c r="A4768" s="141" t="s">
        <v>688</v>
      </c>
      <c r="B4768" s="141" t="s">
        <v>269</v>
      </c>
      <c r="C4768" s="141" t="s">
        <v>32</v>
      </c>
    </row>
    <row r="4769" spans="1:3" x14ac:dyDescent="0.35">
      <c r="A4769" s="141" t="s">
        <v>689</v>
      </c>
      <c r="B4769" s="141" t="s">
        <v>269</v>
      </c>
      <c r="C4769" s="141" t="s">
        <v>32</v>
      </c>
    </row>
    <row r="4770" spans="1:3" x14ac:dyDescent="0.35">
      <c r="A4770" s="141" t="s">
        <v>690</v>
      </c>
      <c r="B4770" s="141" t="s">
        <v>269</v>
      </c>
      <c r="C4770" s="141" t="s">
        <v>32</v>
      </c>
    </row>
    <row r="4771" spans="1:3" x14ac:dyDescent="0.35">
      <c r="A4771" s="141" t="s">
        <v>691</v>
      </c>
      <c r="B4771" s="141" t="s">
        <v>269</v>
      </c>
      <c r="C4771" s="141" t="s">
        <v>32</v>
      </c>
    </row>
    <row r="4772" spans="1:3" x14ac:dyDescent="0.35">
      <c r="A4772" s="141" t="s">
        <v>694</v>
      </c>
      <c r="B4772" s="141" t="s">
        <v>269</v>
      </c>
      <c r="C4772" s="141" t="s">
        <v>32</v>
      </c>
    </row>
    <row r="4773" spans="1:3" x14ac:dyDescent="0.35">
      <c r="A4773" s="141" t="s">
        <v>695</v>
      </c>
      <c r="B4773" s="141" t="s">
        <v>269</v>
      </c>
      <c r="C4773" s="141" t="s">
        <v>32</v>
      </c>
    </row>
    <row r="4774" spans="1:3" x14ac:dyDescent="0.35">
      <c r="A4774" s="141" t="s">
        <v>696</v>
      </c>
      <c r="B4774" s="141" t="s">
        <v>269</v>
      </c>
      <c r="C4774" s="141" t="s">
        <v>32</v>
      </c>
    </row>
    <row r="4775" spans="1:3" x14ac:dyDescent="0.35">
      <c r="A4775" s="141" t="s">
        <v>697</v>
      </c>
      <c r="B4775" s="141" t="s">
        <v>269</v>
      </c>
      <c r="C4775" s="141" t="s">
        <v>32</v>
      </c>
    </row>
    <row r="4776" spans="1:3" x14ac:dyDescent="0.35">
      <c r="A4776" s="141" t="s">
        <v>692</v>
      </c>
      <c r="B4776" s="141" t="s">
        <v>269</v>
      </c>
      <c r="C4776" s="141" t="s">
        <v>32</v>
      </c>
    </row>
    <row r="4777" spans="1:3" x14ac:dyDescent="0.35">
      <c r="A4777" s="141" t="s">
        <v>693</v>
      </c>
      <c r="B4777" s="141" t="s">
        <v>269</v>
      </c>
      <c r="C4777" s="141" t="s">
        <v>32</v>
      </c>
    </row>
    <row r="4778" spans="1:3" x14ac:dyDescent="0.35">
      <c r="A4778" s="141" t="s">
        <v>509</v>
      </c>
      <c r="B4778" s="141" t="s">
        <v>269</v>
      </c>
      <c r="C4778" s="141" t="s">
        <v>32</v>
      </c>
    </row>
    <row r="4779" spans="1:3" x14ac:dyDescent="0.35">
      <c r="A4779" s="141" t="s">
        <v>510</v>
      </c>
      <c r="B4779" s="141" t="s">
        <v>269</v>
      </c>
      <c r="C4779" s="141" t="s">
        <v>32</v>
      </c>
    </row>
    <row r="4780" spans="1:3" x14ac:dyDescent="0.35">
      <c r="A4780" s="141" t="s">
        <v>860</v>
      </c>
      <c r="B4780" s="141" t="s">
        <v>269</v>
      </c>
      <c r="C4780" s="141" t="s">
        <v>32</v>
      </c>
    </row>
    <row r="4781" spans="1:3" x14ac:dyDescent="0.35">
      <c r="A4781" s="141" t="s">
        <v>786</v>
      </c>
      <c r="B4781" s="141" t="s">
        <v>269</v>
      </c>
      <c r="C4781" s="141" t="s">
        <v>35</v>
      </c>
    </row>
    <row r="4782" spans="1:3" x14ac:dyDescent="0.35">
      <c r="A4782" s="141" t="s">
        <v>787</v>
      </c>
      <c r="B4782" s="141" t="s">
        <v>269</v>
      </c>
      <c r="C4782" s="141" t="s">
        <v>35</v>
      </c>
    </row>
    <row r="4783" spans="1:3" x14ac:dyDescent="0.35">
      <c r="A4783" s="141" t="s">
        <v>704</v>
      </c>
      <c r="B4783" s="141" t="s">
        <v>269</v>
      </c>
      <c r="C4783" s="141" t="s">
        <v>35</v>
      </c>
    </row>
    <row r="4784" spans="1:3" x14ac:dyDescent="0.35">
      <c r="A4784" s="141" t="s">
        <v>705</v>
      </c>
      <c r="B4784" s="141" t="s">
        <v>269</v>
      </c>
      <c r="C4784" s="141" t="s">
        <v>35</v>
      </c>
    </row>
    <row r="4785" spans="1:3" x14ac:dyDescent="0.35">
      <c r="A4785" s="141" t="s">
        <v>861</v>
      </c>
      <c r="B4785" s="141" t="s">
        <v>269</v>
      </c>
      <c r="C4785" s="141" t="s">
        <v>33</v>
      </c>
    </row>
    <row r="4786" spans="1:3" x14ac:dyDescent="0.35">
      <c r="A4786" s="141" t="s">
        <v>862</v>
      </c>
      <c r="B4786" s="141" t="s">
        <v>269</v>
      </c>
      <c r="C4786" s="141" t="s">
        <v>33</v>
      </c>
    </row>
    <row r="4787" spans="1:3" x14ac:dyDescent="0.35">
      <c r="A4787" s="141" t="s">
        <v>516</v>
      </c>
      <c r="B4787" s="141" t="s">
        <v>269</v>
      </c>
      <c r="C4787" s="141" t="s">
        <v>33</v>
      </c>
    </row>
    <row r="4788" spans="1:3" x14ac:dyDescent="0.35">
      <c r="A4788" s="141" t="s">
        <v>863</v>
      </c>
      <c r="B4788" s="141" t="s">
        <v>269</v>
      </c>
      <c r="C4788" s="141" t="s">
        <v>30</v>
      </c>
    </row>
    <row r="4789" spans="1:3" x14ac:dyDescent="0.35">
      <c r="A4789" s="141" t="s">
        <v>864</v>
      </c>
      <c r="B4789" s="141" t="s">
        <v>269</v>
      </c>
      <c r="C4789" s="141" t="s">
        <v>30</v>
      </c>
    </row>
    <row r="4790" spans="1:3" x14ac:dyDescent="0.35">
      <c r="A4790" s="141" t="s">
        <v>865</v>
      </c>
      <c r="B4790" s="141" t="s">
        <v>269</v>
      </c>
      <c r="C4790" s="141" t="s">
        <v>34</v>
      </c>
    </row>
    <row r="4791" spans="1:3" x14ac:dyDescent="0.35">
      <c r="A4791" s="141" t="s">
        <v>866</v>
      </c>
      <c r="B4791" s="141" t="s">
        <v>269</v>
      </c>
      <c r="C4791" s="141" t="s">
        <v>34</v>
      </c>
    </row>
    <row r="4792" spans="1:3" x14ac:dyDescent="0.35">
      <c r="A4792" s="141" t="s">
        <v>784</v>
      </c>
      <c r="B4792" s="141" t="s">
        <v>269</v>
      </c>
      <c r="C4792" s="141" t="s">
        <v>30</v>
      </c>
    </row>
    <row r="4793" spans="1:3" x14ac:dyDescent="0.35">
      <c r="A4793" s="141" t="s">
        <v>867</v>
      </c>
      <c r="B4793" s="141" t="s">
        <v>269</v>
      </c>
      <c r="C4793" s="141" t="s">
        <v>30</v>
      </c>
    </row>
    <row r="4794" spans="1:3" x14ac:dyDescent="0.35">
      <c r="A4794" s="141" t="s">
        <v>525</v>
      </c>
      <c r="B4794" s="141" t="s">
        <v>269</v>
      </c>
      <c r="C4794" s="141" t="s">
        <v>46</v>
      </c>
    </row>
    <row r="4795" spans="1:3" x14ac:dyDescent="0.35">
      <c r="A4795" s="141" t="s">
        <v>868</v>
      </c>
      <c r="B4795" s="141" t="s">
        <v>269</v>
      </c>
      <c r="C4795" s="141" t="s">
        <v>32</v>
      </c>
    </row>
    <row r="4796" spans="1:3" x14ac:dyDescent="0.35">
      <c r="A4796" s="141" t="s">
        <v>869</v>
      </c>
      <c r="B4796" s="141" t="s">
        <v>269</v>
      </c>
      <c r="C4796" s="141" t="s">
        <v>32</v>
      </c>
    </row>
    <row r="4797" spans="1:3" x14ac:dyDescent="0.35">
      <c r="A4797" s="141" t="s">
        <v>870</v>
      </c>
      <c r="B4797" s="141" t="s">
        <v>269</v>
      </c>
      <c r="C4797" s="141" t="s">
        <v>32</v>
      </c>
    </row>
    <row r="4798" spans="1:3" x14ac:dyDescent="0.35">
      <c r="A4798" s="141" t="s">
        <v>871</v>
      </c>
      <c r="B4798" s="141" t="s">
        <v>269</v>
      </c>
      <c r="C4798" s="141" t="s">
        <v>25</v>
      </c>
    </row>
    <row r="4799" spans="1:3" x14ac:dyDescent="0.35">
      <c r="A4799" s="141" t="s">
        <v>872</v>
      </c>
      <c r="B4799" s="141" t="s">
        <v>269</v>
      </c>
      <c r="C4799" s="141" t="s">
        <v>25</v>
      </c>
    </row>
    <row r="4800" spans="1:3" x14ac:dyDescent="0.35">
      <c r="A4800" s="141" t="s">
        <v>531</v>
      </c>
      <c r="B4800" s="141" t="s">
        <v>269</v>
      </c>
      <c r="C4800" s="141" t="s">
        <v>51</v>
      </c>
    </row>
    <row r="4801" spans="1:3" x14ac:dyDescent="0.35">
      <c r="A4801" s="141" t="s">
        <v>741</v>
      </c>
      <c r="B4801" s="141" t="s">
        <v>269</v>
      </c>
      <c r="C4801" s="141" t="s">
        <v>51</v>
      </c>
    </row>
    <row r="4802" spans="1:3" x14ac:dyDescent="0.35">
      <c r="A4802" s="141" t="s">
        <v>742</v>
      </c>
      <c r="B4802" s="141" t="s">
        <v>269</v>
      </c>
      <c r="C4802" s="141" t="s">
        <v>51</v>
      </c>
    </row>
    <row r="4803" spans="1:3" x14ac:dyDescent="0.35">
      <c r="A4803" s="141" t="s">
        <v>743</v>
      </c>
      <c r="B4803" s="141" t="s">
        <v>269</v>
      </c>
      <c r="C4803" s="141" t="s">
        <v>51</v>
      </c>
    </row>
    <row r="4804" spans="1:3" x14ac:dyDescent="0.35">
      <c r="A4804" s="141" t="s">
        <v>747</v>
      </c>
      <c r="B4804" s="141" t="s">
        <v>269</v>
      </c>
      <c r="C4804" s="141" t="s">
        <v>51</v>
      </c>
    </row>
    <row r="4805" spans="1:3" x14ac:dyDescent="0.35">
      <c r="A4805" s="141" t="s">
        <v>748</v>
      </c>
      <c r="B4805" s="141" t="s">
        <v>269</v>
      </c>
      <c r="C4805" s="141" t="s">
        <v>51</v>
      </c>
    </row>
    <row r="4806" spans="1:3" x14ac:dyDescent="0.35">
      <c r="A4806" s="141" t="s">
        <v>533</v>
      </c>
      <c r="B4806" s="141" t="s">
        <v>269</v>
      </c>
      <c r="C4806" s="141" t="s">
        <v>50</v>
      </c>
    </row>
    <row r="4807" spans="1:3" x14ac:dyDescent="0.35">
      <c r="A4807" s="141" t="s">
        <v>308</v>
      </c>
      <c r="B4807" s="141" t="s">
        <v>269</v>
      </c>
      <c r="C4807" s="141" t="s">
        <v>53</v>
      </c>
    </row>
    <row r="4808" spans="1:3" x14ac:dyDescent="0.35">
      <c r="A4808" s="141" t="s">
        <v>309</v>
      </c>
      <c r="B4808" s="141" t="s">
        <v>269</v>
      </c>
      <c r="C4808" s="141" t="s">
        <v>53</v>
      </c>
    </row>
    <row r="4809" spans="1:3" x14ac:dyDescent="0.35">
      <c r="A4809" s="141" t="s">
        <v>310</v>
      </c>
      <c r="B4809" s="141" t="s">
        <v>269</v>
      </c>
      <c r="C4809" s="141" t="s">
        <v>53</v>
      </c>
    </row>
    <row r="4810" spans="1:3" x14ac:dyDescent="0.35">
      <c r="A4810" s="141" t="s">
        <v>311</v>
      </c>
      <c r="B4810" s="141" t="s">
        <v>269</v>
      </c>
      <c r="C4810" s="141" t="s">
        <v>53</v>
      </c>
    </row>
    <row r="4811" spans="1:3" x14ac:dyDescent="0.35">
      <c r="A4811" s="141" t="s">
        <v>534</v>
      </c>
      <c r="B4811" s="141" t="s">
        <v>269</v>
      </c>
      <c r="C4811" s="141" t="s">
        <v>53</v>
      </c>
    </row>
    <row r="4812" spans="1:3" x14ac:dyDescent="0.35">
      <c r="A4812" s="141" t="s">
        <v>312</v>
      </c>
      <c r="B4812" s="141" t="s">
        <v>269</v>
      </c>
      <c r="C4812" s="141" t="s">
        <v>53</v>
      </c>
    </row>
    <row r="4813" spans="1:3" x14ac:dyDescent="0.35">
      <c r="A4813" s="141" t="s">
        <v>647</v>
      </c>
      <c r="B4813" s="141" t="s">
        <v>269</v>
      </c>
      <c r="C4813" s="141" t="s">
        <v>52</v>
      </c>
    </row>
    <row r="4814" spans="1:3" x14ac:dyDescent="0.35">
      <c r="A4814" s="141" t="s">
        <v>873</v>
      </c>
      <c r="B4814" s="141" t="s">
        <v>269</v>
      </c>
      <c r="C4814" s="141" t="s">
        <v>52</v>
      </c>
    </row>
    <row r="4815" spans="1:3" x14ac:dyDescent="0.35">
      <c r="A4815" s="141" t="s">
        <v>874</v>
      </c>
      <c r="B4815" s="141" t="s">
        <v>269</v>
      </c>
      <c r="C4815" s="141" t="s">
        <v>52</v>
      </c>
    </row>
    <row r="4816" spans="1:3" x14ac:dyDescent="0.35">
      <c r="A4816" s="141" t="s">
        <v>875</v>
      </c>
      <c r="B4816" s="141" t="s">
        <v>269</v>
      </c>
      <c r="C4816" s="141" t="s">
        <v>52</v>
      </c>
    </row>
    <row r="4817" spans="1:3" x14ac:dyDescent="0.35">
      <c r="A4817" s="141" t="s">
        <v>876</v>
      </c>
      <c r="B4817" s="141" t="s">
        <v>269</v>
      </c>
      <c r="C4817" s="141" t="s">
        <v>52</v>
      </c>
    </row>
    <row r="4818" spans="1:3" x14ac:dyDescent="0.35">
      <c r="A4818" s="141" t="s">
        <v>877</v>
      </c>
      <c r="B4818" s="141" t="s">
        <v>269</v>
      </c>
      <c r="C4818" s="141" t="s">
        <v>52</v>
      </c>
    </row>
    <row r="4819" spans="1:3" x14ac:dyDescent="0.35">
      <c r="A4819" s="141" t="s">
        <v>878</v>
      </c>
      <c r="B4819" s="141" t="s">
        <v>269</v>
      </c>
      <c r="C4819" s="141" t="s">
        <v>52</v>
      </c>
    </row>
    <row r="4820" spans="1:3" x14ac:dyDescent="0.35">
      <c r="A4820" s="141" t="s">
        <v>539</v>
      </c>
      <c r="B4820" s="141" t="s">
        <v>269</v>
      </c>
      <c r="C4820" s="141" t="s">
        <v>52</v>
      </c>
    </row>
    <row r="4821" spans="1:3" x14ac:dyDescent="0.35">
      <c r="A4821" s="141" t="s">
        <v>540</v>
      </c>
      <c r="B4821" s="141" t="s">
        <v>269</v>
      </c>
      <c r="C4821" s="141" t="s">
        <v>52</v>
      </c>
    </row>
    <row r="4822" spans="1:3" x14ac:dyDescent="0.35">
      <c r="A4822" s="141" t="s">
        <v>812</v>
      </c>
      <c r="B4822" s="141" t="s">
        <v>269</v>
      </c>
      <c r="C4822" s="141" t="s">
        <v>52</v>
      </c>
    </row>
    <row r="4823" spans="1:3" x14ac:dyDescent="0.35">
      <c r="A4823" s="141" t="s">
        <v>803</v>
      </c>
      <c r="B4823" s="141" t="s">
        <v>269</v>
      </c>
      <c r="C4823" s="141" t="s">
        <v>52</v>
      </c>
    </row>
    <row r="4824" spans="1:3" x14ac:dyDescent="0.35">
      <c r="A4824" s="141" t="s">
        <v>542</v>
      </c>
      <c r="B4824" s="141" t="s">
        <v>269</v>
      </c>
      <c r="C4824" s="141" t="s">
        <v>52</v>
      </c>
    </row>
    <row r="4825" spans="1:3" x14ac:dyDescent="0.35">
      <c r="A4825" s="141" t="s">
        <v>543</v>
      </c>
      <c r="B4825" s="141" t="s">
        <v>269</v>
      </c>
      <c r="C4825" s="141" t="s">
        <v>52</v>
      </c>
    </row>
    <row r="4826" spans="1:3" x14ac:dyDescent="0.35">
      <c r="A4826" s="141" t="s">
        <v>544</v>
      </c>
      <c r="B4826" s="141" t="s">
        <v>269</v>
      </c>
      <c r="C4826" s="141" t="s">
        <v>33</v>
      </c>
    </row>
    <row r="4827" spans="1:3" x14ac:dyDescent="0.35">
      <c r="A4827" s="141" t="s">
        <v>804</v>
      </c>
      <c r="B4827" s="141" t="s">
        <v>269</v>
      </c>
      <c r="C4827" s="141" t="s">
        <v>53</v>
      </c>
    </row>
    <row r="4828" spans="1:3" x14ac:dyDescent="0.35">
      <c r="A4828" s="141" t="s">
        <v>805</v>
      </c>
      <c r="B4828" s="141" t="s">
        <v>269</v>
      </c>
      <c r="C4828" s="141" t="s">
        <v>52</v>
      </c>
    </row>
    <row r="4829" spans="1:3" x14ac:dyDescent="0.35">
      <c r="A4829" s="141" t="s">
        <v>879</v>
      </c>
      <c r="B4829" s="141" t="s">
        <v>269</v>
      </c>
      <c r="C4829" s="141" t="s">
        <v>52</v>
      </c>
    </row>
    <row r="4830" spans="1:3" x14ac:dyDescent="0.35">
      <c r="A4830" s="141" t="s">
        <v>880</v>
      </c>
      <c r="B4830" s="141" t="s">
        <v>269</v>
      </c>
      <c r="C4830" s="141" t="s">
        <v>52</v>
      </c>
    </row>
    <row r="4831" spans="1:3" x14ac:dyDescent="0.35">
      <c r="A4831" s="141" t="s">
        <v>740</v>
      </c>
      <c r="B4831" s="141" t="s">
        <v>269</v>
      </c>
      <c r="C4831" s="141" t="s">
        <v>33</v>
      </c>
    </row>
    <row r="4832" spans="1:3" x14ac:dyDescent="0.35">
      <c r="A4832" s="141" t="s">
        <v>550</v>
      </c>
      <c r="B4832" s="141" t="s">
        <v>269</v>
      </c>
      <c r="C4832" s="141" t="s">
        <v>33</v>
      </c>
    </row>
    <row r="4833" spans="1:3" x14ac:dyDescent="0.35">
      <c r="A4833" s="141" t="s">
        <v>551</v>
      </c>
      <c r="B4833" s="141" t="s">
        <v>269</v>
      </c>
      <c r="C4833" s="141" t="s">
        <v>33</v>
      </c>
    </row>
    <row r="4834" spans="1:3" x14ac:dyDescent="0.35">
      <c r="A4834" s="141" t="s">
        <v>306</v>
      </c>
      <c r="B4834" s="141" t="s">
        <v>269</v>
      </c>
      <c r="C4834" s="141" t="s">
        <v>35</v>
      </c>
    </row>
    <row r="4835" spans="1:3" x14ac:dyDescent="0.35">
      <c r="A4835" s="141" t="s">
        <v>307</v>
      </c>
      <c r="B4835" s="141" t="s">
        <v>269</v>
      </c>
      <c r="C4835" s="141" t="s">
        <v>33</v>
      </c>
    </row>
    <row r="4836" spans="1:3" x14ac:dyDescent="0.35">
      <c r="A4836" s="141" t="s">
        <v>315</v>
      </c>
      <c r="B4836" s="141" t="s">
        <v>269</v>
      </c>
      <c r="C4836" s="141" t="s">
        <v>16</v>
      </c>
    </row>
    <row r="4837" spans="1:3" x14ac:dyDescent="0.35">
      <c r="A4837" s="141" t="s">
        <v>316</v>
      </c>
      <c r="B4837" s="141" t="s">
        <v>269</v>
      </c>
      <c r="C4837" s="141" t="s">
        <v>16</v>
      </c>
    </row>
    <row r="4838" spans="1:3" x14ac:dyDescent="0.35">
      <c r="A4838" s="141" t="s">
        <v>317</v>
      </c>
      <c r="B4838" s="141" t="s">
        <v>269</v>
      </c>
      <c r="C4838" s="141" t="s">
        <v>16</v>
      </c>
    </row>
    <row r="4839" spans="1:3" x14ac:dyDescent="0.35">
      <c r="A4839" s="141" t="s">
        <v>318</v>
      </c>
      <c r="B4839" s="141" t="s">
        <v>269</v>
      </c>
      <c r="C4839" s="141" t="s">
        <v>16</v>
      </c>
    </row>
    <row r="4840" spans="1:3" x14ac:dyDescent="0.35">
      <c r="A4840" s="141" t="s">
        <v>319</v>
      </c>
      <c r="B4840" s="141" t="s">
        <v>269</v>
      </c>
      <c r="C4840" s="141" t="s">
        <v>16</v>
      </c>
    </row>
    <row r="4841" spans="1:3" x14ac:dyDescent="0.35">
      <c r="A4841" s="141" t="s">
        <v>320</v>
      </c>
      <c r="B4841" s="141" t="s">
        <v>269</v>
      </c>
      <c r="C4841" s="141" t="s">
        <v>16</v>
      </c>
    </row>
    <row r="4842" spans="1:3" x14ac:dyDescent="0.35">
      <c r="A4842" s="141" t="s">
        <v>322</v>
      </c>
      <c r="B4842" s="141" t="s">
        <v>269</v>
      </c>
      <c r="C4842" s="141" t="s">
        <v>16</v>
      </c>
    </row>
    <row r="4843" spans="1:3" x14ac:dyDescent="0.35">
      <c r="A4843" s="141" t="s">
        <v>324</v>
      </c>
      <c r="B4843" s="141" t="s">
        <v>269</v>
      </c>
      <c r="C4843" s="141" t="s">
        <v>16</v>
      </c>
    </row>
    <row r="4844" spans="1:3" x14ac:dyDescent="0.35">
      <c r="A4844" s="141" t="s">
        <v>326</v>
      </c>
      <c r="B4844" s="141" t="s">
        <v>269</v>
      </c>
      <c r="C4844" s="141" t="s">
        <v>16</v>
      </c>
    </row>
    <row r="4845" spans="1:3" x14ac:dyDescent="0.35">
      <c r="A4845" s="141" t="s">
        <v>327</v>
      </c>
      <c r="B4845" s="141" t="s">
        <v>269</v>
      </c>
      <c r="C4845" s="141" t="s">
        <v>16</v>
      </c>
    </row>
    <row r="4846" spans="1:3" x14ac:dyDescent="0.35">
      <c r="A4846" s="141" t="s">
        <v>328</v>
      </c>
      <c r="B4846" s="141" t="s">
        <v>269</v>
      </c>
      <c r="C4846" s="141" t="s">
        <v>16</v>
      </c>
    </row>
    <row r="4847" spans="1:3" x14ac:dyDescent="0.35">
      <c r="A4847" s="141" t="s">
        <v>331</v>
      </c>
      <c r="B4847" s="141" t="s">
        <v>269</v>
      </c>
      <c r="C4847" s="141" t="s">
        <v>16</v>
      </c>
    </row>
    <row r="4848" spans="1:3" x14ac:dyDescent="0.35">
      <c r="A4848" s="141" t="s">
        <v>332</v>
      </c>
      <c r="B4848" s="141" t="s">
        <v>269</v>
      </c>
      <c r="C4848" s="141" t="s">
        <v>16</v>
      </c>
    </row>
    <row r="4849" spans="1:3" x14ac:dyDescent="0.35">
      <c r="A4849" s="141" t="s">
        <v>333</v>
      </c>
      <c r="B4849" s="141" t="s">
        <v>269</v>
      </c>
      <c r="C4849" s="141" t="s">
        <v>16</v>
      </c>
    </row>
    <row r="4850" spans="1:3" x14ac:dyDescent="0.35">
      <c r="A4850" s="141" t="s">
        <v>334</v>
      </c>
      <c r="B4850" s="141" t="s">
        <v>269</v>
      </c>
      <c r="C4850" s="141" t="s">
        <v>16</v>
      </c>
    </row>
    <row r="4851" spans="1:3" x14ac:dyDescent="0.35">
      <c r="A4851" s="141" t="s">
        <v>881</v>
      </c>
      <c r="B4851" s="141" t="s">
        <v>269</v>
      </c>
      <c r="C4851" s="141" t="s">
        <v>16</v>
      </c>
    </row>
    <row r="4852" spans="1:3" x14ac:dyDescent="0.35">
      <c r="A4852" s="141" t="s">
        <v>806</v>
      </c>
      <c r="B4852" s="141" t="s">
        <v>269</v>
      </c>
      <c r="C4852" s="141" t="s">
        <v>32</v>
      </c>
    </row>
    <row r="4853" spans="1:3" x14ac:dyDescent="0.35">
      <c r="A4853" s="141" t="s">
        <v>579</v>
      </c>
      <c r="B4853" s="141" t="s">
        <v>269</v>
      </c>
      <c r="C4853" s="141" t="s">
        <v>32</v>
      </c>
    </row>
    <row r="4854" spans="1:3" x14ac:dyDescent="0.35">
      <c r="A4854" s="141" t="s">
        <v>556</v>
      </c>
      <c r="B4854" s="141" t="s">
        <v>269</v>
      </c>
      <c r="C4854" s="141" t="s">
        <v>32</v>
      </c>
    </row>
    <row r="4855" spans="1:3" x14ac:dyDescent="0.35">
      <c r="A4855" s="141" t="s">
        <v>557</v>
      </c>
      <c r="B4855" s="141" t="s">
        <v>269</v>
      </c>
      <c r="C4855" s="141" t="s">
        <v>32</v>
      </c>
    </row>
    <row r="4856" spans="1:3" x14ac:dyDescent="0.35">
      <c r="A4856" s="141" t="s">
        <v>558</v>
      </c>
      <c r="B4856" s="141" t="s">
        <v>269</v>
      </c>
      <c r="C4856" s="141" t="s">
        <v>32</v>
      </c>
    </row>
    <row r="4857" spans="1:3" x14ac:dyDescent="0.35">
      <c r="A4857" s="141" t="s">
        <v>580</v>
      </c>
      <c r="B4857" s="141" t="s">
        <v>269</v>
      </c>
      <c r="C4857" s="141" t="s">
        <v>32</v>
      </c>
    </row>
    <row r="4858" spans="1:3" x14ac:dyDescent="0.35">
      <c r="A4858" s="141" t="s">
        <v>559</v>
      </c>
      <c r="B4858" s="141" t="s">
        <v>269</v>
      </c>
      <c r="C4858" s="141" t="s">
        <v>47</v>
      </c>
    </row>
    <row r="4859" spans="1:3" x14ac:dyDescent="0.35">
      <c r="A4859" s="141" t="s">
        <v>560</v>
      </c>
      <c r="B4859" s="141" t="s">
        <v>269</v>
      </c>
      <c r="C4859" s="141" t="s">
        <v>47</v>
      </c>
    </row>
    <row r="4860" spans="1:3" x14ac:dyDescent="0.35">
      <c r="A4860" s="141" t="s">
        <v>561</v>
      </c>
      <c r="B4860" s="141" t="s">
        <v>269</v>
      </c>
      <c r="C4860" s="141" t="s">
        <v>47</v>
      </c>
    </row>
    <row r="4861" spans="1:3" x14ac:dyDescent="0.35">
      <c r="A4861" s="141" t="s">
        <v>562</v>
      </c>
      <c r="B4861" s="141" t="s">
        <v>269</v>
      </c>
      <c r="C4861" s="141" t="s">
        <v>48</v>
      </c>
    </row>
    <row r="4862" spans="1:3" x14ac:dyDescent="0.35">
      <c r="A4862" s="141" t="s">
        <v>563</v>
      </c>
      <c r="B4862" s="141" t="s">
        <v>269</v>
      </c>
      <c r="C4862" s="141" t="s">
        <v>47</v>
      </c>
    </row>
    <row r="4863" spans="1:3" x14ac:dyDescent="0.35">
      <c r="A4863" s="141" t="s">
        <v>352</v>
      </c>
      <c r="B4863" s="141" t="s">
        <v>270</v>
      </c>
      <c r="C4863" s="141" t="s">
        <v>2</v>
      </c>
    </row>
    <row r="4864" spans="1:3" x14ac:dyDescent="0.35">
      <c r="A4864" s="141" t="s">
        <v>354</v>
      </c>
      <c r="B4864" s="141" t="s">
        <v>270</v>
      </c>
      <c r="C4864" s="141" t="s">
        <v>2</v>
      </c>
    </row>
    <row r="4865" spans="1:3" x14ac:dyDescent="0.35">
      <c r="A4865" s="141" t="s">
        <v>818</v>
      </c>
      <c r="B4865" s="141" t="s">
        <v>270</v>
      </c>
      <c r="C4865" s="141" t="s">
        <v>12</v>
      </c>
    </row>
    <row r="4866" spans="1:3" x14ac:dyDescent="0.35">
      <c r="A4866" s="141" t="s">
        <v>835</v>
      </c>
      <c r="B4866" s="141" t="s">
        <v>270</v>
      </c>
      <c r="C4866" s="141" t="s">
        <v>12</v>
      </c>
    </row>
    <row r="4867" spans="1:3" x14ac:dyDescent="0.35">
      <c r="A4867" s="141" t="s">
        <v>836</v>
      </c>
      <c r="B4867" s="141" t="s">
        <v>270</v>
      </c>
      <c r="C4867" s="141" t="s">
        <v>12</v>
      </c>
    </row>
    <row r="4868" spans="1:3" x14ac:dyDescent="0.35">
      <c r="A4868" s="141" t="s">
        <v>837</v>
      </c>
      <c r="B4868" s="141" t="s">
        <v>270</v>
      </c>
      <c r="C4868" s="141" t="s">
        <v>14</v>
      </c>
    </row>
    <row r="4869" spans="1:3" x14ac:dyDescent="0.35">
      <c r="A4869" s="141" t="s">
        <v>358</v>
      </c>
      <c r="B4869" s="141" t="s">
        <v>270</v>
      </c>
      <c r="C4869" s="141" t="s">
        <v>14</v>
      </c>
    </row>
    <row r="4870" spans="1:3" x14ac:dyDescent="0.35">
      <c r="A4870" s="141" t="s">
        <v>654</v>
      </c>
      <c r="B4870" s="141" t="s">
        <v>270</v>
      </c>
      <c r="C4870" s="141" t="s">
        <v>14</v>
      </c>
    </row>
    <row r="4871" spans="1:3" x14ac:dyDescent="0.35">
      <c r="A4871" s="141" t="s">
        <v>655</v>
      </c>
      <c r="B4871" s="141" t="s">
        <v>270</v>
      </c>
      <c r="C4871" s="141" t="s">
        <v>14</v>
      </c>
    </row>
    <row r="4872" spans="1:3" x14ac:dyDescent="0.35">
      <c r="A4872" s="141" t="s">
        <v>749</v>
      </c>
      <c r="B4872" s="141" t="s">
        <v>270</v>
      </c>
      <c r="C4872" s="141" t="s">
        <v>14</v>
      </c>
    </row>
    <row r="4873" spans="1:3" x14ac:dyDescent="0.35">
      <c r="A4873" s="141" t="s">
        <v>838</v>
      </c>
      <c r="B4873" s="141" t="s">
        <v>270</v>
      </c>
      <c r="C4873" s="141" t="s">
        <v>13</v>
      </c>
    </row>
    <row r="4874" spans="1:3" x14ac:dyDescent="0.35">
      <c r="A4874" s="141" t="s">
        <v>667</v>
      </c>
      <c r="B4874" s="141" t="s">
        <v>270</v>
      </c>
      <c r="C4874" s="141" t="s">
        <v>55</v>
      </c>
    </row>
    <row r="4875" spans="1:3" x14ac:dyDescent="0.35">
      <c r="A4875" s="141" t="s">
        <v>669</v>
      </c>
      <c r="B4875" s="141" t="s">
        <v>270</v>
      </c>
      <c r="C4875" s="141" t="s">
        <v>55</v>
      </c>
    </row>
    <row r="4876" spans="1:3" x14ac:dyDescent="0.35">
      <c r="A4876" s="141" t="s">
        <v>668</v>
      </c>
      <c r="B4876" s="141" t="s">
        <v>270</v>
      </c>
      <c r="C4876" s="141" t="s">
        <v>54</v>
      </c>
    </row>
    <row r="4877" spans="1:3" x14ac:dyDescent="0.35">
      <c r="A4877" s="141" t="s">
        <v>670</v>
      </c>
      <c r="B4877" s="141" t="s">
        <v>270</v>
      </c>
      <c r="C4877" s="141" t="s">
        <v>54</v>
      </c>
    </row>
    <row r="4878" spans="1:3" x14ac:dyDescent="0.35">
      <c r="A4878" s="141" t="s">
        <v>359</v>
      </c>
      <c r="B4878" s="141" t="s">
        <v>270</v>
      </c>
      <c r="C4878" s="141" t="s">
        <v>46</v>
      </c>
    </row>
    <row r="4879" spans="1:3" x14ac:dyDescent="0.35">
      <c r="A4879" s="141" t="s">
        <v>360</v>
      </c>
      <c r="B4879" s="141" t="s">
        <v>270</v>
      </c>
      <c r="C4879" s="141" t="s">
        <v>46</v>
      </c>
    </row>
    <row r="4880" spans="1:3" x14ac:dyDescent="0.35">
      <c r="A4880" s="141" t="s">
        <v>819</v>
      </c>
      <c r="B4880" s="141" t="s">
        <v>270</v>
      </c>
      <c r="C4880" s="141" t="s">
        <v>45</v>
      </c>
    </row>
    <row r="4881" spans="1:3" x14ac:dyDescent="0.35">
      <c r="A4881" s="141" t="s">
        <v>820</v>
      </c>
      <c r="B4881" s="141" t="s">
        <v>270</v>
      </c>
      <c r="C4881" s="141" t="s">
        <v>45</v>
      </c>
    </row>
    <row r="4882" spans="1:3" x14ac:dyDescent="0.35">
      <c r="A4882" s="141" t="s">
        <v>821</v>
      </c>
      <c r="B4882" s="141" t="s">
        <v>270</v>
      </c>
      <c r="C4882" s="141" t="s">
        <v>45</v>
      </c>
    </row>
    <row r="4883" spans="1:3" x14ac:dyDescent="0.35">
      <c r="A4883" s="141" t="s">
        <v>822</v>
      </c>
      <c r="B4883" s="141" t="s">
        <v>270</v>
      </c>
      <c r="C4883" s="141" t="s">
        <v>45</v>
      </c>
    </row>
    <row r="4884" spans="1:3" x14ac:dyDescent="0.35">
      <c r="A4884" s="141" t="s">
        <v>823</v>
      </c>
      <c r="B4884" s="141" t="s">
        <v>270</v>
      </c>
      <c r="C4884" s="141" t="s">
        <v>45</v>
      </c>
    </row>
    <row r="4885" spans="1:3" x14ac:dyDescent="0.35">
      <c r="A4885" s="141" t="s">
        <v>824</v>
      </c>
      <c r="B4885" s="141" t="s">
        <v>270</v>
      </c>
      <c r="C4885" s="141" t="s">
        <v>45</v>
      </c>
    </row>
    <row r="4886" spans="1:3" x14ac:dyDescent="0.35">
      <c r="A4886" s="141" t="s">
        <v>825</v>
      </c>
      <c r="B4886" s="141" t="s">
        <v>270</v>
      </c>
      <c r="C4886" s="141" t="s">
        <v>45</v>
      </c>
    </row>
    <row r="4887" spans="1:3" x14ac:dyDescent="0.35">
      <c r="A4887" s="141" t="s">
        <v>826</v>
      </c>
      <c r="B4887" s="141" t="s">
        <v>270</v>
      </c>
      <c r="C4887" s="141" t="s">
        <v>45</v>
      </c>
    </row>
    <row r="4888" spans="1:3" x14ac:dyDescent="0.35">
      <c r="A4888" s="141" t="s">
        <v>827</v>
      </c>
      <c r="B4888" s="141" t="s">
        <v>270</v>
      </c>
      <c r="C4888" s="141" t="s">
        <v>45</v>
      </c>
    </row>
    <row r="4889" spans="1:3" x14ac:dyDescent="0.35">
      <c r="A4889" s="141" t="s">
        <v>828</v>
      </c>
      <c r="B4889" s="141" t="s">
        <v>270</v>
      </c>
      <c r="C4889" s="141" t="s">
        <v>45</v>
      </c>
    </row>
    <row r="4890" spans="1:3" x14ac:dyDescent="0.35">
      <c r="A4890" s="141" t="s">
        <v>829</v>
      </c>
      <c r="B4890" s="141" t="s">
        <v>270</v>
      </c>
      <c r="C4890" s="141" t="s">
        <v>45</v>
      </c>
    </row>
    <row r="4891" spans="1:3" x14ac:dyDescent="0.35">
      <c r="A4891" s="141" t="s">
        <v>830</v>
      </c>
      <c r="B4891" s="141" t="s">
        <v>270</v>
      </c>
      <c r="C4891" s="141" t="s">
        <v>45</v>
      </c>
    </row>
    <row r="4892" spans="1:3" x14ac:dyDescent="0.35">
      <c r="A4892" s="141" t="s">
        <v>831</v>
      </c>
      <c r="B4892" s="141" t="s">
        <v>270</v>
      </c>
      <c r="C4892" s="141" t="s">
        <v>45</v>
      </c>
    </row>
    <row r="4893" spans="1:3" x14ac:dyDescent="0.35">
      <c r="A4893" s="141" t="s">
        <v>832</v>
      </c>
      <c r="B4893" s="141" t="s">
        <v>270</v>
      </c>
      <c r="C4893" s="141" t="s">
        <v>45</v>
      </c>
    </row>
    <row r="4894" spans="1:3" x14ac:dyDescent="0.35">
      <c r="A4894" s="141" t="s">
        <v>776</v>
      </c>
      <c r="B4894" s="141" t="s">
        <v>270</v>
      </c>
      <c r="C4894" s="141" t="s">
        <v>45</v>
      </c>
    </row>
    <row r="4895" spans="1:3" x14ac:dyDescent="0.35">
      <c r="A4895" s="141" t="s">
        <v>777</v>
      </c>
      <c r="B4895" s="141" t="s">
        <v>270</v>
      </c>
      <c r="C4895" s="141" t="s">
        <v>46</v>
      </c>
    </row>
    <row r="4896" spans="1:3" x14ac:dyDescent="0.35">
      <c r="A4896" s="141" t="s">
        <v>778</v>
      </c>
      <c r="B4896" s="141" t="s">
        <v>270</v>
      </c>
      <c r="C4896" s="141" t="s">
        <v>45</v>
      </c>
    </row>
    <row r="4897" spans="1:3" x14ac:dyDescent="0.35">
      <c r="A4897" s="141" t="s">
        <v>779</v>
      </c>
      <c r="B4897" s="141" t="s">
        <v>270</v>
      </c>
      <c r="C4897" s="141" t="s">
        <v>45</v>
      </c>
    </row>
    <row r="4898" spans="1:3" x14ac:dyDescent="0.35">
      <c r="A4898" s="141" t="s">
        <v>780</v>
      </c>
      <c r="B4898" s="141" t="s">
        <v>270</v>
      </c>
      <c r="C4898" s="141" t="s">
        <v>45</v>
      </c>
    </row>
    <row r="4899" spans="1:3" x14ac:dyDescent="0.35">
      <c r="A4899" s="141" t="s">
        <v>781</v>
      </c>
      <c r="B4899" s="141" t="s">
        <v>270</v>
      </c>
      <c r="C4899" s="141" t="s">
        <v>45</v>
      </c>
    </row>
    <row r="4900" spans="1:3" x14ac:dyDescent="0.35">
      <c r="A4900" s="141" t="s">
        <v>586</v>
      </c>
      <c r="B4900" s="141" t="s">
        <v>270</v>
      </c>
      <c r="C4900" s="141" t="s">
        <v>4</v>
      </c>
    </row>
    <row r="4901" spans="1:3" x14ac:dyDescent="0.35">
      <c r="A4901" s="141" t="s">
        <v>587</v>
      </c>
      <c r="B4901" s="141" t="s">
        <v>270</v>
      </c>
      <c r="C4901" s="141" t="s">
        <v>4</v>
      </c>
    </row>
    <row r="4902" spans="1:3" x14ac:dyDescent="0.35">
      <c r="A4902" s="141" t="s">
        <v>588</v>
      </c>
      <c r="B4902" s="141" t="s">
        <v>270</v>
      </c>
      <c r="C4902" s="141" t="s">
        <v>4</v>
      </c>
    </row>
    <row r="4903" spans="1:3" x14ac:dyDescent="0.35">
      <c r="A4903" s="141" t="s">
        <v>365</v>
      </c>
      <c r="B4903" s="141" t="s">
        <v>270</v>
      </c>
      <c r="C4903" s="141" t="s">
        <v>7</v>
      </c>
    </row>
    <row r="4904" spans="1:3" x14ac:dyDescent="0.35">
      <c r="A4904" s="141" t="s">
        <v>589</v>
      </c>
      <c r="B4904" s="141" t="s">
        <v>270</v>
      </c>
      <c r="C4904" s="141" t="s">
        <v>4</v>
      </c>
    </row>
    <row r="4905" spans="1:3" x14ac:dyDescent="0.35">
      <c r="A4905" s="141" t="s">
        <v>366</v>
      </c>
      <c r="B4905" s="141" t="s">
        <v>270</v>
      </c>
      <c r="C4905" s="141" t="s">
        <v>8</v>
      </c>
    </row>
    <row r="4906" spans="1:3" x14ac:dyDescent="0.35">
      <c r="A4906" s="141" t="s">
        <v>882</v>
      </c>
      <c r="B4906" s="141" t="s">
        <v>270</v>
      </c>
      <c r="C4906" s="141" t="s">
        <v>27</v>
      </c>
    </row>
    <row r="4907" spans="1:3" x14ac:dyDescent="0.35">
      <c r="A4907" s="141" t="s">
        <v>883</v>
      </c>
      <c r="B4907" s="141" t="s">
        <v>270</v>
      </c>
      <c r="C4907" s="141" t="s">
        <v>27</v>
      </c>
    </row>
    <row r="4908" spans="1:3" x14ac:dyDescent="0.35">
      <c r="A4908" s="141" t="s">
        <v>884</v>
      </c>
      <c r="B4908" s="141" t="s">
        <v>270</v>
      </c>
      <c r="C4908" s="141" t="s">
        <v>27</v>
      </c>
    </row>
    <row r="4909" spans="1:3" x14ac:dyDescent="0.35">
      <c r="A4909" s="141" t="s">
        <v>271</v>
      </c>
      <c r="B4909" s="141" t="s">
        <v>270</v>
      </c>
      <c r="C4909" s="141" t="s">
        <v>24</v>
      </c>
    </row>
    <row r="4910" spans="1:3" x14ac:dyDescent="0.35">
      <c r="A4910" s="141" t="s">
        <v>367</v>
      </c>
      <c r="B4910" s="141" t="s">
        <v>270</v>
      </c>
      <c r="C4910" s="141" t="s">
        <v>8</v>
      </c>
    </row>
    <row r="4911" spans="1:3" x14ac:dyDescent="0.35">
      <c r="A4911" s="141" t="s">
        <v>840</v>
      </c>
      <c r="B4911" s="141" t="s">
        <v>270</v>
      </c>
      <c r="C4911" s="141" t="s">
        <v>10</v>
      </c>
    </row>
    <row r="4912" spans="1:3" x14ac:dyDescent="0.35">
      <c r="A4912" s="141" t="s">
        <v>841</v>
      </c>
      <c r="B4912" s="141" t="s">
        <v>270</v>
      </c>
      <c r="C4912" s="141" t="s">
        <v>10</v>
      </c>
    </row>
    <row r="4913" spans="1:3" x14ac:dyDescent="0.35">
      <c r="A4913" s="141" t="s">
        <v>370</v>
      </c>
      <c r="B4913" s="141" t="s">
        <v>270</v>
      </c>
      <c r="C4913" s="141" t="s">
        <v>10</v>
      </c>
    </row>
    <row r="4914" spans="1:3" x14ac:dyDescent="0.35">
      <c r="A4914" s="141" t="s">
        <v>371</v>
      </c>
      <c r="B4914" s="141" t="s">
        <v>270</v>
      </c>
      <c r="C4914" s="141" t="s">
        <v>10</v>
      </c>
    </row>
    <row r="4915" spans="1:3" x14ac:dyDescent="0.35">
      <c r="A4915" s="141" t="s">
        <v>372</v>
      </c>
      <c r="B4915" s="141" t="s">
        <v>270</v>
      </c>
      <c r="C4915" s="141" t="s">
        <v>10</v>
      </c>
    </row>
    <row r="4916" spans="1:3" x14ac:dyDescent="0.35">
      <c r="A4916" s="141" t="s">
        <v>373</v>
      </c>
      <c r="B4916" s="141" t="s">
        <v>270</v>
      </c>
      <c r="C4916" s="141" t="s">
        <v>10</v>
      </c>
    </row>
    <row r="4917" spans="1:3" x14ac:dyDescent="0.35">
      <c r="A4917" s="141" t="s">
        <v>375</v>
      </c>
      <c r="B4917" s="141" t="s">
        <v>270</v>
      </c>
      <c r="C4917" s="141" t="s">
        <v>10</v>
      </c>
    </row>
    <row r="4918" spans="1:3" x14ac:dyDescent="0.35">
      <c r="A4918" s="141" t="s">
        <v>376</v>
      </c>
      <c r="B4918" s="141" t="s">
        <v>270</v>
      </c>
      <c r="C4918" s="141" t="s">
        <v>10</v>
      </c>
    </row>
    <row r="4919" spans="1:3" x14ac:dyDescent="0.35">
      <c r="A4919" s="141" t="s">
        <v>842</v>
      </c>
      <c r="B4919" s="141" t="s">
        <v>270</v>
      </c>
      <c r="C4919" s="141" t="s">
        <v>11</v>
      </c>
    </row>
    <row r="4920" spans="1:3" x14ac:dyDescent="0.35">
      <c r="A4920" s="141" t="s">
        <v>843</v>
      </c>
      <c r="B4920" s="141" t="s">
        <v>270</v>
      </c>
      <c r="C4920" s="141" t="s">
        <v>11</v>
      </c>
    </row>
    <row r="4921" spans="1:3" x14ac:dyDescent="0.35">
      <c r="A4921" s="141" t="s">
        <v>844</v>
      </c>
      <c r="B4921" s="141" t="s">
        <v>270</v>
      </c>
      <c r="C4921" s="141" t="s">
        <v>11</v>
      </c>
    </row>
    <row r="4922" spans="1:3" x14ac:dyDescent="0.35">
      <c r="A4922" s="141" t="s">
        <v>845</v>
      </c>
      <c r="B4922" s="141" t="s">
        <v>270</v>
      </c>
      <c r="C4922" s="141" t="s">
        <v>11</v>
      </c>
    </row>
    <row r="4923" spans="1:3" x14ac:dyDescent="0.35">
      <c r="A4923" s="141" t="s">
        <v>383</v>
      </c>
      <c r="B4923" s="141" t="s">
        <v>270</v>
      </c>
      <c r="C4923" s="141" t="s">
        <v>5</v>
      </c>
    </row>
    <row r="4924" spans="1:3" x14ac:dyDescent="0.35">
      <c r="A4924" s="141" t="s">
        <v>564</v>
      </c>
      <c r="B4924" s="141" t="s">
        <v>270</v>
      </c>
      <c r="C4924" s="141" t="s">
        <v>7</v>
      </c>
    </row>
    <row r="4925" spans="1:3" x14ac:dyDescent="0.35">
      <c r="A4925" s="141" t="s">
        <v>565</v>
      </c>
      <c r="B4925" s="141" t="s">
        <v>270</v>
      </c>
      <c r="C4925" s="141" t="s">
        <v>7</v>
      </c>
    </row>
    <row r="4926" spans="1:3" x14ac:dyDescent="0.35">
      <c r="A4926" s="141" t="s">
        <v>385</v>
      </c>
      <c r="B4926" s="141" t="s">
        <v>270</v>
      </c>
      <c r="C4926" s="141" t="s">
        <v>7</v>
      </c>
    </row>
    <row r="4927" spans="1:3" x14ac:dyDescent="0.35">
      <c r="A4927" s="141" t="s">
        <v>386</v>
      </c>
      <c r="B4927" s="141" t="s">
        <v>270</v>
      </c>
      <c r="C4927" s="141" t="s">
        <v>7</v>
      </c>
    </row>
    <row r="4928" spans="1:3" x14ac:dyDescent="0.35">
      <c r="A4928" s="141" t="s">
        <v>387</v>
      </c>
      <c r="B4928" s="141" t="s">
        <v>270</v>
      </c>
      <c r="C4928" s="141" t="s">
        <v>7</v>
      </c>
    </row>
    <row r="4929" spans="1:3" x14ac:dyDescent="0.35">
      <c r="A4929" s="141" t="s">
        <v>388</v>
      </c>
      <c r="B4929" s="141" t="s">
        <v>270</v>
      </c>
      <c r="C4929" s="141" t="s">
        <v>8</v>
      </c>
    </row>
    <row r="4930" spans="1:3" x14ac:dyDescent="0.35">
      <c r="A4930" s="141" t="s">
        <v>389</v>
      </c>
      <c r="B4930" s="141" t="s">
        <v>270</v>
      </c>
      <c r="C4930" s="141" t="s">
        <v>8</v>
      </c>
    </row>
    <row r="4931" spans="1:3" x14ac:dyDescent="0.35">
      <c r="A4931" s="141" t="s">
        <v>390</v>
      </c>
      <c r="B4931" s="141" t="s">
        <v>270</v>
      </c>
      <c r="C4931" s="141" t="s">
        <v>16</v>
      </c>
    </row>
    <row r="4932" spans="1:3" x14ac:dyDescent="0.35">
      <c r="A4932" s="141" t="s">
        <v>846</v>
      </c>
      <c r="B4932" s="141" t="s">
        <v>270</v>
      </c>
      <c r="C4932" s="141" t="s">
        <v>16</v>
      </c>
    </row>
    <row r="4933" spans="1:3" x14ac:dyDescent="0.35">
      <c r="A4933" s="141" t="s">
        <v>393</v>
      </c>
      <c r="B4933" s="141" t="s">
        <v>270</v>
      </c>
      <c r="C4933" s="141" t="s">
        <v>9</v>
      </c>
    </row>
    <row r="4934" spans="1:3" x14ac:dyDescent="0.35">
      <c r="A4934" s="141" t="s">
        <v>885</v>
      </c>
      <c r="B4934" s="141" t="s">
        <v>270</v>
      </c>
      <c r="C4934" s="141" t="s">
        <v>19</v>
      </c>
    </row>
    <row r="4935" spans="1:3" x14ac:dyDescent="0.35">
      <c r="A4935" s="141" t="s">
        <v>886</v>
      </c>
      <c r="B4935" s="141" t="s">
        <v>270</v>
      </c>
      <c r="C4935" s="141" t="s">
        <v>19</v>
      </c>
    </row>
    <row r="4936" spans="1:3" x14ac:dyDescent="0.35">
      <c r="A4936" s="141" t="s">
        <v>398</v>
      </c>
      <c r="B4936" s="141" t="s">
        <v>270</v>
      </c>
      <c r="C4936" s="141" t="s">
        <v>17</v>
      </c>
    </row>
    <row r="4937" spans="1:3" x14ac:dyDescent="0.35">
      <c r="A4937" s="141" t="s">
        <v>399</v>
      </c>
      <c r="B4937" s="141" t="s">
        <v>270</v>
      </c>
      <c r="C4937" s="141" t="s">
        <v>16</v>
      </c>
    </row>
    <row r="4938" spans="1:3" x14ac:dyDescent="0.35">
      <c r="A4938" s="141" t="s">
        <v>400</v>
      </c>
      <c r="B4938" s="141" t="s">
        <v>270</v>
      </c>
      <c r="C4938" s="141" t="s">
        <v>20</v>
      </c>
    </row>
    <row r="4939" spans="1:3" x14ac:dyDescent="0.35">
      <c r="A4939" s="141" t="s">
        <v>401</v>
      </c>
      <c r="B4939" s="141" t="s">
        <v>270</v>
      </c>
      <c r="C4939" s="141" t="s">
        <v>20</v>
      </c>
    </row>
    <row r="4940" spans="1:3" x14ac:dyDescent="0.35">
      <c r="A4940" s="141" t="s">
        <v>671</v>
      </c>
      <c r="B4940" s="141" t="s">
        <v>270</v>
      </c>
      <c r="C4940" s="141" t="s">
        <v>20</v>
      </c>
    </row>
    <row r="4941" spans="1:3" x14ac:dyDescent="0.35">
      <c r="A4941" s="141" t="s">
        <v>402</v>
      </c>
      <c r="B4941" s="141" t="s">
        <v>270</v>
      </c>
      <c r="C4941" s="141" t="s">
        <v>20</v>
      </c>
    </row>
    <row r="4942" spans="1:3" x14ac:dyDescent="0.35">
      <c r="A4942" s="141" t="s">
        <v>592</v>
      </c>
      <c r="B4942" s="141" t="s">
        <v>270</v>
      </c>
      <c r="C4942" s="141" t="s">
        <v>20</v>
      </c>
    </row>
    <row r="4943" spans="1:3" x14ac:dyDescent="0.35">
      <c r="A4943" s="141" t="s">
        <v>593</v>
      </c>
      <c r="B4943" s="141" t="s">
        <v>270</v>
      </c>
      <c r="C4943" s="141" t="s">
        <v>20</v>
      </c>
    </row>
    <row r="4944" spans="1:3" x14ac:dyDescent="0.35">
      <c r="A4944" s="141" t="s">
        <v>403</v>
      </c>
      <c r="B4944" s="141" t="s">
        <v>270</v>
      </c>
      <c r="C4944" s="141" t="s">
        <v>20</v>
      </c>
    </row>
    <row r="4945" spans="1:3" x14ac:dyDescent="0.35">
      <c r="A4945" s="141" t="s">
        <v>404</v>
      </c>
      <c r="B4945" s="141" t="s">
        <v>270</v>
      </c>
      <c r="C4945" s="141" t="s">
        <v>16</v>
      </c>
    </row>
    <row r="4946" spans="1:3" x14ac:dyDescent="0.35">
      <c r="A4946" s="141" t="s">
        <v>405</v>
      </c>
      <c r="B4946" s="141" t="s">
        <v>270</v>
      </c>
      <c r="C4946" s="141" t="s">
        <v>16</v>
      </c>
    </row>
    <row r="4947" spans="1:3" x14ac:dyDescent="0.35">
      <c r="A4947" s="141" t="s">
        <v>406</v>
      </c>
      <c r="B4947" s="141" t="s">
        <v>270</v>
      </c>
      <c r="C4947" s="141" t="s">
        <v>18</v>
      </c>
    </row>
    <row r="4948" spans="1:3" x14ac:dyDescent="0.35">
      <c r="A4948" s="141" t="s">
        <v>407</v>
      </c>
      <c r="B4948" s="141" t="s">
        <v>270</v>
      </c>
      <c r="C4948" s="141" t="s">
        <v>17</v>
      </c>
    </row>
    <row r="4949" spans="1:3" x14ac:dyDescent="0.35">
      <c r="A4949" s="141" t="s">
        <v>566</v>
      </c>
      <c r="B4949" s="141" t="s">
        <v>270</v>
      </c>
      <c r="C4949" s="141" t="s">
        <v>17</v>
      </c>
    </row>
    <row r="4950" spans="1:3" x14ac:dyDescent="0.35">
      <c r="A4950" s="141" t="s">
        <v>833</v>
      </c>
      <c r="B4950" s="141" t="s">
        <v>270</v>
      </c>
      <c r="C4950" s="141" t="s">
        <v>17</v>
      </c>
    </row>
    <row r="4951" spans="1:3" x14ac:dyDescent="0.35">
      <c r="A4951" s="141" t="s">
        <v>409</v>
      </c>
      <c r="B4951" s="141" t="s">
        <v>270</v>
      </c>
      <c r="C4951" s="141" t="s">
        <v>18</v>
      </c>
    </row>
    <row r="4952" spans="1:3" x14ac:dyDescent="0.35">
      <c r="A4952" s="141" t="s">
        <v>410</v>
      </c>
      <c r="B4952" s="141" t="s">
        <v>270</v>
      </c>
      <c r="C4952" s="141" t="s">
        <v>18</v>
      </c>
    </row>
    <row r="4953" spans="1:3" x14ac:dyDescent="0.35">
      <c r="A4953" s="141" t="s">
        <v>295</v>
      </c>
      <c r="B4953" s="141" t="s">
        <v>270</v>
      </c>
      <c r="C4953" s="141" t="s">
        <v>18</v>
      </c>
    </row>
    <row r="4954" spans="1:3" x14ac:dyDescent="0.35">
      <c r="A4954" s="141" t="s">
        <v>411</v>
      </c>
      <c r="B4954" s="141" t="s">
        <v>270</v>
      </c>
      <c r="C4954" s="141" t="s">
        <v>9</v>
      </c>
    </row>
    <row r="4955" spans="1:3" x14ac:dyDescent="0.35">
      <c r="A4955" s="141" t="s">
        <v>412</v>
      </c>
      <c r="B4955" s="141" t="s">
        <v>270</v>
      </c>
      <c r="C4955" s="141" t="s">
        <v>9</v>
      </c>
    </row>
    <row r="4956" spans="1:3" x14ac:dyDescent="0.35">
      <c r="A4956" s="141" t="s">
        <v>413</v>
      </c>
      <c r="B4956" s="141" t="s">
        <v>270</v>
      </c>
      <c r="C4956" s="141" t="s">
        <v>9</v>
      </c>
    </row>
    <row r="4957" spans="1:3" x14ac:dyDescent="0.35">
      <c r="A4957" s="141" t="s">
        <v>414</v>
      </c>
      <c r="B4957" s="141" t="s">
        <v>270</v>
      </c>
      <c r="C4957" s="141" t="s">
        <v>9</v>
      </c>
    </row>
    <row r="4958" spans="1:3" x14ac:dyDescent="0.35">
      <c r="A4958" s="141" t="s">
        <v>415</v>
      </c>
      <c r="B4958" s="141" t="s">
        <v>270</v>
      </c>
      <c r="C4958" s="141" t="s">
        <v>9</v>
      </c>
    </row>
    <row r="4959" spans="1:3" x14ac:dyDescent="0.35">
      <c r="A4959" s="141" t="s">
        <v>416</v>
      </c>
      <c r="B4959" s="141" t="s">
        <v>270</v>
      </c>
      <c r="C4959" s="141" t="s">
        <v>15</v>
      </c>
    </row>
    <row r="4960" spans="1:3" x14ac:dyDescent="0.35">
      <c r="A4960" s="141" t="s">
        <v>417</v>
      </c>
      <c r="B4960" s="141" t="s">
        <v>270</v>
      </c>
      <c r="C4960" s="141" t="s">
        <v>6</v>
      </c>
    </row>
    <row r="4961" spans="1:3" x14ac:dyDescent="0.35">
      <c r="A4961" s="141" t="s">
        <v>418</v>
      </c>
      <c r="B4961" s="141" t="s">
        <v>270</v>
      </c>
      <c r="C4961" s="141" t="s">
        <v>17</v>
      </c>
    </row>
    <row r="4962" spans="1:3" x14ac:dyDescent="0.35">
      <c r="A4962" s="141" t="s">
        <v>419</v>
      </c>
      <c r="B4962" s="141" t="s">
        <v>270</v>
      </c>
      <c r="C4962" s="141" t="s">
        <v>17</v>
      </c>
    </row>
    <row r="4963" spans="1:3" x14ac:dyDescent="0.35">
      <c r="A4963" s="141" t="s">
        <v>420</v>
      </c>
      <c r="B4963" s="141" t="s">
        <v>270</v>
      </c>
      <c r="C4963" s="141" t="s">
        <v>17</v>
      </c>
    </row>
    <row r="4964" spans="1:3" x14ac:dyDescent="0.35">
      <c r="A4964" s="141" t="s">
        <v>421</v>
      </c>
      <c r="B4964" s="141" t="s">
        <v>270</v>
      </c>
      <c r="C4964" s="141" t="s">
        <v>6</v>
      </c>
    </row>
    <row r="4965" spans="1:3" x14ac:dyDescent="0.35">
      <c r="A4965" s="141" t="s">
        <v>422</v>
      </c>
      <c r="B4965" s="141" t="s">
        <v>270</v>
      </c>
      <c r="C4965" s="141" t="s">
        <v>17</v>
      </c>
    </row>
    <row r="4966" spans="1:3" x14ac:dyDescent="0.35">
      <c r="A4966" s="141" t="s">
        <v>276</v>
      </c>
      <c r="B4966" s="141" t="s">
        <v>270</v>
      </c>
      <c r="C4966" s="141" t="s">
        <v>24</v>
      </c>
    </row>
    <row r="4967" spans="1:3" x14ac:dyDescent="0.35">
      <c r="A4967" s="141" t="s">
        <v>277</v>
      </c>
      <c r="B4967" s="141" t="s">
        <v>270</v>
      </c>
      <c r="C4967" s="141" t="s">
        <v>21</v>
      </c>
    </row>
    <row r="4968" spans="1:3" x14ac:dyDescent="0.35">
      <c r="A4968" s="141" t="s">
        <v>290</v>
      </c>
      <c r="B4968" s="141" t="s">
        <v>270</v>
      </c>
      <c r="C4968" s="141" t="s">
        <v>23</v>
      </c>
    </row>
    <row r="4969" spans="1:3" x14ac:dyDescent="0.35">
      <c r="A4969" s="141" t="s">
        <v>848</v>
      </c>
      <c r="B4969" s="141" t="s">
        <v>270</v>
      </c>
      <c r="C4969" s="141" t="s">
        <v>22</v>
      </c>
    </row>
    <row r="4970" spans="1:3" x14ac:dyDescent="0.35">
      <c r="A4970" s="141" t="s">
        <v>849</v>
      </c>
      <c r="B4970" s="141" t="s">
        <v>270</v>
      </c>
      <c r="C4970" s="141" t="s">
        <v>22</v>
      </c>
    </row>
    <row r="4971" spans="1:3" x14ac:dyDescent="0.35">
      <c r="A4971" s="141" t="s">
        <v>850</v>
      </c>
      <c r="B4971" s="141" t="s">
        <v>270</v>
      </c>
      <c r="C4971" s="141" t="s">
        <v>22</v>
      </c>
    </row>
    <row r="4972" spans="1:3" x14ac:dyDescent="0.35">
      <c r="A4972" s="141" t="s">
        <v>887</v>
      </c>
      <c r="B4972" s="141" t="s">
        <v>270</v>
      </c>
      <c r="C4972" s="141" t="s">
        <v>24</v>
      </c>
    </row>
    <row r="4973" spans="1:3" x14ac:dyDescent="0.35">
      <c r="A4973" s="141" t="s">
        <v>888</v>
      </c>
      <c r="B4973" s="141" t="s">
        <v>270</v>
      </c>
      <c r="C4973" s="141" t="s">
        <v>24</v>
      </c>
    </row>
    <row r="4974" spans="1:3" x14ac:dyDescent="0.35">
      <c r="A4974" s="141" t="s">
        <v>889</v>
      </c>
      <c r="B4974" s="141" t="s">
        <v>270</v>
      </c>
      <c r="C4974" s="141" t="s">
        <v>24</v>
      </c>
    </row>
    <row r="4975" spans="1:3" x14ac:dyDescent="0.35">
      <c r="A4975" s="141" t="s">
        <v>890</v>
      </c>
      <c r="B4975" s="141" t="s">
        <v>270</v>
      </c>
      <c r="C4975" s="141" t="s">
        <v>24</v>
      </c>
    </row>
    <row r="4976" spans="1:3" x14ac:dyDescent="0.35">
      <c r="A4976" s="141" t="s">
        <v>891</v>
      </c>
      <c r="B4976" s="141" t="s">
        <v>270</v>
      </c>
      <c r="C4976" s="141" t="s">
        <v>24</v>
      </c>
    </row>
    <row r="4977" spans="1:3" x14ac:dyDescent="0.35">
      <c r="A4977" s="141" t="s">
        <v>304</v>
      </c>
      <c r="B4977" s="141" t="s">
        <v>270</v>
      </c>
      <c r="C4977" s="142"/>
    </row>
    <row r="4978" spans="1:3" x14ac:dyDescent="0.35">
      <c r="A4978" s="141" t="s">
        <v>795</v>
      </c>
      <c r="B4978" s="141" t="s">
        <v>270</v>
      </c>
      <c r="C4978" s="142"/>
    </row>
    <row r="4979" spans="1:3" x14ac:dyDescent="0.35">
      <c r="A4979" s="141" t="s">
        <v>796</v>
      </c>
      <c r="B4979" s="141" t="s">
        <v>270</v>
      </c>
      <c r="C4979" s="142"/>
    </row>
    <row r="4980" spans="1:3" x14ac:dyDescent="0.35">
      <c r="A4980" s="141" t="s">
        <v>601</v>
      </c>
      <c r="B4980" s="141" t="s">
        <v>270</v>
      </c>
      <c r="C4980" s="141" t="s">
        <v>40</v>
      </c>
    </row>
    <row r="4981" spans="1:3" x14ac:dyDescent="0.35">
      <c r="A4981" s="141" t="s">
        <v>602</v>
      </c>
      <c r="B4981" s="141" t="s">
        <v>270</v>
      </c>
      <c r="C4981" s="141" t="s">
        <v>39</v>
      </c>
    </row>
    <row r="4982" spans="1:3" x14ac:dyDescent="0.35">
      <c r="A4982" s="141" t="s">
        <v>735</v>
      </c>
      <c r="B4982" s="141" t="s">
        <v>270</v>
      </c>
      <c r="C4982" s="141" t="s">
        <v>41</v>
      </c>
    </row>
    <row r="4983" spans="1:3" x14ac:dyDescent="0.35">
      <c r="A4983" s="141" t="s">
        <v>736</v>
      </c>
      <c r="B4983" s="141" t="s">
        <v>270</v>
      </c>
      <c r="C4983" s="141" t="s">
        <v>41</v>
      </c>
    </row>
    <row r="4984" spans="1:3" x14ac:dyDescent="0.35">
      <c r="A4984" s="141" t="s">
        <v>737</v>
      </c>
      <c r="B4984" s="141" t="s">
        <v>270</v>
      </c>
      <c r="C4984" s="141" t="s">
        <v>41</v>
      </c>
    </row>
    <row r="4985" spans="1:3" x14ac:dyDescent="0.35">
      <c r="A4985" s="141" t="s">
        <v>738</v>
      </c>
      <c r="B4985" s="141" t="s">
        <v>270</v>
      </c>
      <c r="C4985" s="141" t="s">
        <v>41</v>
      </c>
    </row>
    <row r="4986" spans="1:3" x14ac:dyDescent="0.35">
      <c r="A4986" s="141" t="s">
        <v>797</v>
      </c>
      <c r="B4986" s="141" t="s">
        <v>270</v>
      </c>
      <c r="C4986" s="141" t="s">
        <v>41</v>
      </c>
    </row>
    <row r="4987" spans="1:3" x14ac:dyDescent="0.35">
      <c r="A4987" s="141" t="s">
        <v>798</v>
      </c>
      <c r="B4987" s="141" t="s">
        <v>270</v>
      </c>
      <c r="C4987" s="141" t="s">
        <v>40</v>
      </c>
    </row>
    <row r="4988" spans="1:3" x14ac:dyDescent="0.35">
      <c r="A4988" s="141" t="s">
        <v>799</v>
      </c>
      <c r="B4988" s="141" t="s">
        <v>270</v>
      </c>
      <c r="C4988" s="141" t="s">
        <v>40</v>
      </c>
    </row>
    <row r="4989" spans="1:3" x14ac:dyDescent="0.35">
      <c r="A4989" s="141" t="s">
        <v>775</v>
      </c>
      <c r="B4989" s="141" t="s">
        <v>270</v>
      </c>
      <c r="C4989" s="141" t="s">
        <v>38</v>
      </c>
    </row>
    <row r="4990" spans="1:3" x14ac:dyDescent="0.35">
      <c r="A4990" s="141" t="s">
        <v>605</v>
      </c>
      <c r="B4990" s="141" t="s">
        <v>270</v>
      </c>
      <c r="C4990" s="141" t="s">
        <v>43</v>
      </c>
    </row>
    <row r="4991" spans="1:3" x14ac:dyDescent="0.35">
      <c r="A4991" s="141" t="s">
        <v>606</v>
      </c>
      <c r="B4991" s="141" t="s">
        <v>270</v>
      </c>
      <c r="C4991" s="141" t="s">
        <v>43</v>
      </c>
    </row>
    <row r="4992" spans="1:3" x14ac:dyDescent="0.35">
      <c r="A4992" s="141" t="s">
        <v>607</v>
      </c>
      <c r="B4992" s="141" t="s">
        <v>270</v>
      </c>
      <c r="C4992" s="141" t="s">
        <v>43</v>
      </c>
    </row>
    <row r="4993" spans="1:3" x14ac:dyDescent="0.35">
      <c r="A4993" s="141" t="s">
        <v>608</v>
      </c>
      <c r="B4993" s="141" t="s">
        <v>270</v>
      </c>
      <c r="C4993" s="141" t="s">
        <v>43</v>
      </c>
    </row>
    <row r="4994" spans="1:3" x14ac:dyDescent="0.35">
      <c r="A4994" s="141" t="s">
        <v>609</v>
      </c>
      <c r="B4994" s="141" t="s">
        <v>270</v>
      </c>
      <c r="C4994" s="141" t="s">
        <v>43</v>
      </c>
    </row>
    <row r="4995" spans="1:3" x14ac:dyDescent="0.35">
      <c r="A4995" s="141" t="s">
        <v>610</v>
      </c>
      <c r="B4995" s="141" t="s">
        <v>270</v>
      </c>
      <c r="C4995" s="141" t="s">
        <v>43</v>
      </c>
    </row>
    <row r="4996" spans="1:3" x14ac:dyDescent="0.35">
      <c r="A4996" s="141" t="s">
        <v>612</v>
      </c>
      <c r="B4996" s="141" t="s">
        <v>270</v>
      </c>
      <c r="C4996" s="141" t="s">
        <v>43</v>
      </c>
    </row>
    <row r="4997" spans="1:3" x14ac:dyDescent="0.35">
      <c r="A4997" s="141" t="s">
        <v>853</v>
      </c>
      <c r="B4997" s="141" t="s">
        <v>270</v>
      </c>
      <c r="C4997" s="141" t="s">
        <v>43</v>
      </c>
    </row>
    <row r="4998" spans="1:3" x14ac:dyDescent="0.35">
      <c r="A4998" s="141" t="s">
        <v>614</v>
      </c>
      <c r="B4998" s="141" t="s">
        <v>270</v>
      </c>
      <c r="C4998" s="141" t="s">
        <v>43</v>
      </c>
    </row>
    <row r="4999" spans="1:3" x14ac:dyDescent="0.35">
      <c r="A4999" s="141" t="s">
        <v>615</v>
      </c>
      <c r="B4999" s="141" t="s">
        <v>270</v>
      </c>
      <c r="C4999" s="141" t="s">
        <v>43</v>
      </c>
    </row>
    <row r="5000" spans="1:3" x14ac:dyDescent="0.35">
      <c r="A5000" s="141" t="s">
        <v>616</v>
      </c>
      <c r="B5000" s="141" t="s">
        <v>270</v>
      </c>
      <c r="C5000" s="141" t="s">
        <v>43</v>
      </c>
    </row>
    <row r="5001" spans="1:3" x14ac:dyDescent="0.35">
      <c r="A5001" s="141" t="s">
        <v>854</v>
      </c>
      <c r="B5001" s="141" t="s">
        <v>270</v>
      </c>
      <c r="C5001" s="141" t="s">
        <v>43</v>
      </c>
    </row>
    <row r="5002" spans="1:3" x14ac:dyDescent="0.35">
      <c r="A5002" s="141" t="s">
        <v>618</v>
      </c>
      <c r="B5002" s="141" t="s">
        <v>270</v>
      </c>
      <c r="C5002" s="141" t="s">
        <v>43</v>
      </c>
    </row>
    <row r="5003" spans="1:3" x14ac:dyDescent="0.35">
      <c r="A5003" s="141" t="s">
        <v>774</v>
      </c>
      <c r="B5003" s="141" t="s">
        <v>270</v>
      </c>
      <c r="C5003" s="141" t="s">
        <v>43</v>
      </c>
    </row>
    <row r="5004" spans="1:3" x14ac:dyDescent="0.35">
      <c r="A5004" s="141" t="s">
        <v>855</v>
      </c>
      <c r="B5004" s="141" t="s">
        <v>270</v>
      </c>
      <c r="C5004" s="141" t="s">
        <v>52</v>
      </c>
    </row>
    <row r="5005" spans="1:3" x14ac:dyDescent="0.35">
      <c r="A5005" s="141" t="s">
        <v>570</v>
      </c>
      <c r="B5005" s="141" t="s">
        <v>270</v>
      </c>
      <c r="C5005" s="141" t="s">
        <v>52</v>
      </c>
    </row>
    <row r="5006" spans="1:3" x14ac:dyDescent="0.35">
      <c r="A5006" s="141" t="s">
        <v>856</v>
      </c>
      <c r="B5006" s="141" t="s">
        <v>270</v>
      </c>
      <c r="C5006" s="141" t="s">
        <v>52</v>
      </c>
    </row>
    <row r="5007" spans="1:3" x14ac:dyDescent="0.35">
      <c r="A5007" s="141" t="s">
        <v>857</v>
      </c>
      <c r="B5007" s="141" t="s">
        <v>270</v>
      </c>
      <c r="C5007" s="141" t="s">
        <v>52</v>
      </c>
    </row>
    <row r="5008" spans="1:3" x14ac:dyDescent="0.35">
      <c r="A5008" s="141" t="s">
        <v>807</v>
      </c>
      <c r="B5008" s="141" t="s">
        <v>270</v>
      </c>
      <c r="C5008" s="141" t="s">
        <v>3</v>
      </c>
    </row>
    <row r="5009" spans="1:3" x14ac:dyDescent="0.35">
      <c r="A5009" s="141" t="s">
        <v>892</v>
      </c>
      <c r="B5009" s="141" t="s">
        <v>270</v>
      </c>
      <c r="C5009" s="141" t="s">
        <v>33</v>
      </c>
    </row>
    <row r="5010" spans="1:3" x14ac:dyDescent="0.35">
      <c r="A5010" s="141" t="s">
        <v>893</v>
      </c>
      <c r="B5010" s="141" t="s">
        <v>270</v>
      </c>
      <c r="C5010" s="141" t="s">
        <v>33</v>
      </c>
    </row>
    <row r="5011" spans="1:3" x14ac:dyDescent="0.35">
      <c r="A5011" s="141" t="s">
        <v>894</v>
      </c>
      <c r="B5011" s="141" t="s">
        <v>270</v>
      </c>
      <c r="C5011" s="141" t="s">
        <v>33</v>
      </c>
    </row>
    <row r="5012" spans="1:3" x14ac:dyDescent="0.35">
      <c r="A5012" s="141" t="s">
        <v>672</v>
      </c>
      <c r="B5012" s="141" t="s">
        <v>270</v>
      </c>
      <c r="C5012" s="141" t="s">
        <v>25</v>
      </c>
    </row>
    <row r="5013" spans="1:3" x14ac:dyDescent="0.35">
      <c r="A5013" s="141" t="s">
        <v>895</v>
      </c>
      <c r="B5013" s="141" t="s">
        <v>270</v>
      </c>
      <c r="C5013" s="141" t="s">
        <v>25</v>
      </c>
    </row>
    <row r="5014" spans="1:3" x14ac:dyDescent="0.35">
      <c r="A5014" s="141" t="s">
        <v>896</v>
      </c>
      <c r="B5014" s="141" t="s">
        <v>270</v>
      </c>
      <c r="C5014" s="141" t="s">
        <v>25</v>
      </c>
    </row>
    <row r="5015" spans="1:3" x14ac:dyDescent="0.35">
      <c r="A5015" s="141" t="s">
        <v>897</v>
      </c>
      <c r="B5015" s="141" t="s">
        <v>270</v>
      </c>
      <c r="C5015" s="141" t="s">
        <v>26</v>
      </c>
    </row>
    <row r="5016" spans="1:3" x14ac:dyDescent="0.35">
      <c r="A5016" s="141" t="s">
        <v>898</v>
      </c>
      <c r="B5016" s="141" t="s">
        <v>270</v>
      </c>
      <c r="C5016" s="141" t="s">
        <v>25</v>
      </c>
    </row>
    <row r="5017" spans="1:3" x14ac:dyDescent="0.35">
      <c r="A5017" s="141" t="s">
        <v>899</v>
      </c>
      <c r="B5017" s="141" t="s">
        <v>270</v>
      </c>
      <c r="C5017" s="141" t="s">
        <v>24</v>
      </c>
    </row>
    <row r="5018" spans="1:3" x14ac:dyDescent="0.35">
      <c r="A5018" s="141" t="s">
        <v>900</v>
      </c>
      <c r="B5018" s="141" t="s">
        <v>270</v>
      </c>
      <c r="C5018" s="141" t="s">
        <v>24</v>
      </c>
    </row>
    <row r="5019" spans="1:3" x14ac:dyDescent="0.35">
      <c r="A5019" s="141" t="s">
        <v>901</v>
      </c>
      <c r="B5019" s="141" t="s">
        <v>270</v>
      </c>
      <c r="C5019" s="141" t="s">
        <v>24</v>
      </c>
    </row>
    <row r="5020" spans="1:3" x14ac:dyDescent="0.35">
      <c r="A5020" s="141" t="s">
        <v>706</v>
      </c>
      <c r="B5020" s="141" t="s">
        <v>270</v>
      </c>
      <c r="C5020" s="141" t="s">
        <v>31</v>
      </c>
    </row>
    <row r="5021" spans="1:3" x14ac:dyDescent="0.35">
      <c r="A5021" s="141" t="s">
        <v>707</v>
      </c>
      <c r="B5021" s="141" t="s">
        <v>270</v>
      </c>
      <c r="C5021" s="141" t="s">
        <v>31</v>
      </c>
    </row>
    <row r="5022" spans="1:3" x14ac:dyDescent="0.35">
      <c r="A5022" s="141" t="s">
        <v>708</v>
      </c>
      <c r="B5022" s="141" t="s">
        <v>270</v>
      </c>
      <c r="C5022" s="141" t="s">
        <v>31</v>
      </c>
    </row>
    <row r="5023" spans="1:3" x14ac:dyDescent="0.35">
      <c r="A5023" s="141" t="s">
        <v>709</v>
      </c>
      <c r="B5023" s="141" t="s">
        <v>270</v>
      </c>
      <c r="C5023" s="141" t="s">
        <v>31</v>
      </c>
    </row>
    <row r="5024" spans="1:3" x14ac:dyDescent="0.35">
      <c r="A5024" s="141" t="s">
        <v>710</v>
      </c>
      <c r="B5024" s="141" t="s">
        <v>270</v>
      </c>
      <c r="C5024" s="141" t="s">
        <v>31</v>
      </c>
    </row>
    <row r="5025" spans="1:3" x14ac:dyDescent="0.35">
      <c r="A5025" s="141" t="s">
        <v>456</v>
      </c>
      <c r="B5025" s="141" t="s">
        <v>270</v>
      </c>
      <c r="C5025" s="141" t="s">
        <v>31</v>
      </c>
    </row>
    <row r="5026" spans="1:3" x14ac:dyDescent="0.35">
      <c r="A5026" s="141" t="s">
        <v>902</v>
      </c>
      <c r="B5026" s="141" t="s">
        <v>270</v>
      </c>
      <c r="C5026" s="141" t="s">
        <v>31</v>
      </c>
    </row>
    <row r="5027" spans="1:3" x14ac:dyDescent="0.35">
      <c r="A5027" s="141" t="s">
        <v>903</v>
      </c>
      <c r="B5027" s="141" t="s">
        <v>270</v>
      </c>
      <c r="C5027" s="141" t="s">
        <v>31</v>
      </c>
    </row>
    <row r="5028" spans="1:3" x14ac:dyDescent="0.35">
      <c r="A5028" s="141" t="s">
        <v>904</v>
      </c>
      <c r="B5028" s="141" t="s">
        <v>270</v>
      </c>
      <c r="C5028" s="141" t="s">
        <v>31</v>
      </c>
    </row>
    <row r="5029" spans="1:3" x14ac:dyDescent="0.35">
      <c r="A5029" s="141" t="s">
        <v>905</v>
      </c>
      <c r="B5029" s="141" t="s">
        <v>270</v>
      </c>
      <c r="C5029" s="141" t="s">
        <v>31</v>
      </c>
    </row>
    <row r="5030" spans="1:3" x14ac:dyDescent="0.35">
      <c r="A5030" s="141" t="s">
        <v>906</v>
      </c>
      <c r="B5030" s="141" t="s">
        <v>270</v>
      </c>
      <c r="C5030" s="141" t="s">
        <v>31</v>
      </c>
    </row>
    <row r="5031" spans="1:3" x14ac:dyDescent="0.35">
      <c r="A5031" s="141" t="s">
        <v>907</v>
      </c>
      <c r="B5031" s="141" t="s">
        <v>270</v>
      </c>
      <c r="C5031" s="141" t="s">
        <v>31</v>
      </c>
    </row>
    <row r="5032" spans="1:3" x14ac:dyDescent="0.35">
      <c r="A5032" s="141" t="s">
        <v>908</v>
      </c>
      <c r="B5032" s="141" t="s">
        <v>270</v>
      </c>
      <c r="C5032" s="141" t="s">
        <v>31</v>
      </c>
    </row>
    <row r="5033" spans="1:3" x14ac:dyDescent="0.35">
      <c r="A5033" s="141" t="s">
        <v>909</v>
      </c>
      <c r="B5033" s="141" t="s">
        <v>270</v>
      </c>
      <c r="C5033" s="141" t="s">
        <v>31</v>
      </c>
    </row>
    <row r="5034" spans="1:3" x14ac:dyDescent="0.35">
      <c r="A5034" s="141" t="s">
        <v>297</v>
      </c>
      <c r="B5034" s="141" t="s">
        <v>270</v>
      </c>
      <c r="C5034" s="141" t="s">
        <v>32</v>
      </c>
    </row>
    <row r="5035" spans="1:3" x14ac:dyDescent="0.35">
      <c r="A5035" s="141" t="s">
        <v>298</v>
      </c>
      <c r="B5035" s="141" t="s">
        <v>270</v>
      </c>
      <c r="C5035" s="141" t="s">
        <v>32</v>
      </c>
    </row>
    <row r="5036" spans="1:3" x14ac:dyDescent="0.35">
      <c r="A5036" s="141" t="s">
        <v>299</v>
      </c>
      <c r="B5036" s="141" t="s">
        <v>270</v>
      </c>
      <c r="C5036" s="141" t="s">
        <v>32</v>
      </c>
    </row>
    <row r="5037" spans="1:3" x14ac:dyDescent="0.35">
      <c r="A5037" s="141" t="s">
        <v>300</v>
      </c>
      <c r="B5037" s="141" t="s">
        <v>270</v>
      </c>
      <c r="C5037" s="141" t="s">
        <v>32</v>
      </c>
    </row>
    <row r="5038" spans="1:3" x14ac:dyDescent="0.35">
      <c r="A5038" s="141" t="s">
        <v>301</v>
      </c>
      <c r="B5038" s="141" t="s">
        <v>270</v>
      </c>
      <c r="C5038" s="141" t="s">
        <v>32</v>
      </c>
    </row>
    <row r="5039" spans="1:3" x14ac:dyDescent="0.35">
      <c r="A5039" s="141" t="s">
        <v>302</v>
      </c>
      <c r="B5039" s="141" t="s">
        <v>270</v>
      </c>
      <c r="C5039" s="141" t="s">
        <v>32</v>
      </c>
    </row>
    <row r="5040" spans="1:3" x14ac:dyDescent="0.35">
      <c r="A5040" s="141" t="s">
        <v>910</v>
      </c>
      <c r="B5040" s="141" t="s">
        <v>270</v>
      </c>
      <c r="C5040" s="141" t="s">
        <v>33</v>
      </c>
    </row>
    <row r="5041" spans="1:3" x14ac:dyDescent="0.35">
      <c r="A5041" s="141" t="s">
        <v>911</v>
      </c>
      <c r="B5041" s="141" t="s">
        <v>270</v>
      </c>
      <c r="C5041" s="141" t="s">
        <v>33</v>
      </c>
    </row>
    <row r="5042" spans="1:3" x14ac:dyDescent="0.35">
      <c r="A5042" s="141" t="s">
        <v>912</v>
      </c>
      <c r="B5042" s="141" t="s">
        <v>270</v>
      </c>
      <c r="C5042" s="141" t="s">
        <v>33</v>
      </c>
    </row>
    <row r="5043" spans="1:3" x14ac:dyDescent="0.35">
      <c r="A5043" s="141" t="s">
        <v>913</v>
      </c>
      <c r="B5043" s="141" t="s">
        <v>270</v>
      </c>
      <c r="C5043" s="141" t="s">
        <v>36</v>
      </c>
    </row>
    <row r="5044" spans="1:3" x14ac:dyDescent="0.35">
      <c r="A5044" s="141" t="s">
        <v>914</v>
      </c>
      <c r="B5044" s="141" t="s">
        <v>270</v>
      </c>
      <c r="C5044" s="141" t="s">
        <v>33</v>
      </c>
    </row>
    <row r="5045" spans="1:3" x14ac:dyDescent="0.35">
      <c r="A5045" s="141" t="s">
        <v>915</v>
      </c>
      <c r="B5045" s="141" t="s">
        <v>270</v>
      </c>
      <c r="C5045" s="141" t="s">
        <v>28</v>
      </c>
    </row>
    <row r="5046" spans="1:3" x14ac:dyDescent="0.35">
      <c r="A5046" s="141" t="s">
        <v>916</v>
      </c>
      <c r="B5046" s="141" t="s">
        <v>270</v>
      </c>
      <c r="C5046" s="141" t="s">
        <v>28</v>
      </c>
    </row>
    <row r="5047" spans="1:3" x14ac:dyDescent="0.35">
      <c r="A5047" s="141" t="s">
        <v>917</v>
      </c>
      <c r="B5047" s="141" t="s">
        <v>270</v>
      </c>
      <c r="C5047" s="141" t="s">
        <v>28</v>
      </c>
    </row>
    <row r="5048" spans="1:3" x14ac:dyDescent="0.35">
      <c r="A5048" s="141" t="s">
        <v>918</v>
      </c>
      <c r="B5048" s="141" t="s">
        <v>270</v>
      </c>
      <c r="C5048" s="141" t="s">
        <v>29</v>
      </c>
    </row>
    <row r="5049" spans="1:3" x14ac:dyDescent="0.35">
      <c r="A5049" s="141" t="s">
        <v>919</v>
      </c>
      <c r="B5049" s="141" t="s">
        <v>270</v>
      </c>
      <c r="C5049" s="141" t="s">
        <v>36</v>
      </c>
    </row>
    <row r="5050" spans="1:3" x14ac:dyDescent="0.35">
      <c r="A5050" s="141" t="s">
        <v>920</v>
      </c>
      <c r="B5050" s="141" t="s">
        <v>270</v>
      </c>
      <c r="C5050" s="141" t="s">
        <v>36</v>
      </c>
    </row>
    <row r="5051" spans="1:3" x14ac:dyDescent="0.35">
      <c r="A5051" s="141" t="s">
        <v>921</v>
      </c>
      <c r="B5051" s="141" t="s">
        <v>270</v>
      </c>
      <c r="C5051" s="141" t="s">
        <v>36</v>
      </c>
    </row>
    <row r="5052" spans="1:3" x14ac:dyDescent="0.35">
      <c r="A5052" s="141" t="s">
        <v>922</v>
      </c>
      <c r="B5052" s="141" t="s">
        <v>270</v>
      </c>
      <c r="C5052" s="141" t="s">
        <v>36</v>
      </c>
    </row>
    <row r="5053" spans="1:3" x14ac:dyDescent="0.35">
      <c r="A5053" s="141" t="s">
        <v>923</v>
      </c>
      <c r="B5053" s="141" t="s">
        <v>270</v>
      </c>
      <c r="C5053" s="141" t="s">
        <v>36</v>
      </c>
    </row>
    <row r="5054" spans="1:3" x14ac:dyDescent="0.35">
      <c r="A5054" s="141" t="s">
        <v>924</v>
      </c>
      <c r="B5054" s="141" t="s">
        <v>270</v>
      </c>
      <c r="C5054" s="141" t="s">
        <v>36</v>
      </c>
    </row>
    <row r="5055" spans="1:3" x14ac:dyDescent="0.35">
      <c r="A5055" s="141" t="s">
        <v>925</v>
      </c>
      <c r="B5055" s="141" t="s">
        <v>270</v>
      </c>
      <c r="C5055" s="141" t="s">
        <v>36</v>
      </c>
    </row>
    <row r="5056" spans="1:3" x14ac:dyDescent="0.35">
      <c r="A5056" s="141" t="s">
        <v>926</v>
      </c>
      <c r="B5056" s="141" t="s">
        <v>270</v>
      </c>
      <c r="C5056" s="141" t="s">
        <v>37</v>
      </c>
    </row>
    <row r="5057" spans="1:3" x14ac:dyDescent="0.35">
      <c r="A5057" s="141" t="s">
        <v>927</v>
      </c>
      <c r="B5057" s="141" t="s">
        <v>270</v>
      </c>
      <c r="C5057" s="141" t="s">
        <v>37</v>
      </c>
    </row>
    <row r="5058" spans="1:3" x14ac:dyDescent="0.35">
      <c r="A5058" s="141" t="s">
        <v>928</v>
      </c>
      <c r="B5058" s="141" t="s">
        <v>270</v>
      </c>
      <c r="C5058" s="141" t="s">
        <v>33</v>
      </c>
    </row>
    <row r="5059" spans="1:3" x14ac:dyDescent="0.35">
      <c r="A5059" s="141" t="s">
        <v>929</v>
      </c>
      <c r="B5059" s="141" t="s">
        <v>270</v>
      </c>
      <c r="C5059" s="141" t="s">
        <v>28</v>
      </c>
    </row>
    <row r="5060" spans="1:3" x14ac:dyDescent="0.35">
      <c r="A5060" s="141" t="s">
        <v>930</v>
      </c>
      <c r="B5060" s="141" t="s">
        <v>270</v>
      </c>
      <c r="C5060" s="141" t="s">
        <v>28</v>
      </c>
    </row>
    <row r="5061" spans="1:3" x14ac:dyDescent="0.35">
      <c r="A5061" s="141" t="s">
        <v>931</v>
      </c>
      <c r="B5061" s="141" t="s">
        <v>270</v>
      </c>
      <c r="C5061" s="141" t="s">
        <v>36</v>
      </c>
    </row>
    <row r="5062" spans="1:3" x14ac:dyDescent="0.35">
      <c r="A5062" s="141" t="s">
        <v>932</v>
      </c>
      <c r="B5062" s="141" t="s">
        <v>270</v>
      </c>
      <c r="C5062" s="141" t="s">
        <v>49</v>
      </c>
    </row>
    <row r="5063" spans="1:3" x14ac:dyDescent="0.35">
      <c r="A5063" s="141" t="s">
        <v>933</v>
      </c>
      <c r="B5063" s="141" t="s">
        <v>270</v>
      </c>
      <c r="C5063" s="141" t="s">
        <v>32</v>
      </c>
    </row>
    <row r="5064" spans="1:3" x14ac:dyDescent="0.35">
      <c r="A5064" s="141" t="s">
        <v>934</v>
      </c>
      <c r="B5064" s="141" t="s">
        <v>270</v>
      </c>
      <c r="C5064" s="141" t="s">
        <v>32</v>
      </c>
    </row>
    <row r="5065" spans="1:3" x14ac:dyDescent="0.35">
      <c r="A5065" s="141" t="s">
        <v>935</v>
      </c>
      <c r="B5065" s="141" t="s">
        <v>270</v>
      </c>
      <c r="C5065" s="141" t="s">
        <v>32</v>
      </c>
    </row>
    <row r="5066" spans="1:3" x14ac:dyDescent="0.35">
      <c r="A5066" s="141" t="s">
        <v>936</v>
      </c>
      <c r="B5066" s="141" t="s">
        <v>270</v>
      </c>
      <c r="C5066" s="141" t="s">
        <v>32</v>
      </c>
    </row>
    <row r="5067" spans="1:3" x14ac:dyDescent="0.35">
      <c r="A5067" s="141" t="s">
        <v>937</v>
      </c>
      <c r="B5067" s="141" t="s">
        <v>270</v>
      </c>
      <c r="C5067" s="141" t="s">
        <v>32</v>
      </c>
    </row>
    <row r="5068" spans="1:3" x14ac:dyDescent="0.35">
      <c r="A5068" s="141" t="s">
        <v>938</v>
      </c>
      <c r="B5068" s="141" t="s">
        <v>270</v>
      </c>
      <c r="C5068" s="141" t="s">
        <v>32</v>
      </c>
    </row>
    <row r="5069" spans="1:3" x14ac:dyDescent="0.35">
      <c r="A5069" s="141" t="s">
        <v>939</v>
      </c>
      <c r="B5069" s="141" t="s">
        <v>270</v>
      </c>
      <c r="C5069" s="141" t="s">
        <v>32</v>
      </c>
    </row>
    <row r="5070" spans="1:3" x14ac:dyDescent="0.35">
      <c r="A5070" s="141" t="s">
        <v>940</v>
      </c>
      <c r="B5070" s="141" t="s">
        <v>270</v>
      </c>
      <c r="C5070" s="141" t="s">
        <v>49</v>
      </c>
    </row>
    <row r="5071" spans="1:3" x14ac:dyDescent="0.35">
      <c r="A5071" s="141" t="s">
        <v>941</v>
      </c>
      <c r="B5071" s="141" t="s">
        <v>270</v>
      </c>
      <c r="C5071" s="141" t="s">
        <v>49</v>
      </c>
    </row>
    <row r="5072" spans="1:3" x14ac:dyDescent="0.35">
      <c r="A5072" s="141" t="s">
        <v>942</v>
      </c>
      <c r="B5072" s="141" t="s">
        <v>270</v>
      </c>
      <c r="C5072" s="141" t="s">
        <v>32</v>
      </c>
    </row>
    <row r="5073" spans="1:3" x14ac:dyDescent="0.35">
      <c r="A5073" s="141" t="s">
        <v>943</v>
      </c>
      <c r="B5073" s="141" t="s">
        <v>270</v>
      </c>
      <c r="C5073" s="141" t="s">
        <v>32</v>
      </c>
    </row>
    <row r="5074" spans="1:3" x14ac:dyDescent="0.35">
      <c r="A5074" s="141" t="s">
        <v>944</v>
      </c>
      <c r="B5074" s="141" t="s">
        <v>270</v>
      </c>
      <c r="C5074" s="141" t="s">
        <v>32</v>
      </c>
    </row>
    <row r="5075" spans="1:3" x14ac:dyDescent="0.35">
      <c r="A5075" s="141" t="s">
        <v>945</v>
      </c>
      <c r="B5075" s="141" t="s">
        <v>270</v>
      </c>
      <c r="C5075" s="141" t="s">
        <v>32</v>
      </c>
    </row>
    <row r="5076" spans="1:3" x14ac:dyDescent="0.35">
      <c r="A5076" s="141" t="s">
        <v>296</v>
      </c>
      <c r="B5076" s="141" t="s">
        <v>270</v>
      </c>
      <c r="C5076" s="141" t="s">
        <v>32</v>
      </c>
    </row>
    <row r="5077" spans="1:3" x14ac:dyDescent="0.35">
      <c r="A5077" s="141" t="s">
        <v>946</v>
      </c>
      <c r="B5077" s="141" t="s">
        <v>270</v>
      </c>
      <c r="C5077" s="141" t="s">
        <v>25</v>
      </c>
    </row>
    <row r="5078" spans="1:3" x14ac:dyDescent="0.35">
      <c r="A5078" s="141" t="s">
        <v>947</v>
      </c>
      <c r="B5078" s="141" t="s">
        <v>270</v>
      </c>
      <c r="C5078" s="141" t="s">
        <v>32</v>
      </c>
    </row>
    <row r="5079" spans="1:3" x14ac:dyDescent="0.35">
      <c r="A5079" s="141" t="s">
        <v>948</v>
      </c>
      <c r="B5079" s="141" t="s">
        <v>270</v>
      </c>
      <c r="C5079" s="141" t="s">
        <v>32</v>
      </c>
    </row>
    <row r="5080" spans="1:3" x14ac:dyDescent="0.35">
      <c r="A5080" s="141" t="s">
        <v>949</v>
      </c>
      <c r="B5080" s="141" t="s">
        <v>270</v>
      </c>
      <c r="C5080" s="141" t="s">
        <v>32</v>
      </c>
    </row>
    <row r="5081" spans="1:3" x14ac:dyDescent="0.35">
      <c r="A5081" s="141" t="s">
        <v>950</v>
      </c>
      <c r="B5081" s="141" t="s">
        <v>270</v>
      </c>
      <c r="C5081" s="141" t="s">
        <v>32</v>
      </c>
    </row>
    <row r="5082" spans="1:3" x14ac:dyDescent="0.35">
      <c r="A5082" s="141" t="s">
        <v>951</v>
      </c>
      <c r="B5082" s="141" t="s">
        <v>270</v>
      </c>
      <c r="C5082" s="141" t="s">
        <v>32</v>
      </c>
    </row>
    <row r="5083" spans="1:3" x14ac:dyDescent="0.35">
      <c r="A5083" s="141" t="s">
        <v>952</v>
      </c>
      <c r="B5083" s="141" t="s">
        <v>270</v>
      </c>
      <c r="C5083" s="141" t="s">
        <v>32</v>
      </c>
    </row>
    <row r="5084" spans="1:3" x14ac:dyDescent="0.35">
      <c r="A5084" s="141" t="s">
        <v>953</v>
      </c>
      <c r="B5084" s="141" t="s">
        <v>270</v>
      </c>
      <c r="C5084" s="141" t="s">
        <v>31</v>
      </c>
    </row>
    <row r="5085" spans="1:3" x14ac:dyDescent="0.35">
      <c r="A5085" s="141" t="s">
        <v>954</v>
      </c>
      <c r="B5085" s="141" t="s">
        <v>270</v>
      </c>
      <c r="C5085" s="141" t="s">
        <v>35</v>
      </c>
    </row>
    <row r="5086" spans="1:3" x14ac:dyDescent="0.35">
      <c r="A5086" s="141" t="s">
        <v>955</v>
      </c>
      <c r="B5086" s="141" t="s">
        <v>270</v>
      </c>
      <c r="C5086" s="141" t="s">
        <v>35</v>
      </c>
    </row>
    <row r="5087" spans="1:3" x14ac:dyDescent="0.35">
      <c r="A5087" s="141" t="s">
        <v>956</v>
      </c>
      <c r="B5087" s="141" t="s">
        <v>270</v>
      </c>
      <c r="C5087" s="141" t="s">
        <v>35</v>
      </c>
    </row>
    <row r="5088" spans="1:3" x14ac:dyDescent="0.35">
      <c r="A5088" s="141" t="s">
        <v>861</v>
      </c>
      <c r="B5088" s="141" t="s">
        <v>270</v>
      </c>
      <c r="C5088" s="141" t="s">
        <v>33</v>
      </c>
    </row>
    <row r="5089" spans="1:3" x14ac:dyDescent="0.35">
      <c r="A5089" s="141" t="s">
        <v>862</v>
      </c>
      <c r="B5089" s="141" t="s">
        <v>270</v>
      </c>
      <c r="C5089" s="141" t="s">
        <v>33</v>
      </c>
    </row>
    <row r="5090" spans="1:3" x14ac:dyDescent="0.35">
      <c r="A5090" s="141" t="s">
        <v>516</v>
      </c>
      <c r="B5090" s="141" t="s">
        <v>270</v>
      </c>
      <c r="C5090" s="141" t="s">
        <v>33</v>
      </c>
    </row>
    <row r="5091" spans="1:3" x14ac:dyDescent="0.35">
      <c r="A5091" s="141" t="s">
        <v>863</v>
      </c>
      <c r="B5091" s="141" t="s">
        <v>270</v>
      </c>
      <c r="C5091" s="141" t="s">
        <v>30</v>
      </c>
    </row>
    <row r="5092" spans="1:3" x14ac:dyDescent="0.35">
      <c r="A5092" s="141" t="s">
        <v>864</v>
      </c>
      <c r="B5092" s="141" t="s">
        <v>270</v>
      </c>
      <c r="C5092" s="141" t="s">
        <v>30</v>
      </c>
    </row>
    <row r="5093" spans="1:3" x14ac:dyDescent="0.35">
      <c r="A5093" s="141" t="s">
        <v>865</v>
      </c>
      <c r="B5093" s="141" t="s">
        <v>270</v>
      </c>
      <c r="C5093" s="141" t="s">
        <v>34</v>
      </c>
    </row>
    <row r="5094" spans="1:3" x14ac:dyDescent="0.35">
      <c r="A5094" s="141" t="s">
        <v>866</v>
      </c>
      <c r="B5094" s="141" t="s">
        <v>270</v>
      </c>
      <c r="C5094" s="141" t="s">
        <v>34</v>
      </c>
    </row>
    <row r="5095" spans="1:3" x14ac:dyDescent="0.35">
      <c r="A5095" s="141" t="s">
        <v>784</v>
      </c>
      <c r="B5095" s="141" t="s">
        <v>270</v>
      </c>
      <c r="C5095" s="141" t="s">
        <v>30</v>
      </c>
    </row>
    <row r="5096" spans="1:3" x14ac:dyDescent="0.35">
      <c r="A5096" s="141" t="s">
        <v>867</v>
      </c>
      <c r="B5096" s="141" t="s">
        <v>270</v>
      </c>
      <c r="C5096" s="141" t="s">
        <v>30</v>
      </c>
    </row>
    <row r="5097" spans="1:3" x14ac:dyDescent="0.35">
      <c r="A5097" s="141" t="s">
        <v>525</v>
      </c>
      <c r="B5097" s="141" t="s">
        <v>270</v>
      </c>
      <c r="C5097" s="141" t="s">
        <v>46</v>
      </c>
    </row>
    <row r="5098" spans="1:3" x14ac:dyDescent="0.35">
      <c r="A5098" s="141" t="s">
        <v>868</v>
      </c>
      <c r="B5098" s="141" t="s">
        <v>270</v>
      </c>
      <c r="C5098" s="141" t="s">
        <v>32</v>
      </c>
    </row>
    <row r="5099" spans="1:3" x14ac:dyDescent="0.35">
      <c r="A5099" s="141" t="s">
        <v>869</v>
      </c>
      <c r="B5099" s="141" t="s">
        <v>270</v>
      </c>
      <c r="C5099" s="141" t="s">
        <v>32</v>
      </c>
    </row>
    <row r="5100" spans="1:3" x14ac:dyDescent="0.35">
      <c r="A5100" s="141" t="s">
        <v>870</v>
      </c>
      <c r="B5100" s="141" t="s">
        <v>270</v>
      </c>
      <c r="C5100" s="141" t="s">
        <v>32</v>
      </c>
    </row>
    <row r="5101" spans="1:3" x14ac:dyDescent="0.35">
      <c r="A5101" s="141" t="s">
        <v>957</v>
      </c>
      <c r="B5101" s="141" t="s">
        <v>270</v>
      </c>
      <c r="C5101" s="141" t="s">
        <v>25</v>
      </c>
    </row>
    <row r="5102" spans="1:3" x14ac:dyDescent="0.35">
      <c r="A5102" s="141" t="s">
        <v>958</v>
      </c>
      <c r="B5102" s="141" t="s">
        <v>270</v>
      </c>
      <c r="C5102" s="141" t="s">
        <v>25</v>
      </c>
    </row>
    <row r="5103" spans="1:3" x14ac:dyDescent="0.35">
      <c r="A5103" s="141" t="s">
        <v>531</v>
      </c>
      <c r="B5103" s="141" t="s">
        <v>270</v>
      </c>
      <c r="C5103" s="141" t="s">
        <v>51</v>
      </c>
    </row>
    <row r="5104" spans="1:3" x14ac:dyDescent="0.35">
      <c r="A5104" s="141" t="s">
        <v>741</v>
      </c>
      <c r="B5104" s="141" t="s">
        <v>270</v>
      </c>
      <c r="C5104" s="141" t="s">
        <v>51</v>
      </c>
    </row>
    <row r="5105" spans="1:3" x14ac:dyDescent="0.35">
      <c r="A5105" s="141" t="s">
        <v>742</v>
      </c>
      <c r="B5105" s="141" t="s">
        <v>270</v>
      </c>
      <c r="C5105" s="141" t="s">
        <v>51</v>
      </c>
    </row>
    <row r="5106" spans="1:3" x14ac:dyDescent="0.35">
      <c r="A5106" s="141" t="s">
        <v>743</v>
      </c>
      <c r="B5106" s="141" t="s">
        <v>270</v>
      </c>
      <c r="C5106" s="141" t="s">
        <v>51</v>
      </c>
    </row>
    <row r="5107" spans="1:3" x14ac:dyDescent="0.35">
      <c r="A5107" s="141" t="s">
        <v>747</v>
      </c>
      <c r="B5107" s="141" t="s">
        <v>270</v>
      </c>
      <c r="C5107" s="141" t="s">
        <v>51</v>
      </c>
    </row>
    <row r="5108" spans="1:3" x14ac:dyDescent="0.35">
      <c r="A5108" s="141" t="s">
        <v>748</v>
      </c>
      <c r="B5108" s="141" t="s">
        <v>270</v>
      </c>
      <c r="C5108" s="141" t="s">
        <v>51</v>
      </c>
    </row>
    <row r="5109" spans="1:3" x14ac:dyDescent="0.35">
      <c r="A5109" s="141" t="s">
        <v>533</v>
      </c>
      <c r="B5109" s="141" t="s">
        <v>270</v>
      </c>
      <c r="C5109" s="141" t="s">
        <v>50</v>
      </c>
    </row>
    <row r="5110" spans="1:3" x14ac:dyDescent="0.35">
      <c r="A5110" s="141" t="s">
        <v>308</v>
      </c>
      <c r="B5110" s="141" t="s">
        <v>270</v>
      </c>
      <c r="C5110" s="141" t="s">
        <v>53</v>
      </c>
    </row>
    <row r="5111" spans="1:3" x14ac:dyDescent="0.35">
      <c r="A5111" s="141" t="s">
        <v>309</v>
      </c>
      <c r="B5111" s="141" t="s">
        <v>270</v>
      </c>
      <c r="C5111" s="141" t="s">
        <v>53</v>
      </c>
    </row>
    <row r="5112" spans="1:3" x14ac:dyDescent="0.35">
      <c r="A5112" s="141" t="s">
        <v>310</v>
      </c>
      <c r="B5112" s="141" t="s">
        <v>270</v>
      </c>
      <c r="C5112" s="141" t="s">
        <v>53</v>
      </c>
    </row>
    <row r="5113" spans="1:3" x14ac:dyDescent="0.35">
      <c r="A5113" s="141" t="s">
        <v>311</v>
      </c>
      <c r="B5113" s="141" t="s">
        <v>270</v>
      </c>
      <c r="C5113" s="141" t="s">
        <v>53</v>
      </c>
    </row>
    <row r="5114" spans="1:3" x14ac:dyDescent="0.35">
      <c r="A5114" s="141" t="s">
        <v>534</v>
      </c>
      <c r="B5114" s="141" t="s">
        <v>270</v>
      </c>
      <c r="C5114" s="141" t="s">
        <v>53</v>
      </c>
    </row>
    <row r="5115" spans="1:3" x14ac:dyDescent="0.35">
      <c r="A5115" s="141" t="s">
        <v>312</v>
      </c>
      <c r="B5115" s="141" t="s">
        <v>270</v>
      </c>
      <c r="C5115" s="141" t="s">
        <v>53</v>
      </c>
    </row>
    <row r="5116" spans="1:3" x14ac:dyDescent="0.35">
      <c r="A5116" s="141" t="s">
        <v>959</v>
      </c>
      <c r="B5116" s="141" t="s">
        <v>270</v>
      </c>
      <c r="C5116" s="141" t="s">
        <v>53</v>
      </c>
    </row>
    <row r="5117" spans="1:3" x14ac:dyDescent="0.35">
      <c r="A5117" s="141" t="s">
        <v>960</v>
      </c>
      <c r="B5117" s="141" t="s">
        <v>270</v>
      </c>
      <c r="C5117" s="141" t="s">
        <v>52</v>
      </c>
    </row>
    <row r="5118" spans="1:3" x14ac:dyDescent="0.35">
      <c r="A5118" s="141" t="s">
        <v>873</v>
      </c>
      <c r="B5118" s="141" t="s">
        <v>270</v>
      </c>
      <c r="C5118" s="141" t="s">
        <v>52</v>
      </c>
    </row>
    <row r="5119" spans="1:3" x14ac:dyDescent="0.35">
      <c r="A5119" s="141" t="s">
        <v>874</v>
      </c>
      <c r="B5119" s="141" t="s">
        <v>270</v>
      </c>
      <c r="C5119" s="141" t="s">
        <v>52</v>
      </c>
    </row>
    <row r="5120" spans="1:3" x14ac:dyDescent="0.35">
      <c r="A5120" s="141" t="s">
        <v>875</v>
      </c>
      <c r="B5120" s="141" t="s">
        <v>270</v>
      </c>
      <c r="C5120" s="141" t="s">
        <v>52</v>
      </c>
    </row>
    <row r="5121" spans="1:3" x14ac:dyDescent="0.35">
      <c r="A5121" s="141" t="s">
        <v>876</v>
      </c>
      <c r="B5121" s="141" t="s">
        <v>270</v>
      </c>
      <c r="C5121" s="141" t="s">
        <v>52</v>
      </c>
    </row>
    <row r="5122" spans="1:3" x14ac:dyDescent="0.35">
      <c r="A5122" s="141" t="s">
        <v>877</v>
      </c>
      <c r="B5122" s="141" t="s">
        <v>270</v>
      </c>
      <c r="C5122" s="141" t="s">
        <v>52</v>
      </c>
    </row>
    <row r="5123" spans="1:3" x14ac:dyDescent="0.35">
      <c r="A5123" s="141" t="s">
        <v>878</v>
      </c>
      <c r="B5123" s="141" t="s">
        <v>270</v>
      </c>
      <c r="C5123" s="141" t="s">
        <v>52</v>
      </c>
    </row>
    <row r="5124" spans="1:3" x14ac:dyDescent="0.35">
      <c r="A5124" s="141" t="s">
        <v>539</v>
      </c>
      <c r="B5124" s="141" t="s">
        <v>270</v>
      </c>
      <c r="C5124" s="141" t="s">
        <v>52</v>
      </c>
    </row>
    <row r="5125" spans="1:3" x14ac:dyDescent="0.35">
      <c r="A5125" s="141" t="s">
        <v>540</v>
      </c>
      <c r="B5125" s="141" t="s">
        <v>270</v>
      </c>
      <c r="C5125" s="141" t="s">
        <v>52</v>
      </c>
    </row>
    <row r="5126" spans="1:3" x14ac:dyDescent="0.35">
      <c r="A5126" s="141" t="s">
        <v>812</v>
      </c>
      <c r="B5126" s="141" t="s">
        <v>270</v>
      </c>
      <c r="C5126" s="141" t="s">
        <v>52</v>
      </c>
    </row>
    <row r="5127" spans="1:3" x14ac:dyDescent="0.35">
      <c r="A5127" s="141" t="s">
        <v>803</v>
      </c>
      <c r="B5127" s="141" t="s">
        <v>270</v>
      </c>
      <c r="C5127" s="141" t="s">
        <v>52</v>
      </c>
    </row>
    <row r="5128" spans="1:3" x14ac:dyDescent="0.35">
      <c r="A5128" s="141" t="s">
        <v>542</v>
      </c>
      <c r="B5128" s="141" t="s">
        <v>270</v>
      </c>
      <c r="C5128" s="141" t="s">
        <v>52</v>
      </c>
    </row>
    <row r="5129" spans="1:3" x14ac:dyDescent="0.35">
      <c r="A5129" s="141" t="s">
        <v>543</v>
      </c>
      <c r="B5129" s="141" t="s">
        <v>270</v>
      </c>
      <c r="C5129" s="141" t="s">
        <v>52</v>
      </c>
    </row>
    <row r="5130" spans="1:3" x14ac:dyDescent="0.35">
      <c r="A5130" s="141" t="s">
        <v>961</v>
      </c>
      <c r="B5130" s="141" t="s">
        <v>270</v>
      </c>
      <c r="C5130" s="141" t="s">
        <v>33</v>
      </c>
    </row>
    <row r="5131" spans="1:3" x14ac:dyDescent="0.35">
      <c r="A5131" s="141" t="s">
        <v>804</v>
      </c>
      <c r="B5131" s="141" t="s">
        <v>270</v>
      </c>
      <c r="C5131" s="141" t="s">
        <v>53</v>
      </c>
    </row>
    <row r="5132" spans="1:3" x14ac:dyDescent="0.35">
      <c r="A5132" s="141" t="s">
        <v>805</v>
      </c>
      <c r="B5132" s="141" t="s">
        <v>270</v>
      </c>
      <c r="C5132" s="141" t="s">
        <v>52</v>
      </c>
    </row>
    <row r="5133" spans="1:3" x14ac:dyDescent="0.35">
      <c r="A5133" s="141" t="s">
        <v>879</v>
      </c>
      <c r="B5133" s="141" t="s">
        <v>270</v>
      </c>
      <c r="C5133" s="141" t="s">
        <v>52</v>
      </c>
    </row>
    <row r="5134" spans="1:3" x14ac:dyDescent="0.35">
      <c r="A5134" s="141" t="s">
        <v>880</v>
      </c>
      <c r="B5134" s="141" t="s">
        <v>270</v>
      </c>
      <c r="C5134" s="141" t="s">
        <v>52</v>
      </c>
    </row>
    <row r="5135" spans="1:3" x14ac:dyDescent="0.35">
      <c r="A5135" s="141" t="s">
        <v>740</v>
      </c>
      <c r="B5135" s="141" t="s">
        <v>270</v>
      </c>
      <c r="C5135" s="141" t="s">
        <v>33</v>
      </c>
    </row>
    <row r="5136" spans="1:3" x14ac:dyDescent="0.35">
      <c r="A5136" s="141" t="s">
        <v>550</v>
      </c>
      <c r="B5136" s="141" t="s">
        <v>270</v>
      </c>
      <c r="C5136" s="141" t="s">
        <v>33</v>
      </c>
    </row>
    <row r="5137" spans="1:3" x14ac:dyDescent="0.35">
      <c r="A5137" s="141" t="s">
        <v>551</v>
      </c>
      <c r="B5137" s="141" t="s">
        <v>270</v>
      </c>
      <c r="C5137" s="141" t="s">
        <v>33</v>
      </c>
    </row>
    <row r="5138" spans="1:3" x14ac:dyDescent="0.35">
      <c r="A5138" s="141" t="s">
        <v>306</v>
      </c>
      <c r="B5138" s="141" t="s">
        <v>270</v>
      </c>
      <c r="C5138" s="141" t="s">
        <v>35</v>
      </c>
    </row>
    <row r="5139" spans="1:3" x14ac:dyDescent="0.35">
      <c r="A5139" s="141" t="s">
        <v>307</v>
      </c>
      <c r="B5139" s="141" t="s">
        <v>270</v>
      </c>
      <c r="C5139" s="141" t="s">
        <v>33</v>
      </c>
    </row>
    <row r="5140" spans="1:3" x14ac:dyDescent="0.35">
      <c r="A5140" s="141" t="s">
        <v>314</v>
      </c>
      <c r="B5140" s="141" t="s">
        <v>270</v>
      </c>
      <c r="C5140" s="141" t="s">
        <v>16</v>
      </c>
    </row>
    <row r="5141" spans="1:3" x14ac:dyDescent="0.35">
      <c r="A5141" s="141" t="s">
        <v>316</v>
      </c>
      <c r="B5141" s="141" t="s">
        <v>270</v>
      </c>
      <c r="C5141" s="141" t="s">
        <v>16</v>
      </c>
    </row>
    <row r="5142" spans="1:3" x14ac:dyDescent="0.35">
      <c r="A5142" s="141" t="s">
        <v>317</v>
      </c>
      <c r="B5142" s="141" t="s">
        <v>270</v>
      </c>
      <c r="C5142" s="141" t="s">
        <v>16</v>
      </c>
    </row>
    <row r="5143" spans="1:3" x14ac:dyDescent="0.35">
      <c r="A5143" s="141" t="s">
        <v>318</v>
      </c>
      <c r="B5143" s="141" t="s">
        <v>270</v>
      </c>
      <c r="C5143" s="141" t="s">
        <v>16</v>
      </c>
    </row>
    <row r="5144" spans="1:3" x14ac:dyDescent="0.35">
      <c r="A5144" s="141" t="s">
        <v>319</v>
      </c>
      <c r="B5144" s="141" t="s">
        <v>270</v>
      </c>
      <c r="C5144" s="141" t="s">
        <v>16</v>
      </c>
    </row>
    <row r="5145" spans="1:3" x14ac:dyDescent="0.35">
      <c r="A5145" s="141" t="s">
        <v>320</v>
      </c>
      <c r="B5145" s="141" t="s">
        <v>270</v>
      </c>
      <c r="C5145" s="141" t="s">
        <v>16</v>
      </c>
    </row>
    <row r="5146" spans="1:3" x14ac:dyDescent="0.35">
      <c r="A5146" s="141" t="s">
        <v>322</v>
      </c>
      <c r="B5146" s="141" t="s">
        <v>270</v>
      </c>
      <c r="C5146" s="141" t="s">
        <v>16</v>
      </c>
    </row>
    <row r="5147" spans="1:3" x14ac:dyDescent="0.35">
      <c r="A5147" s="141" t="s">
        <v>324</v>
      </c>
      <c r="B5147" s="141" t="s">
        <v>270</v>
      </c>
      <c r="C5147" s="141" t="s">
        <v>16</v>
      </c>
    </row>
    <row r="5148" spans="1:3" x14ac:dyDescent="0.35">
      <c r="A5148" s="141" t="s">
        <v>326</v>
      </c>
      <c r="B5148" s="141" t="s">
        <v>270</v>
      </c>
      <c r="C5148" s="141" t="s">
        <v>16</v>
      </c>
    </row>
    <row r="5149" spans="1:3" x14ac:dyDescent="0.35">
      <c r="A5149" s="141" t="s">
        <v>327</v>
      </c>
      <c r="B5149" s="141" t="s">
        <v>270</v>
      </c>
      <c r="C5149" s="141" t="s">
        <v>16</v>
      </c>
    </row>
    <row r="5150" spans="1:3" x14ac:dyDescent="0.35">
      <c r="A5150" s="141" t="s">
        <v>328</v>
      </c>
      <c r="B5150" s="141" t="s">
        <v>270</v>
      </c>
      <c r="C5150" s="141" t="s">
        <v>16</v>
      </c>
    </row>
    <row r="5151" spans="1:3" x14ac:dyDescent="0.35">
      <c r="A5151" s="141" t="s">
        <v>331</v>
      </c>
      <c r="B5151" s="141" t="s">
        <v>270</v>
      </c>
      <c r="C5151" s="141" t="s">
        <v>16</v>
      </c>
    </row>
    <row r="5152" spans="1:3" x14ac:dyDescent="0.35">
      <c r="A5152" s="141" t="s">
        <v>332</v>
      </c>
      <c r="B5152" s="141" t="s">
        <v>270</v>
      </c>
      <c r="C5152" s="141" t="s">
        <v>16</v>
      </c>
    </row>
    <row r="5153" spans="1:3" x14ac:dyDescent="0.35">
      <c r="A5153" s="141" t="s">
        <v>333</v>
      </c>
      <c r="B5153" s="141" t="s">
        <v>270</v>
      </c>
      <c r="C5153" s="141" t="s">
        <v>16</v>
      </c>
    </row>
    <row r="5154" spans="1:3" x14ac:dyDescent="0.35">
      <c r="A5154" s="141" t="s">
        <v>334</v>
      </c>
      <c r="B5154" s="141" t="s">
        <v>270</v>
      </c>
      <c r="C5154" s="141" t="s">
        <v>16</v>
      </c>
    </row>
    <row r="5155" spans="1:3" x14ac:dyDescent="0.35">
      <c r="A5155" s="141" t="s">
        <v>881</v>
      </c>
      <c r="B5155" s="141" t="s">
        <v>270</v>
      </c>
      <c r="C5155" s="141" t="s">
        <v>16</v>
      </c>
    </row>
    <row r="5156" spans="1:3" x14ac:dyDescent="0.35">
      <c r="A5156" s="141" t="s">
        <v>806</v>
      </c>
      <c r="B5156" s="141" t="s">
        <v>270</v>
      </c>
      <c r="C5156" s="141" t="s">
        <v>32</v>
      </c>
    </row>
    <row r="5157" spans="1:3" x14ac:dyDescent="0.35">
      <c r="A5157" s="141" t="s">
        <v>579</v>
      </c>
      <c r="B5157" s="141" t="s">
        <v>270</v>
      </c>
      <c r="C5157" s="141" t="s">
        <v>32</v>
      </c>
    </row>
    <row r="5158" spans="1:3" x14ac:dyDescent="0.35">
      <c r="A5158" s="141" t="s">
        <v>556</v>
      </c>
      <c r="B5158" s="141" t="s">
        <v>270</v>
      </c>
      <c r="C5158" s="141" t="s">
        <v>32</v>
      </c>
    </row>
    <row r="5159" spans="1:3" x14ac:dyDescent="0.35">
      <c r="A5159" s="141" t="s">
        <v>557</v>
      </c>
      <c r="B5159" s="141" t="s">
        <v>270</v>
      </c>
      <c r="C5159" s="141" t="s">
        <v>32</v>
      </c>
    </row>
    <row r="5160" spans="1:3" x14ac:dyDescent="0.35">
      <c r="A5160" s="141" t="s">
        <v>558</v>
      </c>
      <c r="B5160" s="141" t="s">
        <v>270</v>
      </c>
      <c r="C5160" s="141" t="s">
        <v>32</v>
      </c>
    </row>
    <row r="5161" spans="1:3" x14ac:dyDescent="0.35">
      <c r="A5161" s="141" t="s">
        <v>580</v>
      </c>
      <c r="B5161" s="141" t="s">
        <v>270</v>
      </c>
      <c r="C5161" s="141" t="s">
        <v>32</v>
      </c>
    </row>
    <row r="5162" spans="1:3" x14ac:dyDescent="0.35">
      <c r="A5162" s="141" t="s">
        <v>337</v>
      </c>
      <c r="B5162" s="141" t="s">
        <v>270</v>
      </c>
      <c r="C5162" s="141" t="s">
        <v>47</v>
      </c>
    </row>
    <row r="5163" spans="1:3" x14ac:dyDescent="0.35">
      <c r="A5163" s="141" t="s">
        <v>962</v>
      </c>
      <c r="B5163" s="141" t="s">
        <v>270</v>
      </c>
      <c r="C5163" s="141" t="s">
        <v>47</v>
      </c>
    </row>
    <row r="5164" spans="1:3" x14ac:dyDescent="0.35">
      <c r="A5164" s="141" t="s">
        <v>562</v>
      </c>
      <c r="B5164" s="141" t="s">
        <v>270</v>
      </c>
      <c r="C5164" s="141" t="s">
        <v>48</v>
      </c>
    </row>
    <row r="5165" spans="1:3" x14ac:dyDescent="0.35">
      <c r="A5165" s="141" t="s">
        <v>563</v>
      </c>
      <c r="B5165" s="141" t="s">
        <v>270</v>
      </c>
      <c r="C5165" s="141" t="s">
        <v>47</v>
      </c>
    </row>
    <row r="5166" spans="1:3" x14ac:dyDescent="0.35">
      <c r="A5166" s="141" t="s">
        <v>352</v>
      </c>
      <c r="B5166" s="141" t="s">
        <v>272</v>
      </c>
      <c r="C5166" s="141" t="s">
        <v>2</v>
      </c>
    </row>
    <row r="5167" spans="1:3" x14ac:dyDescent="0.35">
      <c r="A5167" s="141" t="s">
        <v>354</v>
      </c>
      <c r="B5167" s="141" t="s">
        <v>272</v>
      </c>
      <c r="C5167" s="141" t="s">
        <v>2</v>
      </c>
    </row>
    <row r="5168" spans="1:3" x14ac:dyDescent="0.35">
      <c r="A5168" s="141" t="s">
        <v>807</v>
      </c>
      <c r="B5168" s="141" t="s">
        <v>272</v>
      </c>
      <c r="C5168" s="141" t="s">
        <v>3</v>
      </c>
    </row>
    <row r="5169" spans="1:3" x14ac:dyDescent="0.35">
      <c r="A5169" s="141" t="s">
        <v>290</v>
      </c>
      <c r="B5169" s="141" t="s">
        <v>272</v>
      </c>
      <c r="C5169" s="141" t="s">
        <v>23</v>
      </c>
    </row>
    <row r="5170" spans="1:3" x14ac:dyDescent="0.35">
      <c r="A5170" s="141" t="s">
        <v>848</v>
      </c>
      <c r="B5170" s="141" t="s">
        <v>272</v>
      </c>
      <c r="C5170" s="141" t="s">
        <v>22</v>
      </c>
    </row>
    <row r="5171" spans="1:3" x14ac:dyDescent="0.35">
      <c r="A5171" s="141" t="s">
        <v>849</v>
      </c>
      <c r="B5171" s="141" t="s">
        <v>272</v>
      </c>
      <c r="C5171" s="141" t="s">
        <v>22</v>
      </c>
    </row>
    <row r="5172" spans="1:3" x14ac:dyDescent="0.35">
      <c r="A5172" s="141" t="s">
        <v>850</v>
      </c>
      <c r="B5172" s="141" t="s">
        <v>272</v>
      </c>
      <c r="C5172" s="141" t="s">
        <v>22</v>
      </c>
    </row>
    <row r="5173" spans="1:3" x14ac:dyDescent="0.35">
      <c r="A5173" s="141" t="s">
        <v>887</v>
      </c>
      <c r="B5173" s="141" t="s">
        <v>272</v>
      </c>
      <c r="C5173" s="141" t="s">
        <v>24</v>
      </c>
    </row>
    <row r="5174" spans="1:3" x14ac:dyDescent="0.35">
      <c r="A5174" s="141" t="s">
        <v>888</v>
      </c>
      <c r="B5174" s="141" t="s">
        <v>272</v>
      </c>
      <c r="C5174" s="141" t="s">
        <v>24</v>
      </c>
    </row>
    <row r="5175" spans="1:3" x14ac:dyDescent="0.35">
      <c r="A5175" s="141" t="s">
        <v>889</v>
      </c>
      <c r="B5175" s="141" t="s">
        <v>272</v>
      </c>
      <c r="C5175" s="141" t="s">
        <v>24</v>
      </c>
    </row>
    <row r="5176" spans="1:3" x14ac:dyDescent="0.35">
      <c r="A5176" s="141" t="s">
        <v>890</v>
      </c>
      <c r="B5176" s="141" t="s">
        <v>272</v>
      </c>
      <c r="C5176" s="141" t="s">
        <v>24</v>
      </c>
    </row>
    <row r="5177" spans="1:3" x14ac:dyDescent="0.35">
      <c r="A5177" s="141" t="s">
        <v>891</v>
      </c>
      <c r="B5177" s="141" t="s">
        <v>272</v>
      </c>
      <c r="C5177" s="141" t="s">
        <v>24</v>
      </c>
    </row>
    <row r="5178" spans="1:3" x14ac:dyDescent="0.35">
      <c r="A5178" s="141" t="s">
        <v>294</v>
      </c>
      <c r="B5178" s="141" t="s">
        <v>272</v>
      </c>
      <c r="C5178" s="141" t="s">
        <v>21</v>
      </c>
    </row>
    <row r="5179" spans="1:3" x14ac:dyDescent="0.35">
      <c r="A5179" s="141" t="s">
        <v>899</v>
      </c>
      <c r="B5179" s="141" t="s">
        <v>272</v>
      </c>
      <c r="C5179" s="141" t="s">
        <v>24</v>
      </c>
    </row>
    <row r="5180" spans="1:3" x14ac:dyDescent="0.35">
      <c r="A5180" s="141" t="s">
        <v>900</v>
      </c>
      <c r="B5180" s="141" t="s">
        <v>272</v>
      </c>
      <c r="C5180" s="141" t="s">
        <v>24</v>
      </c>
    </row>
    <row r="5181" spans="1:3" x14ac:dyDescent="0.35">
      <c r="A5181" s="141" t="s">
        <v>901</v>
      </c>
      <c r="B5181" s="141" t="s">
        <v>272</v>
      </c>
      <c r="C5181" s="141" t="s">
        <v>24</v>
      </c>
    </row>
    <row r="5182" spans="1:3" x14ac:dyDescent="0.35">
      <c r="A5182" s="141" t="s">
        <v>892</v>
      </c>
      <c r="B5182" s="141" t="s">
        <v>272</v>
      </c>
      <c r="C5182" s="141" t="s">
        <v>33</v>
      </c>
    </row>
    <row r="5183" spans="1:3" x14ac:dyDescent="0.35">
      <c r="A5183" s="141" t="s">
        <v>893</v>
      </c>
      <c r="B5183" s="141" t="s">
        <v>272</v>
      </c>
      <c r="C5183" s="141" t="s">
        <v>33</v>
      </c>
    </row>
    <row r="5184" spans="1:3" x14ac:dyDescent="0.35">
      <c r="A5184" s="141" t="s">
        <v>894</v>
      </c>
      <c r="B5184" s="141" t="s">
        <v>272</v>
      </c>
      <c r="C5184" s="141" t="s">
        <v>33</v>
      </c>
    </row>
    <row r="5185" spans="1:3" x14ac:dyDescent="0.35">
      <c r="A5185" s="141" t="s">
        <v>672</v>
      </c>
      <c r="B5185" s="141" t="s">
        <v>272</v>
      </c>
      <c r="C5185" s="141" t="s">
        <v>25</v>
      </c>
    </row>
    <row r="5186" spans="1:3" x14ac:dyDescent="0.35">
      <c r="A5186" s="141" t="s">
        <v>897</v>
      </c>
      <c r="B5186" s="141" t="s">
        <v>272</v>
      </c>
      <c r="C5186" s="141" t="s">
        <v>26</v>
      </c>
    </row>
    <row r="5187" spans="1:3" x14ac:dyDescent="0.35">
      <c r="A5187" s="141" t="s">
        <v>898</v>
      </c>
      <c r="B5187" s="141" t="s">
        <v>272</v>
      </c>
      <c r="C5187" s="141" t="s">
        <v>25</v>
      </c>
    </row>
    <row r="5188" spans="1:3" x14ac:dyDescent="0.35">
      <c r="A5188" s="141" t="s">
        <v>895</v>
      </c>
      <c r="B5188" s="141" t="s">
        <v>272</v>
      </c>
      <c r="C5188" s="141" t="s">
        <v>25</v>
      </c>
    </row>
    <row r="5189" spans="1:3" x14ac:dyDescent="0.35">
      <c r="A5189" s="141" t="s">
        <v>896</v>
      </c>
      <c r="B5189" s="141" t="s">
        <v>272</v>
      </c>
      <c r="C5189" s="141" t="s">
        <v>25</v>
      </c>
    </row>
    <row r="5190" spans="1:3" x14ac:dyDescent="0.35">
      <c r="A5190" s="141" t="s">
        <v>957</v>
      </c>
      <c r="B5190" s="141" t="s">
        <v>272</v>
      </c>
      <c r="C5190" s="141" t="s">
        <v>25</v>
      </c>
    </row>
    <row r="5191" spans="1:3" x14ac:dyDescent="0.35">
      <c r="A5191" s="141" t="s">
        <v>963</v>
      </c>
      <c r="B5191" s="141" t="s">
        <v>272</v>
      </c>
      <c r="C5191" s="141" t="s">
        <v>25</v>
      </c>
    </row>
    <row r="5192" spans="1:3" x14ac:dyDescent="0.35">
      <c r="A5192" s="141" t="s">
        <v>964</v>
      </c>
      <c r="B5192" s="141" t="s">
        <v>272</v>
      </c>
      <c r="C5192" s="141" t="s">
        <v>25</v>
      </c>
    </row>
    <row r="5193" spans="1:3" x14ac:dyDescent="0.35">
      <c r="A5193" s="141" t="s">
        <v>946</v>
      </c>
      <c r="B5193" s="141" t="s">
        <v>272</v>
      </c>
      <c r="C5193" s="141" t="s">
        <v>25</v>
      </c>
    </row>
    <row r="5194" spans="1:3" x14ac:dyDescent="0.35">
      <c r="A5194" s="141" t="s">
        <v>855</v>
      </c>
      <c r="B5194" s="141" t="s">
        <v>272</v>
      </c>
      <c r="C5194" s="141" t="s">
        <v>52</v>
      </c>
    </row>
    <row r="5195" spans="1:3" x14ac:dyDescent="0.35">
      <c r="A5195" s="141" t="s">
        <v>570</v>
      </c>
      <c r="B5195" s="141" t="s">
        <v>272</v>
      </c>
      <c r="C5195" s="141" t="s">
        <v>52</v>
      </c>
    </row>
    <row r="5196" spans="1:3" x14ac:dyDescent="0.35">
      <c r="A5196" s="141" t="s">
        <v>932</v>
      </c>
      <c r="B5196" s="141" t="s">
        <v>272</v>
      </c>
      <c r="C5196" s="141" t="s">
        <v>49</v>
      </c>
    </row>
    <row r="5197" spans="1:3" x14ac:dyDescent="0.35">
      <c r="A5197" s="141" t="s">
        <v>940</v>
      </c>
      <c r="B5197" s="141" t="s">
        <v>272</v>
      </c>
      <c r="C5197" s="141" t="s">
        <v>49</v>
      </c>
    </row>
    <row r="5198" spans="1:3" x14ac:dyDescent="0.35">
      <c r="A5198" s="141" t="s">
        <v>941</v>
      </c>
      <c r="B5198" s="141" t="s">
        <v>272</v>
      </c>
      <c r="C5198" s="141" t="s">
        <v>49</v>
      </c>
    </row>
    <row r="5199" spans="1:3" x14ac:dyDescent="0.35">
      <c r="A5199" s="141" t="s">
        <v>933</v>
      </c>
      <c r="B5199" s="141" t="s">
        <v>272</v>
      </c>
      <c r="C5199" s="141" t="s">
        <v>32</v>
      </c>
    </row>
    <row r="5200" spans="1:3" x14ac:dyDescent="0.35">
      <c r="A5200" s="141" t="s">
        <v>935</v>
      </c>
      <c r="B5200" s="141" t="s">
        <v>272</v>
      </c>
      <c r="C5200" s="141" t="s">
        <v>32</v>
      </c>
    </row>
    <row r="5201" spans="1:3" x14ac:dyDescent="0.35">
      <c r="A5201" s="141" t="s">
        <v>937</v>
      </c>
      <c r="B5201" s="141" t="s">
        <v>272</v>
      </c>
      <c r="C5201" s="141" t="s">
        <v>32</v>
      </c>
    </row>
    <row r="5202" spans="1:3" x14ac:dyDescent="0.35">
      <c r="A5202" s="141" t="s">
        <v>938</v>
      </c>
      <c r="B5202" s="141" t="s">
        <v>272</v>
      </c>
      <c r="C5202" s="141" t="s">
        <v>32</v>
      </c>
    </row>
    <row r="5203" spans="1:3" x14ac:dyDescent="0.35">
      <c r="A5203" s="141" t="s">
        <v>939</v>
      </c>
      <c r="B5203" s="141" t="s">
        <v>272</v>
      </c>
      <c r="C5203" s="141" t="s">
        <v>32</v>
      </c>
    </row>
    <row r="5204" spans="1:3" x14ac:dyDescent="0.35">
      <c r="A5204" s="141" t="s">
        <v>942</v>
      </c>
      <c r="B5204" s="141" t="s">
        <v>272</v>
      </c>
      <c r="C5204" s="141" t="s">
        <v>32</v>
      </c>
    </row>
    <row r="5205" spans="1:3" x14ac:dyDescent="0.35">
      <c r="A5205" s="141" t="s">
        <v>943</v>
      </c>
      <c r="B5205" s="141" t="s">
        <v>272</v>
      </c>
      <c r="C5205" s="141" t="s">
        <v>32</v>
      </c>
    </row>
    <row r="5206" spans="1:3" x14ac:dyDescent="0.35">
      <c r="A5206" s="141" t="s">
        <v>944</v>
      </c>
      <c r="B5206" s="141" t="s">
        <v>272</v>
      </c>
      <c r="C5206" s="141" t="s">
        <v>32</v>
      </c>
    </row>
    <row r="5207" spans="1:3" x14ac:dyDescent="0.35">
      <c r="A5207" s="141" t="s">
        <v>934</v>
      </c>
      <c r="B5207" s="141" t="s">
        <v>272</v>
      </c>
      <c r="C5207" s="141" t="s">
        <v>32</v>
      </c>
    </row>
    <row r="5208" spans="1:3" x14ac:dyDescent="0.35">
      <c r="A5208" s="141" t="s">
        <v>936</v>
      </c>
      <c r="B5208" s="141" t="s">
        <v>272</v>
      </c>
      <c r="C5208" s="141" t="s">
        <v>32</v>
      </c>
    </row>
    <row r="5209" spans="1:3" x14ac:dyDescent="0.35">
      <c r="A5209" s="141" t="s">
        <v>945</v>
      </c>
      <c r="B5209" s="141" t="s">
        <v>272</v>
      </c>
      <c r="C5209" s="141" t="s">
        <v>32</v>
      </c>
    </row>
    <row r="5210" spans="1:3" x14ac:dyDescent="0.35">
      <c r="A5210" s="141" t="s">
        <v>861</v>
      </c>
      <c r="B5210" s="141" t="s">
        <v>272</v>
      </c>
      <c r="C5210" s="141" t="s">
        <v>33</v>
      </c>
    </row>
    <row r="5211" spans="1:3" x14ac:dyDescent="0.35">
      <c r="A5211" s="141" t="s">
        <v>862</v>
      </c>
      <c r="B5211" s="141" t="s">
        <v>272</v>
      </c>
      <c r="C5211" s="141" t="s">
        <v>33</v>
      </c>
    </row>
    <row r="5212" spans="1:3" x14ac:dyDescent="0.35">
      <c r="A5212" s="141" t="s">
        <v>516</v>
      </c>
      <c r="B5212" s="141" t="s">
        <v>272</v>
      </c>
      <c r="C5212" s="141" t="s">
        <v>33</v>
      </c>
    </row>
    <row r="5213" spans="1:3" x14ac:dyDescent="0.35">
      <c r="A5213" s="141" t="s">
        <v>955</v>
      </c>
      <c r="B5213" s="141" t="s">
        <v>272</v>
      </c>
      <c r="C5213" s="141" t="s">
        <v>33</v>
      </c>
    </row>
    <row r="5214" spans="1:3" x14ac:dyDescent="0.35">
      <c r="A5214" s="141" t="s">
        <v>956</v>
      </c>
      <c r="B5214" s="141" t="s">
        <v>272</v>
      </c>
      <c r="C5214" s="141" t="s">
        <v>33</v>
      </c>
    </row>
    <row r="5215" spans="1:3" x14ac:dyDescent="0.35">
      <c r="A5215" s="141" t="s">
        <v>910</v>
      </c>
      <c r="B5215" s="141" t="s">
        <v>272</v>
      </c>
      <c r="C5215" s="141" t="s">
        <v>33</v>
      </c>
    </row>
    <row r="5216" spans="1:3" x14ac:dyDescent="0.35">
      <c r="A5216" s="141" t="s">
        <v>911</v>
      </c>
      <c r="B5216" s="141" t="s">
        <v>272</v>
      </c>
      <c r="C5216" s="141" t="s">
        <v>33</v>
      </c>
    </row>
    <row r="5217" spans="1:3" x14ac:dyDescent="0.35">
      <c r="A5217" s="141" t="s">
        <v>912</v>
      </c>
      <c r="B5217" s="141" t="s">
        <v>272</v>
      </c>
      <c r="C5217" s="141" t="s">
        <v>33</v>
      </c>
    </row>
    <row r="5218" spans="1:3" x14ac:dyDescent="0.35">
      <c r="A5218" s="141" t="s">
        <v>915</v>
      </c>
      <c r="B5218" s="141" t="s">
        <v>272</v>
      </c>
      <c r="C5218" s="141" t="s">
        <v>28</v>
      </c>
    </row>
    <row r="5219" spans="1:3" x14ac:dyDescent="0.35">
      <c r="A5219" s="141" t="s">
        <v>916</v>
      </c>
      <c r="B5219" s="141" t="s">
        <v>272</v>
      </c>
      <c r="C5219" s="141" t="s">
        <v>28</v>
      </c>
    </row>
    <row r="5220" spans="1:3" x14ac:dyDescent="0.35">
      <c r="A5220" s="141" t="s">
        <v>917</v>
      </c>
      <c r="B5220" s="141" t="s">
        <v>272</v>
      </c>
      <c r="C5220" s="141" t="s">
        <v>28</v>
      </c>
    </row>
    <row r="5221" spans="1:3" x14ac:dyDescent="0.35">
      <c r="A5221" s="141" t="s">
        <v>918</v>
      </c>
      <c r="B5221" s="141" t="s">
        <v>272</v>
      </c>
      <c r="C5221" s="141" t="s">
        <v>29</v>
      </c>
    </row>
    <row r="5222" spans="1:3" x14ac:dyDescent="0.35">
      <c r="A5222" s="141" t="s">
        <v>929</v>
      </c>
      <c r="B5222" s="141" t="s">
        <v>272</v>
      </c>
      <c r="C5222" s="141" t="s">
        <v>28</v>
      </c>
    </row>
    <row r="5223" spans="1:3" x14ac:dyDescent="0.35">
      <c r="A5223" s="141" t="s">
        <v>928</v>
      </c>
      <c r="B5223" s="141" t="s">
        <v>272</v>
      </c>
      <c r="C5223" s="141" t="s">
        <v>33</v>
      </c>
    </row>
    <row r="5224" spans="1:3" x14ac:dyDescent="0.35">
      <c r="A5224" s="141" t="s">
        <v>928</v>
      </c>
      <c r="B5224" s="141" t="s">
        <v>273</v>
      </c>
      <c r="C5224" s="141" t="s">
        <v>33</v>
      </c>
    </row>
    <row r="5225" spans="1:3" x14ac:dyDescent="0.35">
      <c r="A5225" s="141" t="s">
        <v>914</v>
      </c>
      <c r="B5225" s="141" t="s">
        <v>272</v>
      </c>
      <c r="C5225" s="141" t="s">
        <v>33</v>
      </c>
    </row>
    <row r="5226" spans="1:3" x14ac:dyDescent="0.35">
      <c r="A5226" s="141" t="s">
        <v>914</v>
      </c>
      <c r="B5226" s="141" t="s">
        <v>273</v>
      </c>
      <c r="C5226" s="141" t="s">
        <v>33</v>
      </c>
    </row>
    <row r="5227" spans="1:3" x14ac:dyDescent="0.35">
      <c r="A5227" s="141" t="s">
        <v>919</v>
      </c>
      <c r="B5227" s="141" t="s">
        <v>272</v>
      </c>
      <c r="C5227" s="141" t="s">
        <v>36</v>
      </c>
    </row>
    <row r="5228" spans="1:3" x14ac:dyDescent="0.35">
      <c r="A5228" s="141" t="s">
        <v>919</v>
      </c>
      <c r="B5228" s="141" t="s">
        <v>273</v>
      </c>
      <c r="C5228" s="141" t="s">
        <v>36</v>
      </c>
    </row>
    <row r="5229" spans="1:3" x14ac:dyDescent="0.35">
      <c r="A5229" s="141" t="s">
        <v>920</v>
      </c>
      <c r="B5229" s="141" t="s">
        <v>272</v>
      </c>
      <c r="C5229" s="141" t="s">
        <v>36</v>
      </c>
    </row>
    <row r="5230" spans="1:3" x14ac:dyDescent="0.35">
      <c r="A5230" s="141" t="s">
        <v>920</v>
      </c>
      <c r="B5230" s="141" t="s">
        <v>273</v>
      </c>
      <c r="C5230" s="141" t="s">
        <v>36</v>
      </c>
    </row>
    <row r="5231" spans="1:3" x14ac:dyDescent="0.35">
      <c r="A5231" s="141" t="s">
        <v>921</v>
      </c>
      <c r="B5231" s="141" t="s">
        <v>272</v>
      </c>
      <c r="C5231" s="141" t="s">
        <v>36</v>
      </c>
    </row>
    <row r="5232" spans="1:3" x14ac:dyDescent="0.35">
      <c r="A5232" s="141" t="s">
        <v>921</v>
      </c>
      <c r="B5232" s="141" t="s">
        <v>273</v>
      </c>
      <c r="C5232" s="141" t="s">
        <v>36</v>
      </c>
    </row>
    <row r="5233" spans="1:3" x14ac:dyDescent="0.35">
      <c r="A5233" s="141" t="s">
        <v>922</v>
      </c>
      <c r="B5233" s="141" t="s">
        <v>272</v>
      </c>
      <c r="C5233" s="141" t="s">
        <v>36</v>
      </c>
    </row>
    <row r="5234" spans="1:3" x14ac:dyDescent="0.35">
      <c r="A5234" s="141" t="s">
        <v>930</v>
      </c>
      <c r="B5234" s="141" t="s">
        <v>272</v>
      </c>
      <c r="C5234" s="141" t="s">
        <v>28</v>
      </c>
    </row>
    <row r="5235" spans="1:3" x14ac:dyDescent="0.35">
      <c r="A5235" s="141" t="s">
        <v>863</v>
      </c>
      <c r="B5235" s="141" t="s">
        <v>272</v>
      </c>
      <c r="C5235" s="141" t="s">
        <v>30</v>
      </c>
    </row>
    <row r="5236" spans="1:3" x14ac:dyDescent="0.35">
      <c r="A5236" s="141" t="s">
        <v>864</v>
      </c>
      <c r="B5236" s="141" t="s">
        <v>272</v>
      </c>
      <c r="C5236" s="141" t="s">
        <v>30</v>
      </c>
    </row>
    <row r="5237" spans="1:3" x14ac:dyDescent="0.35">
      <c r="A5237" s="141" t="s">
        <v>865</v>
      </c>
      <c r="B5237" s="141" t="s">
        <v>272</v>
      </c>
      <c r="C5237" s="141" t="s">
        <v>34</v>
      </c>
    </row>
    <row r="5238" spans="1:3" x14ac:dyDescent="0.35">
      <c r="A5238" s="141" t="s">
        <v>866</v>
      </c>
      <c r="B5238" s="141" t="s">
        <v>272</v>
      </c>
      <c r="C5238" s="141" t="s">
        <v>34</v>
      </c>
    </row>
    <row r="5239" spans="1:3" x14ac:dyDescent="0.35">
      <c r="A5239" s="141" t="s">
        <v>784</v>
      </c>
      <c r="B5239" s="141" t="s">
        <v>272</v>
      </c>
      <c r="C5239" s="141" t="s">
        <v>30</v>
      </c>
    </row>
    <row r="5240" spans="1:3" x14ac:dyDescent="0.35">
      <c r="A5240" s="141" t="s">
        <v>867</v>
      </c>
      <c r="B5240" s="141" t="s">
        <v>272</v>
      </c>
      <c r="C5240" s="141" t="s">
        <v>30</v>
      </c>
    </row>
    <row r="5241" spans="1:3" x14ac:dyDescent="0.35">
      <c r="A5241" s="141" t="s">
        <v>525</v>
      </c>
      <c r="B5241" s="141" t="s">
        <v>272</v>
      </c>
      <c r="C5241" s="141" t="s">
        <v>46</v>
      </c>
    </row>
    <row r="5242" spans="1:3" x14ac:dyDescent="0.35">
      <c r="A5242" s="141" t="s">
        <v>868</v>
      </c>
      <c r="B5242" s="141" t="s">
        <v>272</v>
      </c>
      <c r="C5242" s="141" t="s">
        <v>32</v>
      </c>
    </row>
    <row r="5243" spans="1:3" x14ac:dyDescent="0.35">
      <c r="A5243" s="141" t="s">
        <v>869</v>
      </c>
      <c r="B5243" s="141" t="s">
        <v>272</v>
      </c>
      <c r="C5243" s="141" t="s">
        <v>32</v>
      </c>
    </row>
    <row r="5244" spans="1:3" x14ac:dyDescent="0.35">
      <c r="A5244" s="141" t="s">
        <v>870</v>
      </c>
      <c r="B5244" s="141" t="s">
        <v>272</v>
      </c>
      <c r="C5244" s="141" t="s">
        <v>32</v>
      </c>
    </row>
    <row r="5245" spans="1:3" x14ac:dyDescent="0.35">
      <c r="A5245" s="141" t="s">
        <v>958</v>
      </c>
      <c r="B5245" s="141" t="s">
        <v>272</v>
      </c>
      <c r="C5245" s="141" t="s">
        <v>25</v>
      </c>
    </row>
    <row r="5246" spans="1:3" x14ac:dyDescent="0.35">
      <c r="A5246" s="141" t="s">
        <v>562</v>
      </c>
      <c r="B5246" s="141" t="s">
        <v>272</v>
      </c>
      <c r="C5246" s="141" t="s">
        <v>48</v>
      </c>
    </row>
    <row r="5247" spans="1:3" x14ac:dyDescent="0.35">
      <c r="A5247" s="141" t="s">
        <v>308</v>
      </c>
      <c r="B5247" s="141" t="s">
        <v>272</v>
      </c>
      <c r="C5247" s="141" t="s">
        <v>53</v>
      </c>
    </row>
    <row r="5248" spans="1:3" x14ac:dyDescent="0.35">
      <c r="A5248" s="141" t="s">
        <v>309</v>
      </c>
      <c r="B5248" s="141" t="s">
        <v>272</v>
      </c>
      <c r="C5248" s="141" t="s">
        <v>53</v>
      </c>
    </row>
    <row r="5249" spans="1:3" x14ac:dyDescent="0.35">
      <c r="A5249" s="141" t="s">
        <v>311</v>
      </c>
      <c r="B5249" s="141" t="s">
        <v>272</v>
      </c>
      <c r="C5249" s="141" t="s">
        <v>53</v>
      </c>
    </row>
    <row r="5250" spans="1:3" x14ac:dyDescent="0.35">
      <c r="A5250" s="141" t="s">
        <v>534</v>
      </c>
      <c r="B5250" s="141" t="s">
        <v>272</v>
      </c>
      <c r="C5250" s="141" t="s">
        <v>53</v>
      </c>
    </row>
    <row r="5251" spans="1:3" x14ac:dyDescent="0.35">
      <c r="A5251" s="141" t="s">
        <v>312</v>
      </c>
      <c r="B5251" s="141" t="s">
        <v>272</v>
      </c>
      <c r="C5251" s="141" t="s">
        <v>53</v>
      </c>
    </row>
    <row r="5252" spans="1:3" x14ac:dyDescent="0.35">
      <c r="A5252" s="141" t="s">
        <v>965</v>
      </c>
      <c r="B5252" s="141" t="s">
        <v>272</v>
      </c>
      <c r="C5252" s="141" t="s">
        <v>52</v>
      </c>
    </row>
    <row r="5253" spans="1:3" x14ac:dyDescent="0.35">
      <c r="A5253" s="141" t="s">
        <v>959</v>
      </c>
      <c r="B5253" s="141" t="s">
        <v>272</v>
      </c>
      <c r="C5253" s="141" t="s">
        <v>53</v>
      </c>
    </row>
    <row r="5254" spans="1:3" x14ac:dyDescent="0.35">
      <c r="A5254" s="141" t="s">
        <v>960</v>
      </c>
      <c r="B5254" s="141" t="s">
        <v>272</v>
      </c>
      <c r="C5254" s="141" t="s">
        <v>52</v>
      </c>
    </row>
    <row r="5255" spans="1:3" x14ac:dyDescent="0.35">
      <c r="A5255" s="141" t="s">
        <v>873</v>
      </c>
      <c r="B5255" s="141" t="s">
        <v>272</v>
      </c>
      <c r="C5255" s="141" t="s">
        <v>52</v>
      </c>
    </row>
    <row r="5256" spans="1:3" x14ac:dyDescent="0.35">
      <c r="A5256" s="141" t="s">
        <v>874</v>
      </c>
      <c r="B5256" s="141" t="s">
        <v>272</v>
      </c>
      <c r="C5256" s="141" t="s">
        <v>52</v>
      </c>
    </row>
    <row r="5257" spans="1:3" x14ac:dyDescent="0.35">
      <c r="A5257" s="141" t="s">
        <v>875</v>
      </c>
      <c r="B5257" s="141" t="s">
        <v>272</v>
      </c>
      <c r="C5257" s="141" t="s">
        <v>52</v>
      </c>
    </row>
    <row r="5258" spans="1:3" x14ac:dyDescent="0.35">
      <c r="A5258" s="141" t="s">
        <v>876</v>
      </c>
      <c r="B5258" s="141" t="s">
        <v>272</v>
      </c>
      <c r="C5258" s="141" t="s">
        <v>52</v>
      </c>
    </row>
    <row r="5259" spans="1:3" x14ac:dyDescent="0.35">
      <c r="A5259" s="141" t="s">
        <v>877</v>
      </c>
      <c r="B5259" s="141" t="s">
        <v>272</v>
      </c>
      <c r="C5259" s="141" t="s">
        <v>52</v>
      </c>
    </row>
    <row r="5260" spans="1:3" x14ac:dyDescent="0.35">
      <c r="A5260" s="141" t="s">
        <v>878</v>
      </c>
      <c r="B5260" s="141" t="s">
        <v>272</v>
      </c>
      <c r="C5260" s="141" t="s">
        <v>52</v>
      </c>
    </row>
    <row r="5261" spans="1:3" x14ac:dyDescent="0.35">
      <c r="A5261" s="141" t="s">
        <v>539</v>
      </c>
      <c r="B5261" s="141" t="s">
        <v>272</v>
      </c>
      <c r="C5261" s="141" t="s">
        <v>52</v>
      </c>
    </row>
    <row r="5262" spans="1:3" x14ac:dyDescent="0.35">
      <c r="A5262" s="141" t="s">
        <v>540</v>
      </c>
      <c r="B5262" s="141" t="s">
        <v>272</v>
      </c>
      <c r="C5262" s="141" t="s">
        <v>52</v>
      </c>
    </row>
    <row r="5263" spans="1:3" x14ac:dyDescent="0.35">
      <c r="A5263" s="141" t="s">
        <v>812</v>
      </c>
      <c r="B5263" s="141" t="s">
        <v>272</v>
      </c>
      <c r="C5263" s="141" t="s">
        <v>52</v>
      </c>
    </row>
    <row r="5264" spans="1:3" x14ac:dyDescent="0.35">
      <c r="A5264" s="141" t="s">
        <v>803</v>
      </c>
      <c r="B5264" s="141" t="s">
        <v>272</v>
      </c>
      <c r="C5264" s="141" t="s">
        <v>52</v>
      </c>
    </row>
    <row r="5265" spans="1:3" x14ac:dyDescent="0.35">
      <c r="A5265" s="141" t="s">
        <v>966</v>
      </c>
      <c r="B5265" s="141" t="s">
        <v>272</v>
      </c>
      <c r="C5265" s="141" t="s">
        <v>53</v>
      </c>
    </row>
    <row r="5266" spans="1:3" x14ac:dyDescent="0.35">
      <c r="A5266" s="141" t="s">
        <v>967</v>
      </c>
      <c r="B5266" s="141" t="s">
        <v>272</v>
      </c>
      <c r="C5266" s="141" t="s">
        <v>53</v>
      </c>
    </row>
    <row r="5267" spans="1:3" x14ac:dyDescent="0.35">
      <c r="A5267" s="141" t="s">
        <v>968</v>
      </c>
      <c r="B5267" s="141" t="s">
        <v>272</v>
      </c>
      <c r="C5267" s="141" t="s">
        <v>53</v>
      </c>
    </row>
    <row r="5268" spans="1:3" x14ac:dyDescent="0.35">
      <c r="A5268" s="141" t="s">
        <v>969</v>
      </c>
      <c r="B5268" s="141" t="s">
        <v>272</v>
      </c>
      <c r="C5268" s="141" t="s">
        <v>53</v>
      </c>
    </row>
    <row r="5269" spans="1:3" x14ac:dyDescent="0.35">
      <c r="A5269" s="141" t="s">
        <v>970</v>
      </c>
      <c r="B5269" s="141" t="s">
        <v>272</v>
      </c>
      <c r="C5269" s="141" t="s">
        <v>53</v>
      </c>
    </row>
    <row r="5270" spans="1:3" x14ac:dyDescent="0.35">
      <c r="A5270" s="141" t="s">
        <v>804</v>
      </c>
      <c r="B5270" s="141" t="s">
        <v>272</v>
      </c>
      <c r="C5270" s="141" t="s">
        <v>53</v>
      </c>
    </row>
    <row r="5271" spans="1:3" x14ac:dyDescent="0.35">
      <c r="A5271" s="141" t="s">
        <v>805</v>
      </c>
      <c r="B5271" s="141" t="s">
        <v>272</v>
      </c>
      <c r="C5271" s="141" t="s">
        <v>52</v>
      </c>
    </row>
    <row r="5272" spans="1:3" x14ac:dyDescent="0.35">
      <c r="A5272" s="141" t="s">
        <v>879</v>
      </c>
      <c r="B5272" s="141" t="s">
        <v>272</v>
      </c>
      <c r="C5272" s="141" t="s">
        <v>52</v>
      </c>
    </row>
    <row r="5273" spans="1:3" x14ac:dyDescent="0.35">
      <c r="A5273" s="141" t="s">
        <v>880</v>
      </c>
      <c r="B5273" s="141" t="s">
        <v>272</v>
      </c>
      <c r="C5273" s="141" t="s">
        <v>52</v>
      </c>
    </row>
    <row r="5274" spans="1:3" x14ac:dyDescent="0.35">
      <c r="A5274" s="141" t="s">
        <v>314</v>
      </c>
      <c r="B5274" s="141" t="s">
        <v>272</v>
      </c>
      <c r="C5274" s="141" t="s">
        <v>16</v>
      </c>
    </row>
    <row r="5275" spans="1:3" x14ac:dyDescent="0.35">
      <c r="A5275" s="141" t="s">
        <v>316</v>
      </c>
      <c r="B5275" s="141" t="s">
        <v>272</v>
      </c>
      <c r="C5275" s="141" t="s">
        <v>16</v>
      </c>
    </row>
    <row r="5276" spans="1:3" x14ac:dyDescent="0.35">
      <c r="A5276" s="141" t="s">
        <v>317</v>
      </c>
      <c r="B5276" s="141" t="s">
        <v>272</v>
      </c>
      <c r="C5276" s="141" t="s">
        <v>16</v>
      </c>
    </row>
    <row r="5277" spans="1:3" x14ac:dyDescent="0.35">
      <c r="A5277" s="141" t="s">
        <v>318</v>
      </c>
      <c r="B5277" s="141" t="s">
        <v>272</v>
      </c>
      <c r="C5277" s="141" t="s">
        <v>16</v>
      </c>
    </row>
    <row r="5278" spans="1:3" x14ac:dyDescent="0.35">
      <c r="A5278" s="141" t="s">
        <v>319</v>
      </c>
      <c r="B5278" s="141" t="s">
        <v>272</v>
      </c>
      <c r="C5278" s="141" t="s">
        <v>16</v>
      </c>
    </row>
    <row r="5279" spans="1:3" x14ac:dyDescent="0.35">
      <c r="A5279" s="141" t="s">
        <v>320</v>
      </c>
      <c r="B5279" s="141" t="s">
        <v>272</v>
      </c>
      <c r="C5279" s="141" t="s">
        <v>16</v>
      </c>
    </row>
    <row r="5280" spans="1:3" x14ac:dyDescent="0.35">
      <c r="A5280" s="141" t="s">
        <v>321</v>
      </c>
      <c r="B5280" s="141" t="s">
        <v>272</v>
      </c>
      <c r="C5280" s="141" t="s">
        <v>16</v>
      </c>
    </row>
    <row r="5281" spans="1:3" x14ac:dyDescent="0.35">
      <c r="A5281" s="141" t="s">
        <v>322</v>
      </c>
      <c r="B5281" s="141" t="s">
        <v>272</v>
      </c>
      <c r="C5281" s="141" t="s">
        <v>16</v>
      </c>
    </row>
    <row r="5282" spans="1:3" x14ac:dyDescent="0.35">
      <c r="A5282" s="141" t="s">
        <v>323</v>
      </c>
      <c r="B5282" s="141" t="s">
        <v>272</v>
      </c>
      <c r="C5282" s="141" t="s">
        <v>16</v>
      </c>
    </row>
    <row r="5283" spans="1:3" x14ac:dyDescent="0.35">
      <c r="A5283" s="141" t="s">
        <v>324</v>
      </c>
      <c r="B5283" s="141" t="s">
        <v>272</v>
      </c>
      <c r="C5283" s="141" t="s">
        <v>16</v>
      </c>
    </row>
    <row r="5284" spans="1:3" x14ac:dyDescent="0.35">
      <c r="A5284" s="141" t="s">
        <v>325</v>
      </c>
      <c r="B5284" s="141" t="s">
        <v>272</v>
      </c>
      <c r="C5284" s="141" t="s">
        <v>16</v>
      </c>
    </row>
    <row r="5285" spans="1:3" x14ac:dyDescent="0.35">
      <c r="A5285" s="141" t="s">
        <v>326</v>
      </c>
      <c r="B5285" s="141" t="s">
        <v>272</v>
      </c>
      <c r="C5285" s="141" t="s">
        <v>16</v>
      </c>
    </row>
    <row r="5286" spans="1:3" x14ac:dyDescent="0.35">
      <c r="A5286" s="141" t="s">
        <v>971</v>
      </c>
      <c r="B5286" s="141" t="s">
        <v>272</v>
      </c>
      <c r="C5286" s="141" t="s">
        <v>16</v>
      </c>
    </row>
    <row r="5287" spans="1:3" x14ac:dyDescent="0.35">
      <c r="A5287" s="141" t="s">
        <v>327</v>
      </c>
      <c r="B5287" s="141" t="s">
        <v>272</v>
      </c>
      <c r="C5287" s="141" t="s">
        <v>16</v>
      </c>
    </row>
    <row r="5288" spans="1:3" x14ac:dyDescent="0.35">
      <c r="A5288" s="141" t="s">
        <v>972</v>
      </c>
      <c r="B5288" s="141" t="s">
        <v>272</v>
      </c>
      <c r="C5288" s="141" t="s">
        <v>16</v>
      </c>
    </row>
    <row r="5289" spans="1:3" x14ac:dyDescent="0.35">
      <c r="A5289" s="141" t="s">
        <v>328</v>
      </c>
      <c r="B5289" s="141" t="s">
        <v>272</v>
      </c>
      <c r="C5289" s="141" t="s">
        <v>16</v>
      </c>
    </row>
    <row r="5290" spans="1:3" x14ac:dyDescent="0.35">
      <c r="A5290" s="141" t="s">
        <v>329</v>
      </c>
      <c r="B5290" s="141" t="s">
        <v>272</v>
      </c>
      <c r="C5290" s="141" t="s">
        <v>16</v>
      </c>
    </row>
    <row r="5291" spans="1:3" x14ac:dyDescent="0.35">
      <c r="A5291" s="141" t="s">
        <v>973</v>
      </c>
      <c r="B5291" s="141" t="s">
        <v>272</v>
      </c>
      <c r="C5291" s="141" t="s">
        <v>16</v>
      </c>
    </row>
    <row r="5292" spans="1:3" x14ac:dyDescent="0.35">
      <c r="A5292" s="141" t="s">
        <v>334</v>
      </c>
      <c r="B5292" s="141" t="s">
        <v>272</v>
      </c>
      <c r="C5292" s="141" t="s">
        <v>16</v>
      </c>
    </row>
    <row r="5293" spans="1:3" x14ac:dyDescent="0.35">
      <c r="A5293" s="141" t="s">
        <v>881</v>
      </c>
      <c r="B5293" s="141" t="s">
        <v>272</v>
      </c>
      <c r="C5293" s="141" t="s">
        <v>16</v>
      </c>
    </row>
    <row r="5294" spans="1:3" x14ac:dyDescent="0.35">
      <c r="A5294" s="141" t="s">
        <v>974</v>
      </c>
      <c r="B5294" s="141" t="s">
        <v>272</v>
      </c>
      <c r="C5294" s="141" t="s">
        <v>16</v>
      </c>
    </row>
    <row r="5295" spans="1:3" x14ac:dyDescent="0.35">
      <c r="A5295" s="141" t="s">
        <v>531</v>
      </c>
      <c r="B5295" s="141" t="s">
        <v>272</v>
      </c>
      <c r="C5295" s="141" t="s">
        <v>51</v>
      </c>
    </row>
    <row r="5296" spans="1:3" x14ac:dyDescent="0.35">
      <c r="A5296" s="141" t="s">
        <v>741</v>
      </c>
      <c r="B5296" s="141" t="s">
        <v>272</v>
      </c>
      <c r="C5296" s="141" t="s">
        <v>51</v>
      </c>
    </row>
    <row r="5297" spans="1:3" x14ac:dyDescent="0.35">
      <c r="A5297" s="141" t="s">
        <v>742</v>
      </c>
      <c r="B5297" s="141" t="s">
        <v>272</v>
      </c>
      <c r="C5297" s="141" t="s">
        <v>51</v>
      </c>
    </row>
    <row r="5298" spans="1:3" x14ac:dyDescent="0.35">
      <c r="A5298" s="141" t="s">
        <v>743</v>
      </c>
      <c r="B5298" s="141" t="s">
        <v>272</v>
      </c>
      <c r="C5298" s="141" t="s">
        <v>51</v>
      </c>
    </row>
    <row r="5299" spans="1:3" x14ac:dyDescent="0.35">
      <c r="A5299" s="141" t="s">
        <v>747</v>
      </c>
      <c r="B5299" s="141" t="s">
        <v>272</v>
      </c>
      <c r="C5299" s="141" t="s">
        <v>51</v>
      </c>
    </row>
    <row r="5300" spans="1:3" x14ac:dyDescent="0.35">
      <c r="A5300" s="141" t="s">
        <v>748</v>
      </c>
      <c r="B5300" s="141" t="s">
        <v>272</v>
      </c>
      <c r="C5300" s="141" t="s">
        <v>51</v>
      </c>
    </row>
    <row r="5301" spans="1:3" x14ac:dyDescent="0.35">
      <c r="A5301" s="141" t="s">
        <v>533</v>
      </c>
      <c r="B5301" s="141" t="s">
        <v>272</v>
      </c>
      <c r="C5301" s="141" t="s">
        <v>50</v>
      </c>
    </row>
    <row r="5302" spans="1:3" x14ac:dyDescent="0.35">
      <c r="A5302" s="141" t="s">
        <v>954</v>
      </c>
      <c r="B5302" s="141" t="s">
        <v>272</v>
      </c>
      <c r="C5302" s="141" t="s">
        <v>35</v>
      </c>
    </row>
    <row r="5303" spans="1:3" x14ac:dyDescent="0.35">
      <c r="A5303" s="141" t="s">
        <v>975</v>
      </c>
      <c r="B5303" s="141" t="s">
        <v>272</v>
      </c>
      <c r="C5303" s="141" t="s">
        <v>33</v>
      </c>
    </row>
    <row r="5304" spans="1:3" x14ac:dyDescent="0.35">
      <c r="A5304" s="141" t="s">
        <v>976</v>
      </c>
      <c r="B5304" s="141" t="s">
        <v>272</v>
      </c>
      <c r="C5304" s="141" t="s">
        <v>33</v>
      </c>
    </row>
    <row r="5305" spans="1:3" x14ac:dyDescent="0.35">
      <c r="A5305" s="141" t="s">
        <v>740</v>
      </c>
      <c r="B5305" s="141" t="s">
        <v>272</v>
      </c>
      <c r="C5305" s="141" t="s">
        <v>33</v>
      </c>
    </row>
    <row r="5306" spans="1:3" x14ac:dyDescent="0.35">
      <c r="A5306" s="141" t="s">
        <v>550</v>
      </c>
      <c r="B5306" s="141" t="s">
        <v>272</v>
      </c>
      <c r="C5306" s="141" t="s">
        <v>33</v>
      </c>
    </row>
    <row r="5307" spans="1:3" x14ac:dyDescent="0.35">
      <c r="A5307" s="141" t="s">
        <v>551</v>
      </c>
      <c r="B5307" s="141" t="s">
        <v>272</v>
      </c>
      <c r="C5307" s="141" t="s">
        <v>33</v>
      </c>
    </row>
    <row r="5308" spans="1:3" x14ac:dyDescent="0.35">
      <c r="A5308" s="141" t="s">
        <v>795</v>
      </c>
      <c r="B5308" s="141" t="s">
        <v>272</v>
      </c>
      <c r="C5308" s="142"/>
    </row>
    <row r="5309" spans="1:3" x14ac:dyDescent="0.35">
      <c r="A5309" s="141" t="s">
        <v>796</v>
      </c>
      <c r="B5309" s="141" t="s">
        <v>272</v>
      </c>
      <c r="C5309" s="142"/>
    </row>
    <row r="5310" spans="1:3" x14ac:dyDescent="0.35">
      <c r="A5310" s="141" t="s">
        <v>601</v>
      </c>
      <c r="B5310" s="141" t="s">
        <v>272</v>
      </c>
      <c r="C5310" s="141" t="s">
        <v>40</v>
      </c>
    </row>
    <row r="5311" spans="1:3" x14ac:dyDescent="0.35">
      <c r="A5311" s="141" t="s">
        <v>602</v>
      </c>
      <c r="B5311" s="141" t="s">
        <v>272</v>
      </c>
      <c r="C5311" s="141" t="s">
        <v>39</v>
      </c>
    </row>
    <row r="5312" spans="1:3" x14ac:dyDescent="0.35">
      <c r="A5312" s="141" t="s">
        <v>735</v>
      </c>
      <c r="B5312" s="141" t="s">
        <v>272</v>
      </c>
      <c r="C5312" s="141" t="s">
        <v>41</v>
      </c>
    </row>
    <row r="5313" spans="1:3" x14ac:dyDescent="0.35">
      <c r="A5313" s="141" t="s">
        <v>736</v>
      </c>
      <c r="B5313" s="141" t="s">
        <v>272</v>
      </c>
      <c r="C5313" s="141" t="s">
        <v>41</v>
      </c>
    </row>
    <row r="5314" spans="1:3" x14ac:dyDescent="0.35">
      <c r="A5314" s="141" t="s">
        <v>737</v>
      </c>
      <c r="B5314" s="141" t="s">
        <v>272</v>
      </c>
      <c r="C5314" s="141" t="s">
        <v>41</v>
      </c>
    </row>
    <row r="5315" spans="1:3" x14ac:dyDescent="0.35">
      <c r="A5315" s="141" t="s">
        <v>738</v>
      </c>
      <c r="B5315" s="141" t="s">
        <v>272</v>
      </c>
      <c r="C5315" s="141" t="s">
        <v>41</v>
      </c>
    </row>
    <row r="5316" spans="1:3" x14ac:dyDescent="0.35">
      <c r="A5316" s="141" t="s">
        <v>797</v>
      </c>
      <c r="B5316" s="141" t="s">
        <v>272</v>
      </c>
      <c r="C5316" s="141" t="s">
        <v>41</v>
      </c>
    </row>
    <row r="5317" spans="1:3" x14ac:dyDescent="0.35">
      <c r="A5317" s="141" t="s">
        <v>798</v>
      </c>
      <c r="B5317" s="141" t="s">
        <v>272</v>
      </c>
      <c r="C5317" s="141" t="s">
        <v>40</v>
      </c>
    </row>
    <row r="5318" spans="1:3" x14ac:dyDescent="0.35">
      <c r="A5318" s="141" t="s">
        <v>799</v>
      </c>
      <c r="B5318" s="141" t="s">
        <v>272</v>
      </c>
      <c r="C5318" s="141" t="s">
        <v>40</v>
      </c>
    </row>
    <row r="5319" spans="1:3" x14ac:dyDescent="0.35">
      <c r="A5319" s="141" t="s">
        <v>775</v>
      </c>
      <c r="B5319" s="141" t="s">
        <v>272</v>
      </c>
      <c r="C5319" s="141" t="s">
        <v>38</v>
      </c>
    </row>
    <row r="5320" spans="1:3" x14ac:dyDescent="0.35">
      <c r="A5320" s="141" t="s">
        <v>605</v>
      </c>
      <c r="B5320" s="141" t="s">
        <v>272</v>
      </c>
      <c r="C5320" s="141" t="s">
        <v>43</v>
      </c>
    </row>
    <row r="5321" spans="1:3" x14ac:dyDescent="0.35">
      <c r="A5321" s="141" t="s">
        <v>606</v>
      </c>
      <c r="B5321" s="141" t="s">
        <v>272</v>
      </c>
      <c r="C5321" s="141" t="s">
        <v>43</v>
      </c>
    </row>
    <row r="5322" spans="1:3" x14ac:dyDescent="0.35">
      <c r="A5322" s="141" t="s">
        <v>607</v>
      </c>
      <c r="B5322" s="141" t="s">
        <v>272</v>
      </c>
      <c r="C5322" s="141" t="s">
        <v>43</v>
      </c>
    </row>
    <row r="5323" spans="1:3" x14ac:dyDescent="0.35">
      <c r="A5323" s="141" t="s">
        <v>608</v>
      </c>
      <c r="B5323" s="141" t="s">
        <v>272</v>
      </c>
      <c r="C5323" s="141" t="s">
        <v>43</v>
      </c>
    </row>
    <row r="5324" spans="1:3" x14ac:dyDescent="0.35">
      <c r="A5324" s="141" t="s">
        <v>609</v>
      </c>
      <c r="B5324" s="141" t="s">
        <v>272</v>
      </c>
      <c r="C5324" s="141" t="s">
        <v>43</v>
      </c>
    </row>
    <row r="5325" spans="1:3" x14ac:dyDescent="0.35">
      <c r="A5325" s="141" t="s">
        <v>610</v>
      </c>
      <c r="B5325" s="141" t="s">
        <v>272</v>
      </c>
      <c r="C5325" s="141" t="s">
        <v>43</v>
      </c>
    </row>
    <row r="5326" spans="1:3" x14ac:dyDescent="0.35">
      <c r="A5326" s="141" t="s">
        <v>612</v>
      </c>
      <c r="B5326" s="141" t="s">
        <v>272</v>
      </c>
      <c r="C5326" s="141" t="s">
        <v>43</v>
      </c>
    </row>
    <row r="5327" spans="1:3" x14ac:dyDescent="0.35">
      <c r="A5327" s="141" t="s">
        <v>853</v>
      </c>
      <c r="B5327" s="141" t="s">
        <v>272</v>
      </c>
      <c r="C5327" s="141" t="s">
        <v>43</v>
      </c>
    </row>
    <row r="5328" spans="1:3" x14ac:dyDescent="0.35">
      <c r="A5328" s="141" t="s">
        <v>614</v>
      </c>
      <c r="B5328" s="141" t="s">
        <v>272</v>
      </c>
      <c r="C5328" s="141" t="s">
        <v>43</v>
      </c>
    </row>
    <row r="5329" spans="1:3" x14ac:dyDescent="0.35">
      <c r="A5329" s="141" t="s">
        <v>615</v>
      </c>
      <c r="B5329" s="141" t="s">
        <v>272</v>
      </c>
      <c r="C5329" s="141" t="s">
        <v>43</v>
      </c>
    </row>
    <row r="5330" spans="1:3" x14ac:dyDescent="0.35">
      <c r="A5330" s="141" t="s">
        <v>616</v>
      </c>
      <c r="B5330" s="141" t="s">
        <v>272</v>
      </c>
      <c r="C5330" s="141" t="s">
        <v>43</v>
      </c>
    </row>
    <row r="5331" spans="1:3" x14ac:dyDescent="0.35">
      <c r="A5331" s="141" t="s">
        <v>854</v>
      </c>
      <c r="B5331" s="141" t="s">
        <v>272</v>
      </c>
      <c r="C5331" s="141" t="s">
        <v>43</v>
      </c>
    </row>
    <row r="5332" spans="1:3" x14ac:dyDescent="0.35">
      <c r="A5332" s="141" t="s">
        <v>618</v>
      </c>
      <c r="B5332" s="141" t="s">
        <v>272</v>
      </c>
      <c r="C5332" s="141" t="s">
        <v>43</v>
      </c>
    </row>
    <row r="5333" spans="1:3" x14ac:dyDescent="0.35">
      <c r="A5333" s="141" t="s">
        <v>619</v>
      </c>
      <c r="B5333" s="141" t="s">
        <v>272</v>
      </c>
      <c r="C5333" s="141" t="s">
        <v>44</v>
      </c>
    </row>
    <row r="5334" spans="1:3" x14ac:dyDescent="0.35">
      <c r="A5334" s="141" t="s">
        <v>840</v>
      </c>
      <c r="B5334" s="141" t="s">
        <v>272</v>
      </c>
      <c r="C5334" s="141" t="s">
        <v>10</v>
      </c>
    </row>
    <row r="5335" spans="1:3" x14ac:dyDescent="0.35">
      <c r="A5335" s="141" t="s">
        <v>841</v>
      </c>
      <c r="B5335" s="141" t="s">
        <v>272</v>
      </c>
      <c r="C5335" s="141" t="s">
        <v>10</v>
      </c>
    </row>
    <row r="5336" spans="1:3" x14ac:dyDescent="0.35">
      <c r="A5336" s="141" t="s">
        <v>370</v>
      </c>
      <c r="B5336" s="141" t="s">
        <v>272</v>
      </c>
      <c r="C5336" s="141" t="s">
        <v>10</v>
      </c>
    </row>
    <row r="5337" spans="1:3" x14ac:dyDescent="0.35">
      <c r="A5337" s="141" t="s">
        <v>371</v>
      </c>
      <c r="B5337" s="141" t="s">
        <v>272</v>
      </c>
      <c r="C5337" s="141" t="s">
        <v>10</v>
      </c>
    </row>
    <row r="5338" spans="1:3" x14ac:dyDescent="0.35">
      <c r="A5338" s="141" t="s">
        <v>372</v>
      </c>
      <c r="B5338" s="141" t="s">
        <v>272</v>
      </c>
      <c r="C5338" s="141" t="s">
        <v>10</v>
      </c>
    </row>
    <row r="5339" spans="1:3" x14ac:dyDescent="0.35">
      <c r="A5339" s="141" t="s">
        <v>373</v>
      </c>
      <c r="B5339" s="141" t="s">
        <v>272</v>
      </c>
      <c r="C5339" s="141" t="s">
        <v>10</v>
      </c>
    </row>
    <row r="5340" spans="1:3" x14ac:dyDescent="0.35">
      <c r="A5340" s="141" t="s">
        <v>375</v>
      </c>
      <c r="B5340" s="141" t="s">
        <v>272</v>
      </c>
      <c r="C5340" s="141" t="s">
        <v>10</v>
      </c>
    </row>
    <row r="5341" spans="1:3" x14ac:dyDescent="0.35">
      <c r="A5341" s="141" t="s">
        <v>376</v>
      </c>
      <c r="B5341" s="141" t="s">
        <v>272</v>
      </c>
      <c r="C5341" s="141" t="s">
        <v>10</v>
      </c>
    </row>
    <row r="5342" spans="1:3" x14ac:dyDescent="0.35">
      <c r="A5342" s="141" t="s">
        <v>842</v>
      </c>
      <c r="B5342" s="141" t="s">
        <v>272</v>
      </c>
      <c r="C5342" s="141" t="s">
        <v>11</v>
      </c>
    </row>
    <row r="5343" spans="1:3" x14ac:dyDescent="0.35">
      <c r="A5343" s="141" t="s">
        <v>843</v>
      </c>
      <c r="B5343" s="141" t="s">
        <v>272</v>
      </c>
      <c r="C5343" s="141" t="s">
        <v>11</v>
      </c>
    </row>
    <row r="5344" spans="1:3" x14ac:dyDescent="0.35">
      <c r="A5344" s="141" t="s">
        <v>844</v>
      </c>
      <c r="B5344" s="141" t="s">
        <v>272</v>
      </c>
      <c r="C5344" s="141" t="s">
        <v>11</v>
      </c>
    </row>
    <row r="5345" spans="1:3" x14ac:dyDescent="0.35">
      <c r="A5345" s="141" t="s">
        <v>845</v>
      </c>
      <c r="B5345" s="141" t="s">
        <v>272</v>
      </c>
      <c r="C5345" s="141" t="s">
        <v>11</v>
      </c>
    </row>
    <row r="5346" spans="1:3" x14ac:dyDescent="0.35">
      <c r="A5346" s="141" t="s">
        <v>383</v>
      </c>
      <c r="B5346" s="141" t="s">
        <v>272</v>
      </c>
      <c r="C5346" s="141" t="s">
        <v>5</v>
      </c>
    </row>
    <row r="5347" spans="1:3" x14ac:dyDescent="0.35">
      <c r="A5347" s="141" t="s">
        <v>390</v>
      </c>
      <c r="B5347" s="141" t="s">
        <v>272</v>
      </c>
      <c r="C5347" s="141" t="s">
        <v>16</v>
      </c>
    </row>
    <row r="5348" spans="1:3" x14ac:dyDescent="0.35">
      <c r="A5348" s="141" t="s">
        <v>846</v>
      </c>
      <c r="B5348" s="141" t="s">
        <v>272</v>
      </c>
      <c r="C5348" s="141" t="s">
        <v>16</v>
      </c>
    </row>
    <row r="5349" spans="1:3" x14ac:dyDescent="0.35">
      <c r="A5349" s="141" t="s">
        <v>393</v>
      </c>
      <c r="B5349" s="141" t="s">
        <v>272</v>
      </c>
      <c r="C5349" s="141" t="s">
        <v>9</v>
      </c>
    </row>
    <row r="5350" spans="1:3" x14ac:dyDescent="0.35">
      <c r="A5350" s="141" t="s">
        <v>885</v>
      </c>
      <c r="B5350" s="141" t="s">
        <v>272</v>
      </c>
      <c r="C5350" s="141" t="s">
        <v>19</v>
      </c>
    </row>
    <row r="5351" spans="1:3" x14ac:dyDescent="0.35">
      <c r="A5351" s="141" t="s">
        <v>886</v>
      </c>
      <c r="B5351" s="141" t="s">
        <v>272</v>
      </c>
      <c r="C5351" s="141" t="s">
        <v>19</v>
      </c>
    </row>
    <row r="5352" spans="1:3" x14ac:dyDescent="0.35">
      <c r="A5352" s="141" t="s">
        <v>398</v>
      </c>
      <c r="B5352" s="141" t="s">
        <v>272</v>
      </c>
      <c r="C5352" s="141" t="s">
        <v>17</v>
      </c>
    </row>
    <row r="5353" spans="1:3" x14ac:dyDescent="0.35">
      <c r="A5353" s="141" t="s">
        <v>399</v>
      </c>
      <c r="B5353" s="141" t="s">
        <v>272</v>
      </c>
      <c r="C5353" s="141" t="s">
        <v>16</v>
      </c>
    </row>
    <row r="5354" spans="1:3" x14ac:dyDescent="0.35">
      <c r="A5354" s="141" t="s">
        <v>400</v>
      </c>
      <c r="B5354" s="141" t="s">
        <v>272</v>
      </c>
      <c r="C5354" s="141" t="s">
        <v>20</v>
      </c>
    </row>
    <row r="5355" spans="1:3" x14ac:dyDescent="0.35">
      <c r="A5355" s="141" t="s">
        <v>401</v>
      </c>
      <c r="B5355" s="141" t="s">
        <v>272</v>
      </c>
      <c r="C5355" s="141" t="s">
        <v>20</v>
      </c>
    </row>
    <row r="5356" spans="1:3" x14ac:dyDescent="0.35">
      <c r="A5356" s="141" t="s">
        <v>671</v>
      </c>
      <c r="B5356" s="141" t="s">
        <v>272</v>
      </c>
      <c r="C5356" s="141" t="s">
        <v>20</v>
      </c>
    </row>
    <row r="5357" spans="1:3" x14ac:dyDescent="0.35">
      <c r="A5357" s="141" t="s">
        <v>402</v>
      </c>
      <c r="B5357" s="141" t="s">
        <v>272</v>
      </c>
      <c r="C5357" s="141" t="s">
        <v>20</v>
      </c>
    </row>
    <row r="5358" spans="1:3" x14ac:dyDescent="0.35">
      <c r="A5358" s="141" t="s">
        <v>592</v>
      </c>
      <c r="B5358" s="141" t="s">
        <v>272</v>
      </c>
      <c r="C5358" s="141" t="s">
        <v>20</v>
      </c>
    </row>
    <row r="5359" spans="1:3" x14ac:dyDescent="0.35">
      <c r="A5359" s="141" t="s">
        <v>593</v>
      </c>
      <c r="B5359" s="141" t="s">
        <v>272</v>
      </c>
      <c r="C5359" s="141" t="s">
        <v>20</v>
      </c>
    </row>
    <row r="5360" spans="1:3" x14ac:dyDescent="0.35">
      <c r="A5360" s="141" t="s">
        <v>403</v>
      </c>
      <c r="B5360" s="141" t="s">
        <v>272</v>
      </c>
      <c r="C5360" s="141" t="s">
        <v>20</v>
      </c>
    </row>
    <row r="5361" spans="1:3" x14ac:dyDescent="0.35">
      <c r="A5361" s="141" t="s">
        <v>404</v>
      </c>
      <c r="B5361" s="141" t="s">
        <v>272</v>
      </c>
      <c r="C5361" s="141" t="s">
        <v>16</v>
      </c>
    </row>
    <row r="5362" spans="1:3" x14ac:dyDescent="0.35">
      <c r="A5362" s="141" t="s">
        <v>405</v>
      </c>
      <c r="B5362" s="141" t="s">
        <v>272</v>
      </c>
      <c r="C5362" s="141" t="s">
        <v>16</v>
      </c>
    </row>
    <row r="5363" spans="1:3" x14ac:dyDescent="0.35">
      <c r="A5363" s="141" t="s">
        <v>406</v>
      </c>
      <c r="B5363" s="141" t="s">
        <v>272</v>
      </c>
      <c r="C5363" s="141" t="s">
        <v>18</v>
      </c>
    </row>
    <row r="5364" spans="1:3" x14ac:dyDescent="0.35">
      <c r="A5364" s="141" t="s">
        <v>407</v>
      </c>
      <c r="B5364" s="141" t="s">
        <v>272</v>
      </c>
      <c r="C5364" s="141" t="s">
        <v>17</v>
      </c>
    </row>
    <row r="5365" spans="1:3" x14ac:dyDescent="0.35">
      <c r="A5365" s="141" t="s">
        <v>566</v>
      </c>
      <c r="B5365" s="141" t="s">
        <v>272</v>
      </c>
      <c r="C5365" s="141" t="s">
        <v>17</v>
      </c>
    </row>
    <row r="5366" spans="1:3" x14ac:dyDescent="0.35">
      <c r="A5366" s="141" t="s">
        <v>833</v>
      </c>
      <c r="B5366" s="141" t="s">
        <v>272</v>
      </c>
      <c r="C5366" s="141" t="s">
        <v>17</v>
      </c>
    </row>
    <row r="5367" spans="1:3" x14ac:dyDescent="0.35">
      <c r="A5367" s="141" t="s">
        <v>409</v>
      </c>
      <c r="B5367" s="141" t="s">
        <v>272</v>
      </c>
      <c r="C5367" s="141" t="s">
        <v>18</v>
      </c>
    </row>
    <row r="5368" spans="1:3" x14ac:dyDescent="0.35">
      <c r="A5368" s="141" t="s">
        <v>410</v>
      </c>
      <c r="B5368" s="141" t="s">
        <v>272</v>
      </c>
      <c r="C5368" s="141" t="s">
        <v>18</v>
      </c>
    </row>
    <row r="5369" spans="1:3" x14ac:dyDescent="0.35">
      <c r="A5369" s="141" t="s">
        <v>295</v>
      </c>
      <c r="B5369" s="141" t="s">
        <v>272</v>
      </c>
      <c r="C5369" s="141" t="s">
        <v>18</v>
      </c>
    </row>
    <row r="5370" spans="1:3" x14ac:dyDescent="0.35">
      <c r="A5370" s="141" t="s">
        <v>411</v>
      </c>
      <c r="B5370" s="141" t="s">
        <v>272</v>
      </c>
      <c r="C5370" s="141" t="s">
        <v>9</v>
      </c>
    </row>
    <row r="5371" spans="1:3" x14ac:dyDescent="0.35">
      <c r="A5371" s="141" t="s">
        <v>412</v>
      </c>
      <c r="B5371" s="141" t="s">
        <v>272</v>
      </c>
      <c r="C5371" s="141" t="s">
        <v>9</v>
      </c>
    </row>
    <row r="5372" spans="1:3" x14ac:dyDescent="0.35">
      <c r="A5372" s="141" t="s">
        <v>413</v>
      </c>
      <c r="B5372" s="141" t="s">
        <v>272</v>
      </c>
      <c r="C5372" s="141" t="s">
        <v>9</v>
      </c>
    </row>
    <row r="5373" spans="1:3" x14ac:dyDescent="0.35">
      <c r="A5373" s="141" t="s">
        <v>414</v>
      </c>
      <c r="B5373" s="141" t="s">
        <v>272</v>
      </c>
      <c r="C5373" s="141" t="s">
        <v>9</v>
      </c>
    </row>
    <row r="5374" spans="1:3" x14ac:dyDescent="0.35">
      <c r="A5374" s="141" t="s">
        <v>415</v>
      </c>
      <c r="B5374" s="141" t="s">
        <v>272</v>
      </c>
      <c r="C5374" s="141" t="s">
        <v>9</v>
      </c>
    </row>
    <row r="5375" spans="1:3" x14ac:dyDescent="0.35">
      <c r="A5375" s="141" t="s">
        <v>416</v>
      </c>
      <c r="B5375" s="141" t="s">
        <v>272</v>
      </c>
      <c r="C5375" s="141" t="s">
        <v>15</v>
      </c>
    </row>
    <row r="5376" spans="1:3" x14ac:dyDescent="0.35">
      <c r="A5376" s="141" t="s">
        <v>417</v>
      </c>
      <c r="B5376" s="141" t="s">
        <v>272</v>
      </c>
      <c r="C5376" s="141" t="s">
        <v>6</v>
      </c>
    </row>
    <row r="5377" spans="1:3" x14ac:dyDescent="0.35">
      <c r="A5377" s="141" t="s">
        <v>418</v>
      </c>
      <c r="B5377" s="141" t="s">
        <v>272</v>
      </c>
      <c r="C5377" s="141" t="s">
        <v>17</v>
      </c>
    </row>
    <row r="5378" spans="1:3" x14ac:dyDescent="0.35">
      <c r="A5378" s="141" t="s">
        <v>419</v>
      </c>
      <c r="B5378" s="141" t="s">
        <v>272</v>
      </c>
      <c r="C5378" s="141" t="s">
        <v>17</v>
      </c>
    </row>
    <row r="5379" spans="1:3" x14ac:dyDescent="0.35">
      <c r="A5379" s="141" t="s">
        <v>420</v>
      </c>
      <c r="B5379" s="141" t="s">
        <v>272</v>
      </c>
      <c r="C5379" s="141" t="s">
        <v>17</v>
      </c>
    </row>
    <row r="5380" spans="1:3" x14ac:dyDescent="0.35">
      <c r="A5380" s="141" t="s">
        <v>421</v>
      </c>
      <c r="B5380" s="141" t="s">
        <v>272</v>
      </c>
      <c r="C5380" s="141" t="s">
        <v>6</v>
      </c>
    </row>
    <row r="5381" spans="1:3" x14ac:dyDescent="0.35">
      <c r="A5381" s="141" t="s">
        <v>422</v>
      </c>
      <c r="B5381" s="141" t="s">
        <v>272</v>
      </c>
      <c r="C5381" s="141" t="s">
        <v>17</v>
      </c>
    </row>
    <row r="5382" spans="1:3" x14ac:dyDescent="0.35">
      <c r="A5382" s="141" t="s">
        <v>305</v>
      </c>
      <c r="B5382" s="141" t="s">
        <v>272</v>
      </c>
      <c r="C5382" s="141" t="s">
        <v>21</v>
      </c>
    </row>
    <row r="5383" spans="1:3" x14ac:dyDescent="0.35">
      <c r="A5383" s="141" t="s">
        <v>977</v>
      </c>
      <c r="B5383" s="141" t="s">
        <v>272</v>
      </c>
      <c r="C5383" s="141" t="s">
        <v>52</v>
      </c>
    </row>
    <row r="5384" spans="1:3" x14ac:dyDescent="0.35">
      <c r="A5384" s="141" t="s">
        <v>856</v>
      </c>
      <c r="B5384" s="141" t="s">
        <v>272</v>
      </c>
      <c r="C5384" s="141" t="s">
        <v>52</v>
      </c>
    </row>
    <row r="5385" spans="1:3" x14ac:dyDescent="0.35">
      <c r="A5385" s="141" t="s">
        <v>857</v>
      </c>
      <c r="B5385" s="141" t="s">
        <v>272</v>
      </c>
      <c r="C5385" s="141" t="s">
        <v>52</v>
      </c>
    </row>
    <row r="5386" spans="1:3" x14ac:dyDescent="0.35">
      <c r="A5386" s="141" t="s">
        <v>776</v>
      </c>
      <c r="B5386" s="141" t="s">
        <v>272</v>
      </c>
      <c r="C5386" s="141" t="s">
        <v>45</v>
      </c>
    </row>
    <row r="5387" spans="1:3" x14ac:dyDescent="0.35">
      <c r="A5387" s="141" t="s">
        <v>777</v>
      </c>
      <c r="B5387" s="141" t="s">
        <v>272</v>
      </c>
      <c r="C5387" s="141" t="s">
        <v>46</v>
      </c>
    </row>
    <row r="5388" spans="1:3" x14ac:dyDescent="0.35">
      <c r="A5388" s="141" t="s">
        <v>778</v>
      </c>
      <c r="B5388" s="141" t="s">
        <v>272</v>
      </c>
      <c r="C5388" s="141" t="s">
        <v>45</v>
      </c>
    </row>
    <row r="5389" spans="1:3" x14ac:dyDescent="0.35">
      <c r="A5389" s="141" t="s">
        <v>779</v>
      </c>
      <c r="B5389" s="141" t="s">
        <v>272</v>
      </c>
      <c r="C5389" s="141" t="s">
        <v>45</v>
      </c>
    </row>
    <row r="5390" spans="1:3" x14ac:dyDescent="0.35">
      <c r="A5390" s="141" t="s">
        <v>780</v>
      </c>
      <c r="B5390" s="141" t="s">
        <v>272</v>
      </c>
      <c r="C5390" s="141" t="s">
        <v>45</v>
      </c>
    </row>
    <row r="5391" spans="1:3" x14ac:dyDescent="0.35">
      <c r="A5391" s="141" t="s">
        <v>781</v>
      </c>
      <c r="B5391" s="141" t="s">
        <v>272</v>
      </c>
      <c r="C5391" s="141" t="s">
        <v>45</v>
      </c>
    </row>
    <row r="5392" spans="1:3" x14ac:dyDescent="0.35">
      <c r="A5392" s="141" t="s">
        <v>278</v>
      </c>
      <c r="B5392" s="141" t="s">
        <v>272</v>
      </c>
      <c r="C5392" s="141" t="s">
        <v>21</v>
      </c>
    </row>
    <row r="5393" spans="1:3" x14ac:dyDescent="0.35">
      <c r="A5393" s="141" t="s">
        <v>283</v>
      </c>
      <c r="B5393" s="141" t="s">
        <v>272</v>
      </c>
      <c r="C5393" s="141" t="s">
        <v>21</v>
      </c>
    </row>
    <row r="5394" spans="1:3" x14ac:dyDescent="0.35">
      <c r="A5394" s="141" t="s">
        <v>284</v>
      </c>
      <c r="B5394" s="141" t="s">
        <v>272</v>
      </c>
      <c r="C5394" s="141" t="s">
        <v>21</v>
      </c>
    </row>
    <row r="5395" spans="1:3" x14ac:dyDescent="0.35">
      <c r="A5395" s="141" t="s">
        <v>285</v>
      </c>
      <c r="B5395" s="141" t="s">
        <v>272</v>
      </c>
      <c r="C5395" s="141" t="s">
        <v>27</v>
      </c>
    </row>
    <row r="5396" spans="1:3" x14ac:dyDescent="0.35">
      <c r="A5396" s="141" t="s">
        <v>286</v>
      </c>
      <c r="B5396" s="141" t="s">
        <v>272</v>
      </c>
      <c r="C5396" s="141" t="s">
        <v>27</v>
      </c>
    </row>
    <row r="5397" spans="1:3" x14ac:dyDescent="0.35">
      <c r="A5397" s="141" t="s">
        <v>882</v>
      </c>
      <c r="B5397" s="141" t="s">
        <v>272</v>
      </c>
      <c r="C5397" s="141" t="s">
        <v>27</v>
      </c>
    </row>
    <row r="5398" spans="1:3" x14ac:dyDescent="0.35">
      <c r="A5398" s="141" t="s">
        <v>883</v>
      </c>
      <c r="B5398" s="141" t="s">
        <v>272</v>
      </c>
      <c r="C5398" s="141" t="s">
        <v>27</v>
      </c>
    </row>
    <row r="5399" spans="1:3" x14ac:dyDescent="0.35">
      <c r="A5399" s="141" t="s">
        <v>884</v>
      </c>
      <c r="B5399" s="141" t="s">
        <v>272</v>
      </c>
      <c r="C5399" s="141" t="s">
        <v>27</v>
      </c>
    </row>
    <row r="5400" spans="1:3" x14ac:dyDescent="0.35">
      <c r="A5400" s="141" t="s">
        <v>262</v>
      </c>
      <c r="B5400" s="141" t="s">
        <v>272</v>
      </c>
      <c r="C5400" s="141" t="s">
        <v>27</v>
      </c>
    </row>
    <row r="5401" spans="1:3" x14ac:dyDescent="0.35">
      <c r="A5401" s="141" t="s">
        <v>819</v>
      </c>
      <c r="B5401" s="141" t="s">
        <v>272</v>
      </c>
      <c r="C5401" s="141" t="s">
        <v>45</v>
      </c>
    </row>
    <row r="5402" spans="1:3" x14ac:dyDescent="0.35">
      <c r="A5402" s="141" t="s">
        <v>820</v>
      </c>
      <c r="B5402" s="141" t="s">
        <v>272</v>
      </c>
      <c r="C5402" s="141" t="s">
        <v>45</v>
      </c>
    </row>
    <row r="5403" spans="1:3" x14ac:dyDescent="0.35">
      <c r="A5403" s="141" t="s">
        <v>821</v>
      </c>
      <c r="B5403" s="141" t="s">
        <v>272</v>
      </c>
      <c r="C5403" s="141" t="s">
        <v>45</v>
      </c>
    </row>
    <row r="5404" spans="1:3" x14ac:dyDescent="0.35">
      <c r="A5404" s="141" t="s">
        <v>822</v>
      </c>
      <c r="B5404" s="141" t="s">
        <v>272</v>
      </c>
      <c r="C5404" s="141" t="s">
        <v>45</v>
      </c>
    </row>
    <row r="5405" spans="1:3" x14ac:dyDescent="0.35">
      <c r="A5405" s="141" t="s">
        <v>823</v>
      </c>
      <c r="B5405" s="141" t="s">
        <v>272</v>
      </c>
      <c r="C5405" s="141" t="s">
        <v>45</v>
      </c>
    </row>
    <row r="5406" spans="1:3" x14ac:dyDescent="0.35">
      <c r="A5406" s="141" t="s">
        <v>824</v>
      </c>
      <c r="B5406" s="141" t="s">
        <v>272</v>
      </c>
      <c r="C5406" s="141" t="s">
        <v>45</v>
      </c>
    </row>
    <row r="5407" spans="1:3" x14ac:dyDescent="0.35">
      <c r="A5407" s="141" t="s">
        <v>825</v>
      </c>
      <c r="B5407" s="141" t="s">
        <v>272</v>
      </c>
      <c r="C5407" s="141" t="s">
        <v>45</v>
      </c>
    </row>
    <row r="5408" spans="1:3" x14ac:dyDescent="0.35">
      <c r="A5408" s="141" t="s">
        <v>826</v>
      </c>
      <c r="B5408" s="141" t="s">
        <v>272</v>
      </c>
      <c r="C5408" s="141" t="s">
        <v>45</v>
      </c>
    </row>
    <row r="5409" spans="1:3" x14ac:dyDescent="0.35">
      <c r="A5409" s="141" t="s">
        <v>827</v>
      </c>
      <c r="B5409" s="141" t="s">
        <v>272</v>
      </c>
      <c r="C5409" s="141" t="s">
        <v>45</v>
      </c>
    </row>
    <row r="5410" spans="1:3" x14ac:dyDescent="0.35">
      <c r="A5410" s="141" t="s">
        <v>828</v>
      </c>
      <c r="B5410" s="141" t="s">
        <v>272</v>
      </c>
      <c r="C5410" s="141" t="s">
        <v>45</v>
      </c>
    </row>
    <row r="5411" spans="1:3" x14ac:dyDescent="0.35">
      <c r="A5411" s="141" t="s">
        <v>829</v>
      </c>
      <c r="B5411" s="141" t="s">
        <v>272</v>
      </c>
      <c r="C5411" s="141" t="s">
        <v>45</v>
      </c>
    </row>
    <row r="5412" spans="1:3" x14ac:dyDescent="0.35">
      <c r="A5412" s="141" t="s">
        <v>830</v>
      </c>
      <c r="B5412" s="141" t="s">
        <v>272</v>
      </c>
      <c r="C5412" s="141" t="s">
        <v>45</v>
      </c>
    </row>
    <row r="5413" spans="1:3" x14ac:dyDescent="0.35">
      <c r="A5413" s="141" t="s">
        <v>831</v>
      </c>
      <c r="B5413" s="141" t="s">
        <v>272</v>
      </c>
      <c r="C5413" s="141" t="s">
        <v>45</v>
      </c>
    </row>
    <row r="5414" spans="1:3" x14ac:dyDescent="0.35">
      <c r="A5414" s="141" t="s">
        <v>832</v>
      </c>
      <c r="B5414" s="141" t="s">
        <v>272</v>
      </c>
      <c r="C5414" s="141" t="s">
        <v>45</v>
      </c>
    </row>
    <row r="5415" spans="1:3" x14ac:dyDescent="0.35">
      <c r="A5415" s="141" t="s">
        <v>818</v>
      </c>
      <c r="B5415" s="141" t="s">
        <v>272</v>
      </c>
      <c r="C5415" s="141" t="s">
        <v>12</v>
      </c>
    </row>
    <row r="5416" spans="1:3" x14ac:dyDescent="0.35">
      <c r="A5416" s="141" t="s">
        <v>835</v>
      </c>
      <c r="B5416" s="141" t="s">
        <v>272</v>
      </c>
      <c r="C5416" s="141" t="s">
        <v>12</v>
      </c>
    </row>
    <row r="5417" spans="1:3" x14ac:dyDescent="0.35">
      <c r="A5417" s="141" t="s">
        <v>836</v>
      </c>
      <c r="B5417" s="141" t="s">
        <v>272</v>
      </c>
      <c r="C5417" s="141" t="s">
        <v>12</v>
      </c>
    </row>
    <row r="5418" spans="1:3" x14ac:dyDescent="0.35">
      <c r="A5418" s="141" t="s">
        <v>837</v>
      </c>
      <c r="B5418" s="141" t="s">
        <v>272</v>
      </c>
      <c r="C5418" s="141" t="s">
        <v>14</v>
      </c>
    </row>
    <row r="5419" spans="1:3" x14ac:dyDescent="0.35">
      <c r="A5419" s="141" t="s">
        <v>358</v>
      </c>
      <c r="B5419" s="141" t="s">
        <v>272</v>
      </c>
      <c r="C5419" s="141" t="s">
        <v>14</v>
      </c>
    </row>
    <row r="5420" spans="1:3" x14ac:dyDescent="0.35">
      <c r="A5420" s="141" t="s">
        <v>654</v>
      </c>
      <c r="B5420" s="141" t="s">
        <v>272</v>
      </c>
      <c r="C5420" s="141" t="s">
        <v>14</v>
      </c>
    </row>
    <row r="5421" spans="1:3" x14ac:dyDescent="0.35">
      <c r="A5421" s="141" t="s">
        <v>655</v>
      </c>
      <c r="B5421" s="141" t="s">
        <v>272</v>
      </c>
      <c r="C5421" s="141" t="s">
        <v>14</v>
      </c>
    </row>
    <row r="5422" spans="1:3" x14ac:dyDescent="0.35">
      <c r="A5422" s="141" t="s">
        <v>749</v>
      </c>
      <c r="B5422" s="141" t="s">
        <v>272</v>
      </c>
      <c r="C5422" s="141" t="s">
        <v>14</v>
      </c>
    </row>
    <row r="5423" spans="1:3" x14ac:dyDescent="0.35">
      <c r="A5423" s="141" t="s">
        <v>838</v>
      </c>
      <c r="B5423" s="141" t="s">
        <v>272</v>
      </c>
      <c r="C5423" s="141" t="s">
        <v>13</v>
      </c>
    </row>
    <row r="5424" spans="1:3" x14ac:dyDescent="0.35">
      <c r="A5424" s="141" t="s">
        <v>667</v>
      </c>
      <c r="B5424" s="141" t="s">
        <v>272</v>
      </c>
      <c r="C5424" s="141" t="s">
        <v>55</v>
      </c>
    </row>
    <row r="5425" spans="1:3" x14ac:dyDescent="0.35">
      <c r="A5425" s="141" t="s">
        <v>669</v>
      </c>
      <c r="B5425" s="141" t="s">
        <v>272</v>
      </c>
      <c r="C5425" s="141" t="s">
        <v>55</v>
      </c>
    </row>
    <row r="5426" spans="1:3" x14ac:dyDescent="0.35">
      <c r="A5426" s="141" t="s">
        <v>668</v>
      </c>
      <c r="B5426" s="141" t="s">
        <v>272</v>
      </c>
      <c r="C5426" s="141" t="s">
        <v>54</v>
      </c>
    </row>
    <row r="5427" spans="1:3" x14ac:dyDescent="0.35">
      <c r="A5427" s="141" t="s">
        <v>670</v>
      </c>
      <c r="B5427" s="141" t="s">
        <v>272</v>
      </c>
      <c r="C5427" s="141" t="s">
        <v>54</v>
      </c>
    </row>
    <row r="5428" spans="1:3" x14ac:dyDescent="0.35">
      <c r="A5428" s="141" t="s">
        <v>359</v>
      </c>
      <c r="B5428" s="141" t="s">
        <v>272</v>
      </c>
      <c r="C5428" s="141" t="s">
        <v>46</v>
      </c>
    </row>
    <row r="5429" spans="1:3" x14ac:dyDescent="0.35">
      <c r="A5429" s="141" t="s">
        <v>360</v>
      </c>
      <c r="B5429" s="141" t="s">
        <v>272</v>
      </c>
      <c r="C5429" s="141" t="s">
        <v>46</v>
      </c>
    </row>
    <row r="5430" spans="1:3" x14ac:dyDescent="0.35">
      <c r="A5430" s="141" t="s">
        <v>586</v>
      </c>
      <c r="B5430" s="141" t="s">
        <v>272</v>
      </c>
      <c r="C5430" s="141" t="s">
        <v>4</v>
      </c>
    </row>
    <row r="5431" spans="1:3" x14ac:dyDescent="0.35">
      <c r="A5431" s="141" t="s">
        <v>587</v>
      </c>
      <c r="B5431" s="141" t="s">
        <v>272</v>
      </c>
      <c r="C5431" s="141" t="s">
        <v>4</v>
      </c>
    </row>
    <row r="5432" spans="1:3" x14ac:dyDescent="0.35">
      <c r="A5432" s="141" t="s">
        <v>588</v>
      </c>
      <c r="B5432" s="141" t="s">
        <v>272</v>
      </c>
      <c r="C5432" s="141" t="s">
        <v>4</v>
      </c>
    </row>
    <row r="5433" spans="1:3" x14ac:dyDescent="0.35">
      <c r="A5433" s="141" t="s">
        <v>365</v>
      </c>
      <c r="B5433" s="141" t="s">
        <v>272</v>
      </c>
      <c r="C5433" s="141" t="s">
        <v>7</v>
      </c>
    </row>
    <row r="5434" spans="1:3" x14ac:dyDescent="0.35">
      <c r="A5434" s="141" t="s">
        <v>589</v>
      </c>
      <c r="B5434" s="141" t="s">
        <v>272</v>
      </c>
      <c r="C5434" s="141" t="s">
        <v>4</v>
      </c>
    </row>
    <row r="5435" spans="1:3" x14ac:dyDescent="0.35">
      <c r="A5435" s="141" t="s">
        <v>366</v>
      </c>
      <c r="B5435" s="141" t="s">
        <v>272</v>
      </c>
      <c r="C5435" s="141" t="s">
        <v>8</v>
      </c>
    </row>
    <row r="5436" spans="1:3" x14ac:dyDescent="0.35">
      <c r="A5436" s="141" t="s">
        <v>367</v>
      </c>
      <c r="B5436" s="141" t="s">
        <v>272</v>
      </c>
      <c r="C5436" s="141" t="s">
        <v>8</v>
      </c>
    </row>
    <row r="5437" spans="1:3" x14ac:dyDescent="0.35">
      <c r="A5437" s="141" t="s">
        <v>978</v>
      </c>
      <c r="B5437" s="141" t="s">
        <v>272</v>
      </c>
      <c r="C5437" s="141" t="s">
        <v>49</v>
      </c>
    </row>
    <row r="5438" spans="1:3" x14ac:dyDescent="0.35">
      <c r="A5438" s="141" t="s">
        <v>979</v>
      </c>
      <c r="B5438" s="141" t="s">
        <v>272</v>
      </c>
      <c r="C5438" s="141" t="s">
        <v>49</v>
      </c>
    </row>
    <row r="5439" spans="1:3" x14ac:dyDescent="0.35">
      <c r="A5439" s="141" t="s">
        <v>980</v>
      </c>
      <c r="B5439" s="141" t="s">
        <v>272</v>
      </c>
      <c r="C5439" s="141" t="s">
        <v>49</v>
      </c>
    </row>
    <row r="5440" spans="1:3" x14ac:dyDescent="0.35">
      <c r="A5440" s="141" t="s">
        <v>774</v>
      </c>
      <c r="B5440" s="141" t="s">
        <v>272</v>
      </c>
      <c r="C5440" s="141" t="s">
        <v>38</v>
      </c>
    </row>
    <row r="5441" spans="1:3" x14ac:dyDescent="0.35">
      <c r="A5441" s="141" t="s">
        <v>806</v>
      </c>
      <c r="B5441" s="141" t="s">
        <v>272</v>
      </c>
      <c r="C5441" s="141" t="s">
        <v>32</v>
      </c>
    </row>
    <row r="5442" spans="1:3" x14ac:dyDescent="0.35">
      <c r="A5442" s="141" t="s">
        <v>579</v>
      </c>
      <c r="B5442" s="141" t="s">
        <v>272</v>
      </c>
      <c r="C5442" s="141" t="s">
        <v>32</v>
      </c>
    </row>
    <row r="5443" spans="1:3" x14ac:dyDescent="0.35">
      <c r="A5443" s="141" t="s">
        <v>556</v>
      </c>
      <c r="B5443" s="141" t="s">
        <v>272</v>
      </c>
      <c r="C5443" s="141" t="s">
        <v>32</v>
      </c>
    </row>
    <row r="5444" spans="1:3" x14ac:dyDescent="0.35">
      <c r="A5444" s="141" t="s">
        <v>557</v>
      </c>
      <c r="B5444" s="141" t="s">
        <v>272</v>
      </c>
      <c r="C5444" s="141" t="s">
        <v>32</v>
      </c>
    </row>
    <row r="5445" spans="1:3" x14ac:dyDescent="0.35">
      <c r="A5445" s="141" t="s">
        <v>558</v>
      </c>
      <c r="B5445" s="141" t="s">
        <v>272</v>
      </c>
      <c r="C5445" s="141" t="s">
        <v>32</v>
      </c>
    </row>
    <row r="5446" spans="1:3" x14ac:dyDescent="0.35">
      <c r="A5446" s="141" t="s">
        <v>580</v>
      </c>
      <c r="B5446" s="141" t="s">
        <v>272</v>
      </c>
      <c r="C5446" s="141" t="s">
        <v>32</v>
      </c>
    </row>
    <row r="5447" spans="1:3" x14ac:dyDescent="0.35">
      <c r="A5447" s="141" t="s">
        <v>962</v>
      </c>
      <c r="B5447" s="141" t="s">
        <v>272</v>
      </c>
      <c r="C5447" s="141" t="s">
        <v>47</v>
      </c>
    </row>
    <row r="5448" spans="1:3" x14ac:dyDescent="0.35">
      <c r="A5448" s="141" t="s">
        <v>981</v>
      </c>
      <c r="B5448" s="141" t="s">
        <v>272</v>
      </c>
      <c r="C5448" s="141" t="s">
        <v>47</v>
      </c>
    </row>
    <row r="5449" spans="1:3" x14ac:dyDescent="0.35">
      <c r="A5449" s="141" t="s">
        <v>982</v>
      </c>
      <c r="B5449" s="141" t="s">
        <v>272</v>
      </c>
      <c r="C5449" s="141" t="s">
        <v>47</v>
      </c>
    </row>
    <row r="5450" spans="1:3" x14ac:dyDescent="0.35">
      <c r="A5450" s="141" t="s">
        <v>563</v>
      </c>
      <c r="B5450" s="141" t="s">
        <v>272</v>
      </c>
      <c r="C5450" s="141" t="s">
        <v>47</v>
      </c>
    </row>
    <row r="5451" spans="1:3" x14ac:dyDescent="0.35">
      <c r="A5451" s="141" t="s">
        <v>352</v>
      </c>
      <c r="B5451" s="141" t="s">
        <v>273</v>
      </c>
      <c r="C5451" s="141" t="s">
        <v>2</v>
      </c>
    </row>
    <row r="5452" spans="1:3" x14ac:dyDescent="0.35">
      <c r="A5452" s="141" t="s">
        <v>354</v>
      </c>
      <c r="B5452" s="141" t="s">
        <v>273</v>
      </c>
      <c r="C5452" s="141" t="s">
        <v>2</v>
      </c>
    </row>
    <row r="5453" spans="1:3" x14ac:dyDescent="0.35">
      <c r="A5453" s="141" t="s">
        <v>807</v>
      </c>
      <c r="B5453" s="141" t="s">
        <v>273</v>
      </c>
      <c r="C5453" s="141" t="s">
        <v>3</v>
      </c>
    </row>
    <row r="5454" spans="1:3" x14ac:dyDescent="0.35">
      <c r="A5454" s="141" t="s">
        <v>290</v>
      </c>
      <c r="B5454" s="141" t="s">
        <v>273</v>
      </c>
      <c r="C5454" s="141" t="s">
        <v>23</v>
      </c>
    </row>
    <row r="5455" spans="1:3" x14ac:dyDescent="0.35">
      <c r="A5455" s="141" t="s">
        <v>848</v>
      </c>
      <c r="B5455" s="141" t="s">
        <v>273</v>
      </c>
      <c r="C5455" s="141" t="s">
        <v>22</v>
      </c>
    </row>
    <row r="5456" spans="1:3" x14ac:dyDescent="0.35">
      <c r="A5456" s="141" t="s">
        <v>849</v>
      </c>
      <c r="B5456" s="141" t="s">
        <v>273</v>
      </c>
      <c r="C5456" s="141" t="s">
        <v>22</v>
      </c>
    </row>
    <row r="5457" spans="1:3" x14ac:dyDescent="0.35">
      <c r="A5457" s="141" t="s">
        <v>850</v>
      </c>
      <c r="B5457" s="141" t="s">
        <v>273</v>
      </c>
      <c r="C5457" s="141" t="s">
        <v>22</v>
      </c>
    </row>
    <row r="5458" spans="1:3" x14ac:dyDescent="0.35">
      <c r="A5458" s="141" t="s">
        <v>887</v>
      </c>
      <c r="B5458" s="141" t="s">
        <v>273</v>
      </c>
      <c r="C5458" s="141" t="s">
        <v>24</v>
      </c>
    </row>
    <row r="5459" spans="1:3" x14ac:dyDescent="0.35">
      <c r="A5459" s="141" t="s">
        <v>888</v>
      </c>
      <c r="B5459" s="141" t="s">
        <v>273</v>
      </c>
      <c r="C5459" s="141" t="s">
        <v>24</v>
      </c>
    </row>
    <row r="5460" spans="1:3" x14ac:dyDescent="0.35">
      <c r="A5460" s="141" t="s">
        <v>889</v>
      </c>
      <c r="B5460" s="141" t="s">
        <v>273</v>
      </c>
      <c r="C5460" s="141" t="s">
        <v>24</v>
      </c>
    </row>
    <row r="5461" spans="1:3" x14ac:dyDescent="0.35">
      <c r="A5461" s="141" t="s">
        <v>890</v>
      </c>
      <c r="B5461" s="141" t="s">
        <v>273</v>
      </c>
      <c r="C5461" s="141" t="s">
        <v>24</v>
      </c>
    </row>
    <row r="5462" spans="1:3" x14ac:dyDescent="0.35">
      <c r="A5462" s="141" t="s">
        <v>891</v>
      </c>
      <c r="B5462" s="141" t="s">
        <v>273</v>
      </c>
      <c r="C5462" s="141" t="s">
        <v>24</v>
      </c>
    </row>
    <row r="5463" spans="1:3" x14ac:dyDescent="0.35">
      <c r="A5463" s="141" t="s">
        <v>294</v>
      </c>
      <c r="B5463" s="141" t="s">
        <v>273</v>
      </c>
      <c r="C5463" s="141" t="s">
        <v>21</v>
      </c>
    </row>
    <row r="5464" spans="1:3" x14ac:dyDescent="0.35">
      <c r="A5464" s="141" t="s">
        <v>899</v>
      </c>
      <c r="B5464" s="141" t="s">
        <v>273</v>
      </c>
      <c r="C5464" s="141" t="s">
        <v>24</v>
      </c>
    </row>
    <row r="5465" spans="1:3" x14ac:dyDescent="0.35">
      <c r="A5465" s="141" t="s">
        <v>900</v>
      </c>
      <c r="B5465" s="141" t="s">
        <v>273</v>
      </c>
      <c r="C5465" s="141" t="s">
        <v>24</v>
      </c>
    </row>
    <row r="5466" spans="1:3" x14ac:dyDescent="0.35">
      <c r="A5466" s="141" t="s">
        <v>901</v>
      </c>
      <c r="B5466" s="141" t="s">
        <v>273</v>
      </c>
      <c r="C5466" s="141" t="s">
        <v>24</v>
      </c>
    </row>
    <row r="5467" spans="1:3" x14ac:dyDescent="0.35">
      <c r="A5467" s="141" t="s">
        <v>892</v>
      </c>
      <c r="B5467" s="141" t="s">
        <v>273</v>
      </c>
      <c r="C5467" s="141" t="s">
        <v>33</v>
      </c>
    </row>
    <row r="5468" spans="1:3" x14ac:dyDescent="0.35">
      <c r="A5468" s="141" t="s">
        <v>893</v>
      </c>
      <c r="B5468" s="141" t="s">
        <v>273</v>
      </c>
      <c r="C5468" s="141" t="s">
        <v>33</v>
      </c>
    </row>
    <row r="5469" spans="1:3" x14ac:dyDescent="0.35">
      <c r="A5469" s="141" t="s">
        <v>894</v>
      </c>
      <c r="B5469" s="141" t="s">
        <v>273</v>
      </c>
      <c r="C5469" s="141" t="s">
        <v>33</v>
      </c>
    </row>
    <row r="5470" spans="1:3" x14ac:dyDescent="0.35">
      <c r="A5470" s="141" t="s">
        <v>672</v>
      </c>
      <c r="B5470" s="141" t="s">
        <v>273</v>
      </c>
      <c r="C5470" s="141" t="s">
        <v>25</v>
      </c>
    </row>
    <row r="5471" spans="1:3" x14ac:dyDescent="0.35">
      <c r="A5471" s="141" t="s">
        <v>897</v>
      </c>
      <c r="B5471" s="141" t="s">
        <v>273</v>
      </c>
      <c r="C5471" s="141" t="s">
        <v>26</v>
      </c>
    </row>
    <row r="5472" spans="1:3" x14ac:dyDescent="0.35">
      <c r="A5472" s="141" t="s">
        <v>898</v>
      </c>
      <c r="B5472" s="141" t="s">
        <v>273</v>
      </c>
      <c r="C5472" s="141" t="s">
        <v>25</v>
      </c>
    </row>
    <row r="5473" spans="1:3" x14ac:dyDescent="0.35">
      <c r="A5473" s="141" t="s">
        <v>895</v>
      </c>
      <c r="B5473" s="141" t="s">
        <v>273</v>
      </c>
      <c r="C5473" s="141" t="s">
        <v>25</v>
      </c>
    </row>
    <row r="5474" spans="1:3" x14ac:dyDescent="0.35">
      <c r="A5474" s="141" t="s">
        <v>896</v>
      </c>
      <c r="B5474" s="141" t="s">
        <v>273</v>
      </c>
      <c r="C5474" s="141" t="s">
        <v>25</v>
      </c>
    </row>
    <row r="5475" spans="1:3" x14ac:dyDescent="0.35">
      <c r="A5475" s="141" t="s">
        <v>957</v>
      </c>
      <c r="B5475" s="141" t="s">
        <v>273</v>
      </c>
      <c r="C5475" s="141" t="s">
        <v>25</v>
      </c>
    </row>
    <row r="5476" spans="1:3" x14ac:dyDescent="0.35">
      <c r="A5476" s="141" t="s">
        <v>963</v>
      </c>
      <c r="B5476" s="141" t="s">
        <v>273</v>
      </c>
      <c r="C5476" s="141" t="s">
        <v>25</v>
      </c>
    </row>
    <row r="5477" spans="1:3" x14ac:dyDescent="0.35">
      <c r="A5477" s="141" t="s">
        <v>964</v>
      </c>
      <c r="B5477" s="141" t="s">
        <v>273</v>
      </c>
      <c r="C5477" s="141" t="s">
        <v>25</v>
      </c>
    </row>
    <row r="5478" spans="1:3" x14ac:dyDescent="0.35">
      <c r="A5478" s="141" t="s">
        <v>946</v>
      </c>
      <c r="B5478" s="141" t="s">
        <v>273</v>
      </c>
      <c r="C5478" s="141" t="s">
        <v>25</v>
      </c>
    </row>
    <row r="5479" spans="1:3" x14ac:dyDescent="0.35">
      <c r="A5479" s="141" t="s">
        <v>855</v>
      </c>
      <c r="B5479" s="141" t="s">
        <v>273</v>
      </c>
      <c r="C5479" s="141" t="s">
        <v>52</v>
      </c>
    </row>
    <row r="5480" spans="1:3" x14ac:dyDescent="0.35">
      <c r="A5480" s="141" t="s">
        <v>570</v>
      </c>
      <c r="B5480" s="141" t="s">
        <v>273</v>
      </c>
      <c r="C5480" s="141" t="s">
        <v>52</v>
      </c>
    </row>
    <row r="5481" spans="1:3" x14ac:dyDescent="0.35">
      <c r="A5481" s="141" t="s">
        <v>932</v>
      </c>
      <c r="B5481" s="141" t="s">
        <v>273</v>
      </c>
      <c r="C5481" s="141" t="s">
        <v>49</v>
      </c>
    </row>
    <row r="5482" spans="1:3" x14ac:dyDescent="0.35">
      <c r="A5482" s="141" t="s">
        <v>940</v>
      </c>
      <c r="B5482" s="141" t="s">
        <v>273</v>
      </c>
      <c r="C5482" s="141" t="s">
        <v>49</v>
      </c>
    </row>
    <row r="5483" spans="1:3" x14ac:dyDescent="0.35">
      <c r="A5483" s="141" t="s">
        <v>941</v>
      </c>
      <c r="B5483" s="141" t="s">
        <v>273</v>
      </c>
      <c r="C5483" s="141" t="s">
        <v>49</v>
      </c>
    </row>
    <row r="5484" spans="1:3" x14ac:dyDescent="0.35">
      <c r="A5484" s="141" t="s">
        <v>933</v>
      </c>
      <c r="B5484" s="141" t="s">
        <v>273</v>
      </c>
      <c r="C5484" s="141" t="s">
        <v>32</v>
      </c>
    </row>
    <row r="5485" spans="1:3" x14ac:dyDescent="0.35">
      <c r="A5485" s="141" t="s">
        <v>935</v>
      </c>
      <c r="B5485" s="141" t="s">
        <v>273</v>
      </c>
      <c r="C5485" s="141" t="s">
        <v>32</v>
      </c>
    </row>
    <row r="5486" spans="1:3" x14ac:dyDescent="0.35">
      <c r="A5486" s="141" t="s">
        <v>937</v>
      </c>
      <c r="B5486" s="141" t="s">
        <v>273</v>
      </c>
      <c r="C5486" s="141" t="s">
        <v>32</v>
      </c>
    </row>
    <row r="5487" spans="1:3" x14ac:dyDescent="0.35">
      <c r="A5487" s="141" t="s">
        <v>938</v>
      </c>
      <c r="B5487" s="141" t="s">
        <v>273</v>
      </c>
      <c r="C5487" s="141" t="s">
        <v>32</v>
      </c>
    </row>
    <row r="5488" spans="1:3" x14ac:dyDescent="0.35">
      <c r="A5488" s="141" t="s">
        <v>939</v>
      </c>
      <c r="B5488" s="141" t="s">
        <v>273</v>
      </c>
      <c r="C5488" s="141" t="s">
        <v>32</v>
      </c>
    </row>
    <row r="5489" spans="1:3" x14ac:dyDescent="0.35">
      <c r="A5489" s="141" t="s">
        <v>942</v>
      </c>
      <c r="B5489" s="141" t="s">
        <v>273</v>
      </c>
      <c r="C5489" s="141" t="s">
        <v>32</v>
      </c>
    </row>
    <row r="5490" spans="1:3" x14ac:dyDescent="0.35">
      <c r="A5490" s="141" t="s">
        <v>943</v>
      </c>
      <c r="B5490" s="141" t="s">
        <v>273</v>
      </c>
      <c r="C5490" s="141" t="s">
        <v>32</v>
      </c>
    </row>
    <row r="5491" spans="1:3" x14ac:dyDescent="0.35">
      <c r="A5491" s="141" t="s">
        <v>944</v>
      </c>
      <c r="B5491" s="141" t="s">
        <v>273</v>
      </c>
      <c r="C5491" s="141" t="s">
        <v>32</v>
      </c>
    </row>
    <row r="5492" spans="1:3" x14ac:dyDescent="0.35">
      <c r="A5492" s="141" t="s">
        <v>934</v>
      </c>
      <c r="B5492" s="141" t="s">
        <v>273</v>
      </c>
      <c r="C5492" s="141" t="s">
        <v>32</v>
      </c>
    </row>
    <row r="5493" spans="1:3" x14ac:dyDescent="0.35">
      <c r="A5493" s="141" t="s">
        <v>936</v>
      </c>
      <c r="B5493" s="141" t="s">
        <v>273</v>
      </c>
      <c r="C5493" s="141" t="s">
        <v>32</v>
      </c>
    </row>
    <row r="5494" spans="1:3" x14ac:dyDescent="0.35">
      <c r="A5494" s="141" t="s">
        <v>945</v>
      </c>
      <c r="B5494" s="141" t="s">
        <v>273</v>
      </c>
      <c r="C5494" s="141" t="s">
        <v>32</v>
      </c>
    </row>
    <row r="5495" spans="1:3" x14ac:dyDescent="0.35">
      <c r="A5495" s="141" t="s">
        <v>861</v>
      </c>
      <c r="B5495" s="141" t="s">
        <v>273</v>
      </c>
      <c r="C5495" s="141" t="s">
        <v>33</v>
      </c>
    </row>
    <row r="5496" spans="1:3" x14ac:dyDescent="0.35">
      <c r="A5496" s="141" t="s">
        <v>862</v>
      </c>
      <c r="B5496" s="141" t="s">
        <v>273</v>
      </c>
      <c r="C5496" s="141" t="s">
        <v>33</v>
      </c>
    </row>
    <row r="5497" spans="1:3" x14ac:dyDescent="0.35">
      <c r="A5497" s="141" t="s">
        <v>516</v>
      </c>
      <c r="B5497" s="141" t="s">
        <v>273</v>
      </c>
      <c r="C5497" s="141" t="s">
        <v>33</v>
      </c>
    </row>
    <row r="5498" spans="1:3" x14ac:dyDescent="0.35">
      <c r="A5498" s="141" t="s">
        <v>955</v>
      </c>
      <c r="B5498" s="141" t="s">
        <v>273</v>
      </c>
      <c r="C5498" s="141" t="s">
        <v>33</v>
      </c>
    </row>
    <row r="5499" spans="1:3" x14ac:dyDescent="0.35">
      <c r="A5499" s="141" t="s">
        <v>956</v>
      </c>
      <c r="B5499" s="141" t="s">
        <v>273</v>
      </c>
      <c r="C5499" s="141" t="s">
        <v>33</v>
      </c>
    </row>
    <row r="5500" spans="1:3" x14ac:dyDescent="0.35">
      <c r="A5500" s="141" t="s">
        <v>910</v>
      </c>
      <c r="B5500" s="141" t="s">
        <v>273</v>
      </c>
      <c r="C5500" s="141" t="s">
        <v>33</v>
      </c>
    </row>
    <row r="5501" spans="1:3" x14ac:dyDescent="0.35">
      <c r="A5501" s="141" t="s">
        <v>911</v>
      </c>
      <c r="B5501" s="141" t="s">
        <v>273</v>
      </c>
      <c r="C5501" s="141" t="s">
        <v>33</v>
      </c>
    </row>
    <row r="5502" spans="1:3" x14ac:dyDescent="0.35">
      <c r="A5502" s="141" t="s">
        <v>912</v>
      </c>
      <c r="B5502" s="141" t="s">
        <v>273</v>
      </c>
      <c r="C5502" s="141" t="s">
        <v>33</v>
      </c>
    </row>
    <row r="5503" spans="1:3" x14ac:dyDescent="0.35">
      <c r="A5503" s="141" t="s">
        <v>915</v>
      </c>
      <c r="B5503" s="141" t="s">
        <v>273</v>
      </c>
      <c r="C5503" s="141" t="s">
        <v>28</v>
      </c>
    </row>
    <row r="5504" spans="1:3" x14ac:dyDescent="0.35">
      <c r="A5504" s="141" t="s">
        <v>916</v>
      </c>
      <c r="B5504" s="141" t="s">
        <v>273</v>
      </c>
      <c r="C5504" s="141" t="s">
        <v>28</v>
      </c>
    </row>
    <row r="5505" spans="1:3" x14ac:dyDescent="0.35">
      <c r="A5505" s="141" t="s">
        <v>917</v>
      </c>
      <c r="B5505" s="141" t="s">
        <v>273</v>
      </c>
      <c r="C5505" s="141" t="s">
        <v>28</v>
      </c>
    </row>
    <row r="5506" spans="1:3" x14ac:dyDescent="0.35">
      <c r="A5506" s="141" t="s">
        <v>918</v>
      </c>
      <c r="B5506" s="141" t="s">
        <v>273</v>
      </c>
      <c r="C5506" s="141" t="s">
        <v>29</v>
      </c>
    </row>
    <row r="5507" spans="1:3" x14ac:dyDescent="0.35">
      <c r="A5507" s="141" t="s">
        <v>929</v>
      </c>
      <c r="B5507" s="141" t="s">
        <v>273</v>
      </c>
      <c r="C5507" s="141" t="s">
        <v>28</v>
      </c>
    </row>
    <row r="5508" spans="1:3" x14ac:dyDescent="0.35">
      <c r="A5508" s="141" t="s">
        <v>930</v>
      </c>
      <c r="B5508" s="141" t="s">
        <v>273</v>
      </c>
      <c r="C5508" s="141" t="s">
        <v>28</v>
      </c>
    </row>
    <row r="5509" spans="1:3" x14ac:dyDescent="0.35">
      <c r="A5509" s="141" t="s">
        <v>863</v>
      </c>
      <c r="B5509" s="141" t="s">
        <v>273</v>
      </c>
      <c r="C5509" s="141" t="s">
        <v>30</v>
      </c>
    </row>
    <row r="5510" spans="1:3" x14ac:dyDescent="0.35">
      <c r="A5510" s="141" t="s">
        <v>864</v>
      </c>
      <c r="B5510" s="141" t="s">
        <v>273</v>
      </c>
      <c r="C5510" s="141" t="s">
        <v>30</v>
      </c>
    </row>
    <row r="5511" spans="1:3" x14ac:dyDescent="0.35">
      <c r="A5511" s="141" t="s">
        <v>865</v>
      </c>
      <c r="B5511" s="141" t="s">
        <v>273</v>
      </c>
      <c r="C5511" s="141" t="s">
        <v>34</v>
      </c>
    </row>
    <row r="5512" spans="1:3" x14ac:dyDescent="0.35">
      <c r="A5512" s="141" t="s">
        <v>866</v>
      </c>
      <c r="B5512" s="141" t="s">
        <v>273</v>
      </c>
      <c r="C5512" s="141" t="s">
        <v>34</v>
      </c>
    </row>
    <row r="5513" spans="1:3" x14ac:dyDescent="0.35">
      <c r="A5513" s="141" t="s">
        <v>784</v>
      </c>
      <c r="B5513" s="141" t="s">
        <v>273</v>
      </c>
      <c r="C5513" s="141" t="s">
        <v>30</v>
      </c>
    </row>
    <row r="5514" spans="1:3" x14ac:dyDescent="0.35">
      <c r="A5514" s="141" t="s">
        <v>867</v>
      </c>
      <c r="B5514" s="141" t="s">
        <v>273</v>
      </c>
      <c r="C5514" s="141" t="s">
        <v>30</v>
      </c>
    </row>
    <row r="5515" spans="1:3" x14ac:dyDescent="0.35">
      <c r="A5515" s="141" t="s">
        <v>525</v>
      </c>
      <c r="B5515" s="141" t="s">
        <v>273</v>
      </c>
      <c r="C5515" s="141" t="s">
        <v>46</v>
      </c>
    </row>
    <row r="5516" spans="1:3" x14ac:dyDescent="0.35">
      <c r="A5516" s="141" t="s">
        <v>868</v>
      </c>
      <c r="B5516" s="141" t="s">
        <v>273</v>
      </c>
      <c r="C5516" s="141" t="s">
        <v>32</v>
      </c>
    </row>
    <row r="5517" spans="1:3" x14ac:dyDescent="0.35">
      <c r="A5517" s="141" t="s">
        <v>869</v>
      </c>
      <c r="B5517" s="141" t="s">
        <v>273</v>
      </c>
      <c r="C5517" s="141" t="s">
        <v>32</v>
      </c>
    </row>
    <row r="5518" spans="1:3" x14ac:dyDescent="0.35">
      <c r="A5518" s="141" t="s">
        <v>870</v>
      </c>
      <c r="B5518" s="141" t="s">
        <v>273</v>
      </c>
      <c r="C5518" s="141" t="s">
        <v>32</v>
      </c>
    </row>
    <row r="5519" spans="1:3" x14ac:dyDescent="0.35">
      <c r="A5519" s="141" t="s">
        <v>958</v>
      </c>
      <c r="B5519" s="141" t="s">
        <v>273</v>
      </c>
      <c r="C5519" s="141" t="s">
        <v>25</v>
      </c>
    </row>
    <row r="5520" spans="1:3" x14ac:dyDescent="0.35">
      <c r="A5520" s="141" t="s">
        <v>562</v>
      </c>
      <c r="B5520" s="141" t="s">
        <v>273</v>
      </c>
      <c r="C5520" s="141" t="s">
        <v>48</v>
      </c>
    </row>
    <row r="5521" spans="1:3" x14ac:dyDescent="0.35">
      <c r="A5521" s="141" t="s">
        <v>308</v>
      </c>
      <c r="B5521" s="141" t="s">
        <v>273</v>
      </c>
      <c r="C5521" s="141" t="s">
        <v>53</v>
      </c>
    </row>
    <row r="5522" spans="1:3" x14ac:dyDescent="0.35">
      <c r="A5522" s="141" t="s">
        <v>309</v>
      </c>
      <c r="B5522" s="141" t="s">
        <v>273</v>
      </c>
      <c r="C5522" s="141" t="s">
        <v>53</v>
      </c>
    </row>
    <row r="5523" spans="1:3" x14ac:dyDescent="0.35">
      <c r="A5523" s="141" t="s">
        <v>311</v>
      </c>
      <c r="B5523" s="141" t="s">
        <v>273</v>
      </c>
      <c r="C5523" s="141" t="s">
        <v>53</v>
      </c>
    </row>
    <row r="5524" spans="1:3" x14ac:dyDescent="0.35">
      <c r="A5524" s="141" t="s">
        <v>534</v>
      </c>
      <c r="B5524" s="141" t="s">
        <v>273</v>
      </c>
      <c r="C5524" s="141" t="s">
        <v>53</v>
      </c>
    </row>
    <row r="5525" spans="1:3" x14ac:dyDescent="0.35">
      <c r="A5525" s="141" t="s">
        <v>312</v>
      </c>
      <c r="B5525" s="141" t="s">
        <v>273</v>
      </c>
      <c r="C5525" s="141" t="s">
        <v>53</v>
      </c>
    </row>
    <row r="5526" spans="1:3" x14ac:dyDescent="0.35">
      <c r="A5526" s="141" t="s">
        <v>922</v>
      </c>
      <c r="B5526" s="141" t="s">
        <v>273</v>
      </c>
      <c r="C5526" s="141" t="s">
        <v>36</v>
      </c>
    </row>
    <row r="5527" spans="1:3" x14ac:dyDescent="0.35">
      <c r="A5527" s="141" t="s">
        <v>923</v>
      </c>
      <c r="B5527" s="141" t="s">
        <v>272</v>
      </c>
      <c r="C5527" s="141" t="s">
        <v>36</v>
      </c>
    </row>
    <row r="5528" spans="1:3" x14ac:dyDescent="0.35">
      <c r="A5528" s="141" t="s">
        <v>923</v>
      </c>
      <c r="B5528" s="141" t="s">
        <v>273</v>
      </c>
      <c r="C5528" s="141" t="s">
        <v>36</v>
      </c>
    </row>
    <row r="5529" spans="1:3" x14ac:dyDescent="0.35">
      <c r="A5529" s="141" t="s">
        <v>924</v>
      </c>
      <c r="B5529" s="141" t="s">
        <v>272</v>
      </c>
      <c r="C5529" s="141" t="s">
        <v>36</v>
      </c>
    </row>
    <row r="5530" spans="1:3" x14ac:dyDescent="0.35">
      <c r="A5530" s="141" t="s">
        <v>924</v>
      </c>
      <c r="B5530" s="141" t="s">
        <v>273</v>
      </c>
      <c r="C5530" s="141" t="s">
        <v>36</v>
      </c>
    </row>
    <row r="5531" spans="1:3" x14ac:dyDescent="0.35">
      <c r="A5531" s="141" t="s">
        <v>925</v>
      </c>
      <c r="B5531" s="141" t="s">
        <v>272</v>
      </c>
      <c r="C5531" s="141" t="s">
        <v>36</v>
      </c>
    </row>
    <row r="5532" spans="1:3" x14ac:dyDescent="0.35">
      <c r="A5532" s="141" t="s">
        <v>925</v>
      </c>
      <c r="B5532" s="141" t="s">
        <v>273</v>
      </c>
      <c r="C5532" s="141" t="s">
        <v>36</v>
      </c>
    </row>
    <row r="5533" spans="1:3" x14ac:dyDescent="0.35">
      <c r="A5533" s="141" t="s">
        <v>926</v>
      </c>
      <c r="B5533" s="141" t="s">
        <v>272</v>
      </c>
      <c r="C5533" s="141" t="s">
        <v>37</v>
      </c>
    </row>
    <row r="5534" spans="1:3" x14ac:dyDescent="0.35">
      <c r="A5534" s="141" t="s">
        <v>926</v>
      </c>
      <c r="B5534" s="141" t="s">
        <v>273</v>
      </c>
      <c r="C5534" s="141" t="s">
        <v>37</v>
      </c>
    </row>
    <row r="5535" spans="1:3" x14ac:dyDescent="0.35">
      <c r="A5535" s="141" t="s">
        <v>927</v>
      </c>
      <c r="B5535" s="141" t="s">
        <v>272</v>
      </c>
      <c r="C5535" s="141" t="s">
        <v>37</v>
      </c>
    </row>
    <row r="5536" spans="1:3" x14ac:dyDescent="0.35">
      <c r="A5536" s="141" t="s">
        <v>927</v>
      </c>
      <c r="B5536" s="141" t="s">
        <v>273</v>
      </c>
      <c r="C5536" s="141" t="s">
        <v>37</v>
      </c>
    </row>
    <row r="5537" spans="1:3" x14ac:dyDescent="0.35">
      <c r="A5537" s="141" t="s">
        <v>965</v>
      </c>
      <c r="B5537" s="141" t="s">
        <v>273</v>
      </c>
      <c r="C5537" s="141" t="s">
        <v>52</v>
      </c>
    </row>
    <row r="5538" spans="1:3" x14ac:dyDescent="0.35">
      <c r="A5538" s="141" t="s">
        <v>959</v>
      </c>
      <c r="B5538" s="141" t="s">
        <v>273</v>
      </c>
      <c r="C5538" s="141" t="s">
        <v>53</v>
      </c>
    </row>
    <row r="5539" spans="1:3" x14ac:dyDescent="0.35">
      <c r="A5539" s="141" t="s">
        <v>960</v>
      </c>
      <c r="B5539" s="141" t="s">
        <v>273</v>
      </c>
      <c r="C5539" s="141" t="s">
        <v>52</v>
      </c>
    </row>
    <row r="5540" spans="1:3" x14ac:dyDescent="0.35">
      <c r="A5540" s="141" t="s">
        <v>873</v>
      </c>
      <c r="B5540" s="141" t="s">
        <v>273</v>
      </c>
      <c r="C5540" s="141" t="s">
        <v>52</v>
      </c>
    </row>
    <row r="5541" spans="1:3" x14ac:dyDescent="0.35">
      <c r="A5541" s="141" t="s">
        <v>874</v>
      </c>
      <c r="B5541" s="141" t="s">
        <v>273</v>
      </c>
      <c r="C5541" s="141" t="s">
        <v>52</v>
      </c>
    </row>
    <row r="5542" spans="1:3" x14ac:dyDescent="0.35">
      <c r="A5542" s="141" t="s">
        <v>875</v>
      </c>
      <c r="B5542" s="141" t="s">
        <v>273</v>
      </c>
      <c r="C5542" s="141" t="s">
        <v>52</v>
      </c>
    </row>
    <row r="5543" spans="1:3" x14ac:dyDescent="0.35">
      <c r="A5543" s="141" t="s">
        <v>876</v>
      </c>
      <c r="B5543" s="141" t="s">
        <v>273</v>
      </c>
      <c r="C5543" s="141" t="s">
        <v>52</v>
      </c>
    </row>
    <row r="5544" spans="1:3" x14ac:dyDescent="0.35">
      <c r="A5544" s="141" t="s">
        <v>877</v>
      </c>
      <c r="B5544" s="141" t="s">
        <v>273</v>
      </c>
      <c r="C5544" s="141" t="s">
        <v>52</v>
      </c>
    </row>
    <row r="5545" spans="1:3" x14ac:dyDescent="0.35">
      <c r="A5545" s="141" t="s">
        <v>878</v>
      </c>
      <c r="B5545" s="141" t="s">
        <v>273</v>
      </c>
      <c r="C5545" s="141" t="s">
        <v>52</v>
      </c>
    </row>
    <row r="5546" spans="1:3" x14ac:dyDescent="0.35">
      <c r="A5546" s="141" t="s">
        <v>539</v>
      </c>
      <c r="B5546" s="141" t="s">
        <v>273</v>
      </c>
      <c r="C5546" s="141" t="s">
        <v>52</v>
      </c>
    </row>
    <row r="5547" spans="1:3" x14ac:dyDescent="0.35">
      <c r="A5547" s="141" t="s">
        <v>540</v>
      </c>
      <c r="B5547" s="141" t="s">
        <v>273</v>
      </c>
      <c r="C5547" s="141" t="s">
        <v>52</v>
      </c>
    </row>
    <row r="5548" spans="1:3" x14ac:dyDescent="0.35">
      <c r="A5548" s="141" t="s">
        <v>812</v>
      </c>
      <c r="B5548" s="141" t="s">
        <v>273</v>
      </c>
      <c r="C5548" s="141" t="s">
        <v>52</v>
      </c>
    </row>
    <row r="5549" spans="1:3" x14ac:dyDescent="0.35">
      <c r="A5549" s="141" t="s">
        <v>803</v>
      </c>
      <c r="B5549" s="141" t="s">
        <v>273</v>
      </c>
      <c r="C5549" s="141" t="s">
        <v>52</v>
      </c>
    </row>
    <row r="5550" spans="1:3" x14ac:dyDescent="0.35">
      <c r="A5550" s="141" t="s">
        <v>966</v>
      </c>
      <c r="B5550" s="141" t="s">
        <v>273</v>
      </c>
      <c r="C5550" s="141" t="s">
        <v>53</v>
      </c>
    </row>
    <row r="5551" spans="1:3" x14ac:dyDescent="0.35">
      <c r="A5551" s="141" t="s">
        <v>967</v>
      </c>
      <c r="B5551" s="141" t="s">
        <v>273</v>
      </c>
      <c r="C5551" s="141" t="s">
        <v>53</v>
      </c>
    </row>
    <row r="5552" spans="1:3" x14ac:dyDescent="0.35">
      <c r="A5552" s="141" t="s">
        <v>968</v>
      </c>
      <c r="B5552" s="141" t="s">
        <v>273</v>
      </c>
      <c r="C5552" s="141" t="s">
        <v>53</v>
      </c>
    </row>
    <row r="5553" spans="1:3" x14ac:dyDescent="0.35">
      <c r="A5553" s="141" t="s">
        <v>969</v>
      </c>
      <c r="B5553" s="141" t="s">
        <v>273</v>
      </c>
      <c r="C5553" s="141" t="s">
        <v>53</v>
      </c>
    </row>
    <row r="5554" spans="1:3" x14ac:dyDescent="0.35">
      <c r="A5554" s="141" t="s">
        <v>970</v>
      </c>
      <c r="B5554" s="141" t="s">
        <v>273</v>
      </c>
      <c r="C5554" s="141" t="s">
        <v>53</v>
      </c>
    </row>
    <row r="5555" spans="1:3" x14ac:dyDescent="0.35">
      <c r="A5555" s="141" t="s">
        <v>804</v>
      </c>
      <c r="B5555" s="141" t="s">
        <v>273</v>
      </c>
      <c r="C5555" s="141" t="s">
        <v>53</v>
      </c>
    </row>
    <row r="5556" spans="1:3" x14ac:dyDescent="0.35">
      <c r="A5556" s="141" t="s">
        <v>805</v>
      </c>
      <c r="B5556" s="141" t="s">
        <v>273</v>
      </c>
      <c r="C5556" s="141" t="s">
        <v>52</v>
      </c>
    </row>
    <row r="5557" spans="1:3" x14ac:dyDescent="0.35">
      <c r="A5557" s="141" t="s">
        <v>879</v>
      </c>
      <c r="B5557" s="141" t="s">
        <v>273</v>
      </c>
      <c r="C5557" s="141" t="s">
        <v>52</v>
      </c>
    </row>
    <row r="5558" spans="1:3" x14ac:dyDescent="0.35">
      <c r="A5558" s="141" t="s">
        <v>880</v>
      </c>
      <c r="B5558" s="141" t="s">
        <v>273</v>
      </c>
      <c r="C5558" s="141" t="s">
        <v>52</v>
      </c>
    </row>
    <row r="5559" spans="1:3" x14ac:dyDescent="0.35">
      <c r="A5559" s="141" t="s">
        <v>314</v>
      </c>
      <c r="B5559" s="141" t="s">
        <v>273</v>
      </c>
      <c r="C5559" s="141" t="s">
        <v>16</v>
      </c>
    </row>
    <row r="5560" spans="1:3" x14ac:dyDescent="0.35">
      <c r="A5560" s="141" t="s">
        <v>316</v>
      </c>
      <c r="B5560" s="141" t="s">
        <v>273</v>
      </c>
      <c r="C5560" s="141" t="s">
        <v>16</v>
      </c>
    </row>
    <row r="5561" spans="1:3" x14ac:dyDescent="0.35">
      <c r="A5561" s="141" t="s">
        <v>317</v>
      </c>
      <c r="B5561" s="141" t="s">
        <v>273</v>
      </c>
      <c r="C5561" s="141" t="s">
        <v>16</v>
      </c>
    </row>
    <row r="5562" spans="1:3" x14ac:dyDescent="0.35">
      <c r="A5562" s="141" t="s">
        <v>318</v>
      </c>
      <c r="B5562" s="141" t="s">
        <v>273</v>
      </c>
      <c r="C5562" s="141" t="s">
        <v>16</v>
      </c>
    </row>
    <row r="5563" spans="1:3" x14ac:dyDescent="0.35">
      <c r="A5563" s="141" t="s">
        <v>319</v>
      </c>
      <c r="B5563" s="141" t="s">
        <v>273</v>
      </c>
      <c r="C5563" s="141" t="s">
        <v>16</v>
      </c>
    </row>
    <row r="5564" spans="1:3" x14ac:dyDescent="0.35">
      <c r="A5564" s="141" t="s">
        <v>320</v>
      </c>
      <c r="B5564" s="141" t="s">
        <v>273</v>
      </c>
      <c r="C5564" s="141" t="s">
        <v>16</v>
      </c>
    </row>
    <row r="5565" spans="1:3" x14ac:dyDescent="0.35">
      <c r="A5565" s="141" t="s">
        <v>321</v>
      </c>
      <c r="B5565" s="141" t="s">
        <v>273</v>
      </c>
      <c r="C5565" s="141" t="s">
        <v>16</v>
      </c>
    </row>
    <row r="5566" spans="1:3" x14ac:dyDescent="0.35">
      <c r="A5566" s="141" t="s">
        <v>322</v>
      </c>
      <c r="B5566" s="141" t="s">
        <v>273</v>
      </c>
      <c r="C5566" s="141" t="s">
        <v>16</v>
      </c>
    </row>
    <row r="5567" spans="1:3" x14ac:dyDescent="0.35">
      <c r="A5567" s="141" t="s">
        <v>323</v>
      </c>
      <c r="B5567" s="141" t="s">
        <v>273</v>
      </c>
      <c r="C5567" s="141" t="s">
        <v>16</v>
      </c>
    </row>
    <row r="5568" spans="1:3" x14ac:dyDescent="0.35">
      <c r="A5568" s="141" t="s">
        <v>324</v>
      </c>
      <c r="B5568" s="141" t="s">
        <v>273</v>
      </c>
      <c r="C5568" s="141" t="s">
        <v>16</v>
      </c>
    </row>
    <row r="5569" spans="1:3" x14ac:dyDescent="0.35">
      <c r="A5569" s="141" t="s">
        <v>325</v>
      </c>
      <c r="B5569" s="141" t="s">
        <v>273</v>
      </c>
      <c r="C5569" s="141" t="s">
        <v>16</v>
      </c>
    </row>
    <row r="5570" spans="1:3" x14ac:dyDescent="0.35">
      <c r="A5570" s="141" t="s">
        <v>326</v>
      </c>
      <c r="B5570" s="141" t="s">
        <v>273</v>
      </c>
      <c r="C5570" s="141" t="s">
        <v>16</v>
      </c>
    </row>
    <row r="5571" spans="1:3" x14ac:dyDescent="0.35">
      <c r="A5571" s="141" t="s">
        <v>971</v>
      </c>
      <c r="B5571" s="141" t="s">
        <v>273</v>
      </c>
      <c r="C5571" s="141" t="s">
        <v>16</v>
      </c>
    </row>
    <row r="5572" spans="1:3" x14ac:dyDescent="0.35">
      <c r="A5572" s="141" t="s">
        <v>327</v>
      </c>
      <c r="B5572" s="141" t="s">
        <v>273</v>
      </c>
      <c r="C5572" s="141" t="s">
        <v>16</v>
      </c>
    </row>
    <row r="5573" spans="1:3" x14ac:dyDescent="0.35">
      <c r="A5573" s="141" t="s">
        <v>972</v>
      </c>
      <c r="B5573" s="141" t="s">
        <v>273</v>
      </c>
      <c r="C5573" s="141" t="s">
        <v>16</v>
      </c>
    </row>
    <row r="5574" spans="1:3" x14ac:dyDescent="0.35">
      <c r="A5574" s="141" t="s">
        <v>328</v>
      </c>
      <c r="B5574" s="141" t="s">
        <v>273</v>
      </c>
      <c r="C5574" s="141" t="s">
        <v>16</v>
      </c>
    </row>
    <row r="5575" spans="1:3" x14ac:dyDescent="0.35">
      <c r="A5575" s="141" t="s">
        <v>329</v>
      </c>
      <c r="B5575" s="141" t="s">
        <v>273</v>
      </c>
      <c r="C5575" s="141" t="s">
        <v>16</v>
      </c>
    </row>
    <row r="5576" spans="1:3" x14ac:dyDescent="0.35">
      <c r="A5576" s="141" t="s">
        <v>973</v>
      </c>
      <c r="B5576" s="141" t="s">
        <v>273</v>
      </c>
      <c r="C5576" s="141" t="s">
        <v>16</v>
      </c>
    </row>
    <row r="5577" spans="1:3" x14ac:dyDescent="0.35">
      <c r="A5577" s="141" t="s">
        <v>334</v>
      </c>
      <c r="B5577" s="141" t="s">
        <v>273</v>
      </c>
      <c r="C5577" s="141" t="s">
        <v>16</v>
      </c>
    </row>
    <row r="5578" spans="1:3" x14ac:dyDescent="0.35">
      <c r="A5578" s="141" t="s">
        <v>881</v>
      </c>
      <c r="B5578" s="141" t="s">
        <v>273</v>
      </c>
      <c r="C5578" s="141" t="s">
        <v>16</v>
      </c>
    </row>
    <row r="5579" spans="1:3" x14ac:dyDescent="0.35">
      <c r="A5579" s="141" t="s">
        <v>974</v>
      </c>
      <c r="B5579" s="141" t="s">
        <v>273</v>
      </c>
      <c r="C5579" s="141" t="s">
        <v>16</v>
      </c>
    </row>
    <row r="5580" spans="1:3" x14ac:dyDescent="0.35">
      <c r="A5580" s="141" t="s">
        <v>531</v>
      </c>
      <c r="B5580" s="141" t="s">
        <v>273</v>
      </c>
      <c r="C5580" s="141" t="s">
        <v>51</v>
      </c>
    </row>
    <row r="5581" spans="1:3" x14ac:dyDescent="0.35">
      <c r="A5581" s="141" t="s">
        <v>741</v>
      </c>
      <c r="B5581" s="141" t="s">
        <v>273</v>
      </c>
      <c r="C5581" s="141" t="s">
        <v>51</v>
      </c>
    </row>
    <row r="5582" spans="1:3" x14ac:dyDescent="0.35">
      <c r="A5582" s="141" t="s">
        <v>742</v>
      </c>
      <c r="B5582" s="141" t="s">
        <v>273</v>
      </c>
      <c r="C5582" s="141" t="s">
        <v>51</v>
      </c>
    </row>
    <row r="5583" spans="1:3" x14ac:dyDescent="0.35">
      <c r="A5583" s="141" t="s">
        <v>743</v>
      </c>
      <c r="B5583" s="141" t="s">
        <v>273</v>
      </c>
      <c r="C5583" s="141" t="s">
        <v>51</v>
      </c>
    </row>
    <row r="5584" spans="1:3" x14ac:dyDescent="0.35">
      <c r="A5584" s="141" t="s">
        <v>747</v>
      </c>
      <c r="B5584" s="141" t="s">
        <v>273</v>
      </c>
      <c r="C5584" s="141" t="s">
        <v>51</v>
      </c>
    </row>
    <row r="5585" spans="1:3" x14ac:dyDescent="0.35">
      <c r="A5585" s="141" t="s">
        <v>748</v>
      </c>
      <c r="B5585" s="141" t="s">
        <v>273</v>
      </c>
      <c r="C5585" s="141" t="s">
        <v>51</v>
      </c>
    </row>
    <row r="5586" spans="1:3" x14ac:dyDescent="0.35">
      <c r="A5586" s="141" t="s">
        <v>533</v>
      </c>
      <c r="B5586" s="141" t="s">
        <v>273</v>
      </c>
      <c r="C5586" s="141" t="s">
        <v>50</v>
      </c>
    </row>
    <row r="5587" spans="1:3" x14ac:dyDescent="0.35">
      <c r="A5587" s="141" t="s">
        <v>954</v>
      </c>
      <c r="B5587" s="141" t="s">
        <v>273</v>
      </c>
      <c r="C5587" s="141" t="s">
        <v>35</v>
      </c>
    </row>
    <row r="5588" spans="1:3" x14ac:dyDescent="0.35">
      <c r="A5588" s="141" t="s">
        <v>975</v>
      </c>
      <c r="B5588" s="141" t="s">
        <v>273</v>
      </c>
      <c r="C5588" s="141" t="s">
        <v>33</v>
      </c>
    </row>
    <row r="5589" spans="1:3" x14ac:dyDescent="0.35">
      <c r="A5589" s="141" t="s">
        <v>976</v>
      </c>
      <c r="B5589" s="141" t="s">
        <v>273</v>
      </c>
      <c r="C5589" s="141" t="s">
        <v>33</v>
      </c>
    </row>
    <row r="5590" spans="1:3" x14ac:dyDescent="0.35">
      <c r="A5590" s="141" t="s">
        <v>740</v>
      </c>
      <c r="B5590" s="141" t="s">
        <v>273</v>
      </c>
      <c r="C5590" s="141" t="s">
        <v>33</v>
      </c>
    </row>
    <row r="5591" spans="1:3" x14ac:dyDescent="0.35">
      <c r="A5591" s="141" t="s">
        <v>550</v>
      </c>
      <c r="B5591" s="141" t="s">
        <v>273</v>
      </c>
      <c r="C5591" s="141" t="s">
        <v>33</v>
      </c>
    </row>
    <row r="5592" spans="1:3" x14ac:dyDescent="0.35">
      <c r="A5592" s="141" t="s">
        <v>551</v>
      </c>
      <c r="B5592" s="141" t="s">
        <v>273</v>
      </c>
      <c r="C5592" s="141" t="s">
        <v>33</v>
      </c>
    </row>
    <row r="5593" spans="1:3" x14ac:dyDescent="0.35">
      <c r="A5593" s="141" t="s">
        <v>795</v>
      </c>
      <c r="B5593" s="141" t="s">
        <v>273</v>
      </c>
      <c r="C5593" s="142"/>
    </row>
    <row r="5594" spans="1:3" x14ac:dyDescent="0.35">
      <c r="A5594" s="141" t="s">
        <v>796</v>
      </c>
      <c r="B5594" s="141" t="s">
        <v>273</v>
      </c>
      <c r="C5594" s="142"/>
    </row>
    <row r="5595" spans="1:3" x14ac:dyDescent="0.35">
      <c r="A5595" s="141" t="s">
        <v>601</v>
      </c>
      <c r="B5595" s="141" t="s">
        <v>273</v>
      </c>
      <c r="C5595" s="141" t="s">
        <v>40</v>
      </c>
    </row>
    <row r="5596" spans="1:3" x14ac:dyDescent="0.35">
      <c r="A5596" s="141" t="s">
        <v>602</v>
      </c>
      <c r="B5596" s="141" t="s">
        <v>273</v>
      </c>
      <c r="C5596" s="141" t="s">
        <v>39</v>
      </c>
    </row>
    <row r="5597" spans="1:3" x14ac:dyDescent="0.35">
      <c r="A5597" s="141" t="s">
        <v>735</v>
      </c>
      <c r="B5597" s="141" t="s">
        <v>273</v>
      </c>
      <c r="C5597" s="141" t="s">
        <v>41</v>
      </c>
    </row>
    <row r="5598" spans="1:3" x14ac:dyDescent="0.35">
      <c r="A5598" s="141" t="s">
        <v>736</v>
      </c>
      <c r="B5598" s="141" t="s">
        <v>273</v>
      </c>
      <c r="C5598" s="141" t="s">
        <v>41</v>
      </c>
    </row>
    <row r="5599" spans="1:3" x14ac:dyDescent="0.35">
      <c r="A5599" s="141" t="s">
        <v>737</v>
      </c>
      <c r="B5599" s="141" t="s">
        <v>273</v>
      </c>
      <c r="C5599" s="141" t="s">
        <v>41</v>
      </c>
    </row>
    <row r="5600" spans="1:3" x14ac:dyDescent="0.35">
      <c r="A5600" s="141" t="s">
        <v>738</v>
      </c>
      <c r="B5600" s="141" t="s">
        <v>273</v>
      </c>
      <c r="C5600" s="141" t="s">
        <v>41</v>
      </c>
    </row>
    <row r="5601" spans="1:3" x14ac:dyDescent="0.35">
      <c r="A5601" s="141" t="s">
        <v>797</v>
      </c>
      <c r="B5601" s="141" t="s">
        <v>273</v>
      </c>
      <c r="C5601" s="141" t="s">
        <v>41</v>
      </c>
    </row>
    <row r="5602" spans="1:3" x14ac:dyDescent="0.35">
      <c r="A5602" s="141" t="s">
        <v>798</v>
      </c>
      <c r="B5602" s="141" t="s">
        <v>273</v>
      </c>
      <c r="C5602" s="141" t="s">
        <v>40</v>
      </c>
    </row>
    <row r="5603" spans="1:3" x14ac:dyDescent="0.35">
      <c r="A5603" s="141" t="s">
        <v>799</v>
      </c>
      <c r="B5603" s="141" t="s">
        <v>273</v>
      </c>
      <c r="C5603" s="141" t="s">
        <v>40</v>
      </c>
    </row>
    <row r="5604" spans="1:3" x14ac:dyDescent="0.35">
      <c r="A5604" s="141" t="s">
        <v>775</v>
      </c>
      <c r="B5604" s="141" t="s">
        <v>273</v>
      </c>
      <c r="C5604" s="141" t="s">
        <v>38</v>
      </c>
    </row>
    <row r="5605" spans="1:3" x14ac:dyDescent="0.35">
      <c r="A5605" s="141" t="s">
        <v>605</v>
      </c>
      <c r="B5605" s="141" t="s">
        <v>273</v>
      </c>
      <c r="C5605" s="141" t="s">
        <v>43</v>
      </c>
    </row>
    <row r="5606" spans="1:3" x14ac:dyDescent="0.35">
      <c r="A5606" s="141" t="s">
        <v>606</v>
      </c>
      <c r="B5606" s="141" t="s">
        <v>273</v>
      </c>
      <c r="C5606" s="141" t="s">
        <v>43</v>
      </c>
    </row>
    <row r="5607" spans="1:3" x14ac:dyDescent="0.35">
      <c r="A5607" s="141" t="s">
        <v>607</v>
      </c>
      <c r="B5607" s="141" t="s">
        <v>273</v>
      </c>
      <c r="C5607" s="141" t="s">
        <v>43</v>
      </c>
    </row>
    <row r="5608" spans="1:3" x14ac:dyDescent="0.35">
      <c r="A5608" s="141" t="s">
        <v>608</v>
      </c>
      <c r="B5608" s="141" t="s">
        <v>273</v>
      </c>
      <c r="C5608" s="141" t="s">
        <v>43</v>
      </c>
    </row>
    <row r="5609" spans="1:3" x14ac:dyDescent="0.35">
      <c r="A5609" s="141" t="s">
        <v>609</v>
      </c>
      <c r="B5609" s="141" t="s">
        <v>273</v>
      </c>
      <c r="C5609" s="141" t="s">
        <v>43</v>
      </c>
    </row>
    <row r="5610" spans="1:3" x14ac:dyDescent="0.35">
      <c r="A5610" s="141" t="s">
        <v>610</v>
      </c>
      <c r="B5610" s="141" t="s">
        <v>273</v>
      </c>
      <c r="C5610" s="141" t="s">
        <v>43</v>
      </c>
    </row>
    <row r="5611" spans="1:3" x14ac:dyDescent="0.35">
      <c r="A5611" s="141" t="s">
        <v>612</v>
      </c>
      <c r="B5611" s="141" t="s">
        <v>273</v>
      </c>
      <c r="C5611" s="141" t="s">
        <v>43</v>
      </c>
    </row>
    <row r="5612" spans="1:3" x14ac:dyDescent="0.35">
      <c r="A5612" s="141" t="s">
        <v>853</v>
      </c>
      <c r="B5612" s="141" t="s">
        <v>273</v>
      </c>
      <c r="C5612" s="141" t="s">
        <v>43</v>
      </c>
    </row>
    <row r="5613" spans="1:3" x14ac:dyDescent="0.35">
      <c r="A5613" s="141" t="s">
        <v>614</v>
      </c>
      <c r="B5613" s="141" t="s">
        <v>273</v>
      </c>
      <c r="C5613" s="141" t="s">
        <v>43</v>
      </c>
    </row>
    <row r="5614" spans="1:3" x14ac:dyDescent="0.35">
      <c r="A5614" s="141" t="s">
        <v>615</v>
      </c>
      <c r="B5614" s="141" t="s">
        <v>273</v>
      </c>
      <c r="C5614" s="141" t="s">
        <v>43</v>
      </c>
    </row>
    <row r="5615" spans="1:3" x14ac:dyDescent="0.35">
      <c r="A5615" s="141" t="s">
        <v>616</v>
      </c>
      <c r="B5615" s="141" t="s">
        <v>273</v>
      </c>
      <c r="C5615" s="141" t="s">
        <v>43</v>
      </c>
    </row>
    <row r="5616" spans="1:3" x14ac:dyDescent="0.35">
      <c r="A5616" s="141" t="s">
        <v>854</v>
      </c>
      <c r="B5616" s="141" t="s">
        <v>273</v>
      </c>
      <c r="C5616" s="141" t="s">
        <v>43</v>
      </c>
    </row>
    <row r="5617" spans="1:3" x14ac:dyDescent="0.35">
      <c r="A5617" s="141" t="s">
        <v>618</v>
      </c>
      <c r="B5617" s="141" t="s">
        <v>273</v>
      </c>
      <c r="C5617" s="141" t="s">
        <v>43</v>
      </c>
    </row>
    <row r="5618" spans="1:3" x14ac:dyDescent="0.35">
      <c r="A5618" s="141" t="s">
        <v>619</v>
      </c>
      <c r="B5618" s="141" t="s">
        <v>273</v>
      </c>
      <c r="C5618" s="141" t="s">
        <v>44</v>
      </c>
    </row>
    <row r="5619" spans="1:3" x14ac:dyDescent="0.35">
      <c r="A5619" s="141" t="s">
        <v>840</v>
      </c>
      <c r="B5619" s="141" t="s">
        <v>273</v>
      </c>
      <c r="C5619" s="141" t="s">
        <v>10</v>
      </c>
    </row>
    <row r="5620" spans="1:3" x14ac:dyDescent="0.35">
      <c r="A5620" s="141" t="s">
        <v>841</v>
      </c>
      <c r="B5620" s="141" t="s">
        <v>273</v>
      </c>
      <c r="C5620" s="141" t="s">
        <v>10</v>
      </c>
    </row>
    <row r="5621" spans="1:3" x14ac:dyDescent="0.35">
      <c r="A5621" s="141" t="s">
        <v>370</v>
      </c>
      <c r="B5621" s="141" t="s">
        <v>273</v>
      </c>
      <c r="C5621" s="141" t="s">
        <v>10</v>
      </c>
    </row>
    <row r="5622" spans="1:3" x14ac:dyDescent="0.35">
      <c r="A5622" s="141" t="s">
        <v>371</v>
      </c>
      <c r="B5622" s="141" t="s">
        <v>273</v>
      </c>
      <c r="C5622" s="141" t="s">
        <v>10</v>
      </c>
    </row>
    <row r="5623" spans="1:3" x14ac:dyDescent="0.35">
      <c r="A5623" s="141" t="s">
        <v>372</v>
      </c>
      <c r="B5623" s="141" t="s">
        <v>273</v>
      </c>
      <c r="C5623" s="141" t="s">
        <v>10</v>
      </c>
    </row>
    <row r="5624" spans="1:3" x14ac:dyDescent="0.35">
      <c r="A5624" s="141" t="s">
        <v>373</v>
      </c>
      <c r="B5624" s="141" t="s">
        <v>273</v>
      </c>
      <c r="C5624" s="141" t="s">
        <v>10</v>
      </c>
    </row>
    <row r="5625" spans="1:3" x14ac:dyDescent="0.35">
      <c r="A5625" s="141" t="s">
        <v>375</v>
      </c>
      <c r="B5625" s="141" t="s">
        <v>273</v>
      </c>
      <c r="C5625" s="141" t="s">
        <v>10</v>
      </c>
    </row>
    <row r="5626" spans="1:3" x14ac:dyDescent="0.35">
      <c r="A5626" s="141" t="s">
        <v>376</v>
      </c>
      <c r="B5626" s="141" t="s">
        <v>273</v>
      </c>
      <c r="C5626" s="141" t="s">
        <v>10</v>
      </c>
    </row>
    <row r="5627" spans="1:3" x14ac:dyDescent="0.35">
      <c r="A5627" s="141" t="s">
        <v>842</v>
      </c>
      <c r="B5627" s="141" t="s">
        <v>273</v>
      </c>
      <c r="C5627" s="141" t="s">
        <v>11</v>
      </c>
    </row>
    <row r="5628" spans="1:3" x14ac:dyDescent="0.35">
      <c r="A5628" s="141" t="s">
        <v>843</v>
      </c>
      <c r="B5628" s="141" t="s">
        <v>273</v>
      </c>
      <c r="C5628" s="141" t="s">
        <v>11</v>
      </c>
    </row>
    <row r="5629" spans="1:3" x14ac:dyDescent="0.35">
      <c r="A5629" s="141" t="s">
        <v>844</v>
      </c>
      <c r="B5629" s="141" t="s">
        <v>273</v>
      </c>
      <c r="C5629" s="141" t="s">
        <v>11</v>
      </c>
    </row>
    <row r="5630" spans="1:3" x14ac:dyDescent="0.35">
      <c r="A5630" s="141" t="s">
        <v>845</v>
      </c>
      <c r="B5630" s="141" t="s">
        <v>273</v>
      </c>
      <c r="C5630" s="141" t="s">
        <v>11</v>
      </c>
    </row>
    <row r="5631" spans="1:3" x14ac:dyDescent="0.35">
      <c r="A5631" s="141" t="s">
        <v>383</v>
      </c>
      <c r="B5631" s="141" t="s">
        <v>273</v>
      </c>
      <c r="C5631" s="141" t="s">
        <v>5</v>
      </c>
    </row>
    <row r="5632" spans="1:3" x14ac:dyDescent="0.35">
      <c r="A5632" s="141" t="s">
        <v>390</v>
      </c>
      <c r="B5632" s="141" t="s">
        <v>273</v>
      </c>
      <c r="C5632" s="141" t="s">
        <v>16</v>
      </c>
    </row>
    <row r="5633" spans="1:3" x14ac:dyDescent="0.35">
      <c r="A5633" s="141" t="s">
        <v>846</v>
      </c>
      <c r="B5633" s="141" t="s">
        <v>273</v>
      </c>
      <c r="C5633" s="141" t="s">
        <v>16</v>
      </c>
    </row>
    <row r="5634" spans="1:3" x14ac:dyDescent="0.35">
      <c r="A5634" s="141" t="s">
        <v>393</v>
      </c>
      <c r="B5634" s="141" t="s">
        <v>273</v>
      </c>
      <c r="C5634" s="141" t="s">
        <v>9</v>
      </c>
    </row>
    <row r="5635" spans="1:3" x14ac:dyDescent="0.35">
      <c r="A5635" s="141" t="s">
        <v>885</v>
      </c>
      <c r="B5635" s="141" t="s">
        <v>273</v>
      </c>
      <c r="C5635" s="141" t="s">
        <v>19</v>
      </c>
    </row>
    <row r="5636" spans="1:3" x14ac:dyDescent="0.35">
      <c r="A5636" s="141" t="s">
        <v>886</v>
      </c>
      <c r="B5636" s="141" t="s">
        <v>273</v>
      </c>
      <c r="C5636" s="141" t="s">
        <v>19</v>
      </c>
    </row>
    <row r="5637" spans="1:3" x14ac:dyDescent="0.35">
      <c r="A5637" s="141" t="s">
        <v>398</v>
      </c>
      <c r="B5637" s="141" t="s">
        <v>273</v>
      </c>
      <c r="C5637" s="141" t="s">
        <v>17</v>
      </c>
    </row>
    <row r="5638" spans="1:3" x14ac:dyDescent="0.35">
      <c r="A5638" s="141" t="s">
        <v>399</v>
      </c>
      <c r="B5638" s="141" t="s">
        <v>273</v>
      </c>
      <c r="C5638" s="141" t="s">
        <v>16</v>
      </c>
    </row>
    <row r="5639" spans="1:3" x14ac:dyDescent="0.35">
      <c r="A5639" s="141" t="s">
        <v>400</v>
      </c>
      <c r="B5639" s="141" t="s">
        <v>273</v>
      </c>
      <c r="C5639" s="141" t="s">
        <v>20</v>
      </c>
    </row>
    <row r="5640" spans="1:3" x14ac:dyDescent="0.35">
      <c r="A5640" s="141" t="s">
        <v>401</v>
      </c>
      <c r="B5640" s="141" t="s">
        <v>273</v>
      </c>
      <c r="C5640" s="141" t="s">
        <v>20</v>
      </c>
    </row>
    <row r="5641" spans="1:3" x14ac:dyDescent="0.35">
      <c r="A5641" s="141" t="s">
        <v>671</v>
      </c>
      <c r="B5641" s="141" t="s">
        <v>273</v>
      </c>
      <c r="C5641" s="141" t="s">
        <v>20</v>
      </c>
    </row>
    <row r="5642" spans="1:3" x14ac:dyDescent="0.35">
      <c r="A5642" s="141" t="s">
        <v>402</v>
      </c>
      <c r="B5642" s="141" t="s">
        <v>273</v>
      </c>
      <c r="C5642" s="141" t="s">
        <v>20</v>
      </c>
    </row>
    <row r="5643" spans="1:3" x14ac:dyDescent="0.35">
      <c r="A5643" s="141" t="s">
        <v>592</v>
      </c>
      <c r="B5643" s="141" t="s">
        <v>273</v>
      </c>
      <c r="C5643" s="141" t="s">
        <v>20</v>
      </c>
    </row>
    <row r="5644" spans="1:3" x14ac:dyDescent="0.35">
      <c r="A5644" s="141" t="s">
        <v>593</v>
      </c>
      <c r="B5644" s="141" t="s">
        <v>273</v>
      </c>
      <c r="C5644" s="141" t="s">
        <v>20</v>
      </c>
    </row>
    <row r="5645" spans="1:3" x14ac:dyDescent="0.35">
      <c r="A5645" s="141" t="s">
        <v>403</v>
      </c>
      <c r="B5645" s="141" t="s">
        <v>273</v>
      </c>
      <c r="C5645" s="141" t="s">
        <v>20</v>
      </c>
    </row>
    <row r="5646" spans="1:3" x14ac:dyDescent="0.35">
      <c r="A5646" s="141" t="s">
        <v>404</v>
      </c>
      <c r="B5646" s="141" t="s">
        <v>273</v>
      </c>
      <c r="C5646" s="141" t="s">
        <v>16</v>
      </c>
    </row>
    <row r="5647" spans="1:3" x14ac:dyDescent="0.35">
      <c r="A5647" s="141" t="s">
        <v>405</v>
      </c>
      <c r="B5647" s="141" t="s">
        <v>273</v>
      </c>
      <c r="C5647" s="141" t="s">
        <v>16</v>
      </c>
    </row>
    <row r="5648" spans="1:3" x14ac:dyDescent="0.35">
      <c r="A5648" s="141" t="s">
        <v>406</v>
      </c>
      <c r="B5648" s="141" t="s">
        <v>273</v>
      </c>
      <c r="C5648" s="141" t="s">
        <v>18</v>
      </c>
    </row>
    <row r="5649" spans="1:3" x14ac:dyDescent="0.35">
      <c r="A5649" s="141" t="s">
        <v>407</v>
      </c>
      <c r="B5649" s="141" t="s">
        <v>273</v>
      </c>
      <c r="C5649" s="141" t="s">
        <v>17</v>
      </c>
    </row>
    <row r="5650" spans="1:3" x14ac:dyDescent="0.35">
      <c r="A5650" s="141" t="s">
        <v>566</v>
      </c>
      <c r="B5650" s="141" t="s">
        <v>273</v>
      </c>
      <c r="C5650" s="141" t="s">
        <v>17</v>
      </c>
    </row>
    <row r="5651" spans="1:3" x14ac:dyDescent="0.35">
      <c r="A5651" s="141" t="s">
        <v>833</v>
      </c>
      <c r="B5651" s="141" t="s">
        <v>273</v>
      </c>
      <c r="C5651" s="141" t="s">
        <v>17</v>
      </c>
    </row>
    <row r="5652" spans="1:3" x14ac:dyDescent="0.35">
      <c r="A5652" s="141" t="s">
        <v>409</v>
      </c>
      <c r="B5652" s="141" t="s">
        <v>273</v>
      </c>
      <c r="C5652" s="141" t="s">
        <v>18</v>
      </c>
    </row>
    <row r="5653" spans="1:3" x14ac:dyDescent="0.35">
      <c r="A5653" s="141" t="s">
        <v>410</v>
      </c>
      <c r="B5653" s="141" t="s">
        <v>273</v>
      </c>
      <c r="C5653" s="141" t="s">
        <v>18</v>
      </c>
    </row>
    <row r="5654" spans="1:3" x14ac:dyDescent="0.35">
      <c r="A5654" s="141" t="s">
        <v>295</v>
      </c>
      <c r="B5654" s="141" t="s">
        <v>273</v>
      </c>
      <c r="C5654" s="141" t="s">
        <v>18</v>
      </c>
    </row>
    <row r="5655" spans="1:3" x14ac:dyDescent="0.35">
      <c r="A5655" s="141" t="s">
        <v>411</v>
      </c>
      <c r="B5655" s="141" t="s">
        <v>273</v>
      </c>
      <c r="C5655" s="141" t="s">
        <v>9</v>
      </c>
    </row>
    <row r="5656" spans="1:3" x14ac:dyDescent="0.35">
      <c r="A5656" s="141" t="s">
        <v>412</v>
      </c>
      <c r="B5656" s="141" t="s">
        <v>273</v>
      </c>
      <c r="C5656" s="141" t="s">
        <v>9</v>
      </c>
    </row>
    <row r="5657" spans="1:3" x14ac:dyDescent="0.35">
      <c r="A5657" s="141" t="s">
        <v>413</v>
      </c>
      <c r="B5657" s="141" t="s">
        <v>273</v>
      </c>
      <c r="C5657" s="141" t="s">
        <v>9</v>
      </c>
    </row>
    <row r="5658" spans="1:3" x14ac:dyDescent="0.35">
      <c r="A5658" s="141" t="s">
        <v>414</v>
      </c>
      <c r="B5658" s="141" t="s">
        <v>273</v>
      </c>
      <c r="C5658" s="141" t="s">
        <v>9</v>
      </c>
    </row>
    <row r="5659" spans="1:3" x14ac:dyDescent="0.35">
      <c r="A5659" s="141" t="s">
        <v>415</v>
      </c>
      <c r="B5659" s="141" t="s">
        <v>273</v>
      </c>
      <c r="C5659" s="141" t="s">
        <v>9</v>
      </c>
    </row>
    <row r="5660" spans="1:3" x14ac:dyDescent="0.35">
      <c r="A5660" s="141" t="s">
        <v>416</v>
      </c>
      <c r="B5660" s="141" t="s">
        <v>273</v>
      </c>
      <c r="C5660" s="141" t="s">
        <v>15</v>
      </c>
    </row>
    <row r="5661" spans="1:3" x14ac:dyDescent="0.35">
      <c r="A5661" s="141" t="s">
        <v>417</v>
      </c>
      <c r="B5661" s="141" t="s">
        <v>273</v>
      </c>
      <c r="C5661" s="141" t="s">
        <v>6</v>
      </c>
    </row>
    <row r="5662" spans="1:3" x14ac:dyDescent="0.35">
      <c r="A5662" s="141" t="s">
        <v>418</v>
      </c>
      <c r="B5662" s="141" t="s">
        <v>273</v>
      </c>
      <c r="C5662" s="141" t="s">
        <v>17</v>
      </c>
    </row>
    <row r="5663" spans="1:3" x14ac:dyDescent="0.35">
      <c r="A5663" s="141" t="s">
        <v>419</v>
      </c>
      <c r="B5663" s="141" t="s">
        <v>273</v>
      </c>
      <c r="C5663" s="141" t="s">
        <v>17</v>
      </c>
    </row>
    <row r="5664" spans="1:3" x14ac:dyDescent="0.35">
      <c r="A5664" s="141" t="s">
        <v>420</v>
      </c>
      <c r="B5664" s="141" t="s">
        <v>273</v>
      </c>
      <c r="C5664" s="141" t="s">
        <v>17</v>
      </c>
    </row>
    <row r="5665" spans="1:3" x14ac:dyDescent="0.35">
      <c r="A5665" s="141" t="s">
        <v>421</v>
      </c>
      <c r="B5665" s="141" t="s">
        <v>273</v>
      </c>
      <c r="C5665" s="141" t="s">
        <v>6</v>
      </c>
    </row>
    <row r="5666" spans="1:3" x14ac:dyDescent="0.35">
      <c r="A5666" s="141" t="s">
        <v>422</v>
      </c>
      <c r="B5666" s="141" t="s">
        <v>273</v>
      </c>
      <c r="C5666" s="141" t="s">
        <v>17</v>
      </c>
    </row>
    <row r="5667" spans="1:3" x14ac:dyDescent="0.35">
      <c r="A5667" s="141" t="s">
        <v>305</v>
      </c>
      <c r="B5667" s="141" t="s">
        <v>273</v>
      </c>
      <c r="C5667" s="141" t="s">
        <v>21</v>
      </c>
    </row>
    <row r="5668" spans="1:3" x14ac:dyDescent="0.35">
      <c r="A5668" s="141" t="s">
        <v>977</v>
      </c>
      <c r="B5668" s="141" t="s">
        <v>273</v>
      </c>
      <c r="C5668" s="141" t="s">
        <v>52</v>
      </c>
    </row>
    <row r="5669" spans="1:3" x14ac:dyDescent="0.35">
      <c r="A5669" s="141" t="s">
        <v>856</v>
      </c>
      <c r="B5669" s="141" t="s">
        <v>273</v>
      </c>
      <c r="C5669" s="141" t="s">
        <v>52</v>
      </c>
    </row>
    <row r="5670" spans="1:3" x14ac:dyDescent="0.35">
      <c r="A5670" s="141" t="s">
        <v>857</v>
      </c>
      <c r="B5670" s="141" t="s">
        <v>273</v>
      </c>
      <c r="C5670" s="141" t="s">
        <v>52</v>
      </c>
    </row>
    <row r="5671" spans="1:3" x14ac:dyDescent="0.35">
      <c r="A5671" s="141" t="s">
        <v>776</v>
      </c>
      <c r="B5671" s="141" t="s">
        <v>273</v>
      </c>
      <c r="C5671" s="141" t="s">
        <v>45</v>
      </c>
    </row>
    <row r="5672" spans="1:3" x14ac:dyDescent="0.35">
      <c r="A5672" s="141" t="s">
        <v>777</v>
      </c>
      <c r="B5672" s="141" t="s">
        <v>273</v>
      </c>
      <c r="C5672" s="141" t="s">
        <v>46</v>
      </c>
    </row>
    <row r="5673" spans="1:3" x14ac:dyDescent="0.35">
      <c r="A5673" s="141" t="s">
        <v>778</v>
      </c>
      <c r="B5673" s="141" t="s">
        <v>273</v>
      </c>
      <c r="C5673" s="141" t="s">
        <v>45</v>
      </c>
    </row>
    <row r="5674" spans="1:3" x14ac:dyDescent="0.35">
      <c r="A5674" s="141" t="s">
        <v>779</v>
      </c>
      <c r="B5674" s="141" t="s">
        <v>273</v>
      </c>
      <c r="C5674" s="141" t="s">
        <v>45</v>
      </c>
    </row>
    <row r="5675" spans="1:3" x14ac:dyDescent="0.35">
      <c r="A5675" s="141" t="s">
        <v>780</v>
      </c>
      <c r="B5675" s="141" t="s">
        <v>273</v>
      </c>
      <c r="C5675" s="141" t="s">
        <v>45</v>
      </c>
    </row>
    <row r="5676" spans="1:3" x14ac:dyDescent="0.35">
      <c r="A5676" s="141" t="s">
        <v>781</v>
      </c>
      <c r="B5676" s="141" t="s">
        <v>273</v>
      </c>
      <c r="C5676" s="141" t="s">
        <v>45</v>
      </c>
    </row>
    <row r="5677" spans="1:3" x14ac:dyDescent="0.35">
      <c r="A5677" s="141" t="s">
        <v>278</v>
      </c>
      <c r="B5677" s="141" t="s">
        <v>273</v>
      </c>
      <c r="C5677" s="141" t="s">
        <v>21</v>
      </c>
    </row>
    <row r="5678" spans="1:3" x14ac:dyDescent="0.35">
      <c r="A5678" s="141" t="s">
        <v>283</v>
      </c>
      <c r="B5678" s="141" t="s">
        <v>273</v>
      </c>
      <c r="C5678" s="141" t="s">
        <v>21</v>
      </c>
    </row>
    <row r="5679" spans="1:3" x14ac:dyDescent="0.35">
      <c r="A5679" s="141" t="s">
        <v>284</v>
      </c>
      <c r="B5679" s="141" t="s">
        <v>273</v>
      </c>
      <c r="C5679" s="141" t="s">
        <v>21</v>
      </c>
    </row>
    <row r="5680" spans="1:3" x14ac:dyDescent="0.35">
      <c r="A5680" s="141" t="s">
        <v>285</v>
      </c>
      <c r="B5680" s="141" t="s">
        <v>273</v>
      </c>
      <c r="C5680" s="141" t="s">
        <v>27</v>
      </c>
    </row>
    <row r="5681" spans="1:3" x14ac:dyDescent="0.35">
      <c r="A5681" s="141" t="s">
        <v>286</v>
      </c>
      <c r="B5681" s="141" t="s">
        <v>273</v>
      </c>
      <c r="C5681" s="141" t="s">
        <v>27</v>
      </c>
    </row>
    <row r="5682" spans="1:3" x14ac:dyDescent="0.35">
      <c r="A5682" s="141" t="s">
        <v>882</v>
      </c>
      <c r="B5682" s="141" t="s">
        <v>273</v>
      </c>
      <c r="C5682" s="141" t="s">
        <v>27</v>
      </c>
    </row>
    <row r="5683" spans="1:3" x14ac:dyDescent="0.35">
      <c r="A5683" s="141" t="s">
        <v>883</v>
      </c>
      <c r="B5683" s="141" t="s">
        <v>273</v>
      </c>
      <c r="C5683" s="141" t="s">
        <v>27</v>
      </c>
    </row>
    <row r="5684" spans="1:3" x14ac:dyDescent="0.35">
      <c r="A5684" s="141" t="s">
        <v>884</v>
      </c>
      <c r="B5684" s="141" t="s">
        <v>273</v>
      </c>
      <c r="C5684" s="141" t="s">
        <v>27</v>
      </c>
    </row>
    <row r="5685" spans="1:3" x14ac:dyDescent="0.35">
      <c r="A5685" s="141" t="s">
        <v>262</v>
      </c>
      <c r="B5685" s="141" t="s">
        <v>273</v>
      </c>
      <c r="C5685" s="141" t="s">
        <v>27</v>
      </c>
    </row>
    <row r="5686" spans="1:3" x14ac:dyDescent="0.35">
      <c r="A5686" s="141" t="s">
        <v>819</v>
      </c>
      <c r="B5686" s="141" t="s">
        <v>273</v>
      </c>
      <c r="C5686" s="141" t="s">
        <v>45</v>
      </c>
    </row>
    <row r="5687" spans="1:3" x14ac:dyDescent="0.35">
      <c r="A5687" s="141" t="s">
        <v>820</v>
      </c>
      <c r="B5687" s="141" t="s">
        <v>273</v>
      </c>
      <c r="C5687" s="141" t="s">
        <v>45</v>
      </c>
    </row>
    <row r="5688" spans="1:3" x14ac:dyDescent="0.35">
      <c r="A5688" s="141" t="s">
        <v>821</v>
      </c>
      <c r="B5688" s="141" t="s">
        <v>273</v>
      </c>
      <c r="C5688" s="141" t="s">
        <v>45</v>
      </c>
    </row>
    <row r="5689" spans="1:3" x14ac:dyDescent="0.35">
      <c r="A5689" s="141" t="s">
        <v>822</v>
      </c>
      <c r="B5689" s="141" t="s">
        <v>273</v>
      </c>
      <c r="C5689" s="141" t="s">
        <v>45</v>
      </c>
    </row>
    <row r="5690" spans="1:3" x14ac:dyDescent="0.35">
      <c r="A5690" s="141" t="s">
        <v>823</v>
      </c>
      <c r="B5690" s="141" t="s">
        <v>273</v>
      </c>
      <c r="C5690" s="141" t="s">
        <v>45</v>
      </c>
    </row>
    <row r="5691" spans="1:3" x14ac:dyDescent="0.35">
      <c r="A5691" s="141" t="s">
        <v>824</v>
      </c>
      <c r="B5691" s="141" t="s">
        <v>273</v>
      </c>
      <c r="C5691" s="141" t="s">
        <v>45</v>
      </c>
    </row>
    <row r="5692" spans="1:3" x14ac:dyDescent="0.35">
      <c r="A5692" s="141" t="s">
        <v>825</v>
      </c>
      <c r="B5692" s="141" t="s">
        <v>273</v>
      </c>
      <c r="C5692" s="141" t="s">
        <v>45</v>
      </c>
    </row>
    <row r="5693" spans="1:3" x14ac:dyDescent="0.35">
      <c r="A5693" s="141" t="s">
        <v>826</v>
      </c>
      <c r="B5693" s="141" t="s">
        <v>273</v>
      </c>
      <c r="C5693" s="141" t="s">
        <v>45</v>
      </c>
    </row>
    <row r="5694" spans="1:3" x14ac:dyDescent="0.35">
      <c r="A5694" s="141" t="s">
        <v>827</v>
      </c>
      <c r="B5694" s="141" t="s">
        <v>273</v>
      </c>
      <c r="C5694" s="141" t="s">
        <v>45</v>
      </c>
    </row>
    <row r="5695" spans="1:3" x14ac:dyDescent="0.35">
      <c r="A5695" s="141" t="s">
        <v>828</v>
      </c>
      <c r="B5695" s="141" t="s">
        <v>273</v>
      </c>
      <c r="C5695" s="141" t="s">
        <v>45</v>
      </c>
    </row>
    <row r="5696" spans="1:3" x14ac:dyDescent="0.35">
      <c r="A5696" s="141" t="s">
        <v>829</v>
      </c>
      <c r="B5696" s="141" t="s">
        <v>273</v>
      </c>
      <c r="C5696" s="141" t="s">
        <v>45</v>
      </c>
    </row>
    <row r="5697" spans="1:3" x14ac:dyDescent="0.35">
      <c r="A5697" s="141" t="s">
        <v>830</v>
      </c>
      <c r="B5697" s="141" t="s">
        <v>273</v>
      </c>
      <c r="C5697" s="141" t="s">
        <v>45</v>
      </c>
    </row>
    <row r="5698" spans="1:3" x14ac:dyDescent="0.35">
      <c r="A5698" s="141" t="s">
        <v>831</v>
      </c>
      <c r="B5698" s="141" t="s">
        <v>273</v>
      </c>
      <c r="C5698" s="141" t="s">
        <v>45</v>
      </c>
    </row>
    <row r="5699" spans="1:3" x14ac:dyDescent="0.35">
      <c r="A5699" s="141" t="s">
        <v>832</v>
      </c>
      <c r="B5699" s="141" t="s">
        <v>273</v>
      </c>
      <c r="C5699" s="141" t="s">
        <v>45</v>
      </c>
    </row>
    <row r="5700" spans="1:3" x14ac:dyDescent="0.35">
      <c r="A5700" s="141" t="s">
        <v>818</v>
      </c>
      <c r="B5700" s="141" t="s">
        <v>273</v>
      </c>
      <c r="C5700" s="141" t="s">
        <v>12</v>
      </c>
    </row>
    <row r="5701" spans="1:3" x14ac:dyDescent="0.35">
      <c r="A5701" s="141" t="s">
        <v>835</v>
      </c>
      <c r="B5701" s="141" t="s">
        <v>273</v>
      </c>
      <c r="C5701" s="141" t="s">
        <v>12</v>
      </c>
    </row>
    <row r="5702" spans="1:3" x14ac:dyDescent="0.35">
      <c r="A5702" s="141" t="s">
        <v>836</v>
      </c>
      <c r="B5702" s="141" t="s">
        <v>273</v>
      </c>
      <c r="C5702" s="141" t="s">
        <v>12</v>
      </c>
    </row>
    <row r="5703" spans="1:3" x14ac:dyDescent="0.35">
      <c r="A5703" s="141" t="s">
        <v>837</v>
      </c>
      <c r="B5703" s="141" t="s">
        <v>273</v>
      </c>
      <c r="C5703" s="141" t="s">
        <v>14</v>
      </c>
    </row>
    <row r="5704" spans="1:3" x14ac:dyDescent="0.35">
      <c r="A5704" s="141" t="s">
        <v>358</v>
      </c>
      <c r="B5704" s="141" t="s">
        <v>273</v>
      </c>
      <c r="C5704" s="141" t="s">
        <v>14</v>
      </c>
    </row>
    <row r="5705" spans="1:3" x14ac:dyDescent="0.35">
      <c r="A5705" s="141" t="s">
        <v>654</v>
      </c>
      <c r="B5705" s="141" t="s">
        <v>273</v>
      </c>
      <c r="C5705" s="141" t="s">
        <v>14</v>
      </c>
    </row>
    <row r="5706" spans="1:3" x14ac:dyDescent="0.35">
      <c r="A5706" s="141" t="s">
        <v>655</v>
      </c>
      <c r="B5706" s="141" t="s">
        <v>273</v>
      </c>
      <c r="C5706" s="141" t="s">
        <v>14</v>
      </c>
    </row>
    <row r="5707" spans="1:3" x14ac:dyDescent="0.35">
      <c r="A5707" s="141" t="s">
        <v>749</v>
      </c>
      <c r="B5707" s="141" t="s">
        <v>273</v>
      </c>
      <c r="C5707" s="141" t="s">
        <v>14</v>
      </c>
    </row>
    <row r="5708" spans="1:3" x14ac:dyDescent="0.35">
      <c r="A5708" s="141" t="s">
        <v>838</v>
      </c>
      <c r="B5708" s="141" t="s">
        <v>273</v>
      </c>
      <c r="C5708" s="141" t="s">
        <v>13</v>
      </c>
    </row>
    <row r="5709" spans="1:3" x14ac:dyDescent="0.35">
      <c r="A5709" s="141" t="s">
        <v>667</v>
      </c>
      <c r="B5709" s="141" t="s">
        <v>273</v>
      </c>
      <c r="C5709" s="141" t="s">
        <v>55</v>
      </c>
    </row>
    <row r="5710" spans="1:3" x14ac:dyDescent="0.35">
      <c r="A5710" s="141" t="s">
        <v>669</v>
      </c>
      <c r="B5710" s="141" t="s">
        <v>273</v>
      </c>
      <c r="C5710" s="141" t="s">
        <v>55</v>
      </c>
    </row>
    <row r="5711" spans="1:3" x14ac:dyDescent="0.35">
      <c r="A5711" s="141" t="s">
        <v>668</v>
      </c>
      <c r="B5711" s="141" t="s">
        <v>273</v>
      </c>
      <c r="C5711" s="141" t="s">
        <v>54</v>
      </c>
    </row>
    <row r="5712" spans="1:3" x14ac:dyDescent="0.35">
      <c r="A5712" s="141" t="s">
        <v>670</v>
      </c>
      <c r="B5712" s="141" t="s">
        <v>273</v>
      </c>
      <c r="C5712" s="141" t="s">
        <v>54</v>
      </c>
    </row>
    <row r="5713" spans="1:3" x14ac:dyDescent="0.35">
      <c r="A5713" s="141" t="s">
        <v>359</v>
      </c>
      <c r="B5713" s="141" t="s">
        <v>273</v>
      </c>
      <c r="C5713" s="141" t="s">
        <v>46</v>
      </c>
    </row>
    <row r="5714" spans="1:3" x14ac:dyDescent="0.35">
      <c r="A5714" s="141" t="s">
        <v>360</v>
      </c>
      <c r="B5714" s="141" t="s">
        <v>273</v>
      </c>
      <c r="C5714" s="141" t="s">
        <v>46</v>
      </c>
    </row>
    <row r="5715" spans="1:3" x14ac:dyDescent="0.35">
      <c r="A5715" s="141" t="s">
        <v>586</v>
      </c>
      <c r="B5715" s="141" t="s">
        <v>273</v>
      </c>
      <c r="C5715" s="141" t="s">
        <v>4</v>
      </c>
    </row>
    <row r="5716" spans="1:3" x14ac:dyDescent="0.35">
      <c r="A5716" s="141" t="s">
        <v>587</v>
      </c>
      <c r="B5716" s="141" t="s">
        <v>273</v>
      </c>
      <c r="C5716" s="141" t="s">
        <v>4</v>
      </c>
    </row>
    <row r="5717" spans="1:3" x14ac:dyDescent="0.35">
      <c r="A5717" s="141" t="s">
        <v>588</v>
      </c>
      <c r="B5717" s="141" t="s">
        <v>273</v>
      </c>
      <c r="C5717" s="141" t="s">
        <v>4</v>
      </c>
    </row>
    <row r="5718" spans="1:3" x14ac:dyDescent="0.35">
      <c r="A5718" s="141" t="s">
        <v>365</v>
      </c>
      <c r="B5718" s="141" t="s">
        <v>273</v>
      </c>
      <c r="C5718" s="141" t="s">
        <v>7</v>
      </c>
    </row>
    <row r="5719" spans="1:3" x14ac:dyDescent="0.35">
      <c r="A5719" s="141" t="s">
        <v>589</v>
      </c>
      <c r="B5719" s="141" t="s">
        <v>273</v>
      </c>
      <c r="C5719" s="141" t="s">
        <v>4</v>
      </c>
    </row>
    <row r="5720" spans="1:3" x14ac:dyDescent="0.35">
      <c r="A5720" s="141" t="s">
        <v>366</v>
      </c>
      <c r="B5720" s="141" t="s">
        <v>273</v>
      </c>
      <c r="C5720" s="141" t="s">
        <v>8</v>
      </c>
    </row>
    <row r="5721" spans="1:3" x14ac:dyDescent="0.35">
      <c r="A5721" s="141" t="s">
        <v>367</v>
      </c>
      <c r="B5721" s="141" t="s">
        <v>273</v>
      </c>
      <c r="C5721" s="141" t="s">
        <v>8</v>
      </c>
    </row>
    <row r="5722" spans="1:3" x14ac:dyDescent="0.35">
      <c r="A5722" s="141" t="s">
        <v>978</v>
      </c>
      <c r="B5722" s="141" t="s">
        <v>273</v>
      </c>
      <c r="C5722" s="141" t="s">
        <v>49</v>
      </c>
    </row>
    <row r="5723" spans="1:3" x14ac:dyDescent="0.35">
      <c r="A5723" s="141" t="s">
        <v>979</v>
      </c>
      <c r="B5723" s="141" t="s">
        <v>273</v>
      </c>
      <c r="C5723" s="141" t="s">
        <v>49</v>
      </c>
    </row>
    <row r="5724" spans="1:3" x14ac:dyDescent="0.35">
      <c r="A5724" s="141" t="s">
        <v>980</v>
      </c>
      <c r="B5724" s="141" t="s">
        <v>273</v>
      </c>
      <c r="C5724" s="141" t="s">
        <v>49</v>
      </c>
    </row>
    <row r="5725" spans="1:3" x14ac:dyDescent="0.35">
      <c r="A5725" s="141" t="s">
        <v>774</v>
      </c>
      <c r="B5725" s="141" t="s">
        <v>273</v>
      </c>
      <c r="C5725" s="141" t="s">
        <v>38</v>
      </c>
    </row>
    <row r="5726" spans="1:3" x14ac:dyDescent="0.35">
      <c r="A5726" s="141" t="s">
        <v>806</v>
      </c>
      <c r="B5726" s="141" t="s">
        <v>273</v>
      </c>
      <c r="C5726" s="141" t="s">
        <v>32</v>
      </c>
    </row>
    <row r="5727" spans="1:3" x14ac:dyDescent="0.35">
      <c r="A5727" s="141" t="s">
        <v>579</v>
      </c>
      <c r="B5727" s="141" t="s">
        <v>273</v>
      </c>
      <c r="C5727" s="141" t="s">
        <v>32</v>
      </c>
    </row>
    <row r="5728" spans="1:3" x14ac:dyDescent="0.35">
      <c r="A5728" s="141" t="s">
        <v>556</v>
      </c>
      <c r="B5728" s="141" t="s">
        <v>273</v>
      </c>
      <c r="C5728" s="141" t="s">
        <v>32</v>
      </c>
    </row>
    <row r="5729" spans="1:3" x14ac:dyDescent="0.35">
      <c r="A5729" s="141" t="s">
        <v>557</v>
      </c>
      <c r="B5729" s="141" t="s">
        <v>273</v>
      </c>
      <c r="C5729" s="141" t="s">
        <v>32</v>
      </c>
    </row>
    <row r="5730" spans="1:3" x14ac:dyDescent="0.35">
      <c r="A5730" s="141" t="s">
        <v>558</v>
      </c>
      <c r="B5730" s="141" t="s">
        <v>273</v>
      </c>
      <c r="C5730" s="141" t="s">
        <v>32</v>
      </c>
    </row>
    <row r="5731" spans="1:3" x14ac:dyDescent="0.35">
      <c r="A5731" s="141" t="s">
        <v>580</v>
      </c>
      <c r="B5731" s="141" t="s">
        <v>273</v>
      </c>
      <c r="C5731" s="141" t="s">
        <v>32</v>
      </c>
    </row>
    <row r="5732" spans="1:3" x14ac:dyDescent="0.35">
      <c r="A5732" s="141" t="s">
        <v>962</v>
      </c>
      <c r="B5732" s="141" t="s">
        <v>273</v>
      </c>
      <c r="C5732" s="141" t="s">
        <v>47</v>
      </c>
    </row>
    <row r="5733" spans="1:3" x14ac:dyDescent="0.35">
      <c r="A5733" s="141" t="s">
        <v>981</v>
      </c>
      <c r="B5733" s="141" t="s">
        <v>273</v>
      </c>
      <c r="C5733" s="141" t="s">
        <v>47</v>
      </c>
    </row>
    <row r="5734" spans="1:3" x14ac:dyDescent="0.35">
      <c r="A5734" s="141" t="s">
        <v>982</v>
      </c>
      <c r="B5734" s="141" t="s">
        <v>273</v>
      </c>
      <c r="C5734" s="141" t="s">
        <v>47</v>
      </c>
    </row>
    <row r="5735" spans="1:3" x14ac:dyDescent="0.35">
      <c r="A5735" s="141" t="s">
        <v>563</v>
      </c>
      <c r="B5735" s="141" t="s">
        <v>273</v>
      </c>
      <c r="C5735" s="141" t="s">
        <v>47</v>
      </c>
    </row>
    <row r="5736" spans="1:3" x14ac:dyDescent="0.35">
      <c r="A5736" s="141" t="s">
        <v>983</v>
      </c>
      <c r="B5736" s="141" t="s">
        <v>270</v>
      </c>
      <c r="C5736" s="141" t="s">
        <v>28</v>
      </c>
    </row>
    <row r="5737" spans="1:3" x14ac:dyDescent="0.35">
      <c r="A5737" s="141" t="s">
        <v>983</v>
      </c>
      <c r="B5737" s="141" t="s">
        <v>272</v>
      </c>
      <c r="C5737" s="141" t="s">
        <v>28</v>
      </c>
    </row>
    <row r="5738" spans="1:3" x14ac:dyDescent="0.35">
      <c r="A5738" s="141" t="s">
        <v>983</v>
      </c>
      <c r="B5738" s="141" t="s">
        <v>273</v>
      </c>
      <c r="C5738" s="141" t="s">
        <v>28</v>
      </c>
    </row>
    <row r="5739" spans="1:3" x14ac:dyDescent="0.35">
      <c r="A5739" s="141" t="s">
        <v>984</v>
      </c>
      <c r="B5739" s="141" t="s">
        <v>270</v>
      </c>
      <c r="C5739" s="141" t="s">
        <v>33</v>
      </c>
    </row>
    <row r="5740" spans="1:3" x14ac:dyDescent="0.35">
      <c r="A5740" s="141" t="s">
        <v>984</v>
      </c>
      <c r="B5740" s="141" t="s">
        <v>272</v>
      </c>
      <c r="C5740" s="141" t="s">
        <v>33</v>
      </c>
    </row>
    <row r="5741" spans="1:3" x14ac:dyDescent="0.35">
      <c r="A5741" s="141" t="s">
        <v>984</v>
      </c>
      <c r="B5741" s="141" t="s">
        <v>273</v>
      </c>
      <c r="C5741" s="141" t="s">
        <v>33</v>
      </c>
    </row>
    <row r="5742" spans="1:3" x14ac:dyDescent="0.35">
      <c r="A5742" s="141" t="s">
        <v>985</v>
      </c>
      <c r="B5742" s="141" t="s">
        <v>270</v>
      </c>
      <c r="C5742" s="141" t="s">
        <v>29</v>
      </c>
    </row>
    <row r="5743" spans="1:3" x14ac:dyDescent="0.35">
      <c r="A5743" s="141" t="s">
        <v>985</v>
      </c>
      <c r="B5743" s="141" t="s">
        <v>272</v>
      </c>
      <c r="C5743" s="141" t="s">
        <v>29</v>
      </c>
    </row>
    <row r="5744" spans="1:3" x14ac:dyDescent="0.35">
      <c r="A5744" s="141" t="s">
        <v>985</v>
      </c>
      <c r="B5744" s="141" t="s">
        <v>273</v>
      </c>
      <c r="C5744" s="141" t="s">
        <v>29</v>
      </c>
    </row>
    <row r="5745" spans="1:3" x14ac:dyDescent="0.35">
      <c r="A5745" s="141" t="s">
        <v>931</v>
      </c>
      <c r="B5745" s="141" t="s">
        <v>272</v>
      </c>
      <c r="C5745" s="141" t="s">
        <v>36</v>
      </c>
    </row>
    <row r="5746" spans="1:3" x14ac:dyDescent="0.35">
      <c r="A5746" s="141" t="s">
        <v>931</v>
      </c>
      <c r="B5746" s="141" t="s">
        <v>273</v>
      </c>
      <c r="C5746" s="141" t="s">
        <v>36</v>
      </c>
    </row>
    <row r="5747" spans="1:3" x14ac:dyDescent="0.35">
      <c r="A5747" s="141" t="s">
        <v>305</v>
      </c>
      <c r="B5747" s="141" t="s">
        <v>270</v>
      </c>
      <c r="C5747" s="141" t="s">
        <v>21</v>
      </c>
    </row>
    <row r="5748" spans="1:3" x14ac:dyDescent="0.35">
      <c r="A5748" s="141" t="s">
        <v>977</v>
      </c>
      <c r="B5748" s="141" t="s">
        <v>270</v>
      </c>
      <c r="C5748" s="141" t="s">
        <v>52</v>
      </c>
    </row>
    <row r="5749" spans="1:3" x14ac:dyDescent="0.35">
      <c r="A5749" s="141" t="s">
        <v>564</v>
      </c>
      <c r="B5749" s="141" t="s">
        <v>272</v>
      </c>
      <c r="C5749" s="141" t="s">
        <v>7</v>
      </c>
    </row>
    <row r="5750" spans="1:3" x14ac:dyDescent="0.35">
      <c r="A5750" s="141" t="s">
        <v>564</v>
      </c>
      <c r="B5750" s="141" t="s">
        <v>273</v>
      </c>
      <c r="C5750" s="141" t="s">
        <v>7</v>
      </c>
    </row>
    <row r="5751" spans="1:3" x14ac:dyDescent="0.35">
      <c r="A5751" s="141" t="s">
        <v>565</v>
      </c>
      <c r="B5751" s="141" t="s">
        <v>272</v>
      </c>
      <c r="C5751" s="141" t="s">
        <v>7</v>
      </c>
    </row>
    <row r="5752" spans="1:3" x14ac:dyDescent="0.35">
      <c r="A5752" s="141" t="s">
        <v>565</v>
      </c>
      <c r="B5752" s="141" t="s">
        <v>273</v>
      </c>
      <c r="C5752" s="141" t="s">
        <v>7</v>
      </c>
    </row>
    <row r="5753" spans="1:3" x14ac:dyDescent="0.35">
      <c r="A5753" s="141" t="s">
        <v>385</v>
      </c>
      <c r="B5753" s="141" t="s">
        <v>272</v>
      </c>
      <c r="C5753" s="141" t="s">
        <v>7</v>
      </c>
    </row>
    <row r="5754" spans="1:3" x14ac:dyDescent="0.35">
      <c r="A5754" s="141" t="s">
        <v>385</v>
      </c>
      <c r="B5754" s="141" t="s">
        <v>273</v>
      </c>
      <c r="C5754" s="141" t="s">
        <v>7</v>
      </c>
    </row>
    <row r="5755" spans="1:3" x14ac:dyDescent="0.35">
      <c r="A5755" s="141" t="s">
        <v>386</v>
      </c>
      <c r="B5755" s="141" t="s">
        <v>272</v>
      </c>
      <c r="C5755" s="141" t="s">
        <v>7</v>
      </c>
    </row>
    <row r="5756" spans="1:3" x14ac:dyDescent="0.35">
      <c r="A5756" s="141" t="s">
        <v>386</v>
      </c>
      <c r="B5756" s="141" t="s">
        <v>273</v>
      </c>
      <c r="C5756" s="141" t="s">
        <v>7</v>
      </c>
    </row>
    <row r="5757" spans="1:3" x14ac:dyDescent="0.35">
      <c r="A5757" s="141" t="s">
        <v>387</v>
      </c>
      <c r="B5757" s="141" t="s">
        <v>272</v>
      </c>
      <c r="C5757" s="141" t="s">
        <v>7</v>
      </c>
    </row>
    <row r="5758" spans="1:3" x14ac:dyDescent="0.35">
      <c r="A5758" s="141" t="s">
        <v>387</v>
      </c>
      <c r="B5758" s="141" t="s">
        <v>273</v>
      </c>
      <c r="C5758" s="141" t="s">
        <v>7</v>
      </c>
    </row>
    <row r="5759" spans="1:3" x14ac:dyDescent="0.35">
      <c r="A5759" s="141" t="s">
        <v>388</v>
      </c>
      <c r="B5759" s="141" t="s">
        <v>272</v>
      </c>
      <c r="C5759" s="141" t="s">
        <v>8</v>
      </c>
    </row>
    <row r="5760" spans="1:3" x14ac:dyDescent="0.35">
      <c r="A5760" s="141" t="s">
        <v>388</v>
      </c>
      <c r="B5760" s="141" t="s">
        <v>273</v>
      </c>
      <c r="C5760" s="141" t="s">
        <v>8</v>
      </c>
    </row>
    <row r="5761" spans="1:3" x14ac:dyDescent="0.35">
      <c r="A5761" s="141" t="s">
        <v>389</v>
      </c>
      <c r="B5761" s="141" t="s">
        <v>272</v>
      </c>
      <c r="C5761" s="141" t="s">
        <v>8</v>
      </c>
    </row>
    <row r="5762" spans="1:3" x14ac:dyDescent="0.35">
      <c r="A5762" s="141" t="s">
        <v>389</v>
      </c>
      <c r="B5762" s="141" t="s">
        <v>273</v>
      </c>
      <c r="C5762" s="141" t="s">
        <v>8</v>
      </c>
    </row>
    <row r="5763" spans="1:3" x14ac:dyDescent="0.35">
      <c r="A5763" s="141" t="s">
        <v>953</v>
      </c>
      <c r="B5763" s="141" t="s">
        <v>272</v>
      </c>
      <c r="C5763" s="141" t="s">
        <v>31</v>
      </c>
    </row>
    <row r="5764" spans="1:3" x14ac:dyDescent="0.35">
      <c r="A5764" s="141" t="s">
        <v>947</v>
      </c>
      <c r="B5764" s="141" t="s">
        <v>272</v>
      </c>
      <c r="C5764" s="141" t="s">
        <v>32</v>
      </c>
    </row>
    <row r="5765" spans="1:3" x14ac:dyDescent="0.35">
      <c r="A5765" s="141" t="s">
        <v>948</v>
      </c>
      <c r="B5765" s="141" t="s">
        <v>272</v>
      </c>
      <c r="C5765" s="141" t="s">
        <v>32</v>
      </c>
    </row>
    <row r="5766" spans="1:3" x14ac:dyDescent="0.35">
      <c r="A5766" s="141" t="s">
        <v>949</v>
      </c>
      <c r="B5766" s="141" t="s">
        <v>272</v>
      </c>
      <c r="C5766" s="141" t="s">
        <v>32</v>
      </c>
    </row>
    <row r="5767" spans="1:3" x14ac:dyDescent="0.35">
      <c r="A5767" s="141" t="s">
        <v>950</v>
      </c>
      <c r="B5767" s="141" t="s">
        <v>272</v>
      </c>
      <c r="C5767" s="141" t="s">
        <v>32</v>
      </c>
    </row>
    <row r="5768" spans="1:3" x14ac:dyDescent="0.35">
      <c r="A5768" s="141" t="s">
        <v>951</v>
      </c>
      <c r="B5768" s="141" t="s">
        <v>272</v>
      </c>
      <c r="C5768" s="141" t="s">
        <v>32</v>
      </c>
    </row>
    <row r="5769" spans="1:3" x14ac:dyDescent="0.35">
      <c r="A5769" s="141" t="s">
        <v>952</v>
      </c>
      <c r="B5769" s="141" t="s">
        <v>272</v>
      </c>
      <c r="C5769" s="141" t="s">
        <v>32</v>
      </c>
    </row>
    <row r="5770" spans="1:3" x14ac:dyDescent="0.35">
      <c r="A5770" s="141" t="s">
        <v>986</v>
      </c>
      <c r="B5770" s="141" t="s">
        <v>272</v>
      </c>
      <c r="C5770" s="141" t="s">
        <v>32</v>
      </c>
    </row>
    <row r="5771" spans="1:3" x14ac:dyDescent="0.35">
      <c r="A5771" s="141" t="s">
        <v>953</v>
      </c>
      <c r="B5771" s="141" t="s">
        <v>273</v>
      </c>
      <c r="C5771" s="141" t="s">
        <v>31</v>
      </c>
    </row>
    <row r="5772" spans="1:3" x14ac:dyDescent="0.35">
      <c r="A5772" s="141" t="s">
        <v>947</v>
      </c>
      <c r="B5772" s="141" t="s">
        <v>273</v>
      </c>
      <c r="C5772" s="141" t="s">
        <v>32</v>
      </c>
    </row>
    <row r="5773" spans="1:3" x14ac:dyDescent="0.35">
      <c r="A5773" s="141" t="s">
        <v>948</v>
      </c>
      <c r="B5773" s="141" t="s">
        <v>273</v>
      </c>
      <c r="C5773" s="141" t="s">
        <v>32</v>
      </c>
    </row>
    <row r="5774" spans="1:3" x14ac:dyDescent="0.35">
      <c r="A5774" s="141" t="s">
        <v>949</v>
      </c>
      <c r="B5774" s="141" t="s">
        <v>273</v>
      </c>
      <c r="C5774" s="141" t="s">
        <v>32</v>
      </c>
    </row>
    <row r="5775" spans="1:3" x14ac:dyDescent="0.35">
      <c r="A5775" s="141" t="s">
        <v>950</v>
      </c>
      <c r="B5775" s="141" t="s">
        <v>273</v>
      </c>
      <c r="C5775" s="141" t="s">
        <v>32</v>
      </c>
    </row>
    <row r="5776" spans="1:3" x14ac:dyDescent="0.35">
      <c r="A5776" s="141" t="s">
        <v>951</v>
      </c>
      <c r="B5776" s="141" t="s">
        <v>273</v>
      </c>
      <c r="C5776" s="141" t="s">
        <v>32</v>
      </c>
    </row>
    <row r="5777" spans="1:3" x14ac:dyDescent="0.35">
      <c r="A5777" s="141" t="s">
        <v>952</v>
      </c>
      <c r="B5777" s="141" t="s">
        <v>273</v>
      </c>
      <c r="C5777" s="141" t="s">
        <v>32</v>
      </c>
    </row>
    <row r="5778" spans="1:3" x14ac:dyDescent="0.35">
      <c r="A5778" s="141" t="s">
        <v>986</v>
      </c>
      <c r="B5778" s="141" t="s">
        <v>273</v>
      </c>
      <c r="C5778" s="141" t="s">
        <v>32</v>
      </c>
    </row>
    <row r="5779" spans="1:3" x14ac:dyDescent="0.35">
      <c r="A5779" s="141" t="s">
        <v>986</v>
      </c>
      <c r="B5779" s="141" t="s">
        <v>270</v>
      </c>
      <c r="C5779" s="141" t="s">
        <v>32</v>
      </c>
    </row>
    <row r="5780" spans="1:3" x14ac:dyDescent="0.35">
      <c r="A5780" s="141" t="s">
        <v>905</v>
      </c>
      <c r="B5780" s="141" t="s">
        <v>272</v>
      </c>
      <c r="C5780" s="141" t="s">
        <v>31</v>
      </c>
    </row>
    <row r="5781" spans="1:3" x14ac:dyDescent="0.35">
      <c r="A5781" s="141" t="s">
        <v>906</v>
      </c>
      <c r="B5781" s="141" t="s">
        <v>272</v>
      </c>
      <c r="C5781" s="141" t="s">
        <v>31</v>
      </c>
    </row>
    <row r="5782" spans="1:3" x14ac:dyDescent="0.35">
      <c r="A5782" s="141" t="s">
        <v>907</v>
      </c>
      <c r="B5782" s="141" t="s">
        <v>272</v>
      </c>
      <c r="C5782" s="141" t="s">
        <v>31</v>
      </c>
    </row>
    <row r="5783" spans="1:3" x14ac:dyDescent="0.35">
      <c r="A5783" s="141" t="s">
        <v>908</v>
      </c>
      <c r="B5783" s="141" t="s">
        <v>272</v>
      </c>
      <c r="C5783" s="141" t="s">
        <v>31</v>
      </c>
    </row>
    <row r="5784" spans="1:3" x14ac:dyDescent="0.35">
      <c r="A5784" s="141" t="s">
        <v>909</v>
      </c>
      <c r="B5784" s="141" t="s">
        <v>272</v>
      </c>
      <c r="C5784" s="141" t="s">
        <v>31</v>
      </c>
    </row>
    <row r="5785" spans="1:3" x14ac:dyDescent="0.35">
      <c r="A5785" s="141" t="s">
        <v>706</v>
      </c>
      <c r="B5785" s="141" t="s">
        <v>272</v>
      </c>
      <c r="C5785" s="141" t="s">
        <v>31</v>
      </c>
    </row>
    <row r="5786" spans="1:3" x14ac:dyDescent="0.35">
      <c r="A5786" s="141" t="s">
        <v>707</v>
      </c>
      <c r="B5786" s="141" t="s">
        <v>272</v>
      </c>
      <c r="C5786" s="141" t="s">
        <v>31</v>
      </c>
    </row>
    <row r="5787" spans="1:3" x14ac:dyDescent="0.35">
      <c r="A5787" s="141" t="s">
        <v>708</v>
      </c>
      <c r="B5787" s="141" t="s">
        <v>272</v>
      </c>
      <c r="C5787" s="141" t="s">
        <v>31</v>
      </c>
    </row>
    <row r="5788" spans="1:3" x14ac:dyDescent="0.35">
      <c r="A5788" s="141" t="s">
        <v>709</v>
      </c>
      <c r="B5788" s="141" t="s">
        <v>272</v>
      </c>
      <c r="C5788" s="141" t="s">
        <v>31</v>
      </c>
    </row>
    <row r="5789" spans="1:3" x14ac:dyDescent="0.35">
      <c r="A5789" s="141" t="s">
        <v>710</v>
      </c>
      <c r="B5789" s="141" t="s">
        <v>272</v>
      </c>
      <c r="C5789" s="141" t="s">
        <v>31</v>
      </c>
    </row>
    <row r="5790" spans="1:3" x14ac:dyDescent="0.35">
      <c r="A5790" s="141" t="s">
        <v>456</v>
      </c>
      <c r="B5790" s="141" t="s">
        <v>272</v>
      </c>
      <c r="C5790" s="141" t="s">
        <v>31</v>
      </c>
    </row>
    <row r="5791" spans="1:3" x14ac:dyDescent="0.35">
      <c r="A5791" s="141" t="s">
        <v>902</v>
      </c>
      <c r="B5791" s="141" t="s">
        <v>272</v>
      </c>
      <c r="C5791" s="141" t="s">
        <v>31</v>
      </c>
    </row>
    <row r="5792" spans="1:3" x14ac:dyDescent="0.35">
      <c r="A5792" s="141" t="s">
        <v>903</v>
      </c>
      <c r="B5792" s="141" t="s">
        <v>272</v>
      </c>
      <c r="C5792" s="141" t="s">
        <v>31</v>
      </c>
    </row>
    <row r="5793" spans="1:3" x14ac:dyDescent="0.35">
      <c r="A5793" s="141" t="s">
        <v>904</v>
      </c>
      <c r="B5793" s="141" t="s">
        <v>272</v>
      </c>
      <c r="C5793" s="141" t="s">
        <v>31</v>
      </c>
    </row>
    <row r="5794" spans="1:3" x14ac:dyDescent="0.35">
      <c r="A5794" s="141" t="s">
        <v>905</v>
      </c>
      <c r="B5794" s="141" t="s">
        <v>273</v>
      </c>
      <c r="C5794" s="141" t="s">
        <v>31</v>
      </c>
    </row>
    <row r="5795" spans="1:3" x14ac:dyDescent="0.35">
      <c r="A5795" s="141" t="s">
        <v>906</v>
      </c>
      <c r="B5795" s="141" t="s">
        <v>273</v>
      </c>
      <c r="C5795" s="141" t="s">
        <v>31</v>
      </c>
    </row>
    <row r="5796" spans="1:3" x14ac:dyDescent="0.35">
      <c r="A5796" s="141" t="s">
        <v>907</v>
      </c>
      <c r="B5796" s="141" t="s">
        <v>273</v>
      </c>
      <c r="C5796" s="141" t="s">
        <v>31</v>
      </c>
    </row>
    <row r="5797" spans="1:3" x14ac:dyDescent="0.35">
      <c r="A5797" s="141" t="s">
        <v>908</v>
      </c>
      <c r="B5797" s="141" t="s">
        <v>273</v>
      </c>
      <c r="C5797" s="141" t="s">
        <v>31</v>
      </c>
    </row>
    <row r="5798" spans="1:3" x14ac:dyDescent="0.35">
      <c r="A5798" s="141" t="s">
        <v>909</v>
      </c>
      <c r="B5798" s="141" t="s">
        <v>273</v>
      </c>
      <c r="C5798" s="141" t="s">
        <v>31</v>
      </c>
    </row>
    <row r="5799" spans="1:3" x14ac:dyDescent="0.35">
      <c r="A5799" s="141" t="s">
        <v>706</v>
      </c>
      <c r="B5799" s="141" t="s">
        <v>273</v>
      </c>
      <c r="C5799" s="141" t="s">
        <v>31</v>
      </c>
    </row>
    <row r="5800" spans="1:3" x14ac:dyDescent="0.35">
      <c r="A5800" s="141" t="s">
        <v>707</v>
      </c>
      <c r="B5800" s="141" t="s">
        <v>273</v>
      </c>
      <c r="C5800" s="141" t="s">
        <v>31</v>
      </c>
    </row>
    <row r="5801" spans="1:3" x14ac:dyDescent="0.35">
      <c r="A5801" s="141" t="s">
        <v>708</v>
      </c>
      <c r="B5801" s="141" t="s">
        <v>273</v>
      </c>
      <c r="C5801" s="141" t="s">
        <v>31</v>
      </c>
    </row>
    <row r="5802" spans="1:3" x14ac:dyDescent="0.35">
      <c r="A5802" s="141" t="s">
        <v>709</v>
      </c>
      <c r="B5802" s="141" t="s">
        <v>273</v>
      </c>
      <c r="C5802" s="141" t="s">
        <v>31</v>
      </c>
    </row>
    <row r="5803" spans="1:3" x14ac:dyDescent="0.35">
      <c r="A5803" s="141" t="s">
        <v>710</v>
      </c>
      <c r="B5803" s="141" t="s">
        <v>273</v>
      </c>
      <c r="C5803" s="141" t="s">
        <v>31</v>
      </c>
    </row>
    <row r="5804" spans="1:3" x14ac:dyDescent="0.35">
      <c r="A5804" s="141" t="s">
        <v>456</v>
      </c>
      <c r="B5804" s="141" t="s">
        <v>273</v>
      </c>
      <c r="C5804" s="141" t="s">
        <v>31</v>
      </c>
    </row>
    <row r="5805" spans="1:3" x14ac:dyDescent="0.35">
      <c r="A5805" s="141" t="s">
        <v>902</v>
      </c>
      <c r="B5805" s="141" t="s">
        <v>273</v>
      </c>
      <c r="C5805" s="141" t="s">
        <v>31</v>
      </c>
    </row>
    <row r="5806" spans="1:3" x14ac:dyDescent="0.35">
      <c r="A5806" s="141" t="s">
        <v>903</v>
      </c>
      <c r="B5806" s="141" t="s">
        <v>273</v>
      </c>
      <c r="C5806" s="141" t="s">
        <v>31</v>
      </c>
    </row>
    <row r="5807" spans="1:3" x14ac:dyDescent="0.35">
      <c r="A5807" s="141" t="s">
        <v>904</v>
      </c>
      <c r="B5807" s="141" t="s">
        <v>273</v>
      </c>
      <c r="C5807" s="141" t="s">
        <v>31</v>
      </c>
    </row>
    <row r="5808" spans="1:3" x14ac:dyDescent="0.35">
      <c r="A5808" s="141" t="s">
        <v>919</v>
      </c>
      <c r="B5808" s="141" t="s">
        <v>274</v>
      </c>
      <c r="C5808" s="141" t="s">
        <v>36</v>
      </c>
    </row>
    <row r="5809" spans="1:3" x14ac:dyDescent="0.35">
      <c r="A5809" s="141" t="s">
        <v>923</v>
      </c>
      <c r="B5809" s="141" t="s">
        <v>274</v>
      </c>
      <c r="C5809" s="141" t="s">
        <v>36</v>
      </c>
    </row>
    <row r="5810" spans="1:3" x14ac:dyDescent="0.35">
      <c r="A5810" s="141" t="s">
        <v>927</v>
      </c>
      <c r="B5810" s="141" t="s">
        <v>274</v>
      </c>
      <c r="C5810" s="141" t="s">
        <v>37</v>
      </c>
    </row>
    <row r="5811" spans="1:3" x14ac:dyDescent="0.35">
      <c r="A5811" s="141" t="s">
        <v>926</v>
      </c>
      <c r="B5811" s="141" t="s">
        <v>274</v>
      </c>
      <c r="C5811" s="141" t="s">
        <v>37</v>
      </c>
    </row>
    <row r="5812" spans="1:3" x14ac:dyDescent="0.35">
      <c r="A5812" s="141" t="s">
        <v>985</v>
      </c>
      <c r="B5812" s="141" t="s">
        <v>274</v>
      </c>
      <c r="C5812" s="141" t="s">
        <v>29</v>
      </c>
    </row>
    <row r="5813" spans="1:3" x14ac:dyDescent="0.35">
      <c r="A5813" s="141" t="s">
        <v>984</v>
      </c>
      <c r="B5813" s="141" t="s">
        <v>274</v>
      </c>
      <c r="C5813" s="141" t="s">
        <v>33</v>
      </c>
    </row>
    <row r="5814" spans="1:3" x14ac:dyDescent="0.35">
      <c r="A5814" s="141" t="s">
        <v>983</v>
      </c>
      <c r="B5814" s="141" t="s">
        <v>274</v>
      </c>
      <c r="C5814" s="141" t="s">
        <v>28</v>
      </c>
    </row>
    <row r="5815" spans="1:3" x14ac:dyDescent="0.35">
      <c r="A5815" s="141" t="s">
        <v>390</v>
      </c>
      <c r="B5815" s="141" t="s">
        <v>274</v>
      </c>
      <c r="C5815" s="141" t="s">
        <v>16</v>
      </c>
    </row>
    <row r="5816" spans="1:3" x14ac:dyDescent="0.35">
      <c r="A5816" s="141" t="s">
        <v>352</v>
      </c>
      <c r="B5816" s="141" t="s">
        <v>274</v>
      </c>
      <c r="C5816" s="141" t="s">
        <v>2</v>
      </c>
    </row>
    <row r="5817" spans="1:3" x14ac:dyDescent="0.35">
      <c r="A5817" s="141" t="s">
        <v>354</v>
      </c>
      <c r="B5817" s="141" t="s">
        <v>274</v>
      </c>
      <c r="C5817" s="141" t="s">
        <v>2</v>
      </c>
    </row>
    <row r="5818" spans="1:3" x14ac:dyDescent="0.35">
      <c r="A5818" s="141" t="s">
        <v>846</v>
      </c>
      <c r="B5818" s="141" t="s">
        <v>274</v>
      </c>
      <c r="C5818" s="141" t="s">
        <v>16</v>
      </c>
    </row>
    <row r="5819" spans="1:3" x14ac:dyDescent="0.35">
      <c r="A5819" s="141" t="s">
        <v>393</v>
      </c>
      <c r="B5819" s="141" t="s">
        <v>274</v>
      </c>
      <c r="C5819" s="141" t="s">
        <v>9</v>
      </c>
    </row>
    <row r="5820" spans="1:3" x14ac:dyDescent="0.35">
      <c r="A5820" s="141" t="s">
        <v>818</v>
      </c>
      <c r="B5820" s="141" t="s">
        <v>274</v>
      </c>
      <c r="C5820" s="141" t="s">
        <v>12</v>
      </c>
    </row>
    <row r="5821" spans="1:3" x14ac:dyDescent="0.35">
      <c r="A5821" s="141" t="s">
        <v>835</v>
      </c>
      <c r="B5821" s="141" t="s">
        <v>274</v>
      </c>
      <c r="C5821" s="141" t="s">
        <v>12</v>
      </c>
    </row>
    <row r="5822" spans="1:3" x14ac:dyDescent="0.35">
      <c r="A5822" s="141" t="s">
        <v>836</v>
      </c>
      <c r="B5822" s="141" t="s">
        <v>274</v>
      </c>
      <c r="C5822" s="141" t="s">
        <v>12</v>
      </c>
    </row>
    <row r="5823" spans="1:3" x14ac:dyDescent="0.35">
      <c r="A5823" s="141" t="s">
        <v>837</v>
      </c>
      <c r="B5823" s="141" t="s">
        <v>274</v>
      </c>
      <c r="C5823" s="141" t="s">
        <v>14</v>
      </c>
    </row>
    <row r="5824" spans="1:3" x14ac:dyDescent="0.35">
      <c r="A5824" s="141" t="s">
        <v>840</v>
      </c>
      <c r="B5824" s="141" t="s">
        <v>274</v>
      </c>
      <c r="C5824" s="141" t="s">
        <v>10</v>
      </c>
    </row>
    <row r="5825" spans="1:3" x14ac:dyDescent="0.35">
      <c r="A5825" s="141" t="s">
        <v>841</v>
      </c>
      <c r="B5825" s="141" t="s">
        <v>274</v>
      </c>
      <c r="C5825" s="141" t="s">
        <v>10</v>
      </c>
    </row>
    <row r="5826" spans="1:3" x14ac:dyDescent="0.35">
      <c r="A5826" s="141" t="s">
        <v>370</v>
      </c>
      <c r="B5826" s="141" t="s">
        <v>274</v>
      </c>
      <c r="C5826" s="141" t="s">
        <v>10</v>
      </c>
    </row>
    <row r="5827" spans="1:3" x14ac:dyDescent="0.35">
      <c r="A5827" s="141" t="s">
        <v>371</v>
      </c>
      <c r="B5827" s="141" t="s">
        <v>274</v>
      </c>
      <c r="C5827" s="141" t="s">
        <v>10</v>
      </c>
    </row>
    <row r="5828" spans="1:3" x14ac:dyDescent="0.35">
      <c r="A5828" s="141" t="s">
        <v>376</v>
      </c>
      <c r="B5828" s="141" t="s">
        <v>274</v>
      </c>
      <c r="C5828" s="141" t="s">
        <v>10</v>
      </c>
    </row>
    <row r="5829" spans="1:3" x14ac:dyDescent="0.35">
      <c r="A5829" s="141" t="s">
        <v>372</v>
      </c>
      <c r="B5829" s="141" t="s">
        <v>274</v>
      </c>
      <c r="C5829" s="141" t="s">
        <v>10</v>
      </c>
    </row>
    <row r="5830" spans="1:3" x14ac:dyDescent="0.35">
      <c r="A5830" s="141" t="s">
        <v>373</v>
      </c>
      <c r="B5830" s="141" t="s">
        <v>274</v>
      </c>
      <c r="C5830" s="141" t="s">
        <v>10</v>
      </c>
    </row>
    <row r="5831" spans="1:3" x14ac:dyDescent="0.35">
      <c r="A5831" s="141" t="s">
        <v>375</v>
      </c>
      <c r="B5831" s="141" t="s">
        <v>274</v>
      </c>
      <c r="C5831" s="141" t="s">
        <v>10</v>
      </c>
    </row>
    <row r="5832" spans="1:3" x14ac:dyDescent="0.35">
      <c r="A5832" s="141" t="s">
        <v>842</v>
      </c>
      <c r="B5832" s="141" t="s">
        <v>274</v>
      </c>
      <c r="C5832" s="141" t="s">
        <v>11</v>
      </c>
    </row>
    <row r="5833" spans="1:3" x14ac:dyDescent="0.35">
      <c r="A5833" s="141" t="s">
        <v>843</v>
      </c>
      <c r="B5833" s="141" t="s">
        <v>274</v>
      </c>
      <c r="C5833" s="141" t="s">
        <v>11</v>
      </c>
    </row>
    <row r="5834" spans="1:3" x14ac:dyDescent="0.35">
      <c r="A5834" s="141" t="s">
        <v>844</v>
      </c>
      <c r="B5834" s="141" t="s">
        <v>274</v>
      </c>
      <c r="C5834" s="141" t="s">
        <v>11</v>
      </c>
    </row>
    <row r="5835" spans="1:3" x14ac:dyDescent="0.35">
      <c r="A5835" s="141" t="s">
        <v>845</v>
      </c>
      <c r="B5835" s="141" t="s">
        <v>274</v>
      </c>
      <c r="C5835" s="141" t="s">
        <v>11</v>
      </c>
    </row>
    <row r="5836" spans="1:3" x14ac:dyDescent="0.35">
      <c r="A5836" s="141" t="s">
        <v>358</v>
      </c>
      <c r="B5836" s="141" t="s">
        <v>274</v>
      </c>
      <c r="C5836" s="141" t="s">
        <v>14</v>
      </c>
    </row>
    <row r="5837" spans="1:3" x14ac:dyDescent="0.35">
      <c r="A5837" s="141" t="s">
        <v>654</v>
      </c>
      <c r="B5837" s="141" t="s">
        <v>274</v>
      </c>
      <c r="C5837" s="141" t="s">
        <v>14</v>
      </c>
    </row>
    <row r="5838" spans="1:3" x14ac:dyDescent="0.35">
      <c r="A5838" s="141" t="s">
        <v>987</v>
      </c>
      <c r="B5838" s="141" t="s">
        <v>274</v>
      </c>
      <c r="C5838" s="141" t="s">
        <v>14</v>
      </c>
    </row>
    <row r="5839" spans="1:3" x14ac:dyDescent="0.35">
      <c r="A5839" s="141" t="s">
        <v>838</v>
      </c>
      <c r="B5839" s="141" t="s">
        <v>274</v>
      </c>
      <c r="C5839" s="141" t="s">
        <v>13</v>
      </c>
    </row>
    <row r="5840" spans="1:3" x14ac:dyDescent="0.35">
      <c r="A5840" s="141" t="s">
        <v>367</v>
      </c>
      <c r="B5840" s="141" t="s">
        <v>274</v>
      </c>
      <c r="C5840" s="141" t="s">
        <v>8</v>
      </c>
    </row>
    <row r="5841" spans="1:3" x14ac:dyDescent="0.35">
      <c r="A5841" s="141" t="s">
        <v>383</v>
      </c>
      <c r="B5841" s="141" t="s">
        <v>274</v>
      </c>
      <c r="C5841" s="141" t="s">
        <v>5</v>
      </c>
    </row>
    <row r="5842" spans="1:3" x14ac:dyDescent="0.35">
      <c r="A5842" s="141" t="s">
        <v>359</v>
      </c>
      <c r="B5842" s="141" t="s">
        <v>274</v>
      </c>
      <c r="C5842" s="141" t="s">
        <v>46</v>
      </c>
    </row>
    <row r="5843" spans="1:3" x14ac:dyDescent="0.35">
      <c r="A5843" s="141" t="s">
        <v>360</v>
      </c>
      <c r="B5843" s="141" t="s">
        <v>274</v>
      </c>
      <c r="C5843" s="141" t="s">
        <v>46</v>
      </c>
    </row>
    <row r="5844" spans="1:3" x14ac:dyDescent="0.35">
      <c r="A5844" s="141" t="s">
        <v>262</v>
      </c>
      <c r="B5844" s="141" t="s">
        <v>274</v>
      </c>
      <c r="C5844" s="141" t="s">
        <v>27</v>
      </c>
    </row>
    <row r="5845" spans="1:3" x14ac:dyDescent="0.35">
      <c r="A5845" s="141" t="s">
        <v>899</v>
      </c>
      <c r="B5845" s="141" t="s">
        <v>274</v>
      </c>
      <c r="C5845" s="141" t="s">
        <v>24</v>
      </c>
    </row>
    <row r="5846" spans="1:3" x14ac:dyDescent="0.35">
      <c r="A5846" s="141" t="s">
        <v>900</v>
      </c>
      <c r="B5846" s="141" t="s">
        <v>274</v>
      </c>
      <c r="C5846" s="141" t="s">
        <v>24</v>
      </c>
    </row>
    <row r="5847" spans="1:3" x14ac:dyDescent="0.35">
      <c r="A5847" s="141" t="s">
        <v>901</v>
      </c>
      <c r="B5847" s="141" t="s">
        <v>274</v>
      </c>
      <c r="C5847" s="141" t="s">
        <v>24</v>
      </c>
    </row>
    <row r="5848" spans="1:3" x14ac:dyDescent="0.35">
      <c r="A5848" s="141" t="s">
        <v>887</v>
      </c>
      <c r="B5848" s="141" t="s">
        <v>274</v>
      </c>
      <c r="C5848" s="141" t="s">
        <v>24</v>
      </c>
    </row>
    <row r="5849" spans="1:3" x14ac:dyDescent="0.35">
      <c r="A5849" s="141" t="s">
        <v>888</v>
      </c>
      <c r="B5849" s="141" t="s">
        <v>274</v>
      </c>
      <c r="C5849" s="141" t="s">
        <v>24</v>
      </c>
    </row>
    <row r="5850" spans="1:3" x14ac:dyDescent="0.35">
      <c r="A5850" s="141" t="s">
        <v>889</v>
      </c>
      <c r="B5850" s="141" t="s">
        <v>274</v>
      </c>
      <c r="C5850" s="141" t="s">
        <v>24</v>
      </c>
    </row>
    <row r="5851" spans="1:3" x14ac:dyDescent="0.35">
      <c r="A5851" s="141" t="s">
        <v>890</v>
      </c>
      <c r="B5851" s="141" t="s">
        <v>274</v>
      </c>
      <c r="C5851" s="141" t="s">
        <v>24</v>
      </c>
    </row>
    <row r="5852" spans="1:3" x14ac:dyDescent="0.35">
      <c r="A5852" s="141" t="s">
        <v>891</v>
      </c>
      <c r="B5852" s="141" t="s">
        <v>274</v>
      </c>
      <c r="C5852" s="141" t="s">
        <v>24</v>
      </c>
    </row>
    <row r="5853" spans="1:3" x14ac:dyDescent="0.35">
      <c r="A5853" s="141" t="s">
        <v>882</v>
      </c>
      <c r="B5853" s="141" t="s">
        <v>274</v>
      </c>
      <c r="C5853" s="141" t="s">
        <v>27</v>
      </c>
    </row>
    <row r="5854" spans="1:3" x14ac:dyDescent="0.35">
      <c r="A5854" s="141" t="s">
        <v>883</v>
      </c>
      <c r="B5854" s="141" t="s">
        <v>274</v>
      </c>
      <c r="C5854" s="141" t="s">
        <v>27</v>
      </c>
    </row>
    <row r="5855" spans="1:3" x14ac:dyDescent="0.35">
      <c r="A5855" s="141" t="s">
        <v>884</v>
      </c>
      <c r="B5855" s="141" t="s">
        <v>274</v>
      </c>
      <c r="C5855" s="141" t="s">
        <v>27</v>
      </c>
    </row>
    <row r="5856" spans="1:3" x14ac:dyDescent="0.35">
      <c r="A5856" s="141" t="s">
        <v>365</v>
      </c>
      <c r="B5856" s="141" t="s">
        <v>274</v>
      </c>
      <c r="C5856" s="141" t="s">
        <v>7</v>
      </c>
    </row>
    <row r="5857" spans="1:3" x14ac:dyDescent="0.35">
      <c r="A5857" s="141" t="s">
        <v>589</v>
      </c>
      <c r="B5857" s="141" t="s">
        <v>274</v>
      </c>
      <c r="C5857" s="141" t="s">
        <v>4</v>
      </c>
    </row>
    <row r="5858" spans="1:3" x14ac:dyDescent="0.35">
      <c r="A5858" s="141" t="s">
        <v>988</v>
      </c>
      <c r="B5858" s="141" t="s">
        <v>274</v>
      </c>
      <c r="C5858" s="141" t="s">
        <v>8</v>
      </c>
    </row>
    <row r="5859" spans="1:3" x14ac:dyDescent="0.35">
      <c r="A5859" s="141" t="s">
        <v>366</v>
      </c>
      <c r="B5859" s="141" t="s">
        <v>274</v>
      </c>
      <c r="C5859" s="141" t="s">
        <v>8</v>
      </c>
    </row>
    <row r="5860" spans="1:3" x14ac:dyDescent="0.35">
      <c r="A5860" s="141" t="s">
        <v>586</v>
      </c>
      <c r="B5860" s="141" t="s">
        <v>274</v>
      </c>
      <c r="C5860" s="141" t="s">
        <v>4</v>
      </c>
    </row>
    <row r="5861" spans="1:3" x14ac:dyDescent="0.35">
      <c r="A5861" s="141" t="s">
        <v>587</v>
      </c>
      <c r="B5861" s="141" t="s">
        <v>274</v>
      </c>
      <c r="C5861" s="141" t="s">
        <v>4</v>
      </c>
    </row>
    <row r="5862" spans="1:3" x14ac:dyDescent="0.35">
      <c r="A5862" s="141" t="s">
        <v>588</v>
      </c>
      <c r="B5862" s="141" t="s">
        <v>274</v>
      </c>
      <c r="C5862" s="141" t="s">
        <v>4</v>
      </c>
    </row>
    <row r="5863" spans="1:3" x14ac:dyDescent="0.35">
      <c r="A5863" s="141" t="s">
        <v>819</v>
      </c>
      <c r="B5863" s="141" t="s">
        <v>274</v>
      </c>
      <c r="C5863" s="141" t="s">
        <v>45</v>
      </c>
    </row>
    <row r="5864" spans="1:3" x14ac:dyDescent="0.35">
      <c r="A5864" s="141" t="s">
        <v>820</v>
      </c>
      <c r="B5864" s="141" t="s">
        <v>274</v>
      </c>
      <c r="C5864" s="141" t="s">
        <v>45</v>
      </c>
    </row>
    <row r="5865" spans="1:3" x14ac:dyDescent="0.35">
      <c r="A5865" s="141" t="s">
        <v>821</v>
      </c>
      <c r="B5865" s="141" t="s">
        <v>274</v>
      </c>
      <c r="C5865" s="141" t="s">
        <v>45</v>
      </c>
    </row>
    <row r="5866" spans="1:3" x14ac:dyDescent="0.35">
      <c r="A5866" s="141" t="s">
        <v>822</v>
      </c>
      <c r="B5866" s="141" t="s">
        <v>274</v>
      </c>
      <c r="C5866" s="141" t="s">
        <v>45</v>
      </c>
    </row>
    <row r="5867" spans="1:3" x14ac:dyDescent="0.35">
      <c r="A5867" s="141" t="s">
        <v>823</v>
      </c>
      <c r="B5867" s="141" t="s">
        <v>274</v>
      </c>
      <c r="C5867" s="141" t="s">
        <v>45</v>
      </c>
    </row>
    <row r="5868" spans="1:3" x14ac:dyDescent="0.35">
      <c r="A5868" s="141" t="s">
        <v>824</v>
      </c>
      <c r="B5868" s="141" t="s">
        <v>274</v>
      </c>
      <c r="C5868" s="141" t="s">
        <v>45</v>
      </c>
    </row>
    <row r="5869" spans="1:3" x14ac:dyDescent="0.35">
      <c r="A5869" s="141" t="s">
        <v>825</v>
      </c>
      <c r="B5869" s="141" t="s">
        <v>274</v>
      </c>
      <c r="C5869" s="141" t="s">
        <v>45</v>
      </c>
    </row>
    <row r="5870" spans="1:3" x14ac:dyDescent="0.35">
      <c r="A5870" s="141" t="s">
        <v>826</v>
      </c>
      <c r="B5870" s="141" t="s">
        <v>274</v>
      </c>
      <c r="C5870" s="141" t="s">
        <v>45</v>
      </c>
    </row>
    <row r="5871" spans="1:3" x14ac:dyDescent="0.35">
      <c r="A5871" s="141" t="s">
        <v>827</v>
      </c>
      <c r="B5871" s="141" t="s">
        <v>274</v>
      </c>
      <c r="C5871" s="141" t="s">
        <v>45</v>
      </c>
    </row>
    <row r="5872" spans="1:3" x14ac:dyDescent="0.35">
      <c r="A5872" s="141" t="s">
        <v>828</v>
      </c>
      <c r="B5872" s="141" t="s">
        <v>274</v>
      </c>
      <c r="C5872" s="141" t="s">
        <v>45</v>
      </c>
    </row>
    <row r="5873" spans="1:3" x14ac:dyDescent="0.35">
      <c r="A5873" s="141" t="s">
        <v>829</v>
      </c>
      <c r="B5873" s="141" t="s">
        <v>274</v>
      </c>
      <c r="C5873" s="141" t="s">
        <v>45</v>
      </c>
    </row>
    <row r="5874" spans="1:3" x14ac:dyDescent="0.35">
      <c r="A5874" s="141" t="s">
        <v>830</v>
      </c>
      <c r="B5874" s="141" t="s">
        <v>274</v>
      </c>
      <c r="C5874" s="141" t="s">
        <v>45</v>
      </c>
    </row>
    <row r="5875" spans="1:3" x14ac:dyDescent="0.35">
      <c r="A5875" s="141" t="s">
        <v>831</v>
      </c>
      <c r="B5875" s="141" t="s">
        <v>274</v>
      </c>
      <c r="C5875" s="141" t="s">
        <v>45</v>
      </c>
    </row>
    <row r="5876" spans="1:3" x14ac:dyDescent="0.35">
      <c r="A5876" s="141" t="s">
        <v>832</v>
      </c>
      <c r="B5876" s="141" t="s">
        <v>274</v>
      </c>
      <c r="C5876" s="141" t="s">
        <v>45</v>
      </c>
    </row>
    <row r="5877" spans="1:3" x14ac:dyDescent="0.35">
      <c r="A5877" s="141" t="s">
        <v>278</v>
      </c>
      <c r="B5877" s="141" t="s">
        <v>274</v>
      </c>
      <c r="C5877" s="141" t="s">
        <v>21</v>
      </c>
    </row>
    <row r="5878" spans="1:3" x14ac:dyDescent="0.35">
      <c r="A5878" s="141" t="s">
        <v>283</v>
      </c>
      <c r="B5878" s="141" t="s">
        <v>274</v>
      </c>
      <c r="C5878" s="141" t="s">
        <v>21</v>
      </c>
    </row>
    <row r="5879" spans="1:3" x14ac:dyDescent="0.35">
      <c r="A5879" s="141" t="s">
        <v>284</v>
      </c>
      <c r="B5879" s="141" t="s">
        <v>274</v>
      </c>
      <c r="C5879" s="141" t="s">
        <v>21</v>
      </c>
    </row>
    <row r="5880" spans="1:3" x14ac:dyDescent="0.35">
      <c r="A5880" s="141" t="s">
        <v>290</v>
      </c>
      <c r="B5880" s="141" t="s">
        <v>274</v>
      </c>
      <c r="C5880" s="141" t="s">
        <v>23</v>
      </c>
    </row>
    <row r="5881" spans="1:3" x14ac:dyDescent="0.35">
      <c r="A5881" s="141" t="s">
        <v>848</v>
      </c>
      <c r="B5881" s="141" t="s">
        <v>274</v>
      </c>
      <c r="C5881" s="141" t="s">
        <v>22</v>
      </c>
    </row>
    <row r="5882" spans="1:3" x14ac:dyDescent="0.35">
      <c r="A5882" s="141" t="s">
        <v>849</v>
      </c>
      <c r="B5882" s="141" t="s">
        <v>274</v>
      </c>
      <c r="C5882" s="141" t="s">
        <v>22</v>
      </c>
    </row>
    <row r="5883" spans="1:3" x14ac:dyDescent="0.35">
      <c r="A5883" s="141" t="s">
        <v>850</v>
      </c>
      <c r="B5883" s="141" t="s">
        <v>274</v>
      </c>
      <c r="C5883" s="141" t="s">
        <v>22</v>
      </c>
    </row>
    <row r="5884" spans="1:3" x14ac:dyDescent="0.35">
      <c r="A5884" s="141" t="s">
        <v>294</v>
      </c>
      <c r="B5884" s="141" t="s">
        <v>274</v>
      </c>
      <c r="C5884" s="141" t="s">
        <v>21</v>
      </c>
    </row>
    <row r="5885" spans="1:3" x14ac:dyDescent="0.35">
      <c r="A5885" s="141" t="s">
        <v>667</v>
      </c>
      <c r="B5885" s="141" t="s">
        <v>274</v>
      </c>
      <c r="C5885" s="141" t="s">
        <v>55</v>
      </c>
    </row>
    <row r="5886" spans="1:3" x14ac:dyDescent="0.35">
      <c r="A5886" s="141" t="s">
        <v>668</v>
      </c>
      <c r="B5886" s="141" t="s">
        <v>274</v>
      </c>
      <c r="C5886" s="141" t="s">
        <v>54</v>
      </c>
    </row>
    <row r="5887" spans="1:3" x14ac:dyDescent="0.35">
      <c r="A5887" s="141" t="s">
        <v>669</v>
      </c>
      <c r="B5887" s="141" t="s">
        <v>274</v>
      </c>
      <c r="C5887" s="141" t="s">
        <v>55</v>
      </c>
    </row>
    <row r="5888" spans="1:3" x14ac:dyDescent="0.35">
      <c r="A5888" s="141" t="s">
        <v>670</v>
      </c>
      <c r="B5888" s="141" t="s">
        <v>274</v>
      </c>
      <c r="C5888" s="141" t="s">
        <v>54</v>
      </c>
    </row>
    <row r="5889" spans="1:3" x14ac:dyDescent="0.35">
      <c r="A5889" s="141" t="s">
        <v>885</v>
      </c>
      <c r="B5889" s="141" t="s">
        <v>274</v>
      </c>
      <c r="C5889" s="141" t="s">
        <v>19</v>
      </c>
    </row>
    <row r="5890" spans="1:3" x14ac:dyDescent="0.35">
      <c r="A5890" s="141" t="s">
        <v>886</v>
      </c>
      <c r="B5890" s="141" t="s">
        <v>274</v>
      </c>
      <c r="C5890" s="141" t="s">
        <v>19</v>
      </c>
    </row>
    <row r="5891" spans="1:3" x14ac:dyDescent="0.35">
      <c r="A5891" s="141" t="s">
        <v>398</v>
      </c>
      <c r="B5891" s="141" t="s">
        <v>274</v>
      </c>
      <c r="C5891" s="141" t="s">
        <v>17</v>
      </c>
    </row>
    <row r="5892" spans="1:3" x14ac:dyDescent="0.35">
      <c r="A5892" s="141" t="s">
        <v>399</v>
      </c>
      <c r="B5892" s="141" t="s">
        <v>274</v>
      </c>
      <c r="C5892" s="141" t="s">
        <v>16</v>
      </c>
    </row>
    <row r="5893" spans="1:3" x14ac:dyDescent="0.35">
      <c r="A5893" s="141" t="s">
        <v>400</v>
      </c>
      <c r="B5893" s="141" t="s">
        <v>274</v>
      </c>
      <c r="C5893" s="141" t="s">
        <v>20</v>
      </c>
    </row>
    <row r="5894" spans="1:3" x14ac:dyDescent="0.35">
      <c r="A5894" s="141" t="s">
        <v>401</v>
      </c>
      <c r="B5894" s="141" t="s">
        <v>274</v>
      </c>
      <c r="C5894" s="141" t="s">
        <v>20</v>
      </c>
    </row>
    <row r="5895" spans="1:3" x14ac:dyDescent="0.35">
      <c r="A5895" s="141" t="s">
        <v>671</v>
      </c>
      <c r="B5895" s="141" t="s">
        <v>274</v>
      </c>
      <c r="C5895" s="141" t="s">
        <v>20</v>
      </c>
    </row>
    <row r="5896" spans="1:3" x14ac:dyDescent="0.35">
      <c r="A5896" s="141" t="s">
        <v>774</v>
      </c>
      <c r="B5896" s="141" t="s">
        <v>274</v>
      </c>
      <c r="C5896" s="141" t="s">
        <v>38</v>
      </c>
    </row>
    <row r="5897" spans="1:3" x14ac:dyDescent="0.35">
      <c r="A5897" s="141" t="s">
        <v>775</v>
      </c>
      <c r="B5897" s="141" t="s">
        <v>274</v>
      </c>
      <c r="C5897" s="141" t="s">
        <v>38</v>
      </c>
    </row>
    <row r="5898" spans="1:3" x14ac:dyDescent="0.35">
      <c r="A5898" s="141" t="s">
        <v>776</v>
      </c>
      <c r="B5898" s="141" t="s">
        <v>274</v>
      </c>
      <c r="C5898" s="141" t="s">
        <v>45</v>
      </c>
    </row>
    <row r="5899" spans="1:3" x14ac:dyDescent="0.35">
      <c r="A5899" s="141" t="s">
        <v>777</v>
      </c>
      <c r="B5899" s="141" t="s">
        <v>274</v>
      </c>
      <c r="C5899" s="141" t="s">
        <v>46</v>
      </c>
    </row>
    <row r="5900" spans="1:3" x14ac:dyDescent="0.35">
      <c r="A5900" s="141" t="s">
        <v>778</v>
      </c>
      <c r="B5900" s="141" t="s">
        <v>274</v>
      </c>
      <c r="C5900" s="141" t="s">
        <v>45</v>
      </c>
    </row>
    <row r="5901" spans="1:3" x14ac:dyDescent="0.35">
      <c r="A5901" s="141" t="s">
        <v>779</v>
      </c>
      <c r="B5901" s="141" t="s">
        <v>274</v>
      </c>
      <c r="C5901" s="141" t="s">
        <v>45</v>
      </c>
    </row>
    <row r="5902" spans="1:3" x14ac:dyDescent="0.35">
      <c r="A5902" s="141" t="s">
        <v>780</v>
      </c>
      <c r="B5902" s="141" t="s">
        <v>274</v>
      </c>
      <c r="C5902" s="141" t="s">
        <v>45</v>
      </c>
    </row>
    <row r="5903" spans="1:3" x14ac:dyDescent="0.35">
      <c r="A5903" s="141" t="s">
        <v>781</v>
      </c>
      <c r="B5903" s="141" t="s">
        <v>274</v>
      </c>
      <c r="C5903" s="141" t="s">
        <v>45</v>
      </c>
    </row>
    <row r="5904" spans="1:3" x14ac:dyDescent="0.35">
      <c r="A5904" s="141" t="s">
        <v>409</v>
      </c>
      <c r="B5904" s="141" t="s">
        <v>274</v>
      </c>
      <c r="C5904" s="141" t="s">
        <v>18</v>
      </c>
    </row>
    <row r="5905" spans="1:3" x14ac:dyDescent="0.35">
      <c r="A5905" s="141" t="s">
        <v>410</v>
      </c>
      <c r="B5905" s="141" t="s">
        <v>274</v>
      </c>
      <c r="C5905" s="141" t="s">
        <v>18</v>
      </c>
    </row>
    <row r="5906" spans="1:3" x14ac:dyDescent="0.35">
      <c r="A5906" s="141" t="s">
        <v>295</v>
      </c>
      <c r="B5906" s="141" t="s">
        <v>274</v>
      </c>
      <c r="C5906" s="141" t="s">
        <v>18</v>
      </c>
    </row>
    <row r="5907" spans="1:3" x14ac:dyDescent="0.35">
      <c r="A5907" s="141" t="s">
        <v>411</v>
      </c>
      <c r="B5907" s="141" t="s">
        <v>274</v>
      </c>
      <c r="C5907" s="141" t="s">
        <v>9</v>
      </c>
    </row>
    <row r="5908" spans="1:3" x14ac:dyDescent="0.35">
      <c r="A5908" s="141" t="s">
        <v>412</v>
      </c>
      <c r="B5908" s="141" t="s">
        <v>274</v>
      </c>
      <c r="C5908" s="141" t="s">
        <v>9</v>
      </c>
    </row>
    <row r="5909" spans="1:3" x14ac:dyDescent="0.35">
      <c r="A5909" s="141" t="s">
        <v>413</v>
      </c>
      <c r="B5909" s="141" t="s">
        <v>274</v>
      </c>
      <c r="C5909" s="141" t="s">
        <v>9</v>
      </c>
    </row>
    <row r="5910" spans="1:3" x14ac:dyDescent="0.35">
      <c r="A5910" s="141" t="s">
        <v>414</v>
      </c>
      <c r="B5910" s="141" t="s">
        <v>274</v>
      </c>
      <c r="C5910" s="141" t="s">
        <v>9</v>
      </c>
    </row>
    <row r="5911" spans="1:3" x14ac:dyDescent="0.35">
      <c r="A5911" s="141" t="s">
        <v>415</v>
      </c>
      <c r="B5911" s="141" t="s">
        <v>274</v>
      </c>
      <c r="C5911" s="141" t="s">
        <v>9</v>
      </c>
    </row>
    <row r="5912" spans="1:3" x14ac:dyDescent="0.35">
      <c r="A5912" s="141" t="s">
        <v>402</v>
      </c>
      <c r="B5912" s="141" t="s">
        <v>274</v>
      </c>
      <c r="C5912" s="141" t="s">
        <v>20</v>
      </c>
    </row>
    <row r="5913" spans="1:3" x14ac:dyDescent="0.35">
      <c r="A5913" s="141" t="s">
        <v>592</v>
      </c>
      <c r="B5913" s="141" t="s">
        <v>274</v>
      </c>
      <c r="C5913" s="141" t="s">
        <v>20</v>
      </c>
    </row>
    <row r="5914" spans="1:3" x14ac:dyDescent="0.35">
      <c r="A5914" s="141" t="s">
        <v>593</v>
      </c>
      <c r="B5914" s="141" t="s">
        <v>274</v>
      </c>
      <c r="C5914" s="141" t="s">
        <v>20</v>
      </c>
    </row>
    <row r="5915" spans="1:3" x14ac:dyDescent="0.35">
      <c r="A5915" s="141" t="s">
        <v>403</v>
      </c>
      <c r="B5915" s="141" t="s">
        <v>274</v>
      </c>
      <c r="C5915" s="141" t="s">
        <v>20</v>
      </c>
    </row>
    <row r="5916" spans="1:3" x14ac:dyDescent="0.35">
      <c r="A5916" s="141" t="s">
        <v>404</v>
      </c>
      <c r="B5916" s="141" t="s">
        <v>274</v>
      </c>
      <c r="C5916" s="141" t="s">
        <v>16</v>
      </c>
    </row>
    <row r="5917" spans="1:3" x14ac:dyDescent="0.35">
      <c r="A5917" s="141" t="s">
        <v>405</v>
      </c>
      <c r="B5917" s="141" t="s">
        <v>274</v>
      </c>
      <c r="C5917" s="141" t="s">
        <v>16</v>
      </c>
    </row>
    <row r="5918" spans="1:3" x14ac:dyDescent="0.35">
      <c r="A5918" s="141" t="s">
        <v>416</v>
      </c>
      <c r="B5918" s="141" t="s">
        <v>274</v>
      </c>
      <c r="C5918" s="141" t="s">
        <v>15</v>
      </c>
    </row>
    <row r="5919" spans="1:3" x14ac:dyDescent="0.35">
      <c r="A5919" s="141" t="s">
        <v>417</v>
      </c>
      <c r="B5919" s="141" t="s">
        <v>274</v>
      </c>
      <c r="C5919" s="141" t="s">
        <v>6</v>
      </c>
    </row>
    <row r="5920" spans="1:3" x14ac:dyDescent="0.35">
      <c r="A5920" s="141" t="s">
        <v>418</v>
      </c>
      <c r="B5920" s="141" t="s">
        <v>274</v>
      </c>
      <c r="C5920" s="141" t="s">
        <v>17</v>
      </c>
    </row>
    <row r="5921" spans="1:3" x14ac:dyDescent="0.35">
      <c r="A5921" s="141" t="s">
        <v>419</v>
      </c>
      <c r="B5921" s="141" t="s">
        <v>274</v>
      </c>
      <c r="C5921" s="141" t="s">
        <v>17</v>
      </c>
    </row>
    <row r="5922" spans="1:3" x14ac:dyDescent="0.35">
      <c r="A5922" s="141" t="s">
        <v>420</v>
      </c>
      <c r="B5922" s="141" t="s">
        <v>274</v>
      </c>
      <c r="C5922" s="141" t="s">
        <v>17</v>
      </c>
    </row>
    <row r="5923" spans="1:3" x14ac:dyDescent="0.35">
      <c r="A5923" s="141" t="s">
        <v>421</v>
      </c>
      <c r="B5923" s="141" t="s">
        <v>274</v>
      </c>
      <c r="C5923" s="141" t="s">
        <v>6</v>
      </c>
    </row>
    <row r="5924" spans="1:3" x14ac:dyDescent="0.35">
      <c r="A5924" s="141" t="s">
        <v>422</v>
      </c>
      <c r="B5924" s="141" t="s">
        <v>274</v>
      </c>
      <c r="C5924" s="141" t="s">
        <v>17</v>
      </c>
    </row>
    <row r="5925" spans="1:3" x14ac:dyDescent="0.35">
      <c r="A5925" s="141" t="s">
        <v>406</v>
      </c>
      <c r="B5925" s="141" t="s">
        <v>274</v>
      </c>
      <c r="C5925" s="141" t="s">
        <v>18</v>
      </c>
    </row>
    <row r="5926" spans="1:3" x14ac:dyDescent="0.35">
      <c r="A5926" s="141" t="s">
        <v>407</v>
      </c>
      <c r="B5926" s="141" t="s">
        <v>274</v>
      </c>
      <c r="C5926" s="141" t="s">
        <v>17</v>
      </c>
    </row>
    <row r="5927" spans="1:3" x14ac:dyDescent="0.35">
      <c r="A5927" s="141" t="s">
        <v>566</v>
      </c>
      <c r="B5927" s="141" t="s">
        <v>274</v>
      </c>
      <c r="C5927" s="141" t="s">
        <v>17</v>
      </c>
    </row>
    <row r="5928" spans="1:3" x14ac:dyDescent="0.35">
      <c r="A5928" s="141" t="s">
        <v>833</v>
      </c>
      <c r="B5928" s="141" t="s">
        <v>274</v>
      </c>
      <c r="C5928" s="141" t="s">
        <v>17</v>
      </c>
    </row>
    <row r="5929" spans="1:3" x14ac:dyDescent="0.35">
      <c r="A5929" s="141" t="s">
        <v>672</v>
      </c>
      <c r="B5929" s="141" t="s">
        <v>274</v>
      </c>
      <c r="C5929" s="141" t="s">
        <v>25</v>
      </c>
    </row>
    <row r="5930" spans="1:3" x14ac:dyDescent="0.35">
      <c r="A5930" s="141" t="s">
        <v>897</v>
      </c>
      <c r="B5930" s="141" t="s">
        <v>274</v>
      </c>
      <c r="C5930" s="141" t="s">
        <v>26</v>
      </c>
    </row>
    <row r="5931" spans="1:3" x14ac:dyDescent="0.35">
      <c r="A5931" s="141" t="s">
        <v>895</v>
      </c>
      <c r="B5931" s="141" t="s">
        <v>274</v>
      </c>
      <c r="C5931" s="141" t="s">
        <v>25</v>
      </c>
    </row>
    <row r="5932" spans="1:3" x14ac:dyDescent="0.35">
      <c r="A5932" s="141" t="s">
        <v>898</v>
      </c>
      <c r="B5932" s="141" t="s">
        <v>274</v>
      </c>
      <c r="C5932" s="141" t="s">
        <v>25</v>
      </c>
    </row>
    <row r="5933" spans="1:3" x14ac:dyDescent="0.35">
      <c r="A5933" s="141" t="s">
        <v>896</v>
      </c>
      <c r="B5933" s="141" t="s">
        <v>274</v>
      </c>
      <c r="C5933" s="141" t="s">
        <v>25</v>
      </c>
    </row>
    <row r="5934" spans="1:3" x14ac:dyDescent="0.35">
      <c r="A5934" s="141" t="s">
        <v>963</v>
      </c>
      <c r="B5934" s="141" t="s">
        <v>274</v>
      </c>
      <c r="C5934" s="141" t="s">
        <v>25</v>
      </c>
    </row>
    <row r="5935" spans="1:3" x14ac:dyDescent="0.35">
      <c r="A5935" s="141" t="s">
        <v>957</v>
      </c>
      <c r="B5935" s="141" t="s">
        <v>274</v>
      </c>
      <c r="C5935" s="141" t="s">
        <v>25</v>
      </c>
    </row>
    <row r="5936" spans="1:3" x14ac:dyDescent="0.35">
      <c r="A5936" s="141" t="s">
        <v>958</v>
      </c>
      <c r="B5936" s="141" t="s">
        <v>274</v>
      </c>
      <c r="C5936" s="141" t="s">
        <v>25</v>
      </c>
    </row>
    <row r="5937" spans="1:3" x14ac:dyDescent="0.35">
      <c r="A5937" s="141" t="s">
        <v>964</v>
      </c>
      <c r="B5937" s="141" t="s">
        <v>274</v>
      </c>
      <c r="C5937" s="141" t="s">
        <v>25</v>
      </c>
    </row>
    <row r="5938" spans="1:3" x14ac:dyDescent="0.35">
      <c r="A5938" s="141" t="s">
        <v>863</v>
      </c>
      <c r="B5938" s="141" t="s">
        <v>274</v>
      </c>
      <c r="C5938" s="141" t="s">
        <v>30</v>
      </c>
    </row>
    <row r="5939" spans="1:3" x14ac:dyDescent="0.35">
      <c r="A5939" s="141" t="s">
        <v>864</v>
      </c>
      <c r="B5939" s="141" t="s">
        <v>274</v>
      </c>
      <c r="C5939" s="141" t="s">
        <v>30</v>
      </c>
    </row>
    <row r="5940" spans="1:3" x14ac:dyDescent="0.35">
      <c r="A5940" s="141" t="s">
        <v>865</v>
      </c>
      <c r="B5940" s="141" t="s">
        <v>274</v>
      </c>
      <c r="C5940" s="141" t="s">
        <v>34</v>
      </c>
    </row>
    <row r="5941" spans="1:3" x14ac:dyDescent="0.35">
      <c r="A5941" s="141" t="s">
        <v>866</v>
      </c>
      <c r="B5941" s="141" t="s">
        <v>274</v>
      </c>
      <c r="C5941" s="141" t="s">
        <v>34</v>
      </c>
    </row>
    <row r="5942" spans="1:3" x14ac:dyDescent="0.35">
      <c r="A5942" s="141" t="s">
        <v>784</v>
      </c>
      <c r="B5942" s="141" t="s">
        <v>274</v>
      </c>
      <c r="C5942" s="141" t="s">
        <v>30</v>
      </c>
    </row>
    <row r="5943" spans="1:3" x14ac:dyDescent="0.35">
      <c r="A5943" s="141" t="s">
        <v>867</v>
      </c>
      <c r="B5943" s="141" t="s">
        <v>274</v>
      </c>
      <c r="C5943" s="141" t="s">
        <v>30</v>
      </c>
    </row>
    <row r="5944" spans="1:3" x14ac:dyDescent="0.35">
      <c r="A5944" s="141" t="s">
        <v>525</v>
      </c>
      <c r="B5944" s="141" t="s">
        <v>274</v>
      </c>
      <c r="C5944" s="141" t="s">
        <v>46</v>
      </c>
    </row>
    <row r="5945" spans="1:3" x14ac:dyDescent="0.35">
      <c r="A5945" s="141" t="s">
        <v>868</v>
      </c>
      <c r="B5945" s="141" t="s">
        <v>274</v>
      </c>
      <c r="C5945" s="141" t="s">
        <v>32</v>
      </c>
    </row>
    <row r="5946" spans="1:3" x14ac:dyDescent="0.35">
      <c r="A5946" s="141" t="s">
        <v>869</v>
      </c>
      <c r="B5946" s="141" t="s">
        <v>274</v>
      </c>
      <c r="C5946" s="141" t="s">
        <v>32</v>
      </c>
    </row>
    <row r="5947" spans="1:3" x14ac:dyDescent="0.35">
      <c r="A5947" s="141" t="s">
        <v>870</v>
      </c>
      <c r="B5947" s="141" t="s">
        <v>274</v>
      </c>
      <c r="C5947" s="141" t="s">
        <v>32</v>
      </c>
    </row>
    <row r="5948" spans="1:3" x14ac:dyDescent="0.35">
      <c r="A5948" s="141" t="s">
        <v>932</v>
      </c>
      <c r="B5948" s="141" t="s">
        <v>274</v>
      </c>
      <c r="C5948" s="141" t="s">
        <v>49</v>
      </c>
    </row>
    <row r="5949" spans="1:3" x14ac:dyDescent="0.35">
      <c r="A5949" s="141" t="s">
        <v>940</v>
      </c>
      <c r="B5949" s="141" t="s">
        <v>274</v>
      </c>
      <c r="C5949" s="141" t="s">
        <v>49</v>
      </c>
    </row>
    <row r="5950" spans="1:3" x14ac:dyDescent="0.35">
      <c r="A5950" s="141" t="s">
        <v>941</v>
      </c>
      <c r="B5950" s="141" t="s">
        <v>274</v>
      </c>
      <c r="C5950" s="141" t="s">
        <v>49</v>
      </c>
    </row>
    <row r="5951" spans="1:3" x14ac:dyDescent="0.35">
      <c r="A5951" s="141" t="s">
        <v>933</v>
      </c>
      <c r="B5951" s="141" t="s">
        <v>274</v>
      </c>
      <c r="C5951" s="141" t="s">
        <v>32</v>
      </c>
    </row>
    <row r="5952" spans="1:3" x14ac:dyDescent="0.35">
      <c r="A5952" s="141" t="s">
        <v>946</v>
      </c>
      <c r="B5952" s="141" t="s">
        <v>274</v>
      </c>
      <c r="C5952" s="141" t="s">
        <v>25</v>
      </c>
    </row>
    <row r="5953" spans="1:3" x14ac:dyDescent="0.35">
      <c r="A5953" s="141" t="s">
        <v>935</v>
      </c>
      <c r="B5953" s="141" t="s">
        <v>274</v>
      </c>
      <c r="C5953" s="141" t="s">
        <v>32</v>
      </c>
    </row>
    <row r="5954" spans="1:3" x14ac:dyDescent="0.35">
      <c r="A5954" s="141" t="s">
        <v>937</v>
      </c>
      <c r="B5954" s="141" t="s">
        <v>274</v>
      </c>
      <c r="C5954" s="141" t="s">
        <v>32</v>
      </c>
    </row>
    <row r="5955" spans="1:3" x14ac:dyDescent="0.35">
      <c r="A5955" s="141" t="s">
        <v>938</v>
      </c>
      <c r="B5955" s="141" t="s">
        <v>274</v>
      </c>
      <c r="C5955" s="141" t="s">
        <v>32</v>
      </c>
    </row>
    <row r="5956" spans="1:3" x14ac:dyDescent="0.35">
      <c r="A5956" s="141" t="s">
        <v>939</v>
      </c>
      <c r="B5956" s="141" t="s">
        <v>274</v>
      </c>
      <c r="C5956" s="141" t="s">
        <v>32</v>
      </c>
    </row>
    <row r="5957" spans="1:3" x14ac:dyDescent="0.35">
      <c r="A5957" s="141" t="s">
        <v>942</v>
      </c>
      <c r="B5957" s="141" t="s">
        <v>274</v>
      </c>
      <c r="C5957" s="141" t="s">
        <v>32</v>
      </c>
    </row>
    <row r="5958" spans="1:3" x14ac:dyDescent="0.35">
      <c r="A5958" s="141" t="s">
        <v>943</v>
      </c>
      <c r="B5958" s="141" t="s">
        <v>274</v>
      </c>
      <c r="C5958" s="141" t="s">
        <v>32</v>
      </c>
    </row>
    <row r="5959" spans="1:3" x14ac:dyDescent="0.35">
      <c r="A5959" s="141" t="s">
        <v>944</v>
      </c>
      <c r="B5959" s="141" t="s">
        <v>274</v>
      </c>
      <c r="C5959" s="141" t="s">
        <v>32</v>
      </c>
    </row>
    <row r="5960" spans="1:3" x14ac:dyDescent="0.35">
      <c r="A5960" s="141" t="s">
        <v>934</v>
      </c>
      <c r="B5960" s="141" t="s">
        <v>274</v>
      </c>
      <c r="C5960" s="141" t="s">
        <v>32</v>
      </c>
    </row>
    <row r="5961" spans="1:3" x14ac:dyDescent="0.35">
      <c r="A5961" s="141" t="s">
        <v>936</v>
      </c>
      <c r="B5961" s="141" t="s">
        <v>274</v>
      </c>
      <c r="C5961" s="141" t="s">
        <v>32</v>
      </c>
    </row>
    <row r="5962" spans="1:3" x14ac:dyDescent="0.35">
      <c r="A5962" s="141" t="s">
        <v>945</v>
      </c>
      <c r="B5962" s="141" t="s">
        <v>274</v>
      </c>
      <c r="C5962" s="141" t="s">
        <v>32</v>
      </c>
    </row>
    <row r="5963" spans="1:3" x14ac:dyDescent="0.35">
      <c r="A5963" s="141" t="s">
        <v>861</v>
      </c>
      <c r="B5963" s="141" t="s">
        <v>274</v>
      </c>
      <c r="C5963" s="141" t="s">
        <v>33</v>
      </c>
    </row>
    <row r="5964" spans="1:3" x14ac:dyDescent="0.35">
      <c r="A5964" s="141" t="s">
        <v>862</v>
      </c>
      <c r="B5964" s="141" t="s">
        <v>274</v>
      </c>
      <c r="C5964" s="141" t="s">
        <v>33</v>
      </c>
    </row>
    <row r="5965" spans="1:3" x14ac:dyDescent="0.35">
      <c r="A5965" s="141" t="s">
        <v>516</v>
      </c>
      <c r="B5965" s="141" t="s">
        <v>274</v>
      </c>
      <c r="C5965" s="141" t="s">
        <v>33</v>
      </c>
    </row>
    <row r="5966" spans="1:3" x14ac:dyDescent="0.35">
      <c r="A5966" s="141" t="s">
        <v>892</v>
      </c>
      <c r="B5966" s="141" t="s">
        <v>274</v>
      </c>
      <c r="C5966" s="141" t="s">
        <v>33</v>
      </c>
    </row>
    <row r="5967" spans="1:3" x14ac:dyDescent="0.35">
      <c r="A5967" s="141" t="s">
        <v>893</v>
      </c>
      <c r="B5967" s="141" t="s">
        <v>274</v>
      </c>
      <c r="C5967" s="141" t="s">
        <v>33</v>
      </c>
    </row>
    <row r="5968" spans="1:3" x14ac:dyDescent="0.35">
      <c r="A5968" s="141" t="s">
        <v>894</v>
      </c>
      <c r="B5968" s="141" t="s">
        <v>274</v>
      </c>
      <c r="C5968" s="141" t="s">
        <v>33</v>
      </c>
    </row>
    <row r="5969" spans="1:3" x14ac:dyDescent="0.35">
      <c r="A5969" s="141" t="s">
        <v>954</v>
      </c>
      <c r="B5969" s="141" t="s">
        <v>274</v>
      </c>
      <c r="C5969" s="141" t="s">
        <v>35</v>
      </c>
    </row>
    <row r="5970" spans="1:3" x14ac:dyDescent="0.35">
      <c r="A5970" s="141" t="s">
        <v>955</v>
      </c>
      <c r="B5970" s="141" t="s">
        <v>274</v>
      </c>
      <c r="C5970" s="141" t="s">
        <v>33</v>
      </c>
    </row>
    <row r="5971" spans="1:3" x14ac:dyDescent="0.35">
      <c r="A5971" s="141" t="s">
        <v>956</v>
      </c>
      <c r="B5971" s="141" t="s">
        <v>274</v>
      </c>
      <c r="C5971" s="141" t="s">
        <v>33</v>
      </c>
    </row>
    <row r="5972" spans="1:3" x14ac:dyDescent="0.35">
      <c r="A5972" s="141" t="s">
        <v>706</v>
      </c>
      <c r="B5972" s="141" t="s">
        <v>274</v>
      </c>
      <c r="C5972" s="141" t="s">
        <v>31</v>
      </c>
    </row>
    <row r="5973" spans="1:3" x14ac:dyDescent="0.35">
      <c r="A5973" s="141" t="s">
        <v>707</v>
      </c>
      <c r="B5973" s="141" t="s">
        <v>274</v>
      </c>
      <c r="C5973" s="141" t="s">
        <v>31</v>
      </c>
    </row>
    <row r="5974" spans="1:3" x14ac:dyDescent="0.35">
      <c r="A5974" s="141" t="s">
        <v>708</v>
      </c>
      <c r="B5974" s="141" t="s">
        <v>274</v>
      </c>
      <c r="C5974" s="141" t="s">
        <v>31</v>
      </c>
    </row>
    <row r="5975" spans="1:3" x14ac:dyDescent="0.35">
      <c r="A5975" s="141" t="s">
        <v>709</v>
      </c>
      <c r="B5975" s="141" t="s">
        <v>274</v>
      </c>
      <c r="C5975" s="141" t="s">
        <v>31</v>
      </c>
    </row>
    <row r="5976" spans="1:3" x14ac:dyDescent="0.35">
      <c r="A5976" s="141" t="s">
        <v>710</v>
      </c>
      <c r="B5976" s="141" t="s">
        <v>274</v>
      </c>
      <c r="C5976" s="141" t="s">
        <v>31</v>
      </c>
    </row>
    <row r="5977" spans="1:3" x14ac:dyDescent="0.35">
      <c r="A5977" s="141" t="s">
        <v>456</v>
      </c>
      <c r="B5977" s="141" t="s">
        <v>274</v>
      </c>
      <c r="C5977" s="141" t="s">
        <v>31</v>
      </c>
    </row>
    <row r="5978" spans="1:3" x14ac:dyDescent="0.35">
      <c r="A5978" s="141" t="s">
        <v>902</v>
      </c>
      <c r="B5978" s="141" t="s">
        <v>274</v>
      </c>
      <c r="C5978" s="141" t="s">
        <v>31</v>
      </c>
    </row>
    <row r="5979" spans="1:3" x14ac:dyDescent="0.35">
      <c r="A5979" s="141" t="s">
        <v>903</v>
      </c>
      <c r="B5979" s="141" t="s">
        <v>274</v>
      </c>
      <c r="C5979" s="141" t="s">
        <v>31</v>
      </c>
    </row>
    <row r="5980" spans="1:3" x14ac:dyDescent="0.35">
      <c r="A5980" s="141" t="s">
        <v>904</v>
      </c>
      <c r="B5980" s="141" t="s">
        <v>274</v>
      </c>
      <c r="C5980" s="141" t="s">
        <v>31</v>
      </c>
    </row>
    <row r="5981" spans="1:3" x14ac:dyDescent="0.35">
      <c r="A5981" s="141" t="s">
        <v>905</v>
      </c>
      <c r="B5981" s="141" t="s">
        <v>274</v>
      </c>
      <c r="C5981" s="141" t="s">
        <v>31</v>
      </c>
    </row>
    <row r="5982" spans="1:3" x14ac:dyDescent="0.35">
      <c r="A5982" s="141" t="s">
        <v>906</v>
      </c>
      <c r="B5982" s="141" t="s">
        <v>274</v>
      </c>
      <c r="C5982" s="141" t="s">
        <v>31</v>
      </c>
    </row>
    <row r="5983" spans="1:3" x14ac:dyDescent="0.35">
      <c r="A5983" s="141" t="s">
        <v>907</v>
      </c>
      <c r="B5983" s="141" t="s">
        <v>274</v>
      </c>
      <c r="C5983" s="141" t="s">
        <v>31</v>
      </c>
    </row>
    <row r="5984" spans="1:3" x14ac:dyDescent="0.35">
      <c r="A5984" s="141" t="s">
        <v>908</v>
      </c>
      <c r="B5984" s="141" t="s">
        <v>274</v>
      </c>
      <c r="C5984" s="141" t="s">
        <v>31</v>
      </c>
    </row>
    <row r="5985" spans="1:3" x14ac:dyDescent="0.35">
      <c r="A5985" s="141" t="s">
        <v>909</v>
      </c>
      <c r="B5985" s="141" t="s">
        <v>274</v>
      </c>
      <c r="C5985" s="141" t="s">
        <v>31</v>
      </c>
    </row>
    <row r="5986" spans="1:3" x14ac:dyDescent="0.35">
      <c r="A5986" s="141" t="s">
        <v>929</v>
      </c>
      <c r="B5986" s="141" t="s">
        <v>274</v>
      </c>
      <c r="C5986" s="141" t="s">
        <v>28</v>
      </c>
    </row>
    <row r="5987" spans="1:3" x14ac:dyDescent="0.35">
      <c r="A5987" s="141" t="s">
        <v>915</v>
      </c>
      <c r="B5987" s="141" t="s">
        <v>274</v>
      </c>
      <c r="C5987" s="141" t="s">
        <v>28</v>
      </c>
    </row>
    <row r="5988" spans="1:3" x14ac:dyDescent="0.35">
      <c r="A5988" s="141" t="s">
        <v>916</v>
      </c>
      <c r="B5988" s="141" t="s">
        <v>274</v>
      </c>
      <c r="C5988" s="141" t="s">
        <v>28</v>
      </c>
    </row>
    <row r="5989" spans="1:3" x14ac:dyDescent="0.35">
      <c r="A5989" s="141" t="s">
        <v>917</v>
      </c>
      <c r="B5989" s="141" t="s">
        <v>274</v>
      </c>
      <c r="C5989" s="141" t="s">
        <v>28</v>
      </c>
    </row>
    <row r="5990" spans="1:3" x14ac:dyDescent="0.35">
      <c r="A5990" s="141" t="s">
        <v>930</v>
      </c>
      <c r="B5990" s="141" t="s">
        <v>274</v>
      </c>
      <c r="C5990" s="141" t="s">
        <v>28</v>
      </c>
    </row>
    <row r="5991" spans="1:3" x14ac:dyDescent="0.35">
      <c r="A5991" s="141" t="s">
        <v>918</v>
      </c>
      <c r="B5991" s="141" t="s">
        <v>274</v>
      </c>
      <c r="C5991" s="141" t="s">
        <v>29</v>
      </c>
    </row>
    <row r="5992" spans="1:3" x14ac:dyDescent="0.35">
      <c r="A5992" s="141" t="s">
        <v>910</v>
      </c>
      <c r="B5992" s="141" t="s">
        <v>274</v>
      </c>
      <c r="C5992" s="141" t="s">
        <v>33</v>
      </c>
    </row>
    <row r="5993" spans="1:3" x14ac:dyDescent="0.35">
      <c r="A5993" s="141" t="s">
        <v>911</v>
      </c>
      <c r="B5993" s="141" t="s">
        <v>274</v>
      </c>
      <c r="C5993" s="141" t="s">
        <v>33</v>
      </c>
    </row>
    <row r="5994" spans="1:3" x14ac:dyDescent="0.35">
      <c r="A5994" s="141" t="s">
        <v>912</v>
      </c>
      <c r="B5994" s="141" t="s">
        <v>274</v>
      </c>
      <c r="C5994" s="141" t="s">
        <v>33</v>
      </c>
    </row>
    <row r="5995" spans="1:3" x14ac:dyDescent="0.35">
      <c r="A5995" s="141" t="s">
        <v>570</v>
      </c>
      <c r="B5995" s="141" t="s">
        <v>274</v>
      </c>
      <c r="C5995" s="141" t="s">
        <v>52</v>
      </c>
    </row>
    <row r="5996" spans="1:3" x14ac:dyDescent="0.35">
      <c r="A5996" s="141" t="s">
        <v>855</v>
      </c>
      <c r="B5996" s="141" t="s">
        <v>274</v>
      </c>
      <c r="C5996" s="141" t="s">
        <v>52</v>
      </c>
    </row>
    <row r="5997" spans="1:3" x14ac:dyDescent="0.35">
      <c r="A5997" s="141" t="s">
        <v>856</v>
      </c>
      <c r="B5997" s="141" t="s">
        <v>274</v>
      </c>
      <c r="C5997" s="141" t="s">
        <v>52</v>
      </c>
    </row>
    <row r="5998" spans="1:3" x14ac:dyDescent="0.35">
      <c r="A5998" s="141" t="s">
        <v>857</v>
      </c>
      <c r="B5998" s="141" t="s">
        <v>274</v>
      </c>
      <c r="C5998" s="141" t="s">
        <v>52</v>
      </c>
    </row>
    <row r="5999" spans="1:3" x14ac:dyDescent="0.35">
      <c r="A5999" s="141" t="s">
        <v>795</v>
      </c>
      <c r="B5999" s="141" t="s">
        <v>274</v>
      </c>
      <c r="C5999" s="142"/>
    </row>
    <row r="6000" spans="1:3" x14ac:dyDescent="0.35">
      <c r="A6000" s="141" t="s">
        <v>796</v>
      </c>
      <c r="B6000" s="141" t="s">
        <v>274</v>
      </c>
      <c r="C6000" s="142"/>
    </row>
    <row r="6001" spans="1:3" x14ac:dyDescent="0.35">
      <c r="A6001" s="141" t="s">
        <v>601</v>
      </c>
      <c r="B6001" s="141" t="s">
        <v>274</v>
      </c>
      <c r="C6001" s="141" t="s">
        <v>40</v>
      </c>
    </row>
    <row r="6002" spans="1:3" x14ac:dyDescent="0.35">
      <c r="A6002" s="141" t="s">
        <v>602</v>
      </c>
      <c r="B6002" s="141" t="s">
        <v>274</v>
      </c>
      <c r="C6002" s="141" t="s">
        <v>39</v>
      </c>
    </row>
    <row r="6003" spans="1:3" x14ac:dyDescent="0.35">
      <c r="A6003" s="141" t="s">
        <v>735</v>
      </c>
      <c r="B6003" s="141" t="s">
        <v>274</v>
      </c>
      <c r="C6003" s="141" t="s">
        <v>41</v>
      </c>
    </row>
    <row r="6004" spans="1:3" x14ac:dyDescent="0.35">
      <c r="A6004" s="141" t="s">
        <v>736</v>
      </c>
      <c r="B6004" s="141" t="s">
        <v>274</v>
      </c>
      <c r="C6004" s="141" t="s">
        <v>41</v>
      </c>
    </row>
    <row r="6005" spans="1:3" x14ac:dyDescent="0.35">
      <c r="A6005" s="141" t="s">
        <v>737</v>
      </c>
      <c r="B6005" s="141" t="s">
        <v>274</v>
      </c>
      <c r="C6005" s="141" t="s">
        <v>41</v>
      </c>
    </row>
    <row r="6006" spans="1:3" x14ac:dyDescent="0.35">
      <c r="A6006" s="141" t="s">
        <v>738</v>
      </c>
      <c r="B6006" s="141" t="s">
        <v>274</v>
      </c>
      <c r="C6006" s="141" t="s">
        <v>41</v>
      </c>
    </row>
    <row r="6007" spans="1:3" x14ac:dyDescent="0.35">
      <c r="A6007" s="141" t="s">
        <v>797</v>
      </c>
      <c r="B6007" s="141" t="s">
        <v>274</v>
      </c>
      <c r="C6007" s="141" t="s">
        <v>41</v>
      </c>
    </row>
    <row r="6008" spans="1:3" x14ac:dyDescent="0.35">
      <c r="A6008" s="141" t="s">
        <v>798</v>
      </c>
      <c r="B6008" s="141" t="s">
        <v>274</v>
      </c>
      <c r="C6008" s="141" t="s">
        <v>40</v>
      </c>
    </row>
    <row r="6009" spans="1:3" x14ac:dyDescent="0.35">
      <c r="A6009" s="141" t="s">
        <v>799</v>
      </c>
      <c r="B6009" s="141" t="s">
        <v>274</v>
      </c>
      <c r="C6009" s="141" t="s">
        <v>40</v>
      </c>
    </row>
    <row r="6010" spans="1:3" x14ac:dyDescent="0.35">
      <c r="A6010" s="141" t="s">
        <v>807</v>
      </c>
      <c r="B6010" s="141" t="s">
        <v>274</v>
      </c>
      <c r="C6010" s="141" t="s">
        <v>3</v>
      </c>
    </row>
    <row r="6011" spans="1:3" x14ac:dyDescent="0.35">
      <c r="A6011" s="141" t="s">
        <v>978</v>
      </c>
      <c r="B6011" s="141" t="s">
        <v>274</v>
      </c>
      <c r="C6011" s="141" t="s">
        <v>49</v>
      </c>
    </row>
    <row r="6012" spans="1:3" x14ac:dyDescent="0.35">
      <c r="A6012" s="141" t="s">
        <v>979</v>
      </c>
      <c r="B6012" s="141" t="s">
        <v>274</v>
      </c>
      <c r="C6012" s="141" t="s">
        <v>49</v>
      </c>
    </row>
    <row r="6013" spans="1:3" x14ac:dyDescent="0.35">
      <c r="A6013" s="141" t="s">
        <v>980</v>
      </c>
      <c r="B6013" s="141" t="s">
        <v>274</v>
      </c>
      <c r="C6013" s="141" t="s">
        <v>49</v>
      </c>
    </row>
    <row r="6014" spans="1:3" x14ac:dyDescent="0.35">
      <c r="A6014" s="141" t="s">
        <v>975</v>
      </c>
      <c r="B6014" s="141" t="s">
        <v>274</v>
      </c>
      <c r="C6014" s="141" t="s">
        <v>33</v>
      </c>
    </row>
    <row r="6015" spans="1:3" x14ac:dyDescent="0.35">
      <c r="A6015" s="141" t="s">
        <v>976</v>
      </c>
      <c r="B6015" s="141" t="s">
        <v>274</v>
      </c>
      <c r="C6015" s="141" t="s">
        <v>33</v>
      </c>
    </row>
    <row r="6016" spans="1:3" x14ac:dyDescent="0.35">
      <c r="A6016" s="141" t="s">
        <v>740</v>
      </c>
      <c r="B6016" s="141" t="s">
        <v>274</v>
      </c>
      <c r="C6016" s="141" t="s">
        <v>33</v>
      </c>
    </row>
    <row r="6017" spans="1:3" x14ac:dyDescent="0.35">
      <c r="A6017" s="141" t="s">
        <v>550</v>
      </c>
      <c r="B6017" s="141" t="s">
        <v>274</v>
      </c>
      <c r="C6017" s="141" t="s">
        <v>33</v>
      </c>
    </row>
    <row r="6018" spans="1:3" x14ac:dyDescent="0.35">
      <c r="A6018" s="141" t="s">
        <v>551</v>
      </c>
      <c r="B6018" s="141" t="s">
        <v>274</v>
      </c>
      <c r="C6018" s="141" t="s">
        <v>33</v>
      </c>
    </row>
    <row r="6019" spans="1:3" x14ac:dyDescent="0.35">
      <c r="A6019" s="141" t="s">
        <v>308</v>
      </c>
      <c r="B6019" s="141" t="s">
        <v>274</v>
      </c>
      <c r="C6019" s="141" t="s">
        <v>53</v>
      </c>
    </row>
    <row r="6020" spans="1:3" x14ac:dyDescent="0.35">
      <c r="A6020" s="141" t="s">
        <v>309</v>
      </c>
      <c r="B6020" s="141" t="s">
        <v>274</v>
      </c>
      <c r="C6020" s="141" t="s">
        <v>53</v>
      </c>
    </row>
    <row r="6021" spans="1:3" x14ac:dyDescent="0.35">
      <c r="A6021" s="141" t="s">
        <v>311</v>
      </c>
      <c r="B6021" s="141" t="s">
        <v>274</v>
      </c>
      <c r="C6021" s="141" t="s">
        <v>53</v>
      </c>
    </row>
    <row r="6022" spans="1:3" x14ac:dyDescent="0.35">
      <c r="A6022" s="141" t="s">
        <v>534</v>
      </c>
      <c r="B6022" s="141" t="s">
        <v>274</v>
      </c>
      <c r="C6022" s="141" t="s">
        <v>53</v>
      </c>
    </row>
    <row r="6023" spans="1:3" x14ac:dyDescent="0.35">
      <c r="A6023" s="141" t="s">
        <v>312</v>
      </c>
      <c r="B6023" s="141" t="s">
        <v>274</v>
      </c>
      <c r="C6023" s="141" t="s">
        <v>53</v>
      </c>
    </row>
    <row r="6024" spans="1:3" x14ac:dyDescent="0.35">
      <c r="A6024" s="141" t="s">
        <v>531</v>
      </c>
      <c r="B6024" s="141" t="s">
        <v>274</v>
      </c>
      <c r="C6024" s="141" t="s">
        <v>51</v>
      </c>
    </row>
    <row r="6025" spans="1:3" x14ac:dyDescent="0.35">
      <c r="A6025" s="141" t="s">
        <v>741</v>
      </c>
      <c r="B6025" s="141" t="s">
        <v>274</v>
      </c>
      <c r="C6025" s="141" t="s">
        <v>51</v>
      </c>
    </row>
    <row r="6026" spans="1:3" x14ac:dyDescent="0.35">
      <c r="A6026" s="141" t="s">
        <v>742</v>
      </c>
      <c r="B6026" s="141" t="s">
        <v>274</v>
      </c>
      <c r="C6026" s="141" t="s">
        <v>51</v>
      </c>
    </row>
    <row r="6027" spans="1:3" x14ac:dyDescent="0.35">
      <c r="A6027" s="141" t="s">
        <v>743</v>
      </c>
      <c r="B6027" s="141" t="s">
        <v>274</v>
      </c>
      <c r="C6027" s="141" t="s">
        <v>51</v>
      </c>
    </row>
    <row r="6028" spans="1:3" x14ac:dyDescent="0.35">
      <c r="A6028" s="141" t="s">
        <v>747</v>
      </c>
      <c r="B6028" s="141" t="s">
        <v>274</v>
      </c>
      <c r="C6028" s="141" t="s">
        <v>51</v>
      </c>
    </row>
    <row r="6029" spans="1:3" x14ac:dyDescent="0.35">
      <c r="A6029" s="141" t="s">
        <v>748</v>
      </c>
      <c r="B6029" s="141" t="s">
        <v>274</v>
      </c>
      <c r="C6029" s="141" t="s">
        <v>51</v>
      </c>
    </row>
    <row r="6030" spans="1:3" x14ac:dyDescent="0.35">
      <c r="A6030" s="141" t="s">
        <v>533</v>
      </c>
      <c r="B6030" s="141" t="s">
        <v>274</v>
      </c>
      <c r="C6030" s="141" t="s">
        <v>50</v>
      </c>
    </row>
    <row r="6031" spans="1:3" x14ac:dyDescent="0.35">
      <c r="A6031" s="141" t="s">
        <v>966</v>
      </c>
      <c r="B6031" s="141" t="s">
        <v>274</v>
      </c>
      <c r="C6031" s="141" t="s">
        <v>53</v>
      </c>
    </row>
    <row r="6032" spans="1:3" x14ac:dyDescent="0.35">
      <c r="A6032" s="141" t="s">
        <v>967</v>
      </c>
      <c r="B6032" s="141" t="s">
        <v>274</v>
      </c>
      <c r="C6032" s="141" t="s">
        <v>53</v>
      </c>
    </row>
    <row r="6033" spans="1:3" x14ac:dyDescent="0.35">
      <c r="A6033" s="141" t="s">
        <v>968</v>
      </c>
      <c r="B6033" s="141" t="s">
        <v>274</v>
      </c>
      <c r="C6033" s="141" t="s">
        <v>53</v>
      </c>
    </row>
    <row r="6034" spans="1:3" x14ac:dyDescent="0.35">
      <c r="A6034" s="141" t="s">
        <v>969</v>
      </c>
      <c r="B6034" s="141" t="s">
        <v>274</v>
      </c>
      <c r="C6034" s="141" t="s">
        <v>53</v>
      </c>
    </row>
    <row r="6035" spans="1:3" x14ac:dyDescent="0.35">
      <c r="A6035" s="141" t="s">
        <v>970</v>
      </c>
      <c r="B6035" s="141" t="s">
        <v>274</v>
      </c>
      <c r="C6035" s="141" t="s">
        <v>53</v>
      </c>
    </row>
    <row r="6036" spans="1:3" x14ac:dyDescent="0.35">
      <c r="A6036" s="141" t="s">
        <v>873</v>
      </c>
      <c r="B6036" s="141" t="s">
        <v>274</v>
      </c>
      <c r="C6036" s="141" t="s">
        <v>52</v>
      </c>
    </row>
    <row r="6037" spans="1:3" x14ac:dyDescent="0.35">
      <c r="A6037" s="141" t="s">
        <v>874</v>
      </c>
      <c r="B6037" s="141" t="s">
        <v>274</v>
      </c>
      <c r="C6037" s="141" t="s">
        <v>52</v>
      </c>
    </row>
    <row r="6038" spans="1:3" x14ac:dyDescent="0.35">
      <c r="A6038" s="141" t="s">
        <v>875</v>
      </c>
      <c r="B6038" s="141" t="s">
        <v>274</v>
      </c>
      <c r="C6038" s="141" t="s">
        <v>52</v>
      </c>
    </row>
    <row r="6039" spans="1:3" x14ac:dyDescent="0.35">
      <c r="A6039" s="141" t="s">
        <v>876</v>
      </c>
      <c r="B6039" s="141" t="s">
        <v>274</v>
      </c>
      <c r="C6039" s="141" t="s">
        <v>52</v>
      </c>
    </row>
    <row r="6040" spans="1:3" x14ac:dyDescent="0.35">
      <c r="A6040" s="141" t="s">
        <v>877</v>
      </c>
      <c r="B6040" s="141" t="s">
        <v>274</v>
      </c>
      <c r="C6040" s="141" t="s">
        <v>52</v>
      </c>
    </row>
    <row r="6041" spans="1:3" x14ac:dyDescent="0.35">
      <c r="A6041" s="141" t="s">
        <v>878</v>
      </c>
      <c r="B6041" s="141" t="s">
        <v>274</v>
      </c>
      <c r="C6041" s="141" t="s">
        <v>52</v>
      </c>
    </row>
    <row r="6042" spans="1:3" x14ac:dyDescent="0.35">
      <c r="A6042" s="141" t="s">
        <v>539</v>
      </c>
      <c r="B6042" s="141" t="s">
        <v>274</v>
      </c>
      <c r="C6042" s="141" t="s">
        <v>52</v>
      </c>
    </row>
    <row r="6043" spans="1:3" x14ac:dyDescent="0.35">
      <c r="A6043" s="141" t="s">
        <v>540</v>
      </c>
      <c r="B6043" s="141" t="s">
        <v>274</v>
      </c>
      <c r="C6043" s="141" t="s">
        <v>52</v>
      </c>
    </row>
    <row r="6044" spans="1:3" x14ac:dyDescent="0.35">
      <c r="A6044" s="141" t="s">
        <v>812</v>
      </c>
      <c r="B6044" s="141" t="s">
        <v>274</v>
      </c>
      <c r="C6044" s="141" t="s">
        <v>52</v>
      </c>
    </row>
    <row r="6045" spans="1:3" x14ac:dyDescent="0.35">
      <c r="A6045" s="141" t="s">
        <v>803</v>
      </c>
      <c r="B6045" s="141" t="s">
        <v>274</v>
      </c>
      <c r="C6045" s="141" t="s">
        <v>52</v>
      </c>
    </row>
    <row r="6046" spans="1:3" x14ac:dyDescent="0.35">
      <c r="A6046" s="141" t="s">
        <v>959</v>
      </c>
      <c r="B6046" s="141" t="s">
        <v>274</v>
      </c>
      <c r="C6046" s="141" t="s">
        <v>53</v>
      </c>
    </row>
    <row r="6047" spans="1:3" x14ac:dyDescent="0.35">
      <c r="A6047" s="141" t="s">
        <v>965</v>
      </c>
      <c r="B6047" s="141" t="s">
        <v>274</v>
      </c>
      <c r="C6047" s="141" t="s">
        <v>52</v>
      </c>
    </row>
    <row r="6048" spans="1:3" x14ac:dyDescent="0.35">
      <c r="A6048" s="141" t="s">
        <v>960</v>
      </c>
      <c r="B6048" s="141" t="s">
        <v>274</v>
      </c>
      <c r="C6048" s="141" t="s">
        <v>52</v>
      </c>
    </row>
    <row r="6049" spans="1:3" x14ac:dyDescent="0.35">
      <c r="A6049" s="141" t="s">
        <v>804</v>
      </c>
      <c r="B6049" s="141" t="s">
        <v>274</v>
      </c>
      <c r="C6049" s="141" t="s">
        <v>53</v>
      </c>
    </row>
    <row r="6050" spans="1:3" x14ac:dyDescent="0.35">
      <c r="A6050" s="141" t="s">
        <v>805</v>
      </c>
      <c r="B6050" s="141" t="s">
        <v>274</v>
      </c>
      <c r="C6050" s="141" t="s">
        <v>52</v>
      </c>
    </row>
    <row r="6051" spans="1:3" x14ac:dyDescent="0.35">
      <c r="A6051" s="141" t="s">
        <v>879</v>
      </c>
      <c r="B6051" s="141" t="s">
        <v>274</v>
      </c>
      <c r="C6051" s="141" t="s">
        <v>52</v>
      </c>
    </row>
    <row r="6052" spans="1:3" x14ac:dyDescent="0.35">
      <c r="A6052" s="141" t="s">
        <v>880</v>
      </c>
      <c r="B6052" s="141" t="s">
        <v>274</v>
      </c>
      <c r="C6052" s="141" t="s">
        <v>52</v>
      </c>
    </row>
    <row r="6053" spans="1:3" x14ac:dyDescent="0.35">
      <c r="A6053" s="141" t="s">
        <v>314</v>
      </c>
      <c r="B6053" s="141" t="s">
        <v>274</v>
      </c>
      <c r="C6053" s="141" t="s">
        <v>16</v>
      </c>
    </row>
    <row r="6054" spans="1:3" x14ac:dyDescent="0.35">
      <c r="A6054" s="141" t="s">
        <v>316</v>
      </c>
      <c r="B6054" s="141" t="s">
        <v>274</v>
      </c>
      <c r="C6054" s="141" t="s">
        <v>16</v>
      </c>
    </row>
    <row r="6055" spans="1:3" x14ac:dyDescent="0.35">
      <c r="A6055" s="141" t="s">
        <v>317</v>
      </c>
      <c r="B6055" s="141" t="s">
        <v>274</v>
      </c>
      <c r="C6055" s="141" t="s">
        <v>16</v>
      </c>
    </row>
    <row r="6056" spans="1:3" x14ac:dyDescent="0.35">
      <c r="A6056" s="141" t="s">
        <v>318</v>
      </c>
      <c r="B6056" s="141" t="s">
        <v>274</v>
      </c>
      <c r="C6056" s="141" t="s">
        <v>16</v>
      </c>
    </row>
    <row r="6057" spans="1:3" x14ac:dyDescent="0.35">
      <c r="A6057" s="141" t="s">
        <v>319</v>
      </c>
      <c r="B6057" s="141" t="s">
        <v>274</v>
      </c>
      <c r="C6057" s="141" t="s">
        <v>16</v>
      </c>
    </row>
    <row r="6058" spans="1:3" x14ac:dyDescent="0.35">
      <c r="A6058" s="141" t="s">
        <v>320</v>
      </c>
      <c r="B6058" s="141" t="s">
        <v>274</v>
      </c>
      <c r="C6058" s="141" t="s">
        <v>16</v>
      </c>
    </row>
    <row r="6059" spans="1:3" x14ac:dyDescent="0.35">
      <c r="A6059" s="141" t="s">
        <v>321</v>
      </c>
      <c r="B6059" s="141" t="s">
        <v>274</v>
      </c>
      <c r="C6059" s="141" t="s">
        <v>16</v>
      </c>
    </row>
    <row r="6060" spans="1:3" x14ac:dyDescent="0.35">
      <c r="A6060" s="141" t="s">
        <v>322</v>
      </c>
      <c r="B6060" s="141" t="s">
        <v>274</v>
      </c>
      <c r="C6060" s="141" t="s">
        <v>16</v>
      </c>
    </row>
    <row r="6061" spans="1:3" x14ac:dyDescent="0.35">
      <c r="A6061" s="141" t="s">
        <v>323</v>
      </c>
      <c r="B6061" s="141" t="s">
        <v>274</v>
      </c>
      <c r="C6061" s="141" t="s">
        <v>16</v>
      </c>
    </row>
    <row r="6062" spans="1:3" x14ac:dyDescent="0.35">
      <c r="A6062" s="141" t="s">
        <v>324</v>
      </c>
      <c r="B6062" s="141" t="s">
        <v>274</v>
      </c>
      <c r="C6062" s="141" t="s">
        <v>16</v>
      </c>
    </row>
    <row r="6063" spans="1:3" x14ac:dyDescent="0.35">
      <c r="A6063" s="141" t="s">
        <v>325</v>
      </c>
      <c r="B6063" s="141" t="s">
        <v>274</v>
      </c>
      <c r="C6063" s="141" t="s">
        <v>16</v>
      </c>
    </row>
    <row r="6064" spans="1:3" x14ac:dyDescent="0.35">
      <c r="A6064" s="141" t="s">
        <v>326</v>
      </c>
      <c r="B6064" s="141" t="s">
        <v>274</v>
      </c>
      <c r="C6064" s="141" t="s">
        <v>16</v>
      </c>
    </row>
    <row r="6065" spans="1:3" x14ac:dyDescent="0.35">
      <c r="A6065" s="141" t="s">
        <v>971</v>
      </c>
      <c r="B6065" s="141" t="s">
        <v>274</v>
      </c>
      <c r="C6065" s="141" t="s">
        <v>16</v>
      </c>
    </row>
    <row r="6066" spans="1:3" x14ac:dyDescent="0.35">
      <c r="A6066" s="141" t="s">
        <v>327</v>
      </c>
      <c r="B6066" s="141" t="s">
        <v>274</v>
      </c>
      <c r="C6066" s="141" t="s">
        <v>16</v>
      </c>
    </row>
    <row r="6067" spans="1:3" x14ac:dyDescent="0.35">
      <c r="A6067" s="141" t="s">
        <v>972</v>
      </c>
      <c r="B6067" s="141" t="s">
        <v>274</v>
      </c>
      <c r="C6067" s="141" t="s">
        <v>16</v>
      </c>
    </row>
    <row r="6068" spans="1:3" x14ac:dyDescent="0.35">
      <c r="A6068" s="141" t="s">
        <v>328</v>
      </c>
      <c r="B6068" s="141" t="s">
        <v>274</v>
      </c>
      <c r="C6068" s="141" t="s">
        <v>16</v>
      </c>
    </row>
    <row r="6069" spans="1:3" x14ac:dyDescent="0.35">
      <c r="A6069" s="141" t="s">
        <v>329</v>
      </c>
      <c r="B6069" s="141" t="s">
        <v>274</v>
      </c>
      <c r="C6069" s="141" t="s">
        <v>16</v>
      </c>
    </row>
    <row r="6070" spans="1:3" x14ac:dyDescent="0.35">
      <c r="A6070" s="141" t="s">
        <v>973</v>
      </c>
      <c r="B6070" s="141" t="s">
        <v>274</v>
      </c>
      <c r="C6070" s="141" t="s">
        <v>16</v>
      </c>
    </row>
    <row r="6071" spans="1:3" x14ac:dyDescent="0.35">
      <c r="A6071" s="141" t="s">
        <v>334</v>
      </c>
      <c r="B6071" s="141" t="s">
        <v>274</v>
      </c>
      <c r="C6071" s="141" t="s">
        <v>16</v>
      </c>
    </row>
    <row r="6072" spans="1:3" x14ac:dyDescent="0.35">
      <c r="A6072" s="141" t="s">
        <v>881</v>
      </c>
      <c r="B6072" s="141" t="s">
        <v>274</v>
      </c>
      <c r="C6072" s="141" t="s">
        <v>16</v>
      </c>
    </row>
    <row r="6073" spans="1:3" x14ac:dyDescent="0.35">
      <c r="A6073" s="141" t="s">
        <v>974</v>
      </c>
      <c r="B6073" s="141" t="s">
        <v>274</v>
      </c>
      <c r="C6073" s="141" t="s">
        <v>16</v>
      </c>
    </row>
    <row r="6074" spans="1:3" x14ac:dyDescent="0.35">
      <c r="A6074" s="141" t="s">
        <v>806</v>
      </c>
      <c r="B6074" s="141" t="s">
        <v>274</v>
      </c>
      <c r="C6074" s="141" t="s">
        <v>32</v>
      </c>
    </row>
    <row r="6075" spans="1:3" x14ac:dyDescent="0.35">
      <c r="A6075" s="141" t="s">
        <v>579</v>
      </c>
      <c r="B6075" s="141" t="s">
        <v>274</v>
      </c>
      <c r="C6075" s="141" t="s">
        <v>32</v>
      </c>
    </row>
    <row r="6076" spans="1:3" x14ac:dyDescent="0.35">
      <c r="A6076" s="141" t="s">
        <v>556</v>
      </c>
      <c r="B6076" s="141" t="s">
        <v>274</v>
      </c>
      <c r="C6076" s="141" t="s">
        <v>32</v>
      </c>
    </row>
    <row r="6077" spans="1:3" x14ac:dyDescent="0.35">
      <c r="A6077" s="141" t="s">
        <v>557</v>
      </c>
      <c r="B6077" s="141" t="s">
        <v>274</v>
      </c>
      <c r="C6077" s="141" t="s">
        <v>32</v>
      </c>
    </row>
    <row r="6078" spans="1:3" x14ac:dyDescent="0.35">
      <c r="A6078" s="141" t="s">
        <v>558</v>
      </c>
      <c r="B6078" s="141" t="s">
        <v>274</v>
      </c>
      <c r="C6078" s="141" t="s">
        <v>32</v>
      </c>
    </row>
    <row r="6079" spans="1:3" x14ac:dyDescent="0.35">
      <c r="A6079" s="141" t="s">
        <v>580</v>
      </c>
      <c r="B6079" s="141" t="s">
        <v>274</v>
      </c>
      <c r="C6079" s="141" t="s">
        <v>32</v>
      </c>
    </row>
    <row r="6080" spans="1:3" x14ac:dyDescent="0.35">
      <c r="A6080" s="141" t="s">
        <v>612</v>
      </c>
      <c r="B6080" s="141" t="s">
        <v>274</v>
      </c>
      <c r="C6080" s="141" t="s">
        <v>43</v>
      </c>
    </row>
    <row r="6081" spans="1:3" x14ac:dyDescent="0.35">
      <c r="A6081" s="141" t="s">
        <v>853</v>
      </c>
      <c r="B6081" s="141" t="s">
        <v>274</v>
      </c>
      <c r="C6081" s="141" t="s">
        <v>43</v>
      </c>
    </row>
    <row r="6082" spans="1:3" x14ac:dyDescent="0.35">
      <c r="A6082" s="141" t="s">
        <v>614</v>
      </c>
      <c r="B6082" s="141" t="s">
        <v>274</v>
      </c>
      <c r="C6082" s="141" t="s">
        <v>43</v>
      </c>
    </row>
    <row r="6083" spans="1:3" x14ac:dyDescent="0.35">
      <c r="A6083" s="141" t="s">
        <v>615</v>
      </c>
      <c r="B6083" s="141" t="s">
        <v>274</v>
      </c>
      <c r="C6083" s="141" t="s">
        <v>43</v>
      </c>
    </row>
    <row r="6084" spans="1:3" x14ac:dyDescent="0.35">
      <c r="A6084" s="141" t="s">
        <v>616</v>
      </c>
      <c r="B6084" s="141" t="s">
        <v>274</v>
      </c>
      <c r="C6084" s="141" t="s">
        <v>43</v>
      </c>
    </row>
    <row r="6085" spans="1:3" x14ac:dyDescent="0.35">
      <c r="A6085" s="141" t="s">
        <v>854</v>
      </c>
      <c r="B6085" s="141" t="s">
        <v>274</v>
      </c>
      <c r="C6085" s="141" t="s">
        <v>43</v>
      </c>
    </row>
    <row r="6086" spans="1:3" x14ac:dyDescent="0.35">
      <c r="A6086" s="141" t="s">
        <v>605</v>
      </c>
      <c r="B6086" s="141" t="s">
        <v>274</v>
      </c>
      <c r="C6086" s="141" t="s">
        <v>43</v>
      </c>
    </row>
    <row r="6087" spans="1:3" x14ac:dyDescent="0.35">
      <c r="A6087" s="141" t="s">
        <v>606</v>
      </c>
      <c r="B6087" s="141" t="s">
        <v>274</v>
      </c>
      <c r="C6087" s="141" t="s">
        <v>43</v>
      </c>
    </row>
    <row r="6088" spans="1:3" x14ac:dyDescent="0.35">
      <c r="A6088" s="141" t="s">
        <v>607</v>
      </c>
      <c r="B6088" s="141" t="s">
        <v>274</v>
      </c>
      <c r="C6088" s="141" t="s">
        <v>43</v>
      </c>
    </row>
    <row r="6089" spans="1:3" x14ac:dyDescent="0.35">
      <c r="A6089" s="141" t="s">
        <v>608</v>
      </c>
      <c r="B6089" s="141" t="s">
        <v>274</v>
      </c>
      <c r="C6089" s="141" t="s">
        <v>43</v>
      </c>
    </row>
    <row r="6090" spans="1:3" x14ac:dyDescent="0.35">
      <c r="A6090" s="141" t="s">
        <v>609</v>
      </c>
      <c r="B6090" s="141" t="s">
        <v>274</v>
      </c>
      <c r="C6090" s="141" t="s">
        <v>43</v>
      </c>
    </row>
    <row r="6091" spans="1:3" x14ac:dyDescent="0.35">
      <c r="A6091" s="141" t="s">
        <v>610</v>
      </c>
      <c r="B6091" s="141" t="s">
        <v>274</v>
      </c>
      <c r="C6091" s="141" t="s">
        <v>43</v>
      </c>
    </row>
    <row r="6092" spans="1:3" x14ac:dyDescent="0.35">
      <c r="A6092" s="141" t="s">
        <v>618</v>
      </c>
      <c r="B6092" s="141" t="s">
        <v>274</v>
      </c>
      <c r="C6092" s="141" t="s">
        <v>43</v>
      </c>
    </row>
    <row r="6093" spans="1:3" x14ac:dyDescent="0.35">
      <c r="A6093" s="141" t="s">
        <v>619</v>
      </c>
      <c r="B6093" s="141" t="s">
        <v>274</v>
      </c>
      <c r="C6093" s="141" t="s">
        <v>44</v>
      </c>
    </row>
    <row r="6094" spans="1:3" x14ac:dyDescent="0.35">
      <c r="A6094" s="141" t="s">
        <v>962</v>
      </c>
      <c r="B6094" s="141" t="s">
        <v>274</v>
      </c>
      <c r="C6094" s="141" t="s">
        <v>47</v>
      </c>
    </row>
    <row r="6095" spans="1:3" x14ac:dyDescent="0.35">
      <c r="A6095" s="141" t="s">
        <v>981</v>
      </c>
      <c r="B6095" s="141" t="s">
        <v>274</v>
      </c>
      <c r="C6095" s="141" t="s">
        <v>47</v>
      </c>
    </row>
    <row r="6096" spans="1:3" x14ac:dyDescent="0.35">
      <c r="A6096" s="141" t="s">
        <v>982</v>
      </c>
      <c r="B6096" s="141" t="s">
        <v>274</v>
      </c>
      <c r="C6096" s="141" t="s">
        <v>47</v>
      </c>
    </row>
    <row r="6097" spans="1:3" x14ac:dyDescent="0.35">
      <c r="A6097" s="141" t="s">
        <v>562</v>
      </c>
      <c r="B6097" s="141" t="s">
        <v>274</v>
      </c>
      <c r="C6097" s="141" t="s">
        <v>48</v>
      </c>
    </row>
    <row r="6098" spans="1:3" x14ac:dyDescent="0.35">
      <c r="A6098" s="141" t="s">
        <v>563</v>
      </c>
      <c r="B6098" s="141" t="s">
        <v>274</v>
      </c>
      <c r="C6098" s="141" t="s">
        <v>47</v>
      </c>
    </row>
    <row r="6099" spans="1:3" x14ac:dyDescent="0.35">
      <c r="A6099" s="141" t="s">
        <v>950</v>
      </c>
      <c r="B6099" s="141" t="s">
        <v>274</v>
      </c>
      <c r="C6099" s="141" t="s">
        <v>32</v>
      </c>
    </row>
    <row r="6100" spans="1:3" x14ac:dyDescent="0.35">
      <c r="A6100" s="141" t="s">
        <v>947</v>
      </c>
      <c r="B6100" s="141" t="s">
        <v>274</v>
      </c>
      <c r="C6100" s="141" t="s">
        <v>32</v>
      </c>
    </row>
    <row r="6101" spans="1:3" x14ac:dyDescent="0.35">
      <c r="A6101" s="141" t="s">
        <v>949</v>
      </c>
      <c r="B6101" s="141" t="s">
        <v>274</v>
      </c>
      <c r="C6101" s="141" t="s">
        <v>32</v>
      </c>
    </row>
    <row r="6102" spans="1:3" x14ac:dyDescent="0.35">
      <c r="A6102" s="141" t="s">
        <v>951</v>
      </c>
      <c r="B6102" s="141" t="s">
        <v>274</v>
      </c>
      <c r="C6102" s="141" t="s">
        <v>32</v>
      </c>
    </row>
    <row r="6103" spans="1:3" x14ac:dyDescent="0.35">
      <c r="A6103" s="141" t="s">
        <v>952</v>
      </c>
      <c r="B6103" s="141" t="s">
        <v>274</v>
      </c>
      <c r="C6103" s="141" t="s">
        <v>32</v>
      </c>
    </row>
    <row r="6104" spans="1:3" x14ac:dyDescent="0.35">
      <c r="A6104" s="141" t="s">
        <v>986</v>
      </c>
      <c r="B6104" s="141" t="s">
        <v>274</v>
      </c>
      <c r="C6104" s="141" t="s">
        <v>32</v>
      </c>
    </row>
    <row r="6105" spans="1:3" x14ac:dyDescent="0.35">
      <c r="A6105" s="141" t="s">
        <v>948</v>
      </c>
      <c r="B6105" s="141" t="s">
        <v>274</v>
      </c>
      <c r="C6105" s="141" t="s">
        <v>32</v>
      </c>
    </row>
    <row r="6106" spans="1:3" x14ac:dyDescent="0.35">
      <c r="A6106" s="141" t="s">
        <v>953</v>
      </c>
      <c r="B6106" s="141" t="s">
        <v>274</v>
      </c>
      <c r="C6106" s="141" t="s">
        <v>31</v>
      </c>
    </row>
    <row r="6107" spans="1:3" x14ac:dyDescent="0.35">
      <c r="A6107" s="141" t="s">
        <v>286</v>
      </c>
      <c r="B6107" s="141" t="s">
        <v>274</v>
      </c>
      <c r="C6107" s="141" t="s">
        <v>27</v>
      </c>
    </row>
    <row r="6108" spans="1:3" x14ac:dyDescent="0.35">
      <c r="A6108" s="141" t="s">
        <v>285</v>
      </c>
      <c r="B6108" s="141" t="s">
        <v>274</v>
      </c>
      <c r="C6108" s="141" t="s">
        <v>27</v>
      </c>
    </row>
    <row r="6109" spans="1:3" x14ac:dyDescent="0.35">
      <c r="A6109" s="141" t="s">
        <v>387</v>
      </c>
      <c r="B6109" s="141" t="s">
        <v>274</v>
      </c>
      <c r="C6109" s="141" t="s">
        <v>7</v>
      </c>
    </row>
    <row r="6110" spans="1:3" x14ac:dyDescent="0.35">
      <c r="A6110" s="141" t="s">
        <v>564</v>
      </c>
      <c r="B6110" s="141" t="s">
        <v>274</v>
      </c>
      <c r="C6110" s="141" t="s">
        <v>7</v>
      </c>
    </row>
    <row r="6111" spans="1:3" x14ac:dyDescent="0.35">
      <c r="A6111" s="141" t="s">
        <v>565</v>
      </c>
      <c r="B6111" s="141" t="s">
        <v>274</v>
      </c>
      <c r="C6111" s="141" t="s">
        <v>7</v>
      </c>
    </row>
    <row r="6112" spans="1:3" x14ac:dyDescent="0.35">
      <c r="A6112" s="141" t="s">
        <v>385</v>
      </c>
      <c r="B6112" s="141" t="s">
        <v>274</v>
      </c>
      <c r="C6112" s="141" t="s">
        <v>7</v>
      </c>
    </row>
    <row r="6113" spans="1:3" x14ac:dyDescent="0.35">
      <c r="A6113" s="141" t="s">
        <v>386</v>
      </c>
      <c r="B6113" s="141" t="s">
        <v>274</v>
      </c>
      <c r="C6113" s="141" t="s">
        <v>7</v>
      </c>
    </row>
    <row r="6114" spans="1:3" x14ac:dyDescent="0.35">
      <c r="A6114" s="141" t="s">
        <v>977</v>
      </c>
      <c r="B6114" s="141" t="s">
        <v>274</v>
      </c>
      <c r="C6114" s="141" t="s">
        <v>52</v>
      </c>
    </row>
    <row r="6115" spans="1:3" x14ac:dyDescent="0.35">
      <c r="A6115" s="141" t="s">
        <v>928</v>
      </c>
      <c r="B6115" s="141" t="s">
        <v>274</v>
      </c>
      <c r="C6115" s="141" t="s">
        <v>33</v>
      </c>
    </row>
    <row r="6116" spans="1:3" x14ac:dyDescent="0.35">
      <c r="A6116" s="141" t="s">
        <v>931</v>
      </c>
      <c r="B6116" s="141" t="s">
        <v>274</v>
      </c>
      <c r="C6116" s="141" t="s">
        <v>36</v>
      </c>
    </row>
    <row r="6117" spans="1:3" x14ac:dyDescent="0.35">
      <c r="A6117" s="141" t="s">
        <v>921</v>
      </c>
      <c r="B6117" s="141" t="s">
        <v>274</v>
      </c>
      <c r="C6117" s="141" t="s">
        <v>36</v>
      </c>
    </row>
    <row r="6118" spans="1:3" x14ac:dyDescent="0.35">
      <c r="A6118" s="141" t="s">
        <v>925</v>
      </c>
      <c r="B6118" s="141" t="s">
        <v>274</v>
      </c>
      <c r="C6118" s="141" t="s">
        <v>36</v>
      </c>
    </row>
    <row r="6119" spans="1:3" x14ac:dyDescent="0.35">
      <c r="A6119" s="141" t="s">
        <v>922</v>
      </c>
      <c r="B6119" s="141" t="s">
        <v>274</v>
      </c>
      <c r="C6119" s="141" t="s">
        <v>36</v>
      </c>
    </row>
    <row r="6120" spans="1:3" x14ac:dyDescent="0.35">
      <c r="A6120" s="141" t="s">
        <v>924</v>
      </c>
      <c r="B6120" s="141" t="s">
        <v>274</v>
      </c>
      <c r="C6120" s="141" t="s">
        <v>36</v>
      </c>
    </row>
    <row r="6121" spans="1:3" x14ac:dyDescent="0.35">
      <c r="A6121" s="141" t="s">
        <v>914</v>
      </c>
      <c r="B6121" s="141" t="s">
        <v>274</v>
      </c>
      <c r="C6121" s="141" t="s">
        <v>33</v>
      </c>
    </row>
    <row r="6122" spans="1:3" x14ac:dyDescent="0.35">
      <c r="A6122" s="141" t="s">
        <v>920</v>
      </c>
      <c r="B6122" s="141" t="s">
        <v>274</v>
      </c>
      <c r="C6122" s="141" t="s">
        <v>36</v>
      </c>
    </row>
    <row r="6123" spans="1:3" x14ac:dyDescent="0.35">
      <c r="A6123" s="141" t="s">
        <v>352</v>
      </c>
      <c r="B6123" s="141" t="s">
        <v>275</v>
      </c>
      <c r="C6123" s="141" t="s">
        <v>2</v>
      </c>
    </row>
    <row r="6124" spans="1:3" x14ac:dyDescent="0.35">
      <c r="A6124" s="141" t="s">
        <v>354</v>
      </c>
      <c r="B6124" s="141" t="s">
        <v>275</v>
      </c>
      <c r="C6124" s="141" t="s">
        <v>2</v>
      </c>
    </row>
    <row r="6125" spans="1:3" x14ac:dyDescent="0.35">
      <c r="A6125" s="141" t="s">
        <v>989</v>
      </c>
      <c r="B6125" s="141" t="s">
        <v>275</v>
      </c>
      <c r="C6125" s="141" t="s">
        <v>42</v>
      </c>
    </row>
    <row r="6126" spans="1:3" x14ac:dyDescent="0.35">
      <c r="A6126" s="141" t="s">
        <v>807</v>
      </c>
      <c r="B6126" s="141" t="s">
        <v>275</v>
      </c>
      <c r="C6126" s="141" t="s">
        <v>3</v>
      </c>
    </row>
    <row r="6127" spans="1:3" x14ac:dyDescent="0.35">
      <c r="A6127" s="141" t="s">
        <v>290</v>
      </c>
      <c r="B6127" s="141" t="s">
        <v>275</v>
      </c>
      <c r="C6127" s="141" t="s">
        <v>23</v>
      </c>
    </row>
    <row r="6128" spans="1:3" x14ac:dyDescent="0.35">
      <c r="A6128" s="141" t="s">
        <v>848</v>
      </c>
      <c r="B6128" s="141" t="s">
        <v>275</v>
      </c>
      <c r="C6128" s="141" t="s">
        <v>22</v>
      </c>
    </row>
    <row r="6129" spans="1:3" x14ac:dyDescent="0.35">
      <c r="A6129" s="141" t="s">
        <v>849</v>
      </c>
      <c r="B6129" s="141" t="s">
        <v>275</v>
      </c>
      <c r="C6129" s="141" t="s">
        <v>22</v>
      </c>
    </row>
    <row r="6130" spans="1:3" x14ac:dyDescent="0.35">
      <c r="A6130" s="141" t="s">
        <v>850</v>
      </c>
      <c r="B6130" s="141" t="s">
        <v>275</v>
      </c>
      <c r="C6130" s="141" t="s">
        <v>22</v>
      </c>
    </row>
    <row r="6131" spans="1:3" x14ac:dyDescent="0.35">
      <c r="A6131" s="141" t="s">
        <v>887</v>
      </c>
      <c r="B6131" s="141" t="s">
        <v>275</v>
      </c>
      <c r="C6131" s="141" t="s">
        <v>24</v>
      </c>
    </row>
    <row r="6132" spans="1:3" x14ac:dyDescent="0.35">
      <c r="A6132" s="141" t="s">
        <v>888</v>
      </c>
      <c r="B6132" s="141" t="s">
        <v>275</v>
      </c>
      <c r="C6132" s="141" t="s">
        <v>24</v>
      </c>
    </row>
    <row r="6133" spans="1:3" x14ac:dyDescent="0.35">
      <c r="A6133" s="141" t="s">
        <v>889</v>
      </c>
      <c r="B6133" s="141" t="s">
        <v>275</v>
      </c>
      <c r="C6133" s="141" t="s">
        <v>24</v>
      </c>
    </row>
    <row r="6134" spans="1:3" x14ac:dyDescent="0.35">
      <c r="A6134" s="141" t="s">
        <v>890</v>
      </c>
      <c r="B6134" s="141" t="s">
        <v>275</v>
      </c>
      <c r="C6134" s="141" t="s">
        <v>24</v>
      </c>
    </row>
    <row r="6135" spans="1:3" x14ac:dyDescent="0.35">
      <c r="A6135" s="141" t="s">
        <v>891</v>
      </c>
      <c r="B6135" s="141" t="s">
        <v>275</v>
      </c>
      <c r="C6135" s="141" t="s">
        <v>24</v>
      </c>
    </row>
    <row r="6136" spans="1:3" x14ac:dyDescent="0.35">
      <c r="A6136" s="141" t="s">
        <v>294</v>
      </c>
      <c r="B6136" s="141" t="s">
        <v>275</v>
      </c>
      <c r="C6136" s="141" t="s">
        <v>21</v>
      </c>
    </row>
    <row r="6137" spans="1:3" x14ac:dyDescent="0.35">
      <c r="A6137" s="141" t="s">
        <v>899</v>
      </c>
      <c r="B6137" s="141" t="s">
        <v>275</v>
      </c>
      <c r="C6137" s="141" t="s">
        <v>24</v>
      </c>
    </row>
    <row r="6138" spans="1:3" x14ac:dyDescent="0.35">
      <c r="A6138" s="141" t="s">
        <v>900</v>
      </c>
      <c r="B6138" s="141" t="s">
        <v>275</v>
      </c>
      <c r="C6138" s="141" t="s">
        <v>24</v>
      </c>
    </row>
    <row r="6139" spans="1:3" x14ac:dyDescent="0.35">
      <c r="A6139" s="141" t="s">
        <v>901</v>
      </c>
      <c r="B6139" s="141" t="s">
        <v>275</v>
      </c>
      <c r="C6139" s="141" t="s">
        <v>24</v>
      </c>
    </row>
    <row r="6140" spans="1:3" x14ac:dyDescent="0.35">
      <c r="A6140" s="141" t="s">
        <v>990</v>
      </c>
      <c r="B6140" s="141" t="s">
        <v>275</v>
      </c>
      <c r="C6140" s="141" t="s">
        <v>21</v>
      </c>
    </row>
    <row r="6141" spans="1:3" x14ac:dyDescent="0.35">
      <c r="A6141" s="141" t="s">
        <v>991</v>
      </c>
      <c r="B6141" s="141" t="s">
        <v>275</v>
      </c>
      <c r="C6141" s="141" t="s">
        <v>21</v>
      </c>
    </row>
    <row r="6142" spans="1:3" x14ac:dyDescent="0.35">
      <c r="A6142" s="141" t="s">
        <v>992</v>
      </c>
      <c r="B6142" s="141" t="s">
        <v>275</v>
      </c>
      <c r="C6142" s="141" t="s">
        <v>21</v>
      </c>
    </row>
    <row r="6143" spans="1:3" x14ac:dyDescent="0.35">
      <c r="A6143" s="141" t="s">
        <v>993</v>
      </c>
      <c r="B6143" s="141" t="s">
        <v>275</v>
      </c>
      <c r="C6143" s="141" t="s">
        <v>21</v>
      </c>
    </row>
    <row r="6144" spans="1:3" x14ac:dyDescent="0.35">
      <c r="A6144" s="141" t="s">
        <v>994</v>
      </c>
      <c r="B6144" s="141" t="s">
        <v>275</v>
      </c>
      <c r="C6144" s="141" t="s">
        <v>21</v>
      </c>
    </row>
    <row r="6145" spans="1:3" x14ac:dyDescent="0.35">
      <c r="A6145" s="141" t="s">
        <v>995</v>
      </c>
      <c r="B6145" s="141" t="s">
        <v>275</v>
      </c>
      <c r="C6145" s="141" t="s">
        <v>21</v>
      </c>
    </row>
    <row r="6146" spans="1:3" x14ac:dyDescent="0.35">
      <c r="A6146" s="141" t="s">
        <v>892</v>
      </c>
      <c r="B6146" s="141" t="s">
        <v>275</v>
      </c>
      <c r="C6146" s="141" t="s">
        <v>33</v>
      </c>
    </row>
    <row r="6147" spans="1:3" x14ac:dyDescent="0.35">
      <c r="A6147" s="141" t="s">
        <v>893</v>
      </c>
      <c r="B6147" s="141" t="s">
        <v>275</v>
      </c>
      <c r="C6147" s="141" t="s">
        <v>33</v>
      </c>
    </row>
    <row r="6148" spans="1:3" x14ac:dyDescent="0.35">
      <c r="A6148" s="141" t="s">
        <v>894</v>
      </c>
      <c r="B6148" s="141" t="s">
        <v>275</v>
      </c>
      <c r="C6148" s="141" t="s">
        <v>33</v>
      </c>
    </row>
    <row r="6149" spans="1:3" x14ac:dyDescent="0.35">
      <c r="A6149" s="141" t="s">
        <v>672</v>
      </c>
      <c r="B6149" s="141" t="s">
        <v>275</v>
      </c>
      <c r="C6149" s="141" t="s">
        <v>25</v>
      </c>
    </row>
    <row r="6150" spans="1:3" x14ac:dyDescent="0.35">
      <c r="A6150" s="141" t="s">
        <v>897</v>
      </c>
      <c r="B6150" s="141" t="s">
        <v>275</v>
      </c>
      <c r="C6150" s="141" t="s">
        <v>26</v>
      </c>
    </row>
    <row r="6151" spans="1:3" x14ac:dyDescent="0.35">
      <c r="A6151" s="141" t="s">
        <v>996</v>
      </c>
      <c r="B6151" s="141" t="s">
        <v>275</v>
      </c>
      <c r="C6151" s="141" t="s">
        <v>25</v>
      </c>
    </row>
    <row r="6152" spans="1:3" x14ac:dyDescent="0.35">
      <c r="A6152" s="141" t="s">
        <v>898</v>
      </c>
      <c r="B6152" s="141" t="s">
        <v>275</v>
      </c>
      <c r="C6152" s="141" t="s">
        <v>25</v>
      </c>
    </row>
    <row r="6153" spans="1:3" x14ac:dyDescent="0.35">
      <c r="A6153" s="141" t="s">
        <v>895</v>
      </c>
      <c r="B6153" s="141" t="s">
        <v>275</v>
      </c>
      <c r="C6153" s="141" t="s">
        <v>25</v>
      </c>
    </row>
    <row r="6154" spans="1:3" x14ac:dyDescent="0.35">
      <c r="A6154" s="141" t="s">
        <v>896</v>
      </c>
      <c r="B6154" s="141" t="s">
        <v>275</v>
      </c>
      <c r="C6154" s="141" t="s">
        <v>25</v>
      </c>
    </row>
    <row r="6155" spans="1:3" x14ac:dyDescent="0.35">
      <c r="A6155" s="141" t="s">
        <v>957</v>
      </c>
      <c r="B6155" s="141" t="s">
        <v>275</v>
      </c>
      <c r="C6155" s="141" t="s">
        <v>25</v>
      </c>
    </row>
    <row r="6156" spans="1:3" x14ac:dyDescent="0.35">
      <c r="A6156" s="141" t="s">
        <v>963</v>
      </c>
      <c r="B6156" s="141" t="s">
        <v>275</v>
      </c>
      <c r="C6156" s="141" t="s">
        <v>25</v>
      </c>
    </row>
    <row r="6157" spans="1:3" x14ac:dyDescent="0.35">
      <c r="A6157" s="141" t="s">
        <v>964</v>
      </c>
      <c r="B6157" s="141" t="s">
        <v>275</v>
      </c>
      <c r="C6157" s="141" t="s">
        <v>25</v>
      </c>
    </row>
    <row r="6158" spans="1:3" x14ac:dyDescent="0.35">
      <c r="A6158" s="141" t="s">
        <v>946</v>
      </c>
      <c r="B6158" s="141" t="s">
        <v>275</v>
      </c>
      <c r="C6158" s="141" t="s">
        <v>25</v>
      </c>
    </row>
    <row r="6159" spans="1:3" x14ac:dyDescent="0.35">
      <c r="A6159" s="141" t="s">
        <v>855</v>
      </c>
      <c r="B6159" s="141" t="s">
        <v>275</v>
      </c>
      <c r="C6159" s="141" t="s">
        <v>52</v>
      </c>
    </row>
    <row r="6160" spans="1:3" x14ac:dyDescent="0.35">
      <c r="A6160" s="141" t="s">
        <v>570</v>
      </c>
      <c r="B6160" s="141" t="s">
        <v>275</v>
      </c>
      <c r="C6160" s="141" t="s">
        <v>52</v>
      </c>
    </row>
    <row r="6161" spans="1:3" x14ac:dyDescent="0.35">
      <c r="A6161" s="141" t="s">
        <v>706</v>
      </c>
      <c r="B6161" s="141" t="s">
        <v>275</v>
      </c>
      <c r="C6161" s="141" t="s">
        <v>31</v>
      </c>
    </row>
    <row r="6162" spans="1:3" x14ac:dyDescent="0.35">
      <c r="A6162" s="141" t="s">
        <v>707</v>
      </c>
      <c r="B6162" s="141" t="s">
        <v>275</v>
      </c>
      <c r="C6162" s="141" t="s">
        <v>31</v>
      </c>
    </row>
    <row r="6163" spans="1:3" x14ac:dyDescent="0.35">
      <c r="A6163" s="141" t="s">
        <v>708</v>
      </c>
      <c r="B6163" s="141" t="s">
        <v>275</v>
      </c>
      <c r="C6163" s="141" t="s">
        <v>31</v>
      </c>
    </row>
    <row r="6164" spans="1:3" x14ac:dyDescent="0.35">
      <c r="A6164" s="141" t="s">
        <v>709</v>
      </c>
      <c r="B6164" s="141" t="s">
        <v>275</v>
      </c>
      <c r="C6164" s="141" t="s">
        <v>31</v>
      </c>
    </row>
    <row r="6165" spans="1:3" x14ac:dyDescent="0.35">
      <c r="A6165" s="141" t="s">
        <v>710</v>
      </c>
      <c r="B6165" s="141" t="s">
        <v>275</v>
      </c>
      <c r="C6165" s="141" t="s">
        <v>31</v>
      </c>
    </row>
    <row r="6166" spans="1:3" x14ac:dyDescent="0.35">
      <c r="A6166" s="141" t="s">
        <v>456</v>
      </c>
      <c r="B6166" s="141" t="s">
        <v>275</v>
      </c>
      <c r="C6166" s="141" t="s">
        <v>31</v>
      </c>
    </row>
    <row r="6167" spans="1:3" x14ac:dyDescent="0.35">
      <c r="A6167" s="141" t="s">
        <v>902</v>
      </c>
      <c r="B6167" s="141" t="s">
        <v>275</v>
      </c>
      <c r="C6167" s="141" t="s">
        <v>31</v>
      </c>
    </row>
    <row r="6168" spans="1:3" x14ac:dyDescent="0.35">
      <c r="A6168" s="141" t="s">
        <v>903</v>
      </c>
      <c r="B6168" s="141" t="s">
        <v>275</v>
      </c>
      <c r="C6168" s="141" t="s">
        <v>31</v>
      </c>
    </row>
    <row r="6169" spans="1:3" x14ac:dyDescent="0.35">
      <c r="A6169" s="141" t="s">
        <v>904</v>
      </c>
      <c r="B6169" s="141" t="s">
        <v>275</v>
      </c>
      <c r="C6169" s="141" t="s">
        <v>31</v>
      </c>
    </row>
    <row r="6170" spans="1:3" x14ac:dyDescent="0.35">
      <c r="A6170" s="141" t="s">
        <v>905</v>
      </c>
      <c r="B6170" s="141" t="s">
        <v>275</v>
      </c>
      <c r="C6170" s="141" t="s">
        <v>31</v>
      </c>
    </row>
    <row r="6171" spans="1:3" x14ac:dyDescent="0.35">
      <c r="A6171" s="141" t="s">
        <v>906</v>
      </c>
      <c r="B6171" s="141" t="s">
        <v>275</v>
      </c>
      <c r="C6171" s="141" t="s">
        <v>31</v>
      </c>
    </row>
    <row r="6172" spans="1:3" x14ac:dyDescent="0.35">
      <c r="A6172" s="141" t="s">
        <v>907</v>
      </c>
      <c r="B6172" s="141" t="s">
        <v>275</v>
      </c>
      <c r="C6172" s="141" t="s">
        <v>31</v>
      </c>
    </row>
    <row r="6173" spans="1:3" x14ac:dyDescent="0.35">
      <c r="A6173" s="141" t="s">
        <v>908</v>
      </c>
      <c r="B6173" s="141" t="s">
        <v>275</v>
      </c>
      <c r="C6173" s="141" t="s">
        <v>31</v>
      </c>
    </row>
    <row r="6174" spans="1:3" x14ac:dyDescent="0.35">
      <c r="A6174" s="141" t="s">
        <v>909</v>
      </c>
      <c r="B6174" s="141" t="s">
        <v>275</v>
      </c>
      <c r="C6174" s="141" t="s">
        <v>31</v>
      </c>
    </row>
    <row r="6175" spans="1:3" x14ac:dyDescent="0.35">
      <c r="A6175" s="141" t="s">
        <v>297</v>
      </c>
      <c r="B6175" s="141" t="s">
        <v>275</v>
      </c>
      <c r="C6175" s="141" t="s">
        <v>32</v>
      </c>
    </row>
    <row r="6176" spans="1:3" x14ac:dyDescent="0.35">
      <c r="A6176" s="141" t="s">
        <v>298</v>
      </c>
      <c r="B6176" s="141" t="s">
        <v>275</v>
      </c>
      <c r="C6176" s="141" t="s">
        <v>32</v>
      </c>
    </row>
    <row r="6177" spans="1:3" x14ac:dyDescent="0.35">
      <c r="A6177" s="141" t="s">
        <v>299</v>
      </c>
      <c r="B6177" s="141" t="s">
        <v>275</v>
      </c>
      <c r="C6177" s="141" t="s">
        <v>32</v>
      </c>
    </row>
    <row r="6178" spans="1:3" x14ac:dyDescent="0.35">
      <c r="A6178" s="141" t="s">
        <v>300</v>
      </c>
      <c r="B6178" s="141" t="s">
        <v>275</v>
      </c>
      <c r="C6178" s="141" t="s">
        <v>32</v>
      </c>
    </row>
    <row r="6179" spans="1:3" x14ac:dyDescent="0.35">
      <c r="A6179" s="141" t="s">
        <v>301</v>
      </c>
      <c r="B6179" s="141" t="s">
        <v>275</v>
      </c>
      <c r="C6179" s="141" t="s">
        <v>32</v>
      </c>
    </row>
    <row r="6180" spans="1:3" x14ac:dyDescent="0.35">
      <c r="A6180" s="141" t="s">
        <v>302</v>
      </c>
      <c r="B6180" s="141" t="s">
        <v>275</v>
      </c>
      <c r="C6180" s="141" t="s">
        <v>32</v>
      </c>
    </row>
    <row r="6181" spans="1:3" x14ac:dyDescent="0.35">
      <c r="A6181" s="141" t="s">
        <v>997</v>
      </c>
      <c r="B6181" s="141" t="s">
        <v>275</v>
      </c>
      <c r="C6181" s="141" t="s">
        <v>32</v>
      </c>
    </row>
    <row r="6182" spans="1:3" x14ac:dyDescent="0.35">
      <c r="A6182" s="141" t="s">
        <v>932</v>
      </c>
      <c r="B6182" s="141" t="s">
        <v>275</v>
      </c>
      <c r="C6182" s="141" t="s">
        <v>49</v>
      </c>
    </row>
    <row r="6183" spans="1:3" x14ac:dyDescent="0.35">
      <c r="A6183" s="141" t="s">
        <v>940</v>
      </c>
      <c r="B6183" s="141" t="s">
        <v>275</v>
      </c>
      <c r="C6183" s="141" t="s">
        <v>49</v>
      </c>
    </row>
    <row r="6184" spans="1:3" x14ac:dyDescent="0.35">
      <c r="A6184" s="141" t="s">
        <v>941</v>
      </c>
      <c r="B6184" s="141" t="s">
        <v>275</v>
      </c>
      <c r="C6184" s="141" t="s">
        <v>49</v>
      </c>
    </row>
    <row r="6185" spans="1:3" x14ac:dyDescent="0.35">
      <c r="A6185" s="141" t="s">
        <v>933</v>
      </c>
      <c r="B6185" s="141" t="s">
        <v>275</v>
      </c>
      <c r="C6185" s="141" t="s">
        <v>32</v>
      </c>
    </row>
    <row r="6186" spans="1:3" x14ac:dyDescent="0.35">
      <c r="A6186" s="141" t="s">
        <v>935</v>
      </c>
      <c r="B6186" s="141" t="s">
        <v>275</v>
      </c>
      <c r="C6186" s="141" t="s">
        <v>32</v>
      </c>
    </row>
    <row r="6187" spans="1:3" x14ac:dyDescent="0.35">
      <c r="A6187" s="141" t="s">
        <v>937</v>
      </c>
      <c r="B6187" s="141" t="s">
        <v>275</v>
      </c>
      <c r="C6187" s="141" t="s">
        <v>32</v>
      </c>
    </row>
    <row r="6188" spans="1:3" x14ac:dyDescent="0.35">
      <c r="A6188" s="141" t="s">
        <v>938</v>
      </c>
      <c r="B6188" s="141" t="s">
        <v>275</v>
      </c>
      <c r="C6188" s="141" t="s">
        <v>32</v>
      </c>
    </row>
    <row r="6189" spans="1:3" x14ac:dyDescent="0.35">
      <c r="A6189" s="141" t="s">
        <v>939</v>
      </c>
      <c r="B6189" s="141" t="s">
        <v>275</v>
      </c>
      <c r="C6189" s="141" t="s">
        <v>32</v>
      </c>
    </row>
    <row r="6190" spans="1:3" x14ac:dyDescent="0.35">
      <c r="A6190" s="141" t="s">
        <v>942</v>
      </c>
      <c r="B6190" s="141" t="s">
        <v>275</v>
      </c>
      <c r="C6190" s="141" t="s">
        <v>32</v>
      </c>
    </row>
    <row r="6191" spans="1:3" x14ac:dyDescent="0.35">
      <c r="A6191" s="141" t="s">
        <v>943</v>
      </c>
      <c r="B6191" s="141" t="s">
        <v>275</v>
      </c>
      <c r="C6191" s="141" t="s">
        <v>32</v>
      </c>
    </row>
    <row r="6192" spans="1:3" x14ac:dyDescent="0.35">
      <c r="A6192" s="141" t="s">
        <v>944</v>
      </c>
      <c r="B6192" s="141" t="s">
        <v>275</v>
      </c>
      <c r="C6192" s="141" t="s">
        <v>32</v>
      </c>
    </row>
    <row r="6193" spans="1:3" x14ac:dyDescent="0.35">
      <c r="A6193" s="141" t="s">
        <v>934</v>
      </c>
      <c r="B6193" s="141" t="s">
        <v>275</v>
      </c>
      <c r="C6193" s="141" t="s">
        <v>32</v>
      </c>
    </row>
    <row r="6194" spans="1:3" x14ac:dyDescent="0.35">
      <c r="A6194" s="141" t="s">
        <v>936</v>
      </c>
      <c r="B6194" s="141" t="s">
        <v>275</v>
      </c>
      <c r="C6194" s="141" t="s">
        <v>32</v>
      </c>
    </row>
    <row r="6195" spans="1:3" x14ac:dyDescent="0.35">
      <c r="A6195" s="141" t="s">
        <v>945</v>
      </c>
      <c r="B6195" s="141" t="s">
        <v>275</v>
      </c>
      <c r="C6195" s="141" t="s">
        <v>32</v>
      </c>
    </row>
    <row r="6196" spans="1:3" x14ac:dyDescent="0.35">
      <c r="A6196" s="141" t="s">
        <v>861</v>
      </c>
      <c r="B6196" s="141" t="s">
        <v>275</v>
      </c>
      <c r="C6196" s="141" t="s">
        <v>33</v>
      </c>
    </row>
    <row r="6197" spans="1:3" x14ac:dyDescent="0.35">
      <c r="A6197" s="141" t="s">
        <v>862</v>
      </c>
      <c r="B6197" s="141" t="s">
        <v>275</v>
      </c>
      <c r="C6197" s="141" t="s">
        <v>33</v>
      </c>
    </row>
    <row r="6198" spans="1:3" x14ac:dyDescent="0.35">
      <c r="A6198" s="141" t="s">
        <v>516</v>
      </c>
      <c r="B6198" s="141" t="s">
        <v>275</v>
      </c>
      <c r="C6198" s="141" t="s">
        <v>33</v>
      </c>
    </row>
    <row r="6199" spans="1:3" x14ac:dyDescent="0.35">
      <c r="A6199" s="141" t="s">
        <v>955</v>
      </c>
      <c r="B6199" s="141" t="s">
        <v>275</v>
      </c>
      <c r="C6199" s="141" t="s">
        <v>33</v>
      </c>
    </row>
    <row r="6200" spans="1:3" x14ac:dyDescent="0.35">
      <c r="A6200" s="141" t="s">
        <v>956</v>
      </c>
      <c r="B6200" s="141" t="s">
        <v>275</v>
      </c>
      <c r="C6200" s="141" t="s">
        <v>33</v>
      </c>
    </row>
    <row r="6201" spans="1:3" x14ac:dyDescent="0.35">
      <c r="A6201" s="141" t="s">
        <v>910</v>
      </c>
      <c r="B6201" s="141" t="s">
        <v>275</v>
      </c>
      <c r="C6201" s="141" t="s">
        <v>33</v>
      </c>
    </row>
    <row r="6202" spans="1:3" x14ac:dyDescent="0.35">
      <c r="A6202" s="141" t="s">
        <v>911</v>
      </c>
      <c r="B6202" s="141" t="s">
        <v>275</v>
      </c>
      <c r="C6202" s="141" t="s">
        <v>33</v>
      </c>
    </row>
    <row r="6203" spans="1:3" x14ac:dyDescent="0.35">
      <c r="A6203" s="141" t="s">
        <v>912</v>
      </c>
      <c r="B6203" s="141" t="s">
        <v>275</v>
      </c>
      <c r="C6203" s="141" t="s">
        <v>33</v>
      </c>
    </row>
    <row r="6204" spans="1:3" x14ac:dyDescent="0.35">
      <c r="A6204" s="141" t="s">
        <v>998</v>
      </c>
      <c r="B6204" s="141" t="s">
        <v>275</v>
      </c>
      <c r="C6204" s="141" t="s">
        <v>28</v>
      </c>
    </row>
    <row r="6205" spans="1:3" x14ac:dyDescent="0.35">
      <c r="A6205" s="141" t="s">
        <v>999</v>
      </c>
      <c r="B6205" s="141" t="s">
        <v>275</v>
      </c>
      <c r="C6205" s="141" t="s">
        <v>29</v>
      </c>
    </row>
    <row r="6206" spans="1:3" x14ac:dyDescent="0.35">
      <c r="A6206" s="141" t="s">
        <v>1000</v>
      </c>
      <c r="B6206" s="141" t="s">
        <v>275</v>
      </c>
      <c r="C6206" s="141" t="s">
        <v>29</v>
      </c>
    </row>
    <row r="6207" spans="1:3" x14ac:dyDescent="0.35">
      <c r="A6207" s="141" t="s">
        <v>929</v>
      </c>
      <c r="B6207" s="141" t="s">
        <v>275</v>
      </c>
      <c r="C6207" s="141" t="s">
        <v>28</v>
      </c>
    </row>
    <row r="6208" spans="1:3" x14ac:dyDescent="0.35">
      <c r="A6208" s="141" t="s">
        <v>930</v>
      </c>
      <c r="B6208" s="141" t="s">
        <v>275</v>
      </c>
      <c r="C6208" s="141" t="s">
        <v>28</v>
      </c>
    </row>
    <row r="6209" spans="1:3" x14ac:dyDescent="0.35">
      <c r="A6209" s="141" t="s">
        <v>863</v>
      </c>
      <c r="B6209" s="141" t="s">
        <v>275</v>
      </c>
      <c r="C6209" s="141" t="s">
        <v>30</v>
      </c>
    </row>
    <row r="6210" spans="1:3" x14ac:dyDescent="0.35">
      <c r="A6210" s="141" t="s">
        <v>864</v>
      </c>
      <c r="B6210" s="141" t="s">
        <v>275</v>
      </c>
      <c r="C6210" s="141" t="s">
        <v>30</v>
      </c>
    </row>
    <row r="6211" spans="1:3" x14ac:dyDescent="0.35">
      <c r="A6211" s="141" t="s">
        <v>865</v>
      </c>
      <c r="B6211" s="141" t="s">
        <v>275</v>
      </c>
      <c r="C6211" s="141" t="s">
        <v>34</v>
      </c>
    </row>
    <row r="6212" spans="1:3" x14ac:dyDescent="0.35">
      <c r="A6212" s="141" t="s">
        <v>866</v>
      </c>
      <c r="B6212" s="141" t="s">
        <v>275</v>
      </c>
      <c r="C6212" s="141" t="s">
        <v>34</v>
      </c>
    </row>
    <row r="6213" spans="1:3" x14ac:dyDescent="0.35">
      <c r="A6213" s="141" t="s">
        <v>784</v>
      </c>
      <c r="B6213" s="141" t="s">
        <v>275</v>
      </c>
      <c r="C6213" s="141" t="s">
        <v>30</v>
      </c>
    </row>
    <row r="6214" spans="1:3" x14ac:dyDescent="0.35">
      <c r="A6214" s="141" t="s">
        <v>867</v>
      </c>
      <c r="B6214" s="141" t="s">
        <v>275</v>
      </c>
      <c r="C6214" s="141" t="s">
        <v>30</v>
      </c>
    </row>
    <row r="6215" spans="1:3" x14ac:dyDescent="0.35">
      <c r="A6215" s="141" t="s">
        <v>525</v>
      </c>
      <c r="B6215" s="141" t="s">
        <v>275</v>
      </c>
      <c r="C6215" s="141" t="s">
        <v>46</v>
      </c>
    </row>
    <row r="6216" spans="1:3" x14ac:dyDescent="0.35">
      <c r="A6216" s="141" t="s">
        <v>1001</v>
      </c>
      <c r="B6216" s="141" t="s">
        <v>275</v>
      </c>
      <c r="C6216" s="141" t="s">
        <v>32</v>
      </c>
    </row>
    <row r="6217" spans="1:3" x14ac:dyDescent="0.35">
      <c r="A6217" s="141" t="s">
        <v>870</v>
      </c>
      <c r="B6217" s="141" t="s">
        <v>275</v>
      </c>
      <c r="C6217" s="141" t="s">
        <v>32</v>
      </c>
    </row>
    <row r="6218" spans="1:3" x14ac:dyDescent="0.35">
      <c r="A6218" s="141" t="s">
        <v>958</v>
      </c>
      <c r="B6218" s="141" t="s">
        <v>275</v>
      </c>
      <c r="C6218" s="141" t="s">
        <v>25</v>
      </c>
    </row>
    <row r="6219" spans="1:3" x14ac:dyDescent="0.35">
      <c r="A6219" s="141" t="s">
        <v>562</v>
      </c>
      <c r="B6219" s="141" t="s">
        <v>275</v>
      </c>
      <c r="C6219" s="141" t="s">
        <v>48</v>
      </c>
    </row>
    <row r="6220" spans="1:3" x14ac:dyDescent="0.35">
      <c r="A6220" s="141" t="s">
        <v>308</v>
      </c>
      <c r="B6220" s="141" t="s">
        <v>275</v>
      </c>
      <c r="C6220" s="141" t="s">
        <v>53</v>
      </c>
    </row>
    <row r="6221" spans="1:3" x14ac:dyDescent="0.35">
      <c r="A6221" s="141" t="s">
        <v>309</v>
      </c>
      <c r="B6221" s="141" t="s">
        <v>275</v>
      </c>
      <c r="C6221" s="141" t="s">
        <v>53</v>
      </c>
    </row>
    <row r="6222" spans="1:3" x14ac:dyDescent="0.35">
      <c r="A6222" s="141" t="s">
        <v>311</v>
      </c>
      <c r="B6222" s="141" t="s">
        <v>275</v>
      </c>
      <c r="C6222" s="141" t="s">
        <v>53</v>
      </c>
    </row>
    <row r="6223" spans="1:3" x14ac:dyDescent="0.35">
      <c r="A6223" s="141" t="s">
        <v>534</v>
      </c>
      <c r="B6223" s="141" t="s">
        <v>275</v>
      </c>
      <c r="C6223" s="141" t="s">
        <v>53</v>
      </c>
    </row>
    <row r="6224" spans="1:3" x14ac:dyDescent="0.35">
      <c r="A6224" s="141" t="s">
        <v>312</v>
      </c>
      <c r="B6224" s="141" t="s">
        <v>275</v>
      </c>
      <c r="C6224" s="141" t="s">
        <v>53</v>
      </c>
    </row>
    <row r="6225" spans="1:3" x14ac:dyDescent="0.35">
      <c r="A6225" s="141" t="s">
        <v>965</v>
      </c>
      <c r="B6225" s="141" t="s">
        <v>275</v>
      </c>
      <c r="C6225" s="141" t="s">
        <v>52</v>
      </c>
    </row>
    <row r="6226" spans="1:3" x14ac:dyDescent="0.35">
      <c r="A6226" s="141" t="s">
        <v>1002</v>
      </c>
      <c r="B6226" s="141" t="s">
        <v>275</v>
      </c>
      <c r="C6226" s="141" t="s">
        <v>25</v>
      </c>
    </row>
    <row r="6227" spans="1:3" x14ac:dyDescent="0.35">
      <c r="A6227" s="141" t="s">
        <v>959</v>
      </c>
      <c r="B6227" s="141" t="s">
        <v>275</v>
      </c>
      <c r="C6227" s="141" t="s">
        <v>53</v>
      </c>
    </row>
    <row r="6228" spans="1:3" x14ac:dyDescent="0.35">
      <c r="A6228" s="141" t="s">
        <v>960</v>
      </c>
      <c r="B6228" s="141" t="s">
        <v>275</v>
      </c>
      <c r="C6228" s="141" t="s">
        <v>52</v>
      </c>
    </row>
    <row r="6229" spans="1:3" x14ac:dyDescent="0.35">
      <c r="A6229" s="141" t="s">
        <v>873</v>
      </c>
      <c r="B6229" s="141" t="s">
        <v>275</v>
      </c>
      <c r="C6229" s="141" t="s">
        <v>52</v>
      </c>
    </row>
    <row r="6230" spans="1:3" x14ac:dyDescent="0.35">
      <c r="A6230" s="141" t="s">
        <v>874</v>
      </c>
      <c r="B6230" s="141" t="s">
        <v>275</v>
      </c>
      <c r="C6230" s="141" t="s">
        <v>52</v>
      </c>
    </row>
    <row r="6231" spans="1:3" x14ac:dyDescent="0.35">
      <c r="A6231" s="141" t="s">
        <v>1003</v>
      </c>
      <c r="B6231" s="141" t="s">
        <v>275</v>
      </c>
      <c r="C6231" s="141" t="s">
        <v>52</v>
      </c>
    </row>
    <row r="6232" spans="1:3" x14ac:dyDescent="0.35">
      <c r="A6232" s="141" t="s">
        <v>875</v>
      </c>
      <c r="B6232" s="141" t="s">
        <v>275</v>
      </c>
      <c r="C6232" s="141" t="s">
        <v>52</v>
      </c>
    </row>
    <row r="6233" spans="1:3" x14ac:dyDescent="0.35">
      <c r="A6233" s="141" t="s">
        <v>876</v>
      </c>
      <c r="B6233" s="141" t="s">
        <v>275</v>
      </c>
      <c r="C6233" s="141" t="s">
        <v>52</v>
      </c>
    </row>
    <row r="6234" spans="1:3" x14ac:dyDescent="0.35">
      <c r="A6234" s="141" t="s">
        <v>877</v>
      </c>
      <c r="B6234" s="141" t="s">
        <v>275</v>
      </c>
      <c r="C6234" s="141" t="s">
        <v>52</v>
      </c>
    </row>
    <row r="6235" spans="1:3" x14ac:dyDescent="0.35">
      <c r="A6235" s="141" t="s">
        <v>878</v>
      </c>
      <c r="B6235" s="141" t="s">
        <v>275</v>
      </c>
      <c r="C6235" s="141" t="s">
        <v>52</v>
      </c>
    </row>
    <row r="6236" spans="1:3" x14ac:dyDescent="0.35">
      <c r="A6236" s="141" t="s">
        <v>539</v>
      </c>
      <c r="B6236" s="141" t="s">
        <v>275</v>
      </c>
      <c r="C6236" s="141" t="s">
        <v>52</v>
      </c>
    </row>
    <row r="6237" spans="1:3" x14ac:dyDescent="0.35">
      <c r="A6237" s="141" t="s">
        <v>540</v>
      </c>
      <c r="B6237" s="141" t="s">
        <v>275</v>
      </c>
      <c r="C6237" s="141" t="s">
        <v>52</v>
      </c>
    </row>
    <row r="6238" spans="1:3" x14ac:dyDescent="0.35">
      <c r="A6238" s="141" t="s">
        <v>812</v>
      </c>
      <c r="B6238" s="141" t="s">
        <v>275</v>
      </c>
      <c r="C6238" s="141" t="s">
        <v>52</v>
      </c>
    </row>
    <row r="6239" spans="1:3" x14ac:dyDescent="0.35">
      <c r="A6239" s="141" t="s">
        <v>803</v>
      </c>
      <c r="B6239" s="141" t="s">
        <v>275</v>
      </c>
      <c r="C6239" s="141" t="s">
        <v>52</v>
      </c>
    </row>
    <row r="6240" spans="1:3" x14ac:dyDescent="0.35">
      <c r="A6240" s="141" t="s">
        <v>966</v>
      </c>
      <c r="B6240" s="141" t="s">
        <v>275</v>
      </c>
      <c r="C6240" s="141" t="s">
        <v>53</v>
      </c>
    </row>
    <row r="6241" spans="1:3" x14ac:dyDescent="0.35">
      <c r="A6241" s="141" t="s">
        <v>967</v>
      </c>
      <c r="B6241" s="141" t="s">
        <v>275</v>
      </c>
      <c r="C6241" s="141" t="s">
        <v>53</v>
      </c>
    </row>
    <row r="6242" spans="1:3" x14ac:dyDescent="0.35">
      <c r="A6242" s="141" t="s">
        <v>968</v>
      </c>
      <c r="B6242" s="141" t="s">
        <v>275</v>
      </c>
      <c r="C6242" s="141" t="s">
        <v>53</v>
      </c>
    </row>
    <row r="6243" spans="1:3" x14ac:dyDescent="0.35">
      <c r="A6243" s="141" t="s">
        <v>969</v>
      </c>
      <c r="B6243" s="141" t="s">
        <v>275</v>
      </c>
      <c r="C6243" s="141" t="s">
        <v>53</v>
      </c>
    </row>
    <row r="6244" spans="1:3" x14ac:dyDescent="0.35">
      <c r="A6244" s="141" t="s">
        <v>970</v>
      </c>
      <c r="B6244" s="141" t="s">
        <v>275</v>
      </c>
      <c r="C6244" s="141" t="s">
        <v>53</v>
      </c>
    </row>
    <row r="6245" spans="1:3" x14ac:dyDescent="0.35">
      <c r="A6245" s="141" t="s">
        <v>804</v>
      </c>
      <c r="B6245" s="141" t="s">
        <v>275</v>
      </c>
      <c r="C6245" s="141" t="s">
        <v>53</v>
      </c>
    </row>
    <row r="6246" spans="1:3" x14ac:dyDescent="0.35">
      <c r="A6246" s="141" t="s">
        <v>805</v>
      </c>
      <c r="B6246" s="141" t="s">
        <v>275</v>
      </c>
      <c r="C6246" s="141" t="s">
        <v>52</v>
      </c>
    </row>
    <row r="6247" spans="1:3" x14ac:dyDescent="0.35">
      <c r="A6247" s="141" t="s">
        <v>879</v>
      </c>
      <c r="B6247" s="141" t="s">
        <v>275</v>
      </c>
      <c r="C6247" s="141" t="s">
        <v>52</v>
      </c>
    </row>
    <row r="6248" spans="1:3" x14ac:dyDescent="0.35">
      <c r="A6248" s="141" t="s">
        <v>880</v>
      </c>
      <c r="B6248" s="141" t="s">
        <v>275</v>
      </c>
      <c r="C6248" s="141" t="s">
        <v>52</v>
      </c>
    </row>
    <row r="6249" spans="1:3" x14ac:dyDescent="0.35">
      <c r="A6249" s="141" t="s">
        <v>314</v>
      </c>
      <c r="B6249" s="141" t="s">
        <v>275</v>
      </c>
      <c r="C6249" s="141" t="s">
        <v>16</v>
      </c>
    </row>
    <row r="6250" spans="1:3" x14ac:dyDescent="0.35">
      <c r="A6250" s="141" t="s">
        <v>316</v>
      </c>
      <c r="B6250" s="141" t="s">
        <v>275</v>
      </c>
      <c r="C6250" s="141" t="s">
        <v>16</v>
      </c>
    </row>
    <row r="6251" spans="1:3" x14ac:dyDescent="0.35">
      <c r="A6251" s="141" t="s">
        <v>317</v>
      </c>
      <c r="B6251" s="141" t="s">
        <v>275</v>
      </c>
      <c r="C6251" s="141" t="s">
        <v>16</v>
      </c>
    </row>
    <row r="6252" spans="1:3" x14ac:dyDescent="0.35">
      <c r="A6252" s="141" t="s">
        <v>318</v>
      </c>
      <c r="B6252" s="141" t="s">
        <v>275</v>
      </c>
      <c r="C6252" s="141" t="s">
        <v>16</v>
      </c>
    </row>
    <row r="6253" spans="1:3" x14ac:dyDescent="0.35">
      <c r="A6253" s="141" t="s">
        <v>319</v>
      </c>
      <c r="B6253" s="141" t="s">
        <v>275</v>
      </c>
      <c r="C6253" s="141" t="s">
        <v>16</v>
      </c>
    </row>
    <row r="6254" spans="1:3" x14ac:dyDescent="0.35">
      <c r="A6254" s="141" t="s">
        <v>320</v>
      </c>
      <c r="B6254" s="141" t="s">
        <v>275</v>
      </c>
      <c r="C6254" s="141" t="s">
        <v>16</v>
      </c>
    </row>
    <row r="6255" spans="1:3" x14ac:dyDescent="0.35">
      <c r="A6255" s="141" t="s">
        <v>321</v>
      </c>
      <c r="B6255" s="141" t="s">
        <v>275</v>
      </c>
      <c r="C6255" s="141" t="s">
        <v>16</v>
      </c>
    </row>
    <row r="6256" spans="1:3" x14ac:dyDescent="0.35">
      <c r="A6256" s="141" t="s">
        <v>322</v>
      </c>
      <c r="B6256" s="141" t="s">
        <v>275</v>
      </c>
      <c r="C6256" s="141" t="s">
        <v>16</v>
      </c>
    </row>
    <row r="6257" spans="1:3" x14ac:dyDescent="0.35">
      <c r="A6257" s="141" t="s">
        <v>323</v>
      </c>
      <c r="B6257" s="141" t="s">
        <v>275</v>
      </c>
      <c r="C6257" s="141" t="s">
        <v>16</v>
      </c>
    </row>
    <row r="6258" spans="1:3" x14ac:dyDescent="0.35">
      <c r="A6258" s="141" t="s">
        <v>324</v>
      </c>
      <c r="B6258" s="141" t="s">
        <v>275</v>
      </c>
      <c r="C6258" s="141" t="s">
        <v>16</v>
      </c>
    </row>
    <row r="6259" spans="1:3" x14ac:dyDescent="0.35">
      <c r="A6259" s="141" t="s">
        <v>325</v>
      </c>
      <c r="B6259" s="141" t="s">
        <v>275</v>
      </c>
      <c r="C6259" s="141" t="s">
        <v>16</v>
      </c>
    </row>
    <row r="6260" spans="1:3" x14ac:dyDescent="0.35">
      <c r="A6260" s="141" t="s">
        <v>326</v>
      </c>
      <c r="B6260" s="141" t="s">
        <v>275</v>
      </c>
      <c r="C6260" s="141" t="s">
        <v>16</v>
      </c>
    </row>
    <row r="6261" spans="1:3" x14ac:dyDescent="0.35">
      <c r="A6261" s="141" t="s">
        <v>971</v>
      </c>
      <c r="B6261" s="141" t="s">
        <v>275</v>
      </c>
      <c r="C6261" s="141" t="s">
        <v>16</v>
      </c>
    </row>
    <row r="6262" spans="1:3" x14ac:dyDescent="0.35">
      <c r="A6262" s="141" t="s">
        <v>327</v>
      </c>
      <c r="B6262" s="141" t="s">
        <v>275</v>
      </c>
      <c r="C6262" s="141" t="s">
        <v>16</v>
      </c>
    </row>
    <row r="6263" spans="1:3" x14ac:dyDescent="0.35">
      <c r="A6263" s="141" t="s">
        <v>972</v>
      </c>
      <c r="B6263" s="141" t="s">
        <v>275</v>
      </c>
      <c r="C6263" s="141" t="s">
        <v>16</v>
      </c>
    </row>
    <row r="6264" spans="1:3" x14ac:dyDescent="0.35">
      <c r="A6264" s="141" t="s">
        <v>328</v>
      </c>
      <c r="B6264" s="141" t="s">
        <v>275</v>
      </c>
      <c r="C6264" s="141" t="s">
        <v>16</v>
      </c>
    </row>
    <row r="6265" spans="1:3" x14ac:dyDescent="0.35">
      <c r="A6265" s="141" t="s">
        <v>1004</v>
      </c>
      <c r="B6265" s="141" t="s">
        <v>275</v>
      </c>
      <c r="C6265" s="141" t="s">
        <v>16</v>
      </c>
    </row>
    <row r="6266" spans="1:3" x14ac:dyDescent="0.35">
      <c r="A6266" s="141" t="s">
        <v>331</v>
      </c>
      <c r="B6266" s="141" t="s">
        <v>275</v>
      </c>
      <c r="C6266" s="141" t="s">
        <v>16</v>
      </c>
    </row>
    <row r="6267" spans="1:3" x14ac:dyDescent="0.35">
      <c r="A6267" s="141" t="s">
        <v>332</v>
      </c>
      <c r="B6267" s="141" t="s">
        <v>275</v>
      </c>
      <c r="C6267" s="141" t="s">
        <v>16</v>
      </c>
    </row>
    <row r="6268" spans="1:3" x14ac:dyDescent="0.35">
      <c r="A6268" s="141" t="s">
        <v>333</v>
      </c>
      <c r="B6268" s="141" t="s">
        <v>275</v>
      </c>
      <c r="C6268" s="141" t="s">
        <v>16</v>
      </c>
    </row>
    <row r="6269" spans="1:3" x14ac:dyDescent="0.35">
      <c r="A6269" s="141" t="s">
        <v>1005</v>
      </c>
      <c r="B6269" s="141" t="s">
        <v>275</v>
      </c>
      <c r="C6269" s="141" t="s">
        <v>16</v>
      </c>
    </row>
    <row r="6270" spans="1:3" x14ac:dyDescent="0.35">
      <c r="A6270" s="141" t="s">
        <v>334</v>
      </c>
      <c r="B6270" s="141" t="s">
        <v>275</v>
      </c>
      <c r="C6270" s="141" t="s">
        <v>16</v>
      </c>
    </row>
    <row r="6271" spans="1:3" x14ac:dyDescent="0.35">
      <c r="A6271" s="141" t="s">
        <v>881</v>
      </c>
      <c r="B6271" s="141" t="s">
        <v>275</v>
      </c>
      <c r="C6271" s="141" t="s">
        <v>16</v>
      </c>
    </row>
    <row r="6272" spans="1:3" x14ac:dyDescent="0.35">
      <c r="A6272" s="141" t="s">
        <v>974</v>
      </c>
      <c r="B6272" s="141" t="s">
        <v>275</v>
      </c>
      <c r="C6272" s="141" t="s">
        <v>16</v>
      </c>
    </row>
    <row r="6273" spans="1:3" x14ac:dyDescent="0.35">
      <c r="A6273" s="141" t="s">
        <v>330</v>
      </c>
      <c r="B6273" s="141" t="s">
        <v>275</v>
      </c>
      <c r="C6273" s="141" t="s">
        <v>16</v>
      </c>
    </row>
    <row r="6274" spans="1:3" x14ac:dyDescent="0.35">
      <c r="A6274" s="141" t="s">
        <v>531</v>
      </c>
      <c r="B6274" s="141" t="s">
        <v>275</v>
      </c>
      <c r="C6274" s="141" t="s">
        <v>51</v>
      </c>
    </row>
    <row r="6275" spans="1:3" x14ac:dyDescent="0.35">
      <c r="A6275" s="141" t="s">
        <v>741</v>
      </c>
      <c r="B6275" s="141" t="s">
        <v>275</v>
      </c>
      <c r="C6275" s="141" t="s">
        <v>51</v>
      </c>
    </row>
    <row r="6276" spans="1:3" x14ac:dyDescent="0.35">
      <c r="A6276" s="141" t="s">
        <v>742</v>
      </c>
      <c r="B6276" s="141" t="s">
        <v>275</v>
      </c>
      <c r="C6276" s="141" t="s">
        <v>51</v>
      </c>
    </row>
    <row r="6277" spans="1:3" x14ac:dyDescent="0.35">
      <c r="A6277" s="141" t="s">
        <v>743</v>
      </c>
      <c r="B6277" s="141" t="s">
        <v>275</v>
      </c>
      <c r="C6277" s="141" t="s">
        <v>51</v>
      </c>
    </row>
    <row r="6278" spans="1:3" x14ac:dyDescent="0.35">
      <c r="A6278" s="141" t="s">
        <v>747</v>
      </c>
      <c r="B6278" s="141" t="s">
        <v>275</v>
      </c>
      <c r="C6278" s="141" t="s">
        <v>51</v>
      </c>
    </row>
    <row r="6279" spans="1:3" x14ac:dyDescent="0.35">
      <c r="A6279" s="141" t="s">
        <v>748</v>
      </c>
      <c r="B6279" s="141" t="s">
        <v>275</v>
      </c>
      <c r="C6279" s="141" t="s">
        <v>51</v>
      </c>
    </row>
    <row r="6280" spans="1:3" x14ac:dyDescent="0.35">
      <c r="A6280" s="141" t="s">
        <v>533</v>
      </c>
      <c r="B6280" s="141" t="s">
        <v>275</v>
      </c>
      <c r="C6280" s="141" t="s">
        <v>50</v>
      </c>
    </row>
    <row r="6281" spans="1:3" x14ac:dyDescent="0.35">
      <c r="A6281" s="141" t="s">
        <v>954</v>
      </c>
      <c r="B6281" s="141" t="s">
        <v>275</v>
      </c>
      <c r="C6281" s="141" t="s">
        <v>35</v>
      </c>
    </row>
    <row r="6282" spans="1:3" x14ac:dyDescent="0.35">
      <c r="A6282" s="141" t="s">
        <v>975</v>
      </c>
      <c r="B6282" s="141" t="s">
        <v>275</v>
      </c>
      <c r="C6282" s="141" t="s">
        <v>33</v>
      </c>
    </row>
    <row r="6283" spans="1:3" x14ac:dyDescent="0.35">
      <c r="A6283" s="141" t="s">
        <v>976</v>
      </c>
      <c r="B6283" s="141" t="s">
        <v>275</v>
      </c>
      <c r="C6283" s="141" t="s">
        <v>33</v>
      </c>
    </row>
    <row r="6284" spans="1:3" x14ac:dyDescent="0.35">
      <c r="A6284" s="141" t="s">
        <v>740</v>
      </c>
      <c r="B6284" s="141" t="s">
        <v>275</v>
      </c>
      <c r="C6284" s="141" t="s">
        <v>33</v>
      </c>
    </row>
    <row r="6285" spans="1:3" x14ac:dyDescent="0.35">
      <c r="A6285" s="141" t="s">
        <v>550</v>
      </c>
      <c r="B6285" s="141" t="s">
        <v>275</v>
      </c>
      <c r="C6285" s="141" t="s">
        <v>33</v>
      </c>
    </row>
    <row r="6286" spans="1:3" x14ac:dyDescent="0.35">
      <c r="A6286" s="141" t="s">
        <v>551</v>
      </c>
      <c r="B6286" s="141" t="s">
        <v>275</v>
      </c>
      <c r="C6286" s="141" t="s">
        <v>33</v>
      </c>
    </row>
    <row r="6287" spans="1:3" x14ac:dyDescent="0.35">
      <c r="A6287" s="141" t="s">
        <v>601</v>
      </c>
      <c r="B6287" s="141" t="s">
        <v>275</v>
      </c>
      <c r="C6287" s="141" t="s">
        <v>40</v>
      </c>
    </row>
    <row r="6288" spans="1:3" x14ac:dyDescent="0.35">
      <c r="A6288" s="141" t="s">
        <v>602</v>
      </c>
      <c r="B6288" s="141" t="s">
        <v>275</v>
      </c>
      <c r="C6288" s="141" t="s">
        <v>39</v>
      </c>
    </row>
    <row r="6289" spans="1:3" x14ac:dyDescent="0.35">
      <c r="A6289" s="141" t="s">
        <v>1006</v>
      </c>
      <c r="B6289" s="141" t="s">
        <v>275</v>
      </c>
      <c r="C6289" s="141" t="s">
        <v>41</v>
      </c>
    </row>
    <row r="6290" spans="1:3" x14ac:dyDescent="0.35">
      <c r="A6290" s="141" t="s">
        <v>737</v>
      </c>
      <c r="B6290" s="141" t="s">
        <v>275</v>
      </c>
      <c r="C6290" s="141" t="s">
        <v>41</v>
      </c>
    </row>
    <row r="6291" spans="1:3" x14ac:dyDescent="0.35">
      <c r="A6291" s="141" t="s">
        <v>738</v>
      </c>
      <c r="B6291" s="141" t="s">
        <v>275</v>
      </c>
      <c r="C6291" s="141" t="s">
        <v>41</v>
      </c>
    </row>
    <row r="6292" spans="1:3" x14ac:dyDescent="0.35">
      <c r="A6292" s="141" t="s">
        <v>797</v>
      </c>
      <c r="B6292" s="141" t="s">
        <v>275</v>
      </c>
      <c r="C6292" s="141" t="s">
        <v>41</v>
      </c>
    </row>
    <row r="6293" spans="1:3" x14ac:dyDescent="0.35">
      <c r="A6293" s="141" t="s">
        <v>1007</v>
      </c>
      <c r="B6293" s="141" t="s">
        <v>275</v>
      </c>
      <c r="C6293" s="141" t="s">
        <v>40</v>
      </c>
    </row>
    <row r="6294" spans="1:3" x14ac:dyDescent="0.35">
      <c r="A6294" s="141" t="s">
        <v>775</v>
      </c>
      <c r="B6294" s="141" t="s">
        <v>275</v>
      </c>
      <c r="C6294" s="141" t="s">
        <v>38</v>
      </c>
    </row>
    <row r="6295" spans="1:3" x14ac:dyDescent="0.35">
      <c r="A6295" s="141" t="s">
        <v>605</v>
      </c>
      <c r="B6295" s="141" t="s">
        <v>275</v>
      </c>
      <c r="C6295" s="141" t="s">
        <v>43</v>
      </c>
    </row>
    <row r="6296" spans="1:3" x14ac:dyDescent="0.35">
      <c r="A6296" s="141" t="s">
        <v>1008</v>
      </c>
      <c r="B6296" s="141" t="s">
        <v>275</v>
      </c>
      <c r="C6296" s="141" t="s">
        <v>43</v>
      </c>
    </row>
    <row r="6297" spans="1:3" x14ac:dyDescent="0.35">
      <c r="A6297" s="141" t="s">
        <v>608</v>
      </c>
      <c r="B6297" s="141" t="s">
        <v>275</v>
      </c>
      <c r="C6297" s="141" t="s">
        <v>43</v>
      </c>
    </row>
    <row r="6298" spans="1:3" x14ac:dyDescent="0.35">
      <c r="A6298" s="141" t="s">
        <v>609</v>
      </c>
      <c r="B6298" s="141" t="s">
        <v>275</v>
      </c>
      <c r="C6298" s="141" t="s">
        <v>43</v>
      </c>
    </row>
    <row r="6299" spans="1:3" x14ac:dyDescent="0.35">
      <c r="A6299" s="141" t="s">
        <v>610</v>
      </c>
      <c r="B6299" s="141" t="s">
        <v>275</v>
      </c>
      <c r="C6299" s="141" t="s">
        <v>43</v>
      </c>
    </row>
    <row r="6300" spans="1:3" x14ac:dyDescent="0.35">
      <c r="A6300" s="141" t="s">
        <v>612</v>
      </c>
      <c r="B6300" s="141" t="s">
        <v>275</v>
      </c>
      <c r="C6300" s="141" t="s">
        <v>43</v>
      </c>
    </row>
    <row r="6301" spans="1:3" x14ac:dyDescent="0.35">
      <c r="A6301" s="141" t="s">
        <v>1009</v>
      </c>
      <c r="B6301" s="141" t="s">
        <v>275</v>
      </c>
      <c r="C6301" s="141" t="s">
        <v>43</v>
      </c>
    </row>
    <row r="6302" spans="1:3" x14ac:dyDescent="0.35">
      <c r="A6302" s="141" t="s">
        <v>615</v>
      </c>
      <c r="B6302" s="141" t="s">
        <v>275</v>
      </c>
      <c r="C6302" s="141" t="s">
        <v>43</v>
      </c>
    </row>
    <row r="6303" spans="1:3" x14ac:dyDescent="0.35">
      <c r="A6303" s="141" t="s">
        <v>616</v>
      </c>
      <c r="B6303" s="141" t="s">
        <v>275</v>
      </c>
      <c r="C6303" s="141" t="s">
        <v>43</v>
      </c>
    </row>
    <row r="6304" spans="1:3" x14ac:dyDescent="0.35">
      <c r="A6304" s="141" t="s">
        <v>854</v>
      </c>
      <c r="B6304" s="141" t="s">
        <v>275</v>
      </c>
      <c r="C6304" s="141" t="s">
        <v>43</v>
      </c>
    </row>
    <row r="6305" spans="1:3" x14ac:dyDescent="0.35">
      <c r="A6305" s="141" t="s">
        <v>618</v>
      </c>
      <c r="B6305" s="141" t="s">
        <v>275</v>
      </c>
      <c r="C6305" s="141" t="s">
        <v>43</v>
      </c>
    </row>
    <row r="6306" spans="1:3" x14ac:dyDescent="0.35">
      <c r="A6306" s="141" t="s">
        <v>619</v>
      </c>
      <c r="B6306" s="141" t="s">
        <v>275</v>
      </c>
      <c r="C6306" s="141" t="s">
        <v>44</v>
      </c>
    </row>
    <row r="6307" spans="1:3" x14ac:dyDescent="0.35">
      <c r="A6307" s="141" t="s">
        <v>1010</v>
      </c>
      <c r="B6307" s="141" t="s">
        <v>275</v>
      </c>
      <c r="C6307" s="141" t="s">
        <v>43</v>
      </c>
    </row>
    <row r="6308" spans="1:3" x14ac:dyDescent="0.35">
      <c r="A6308" s="141" t="s">
        <v>1011</v>
      </c>
      <c r="B6308" s="141" t="s">
        <v>275</v>
      </c>
      <c r="C6308" s="141" t="s">
        <v>43</v>
      </c>
    </row>
    <row r="6309" spans="1:3" x14ac:dyDescent="0.35">
      <c r="A6309" s="141" t="s">
        <v>1012</v>
      </c>
      <c r="B6309" s="141" t="s">
        <v>275</v>
      </c>
      <c r="C6309" s="141" t="s">
        <v>43</v>
      </c>
    </row>
    <row r="6310" spans="1:3" x14ac:dyDescent="0.35">
      <c r="A6310" s="141" t="s">
        <v>1013</v>
      </c>
      <c r="B6310" s="141" t="s">
        <v>275</v>
      </c>
      <c r="C6310" s="141" t="s">
        <v>43</v>
      </c>
    </row>
    <row r="6311" spans="1:3" x14ac:dyDescent="0.35">
      <c r="A6311" s="141" t="s">
        <v>1014</v>
      </c>
      <c r="B6311" s="141" t="s">
        <v>275</v>
      </c>
      <c r="C6311" s="141" t="s">
        <v>43</v>
      </c>
    </row>
    <row r="6312" spans="1:3" x14ac:dyDescent="0.35">
      <c r="A6312" s="141" t="s">
        <v>1015</v>
      </c>
      <c r="B6312" s="141" t="s">
        <v>275</v>
      </c>
      <c r="C6312" s="141" t="s">
        <v>43</v>
      </c>
    </row>
    <row r="6313" spans="1:3" x14ac:dyDescent="0.35">
      <c r="A6313" s="141" t="s">
        <v>840</v>
      </c>
      <c r="B6313" s="141" t="s">
        <v>275</v>
      </c>
      <c r="C6313" s="141" t="s">
        <v>10</v>
      </c>
    </row>
    <row r="6314" spans="1:3" x14ac:dyDescent="0.35">
      <c r="A6314" s="141" t="s">
        <v>841</v>
      </c>
      <c r="B6314" s="141" t="s">
        <v>275</v>
      </c>
      <c r="C6314" s="141" t="s">
        <v>10</v>
      </c>
    </row>
    <row r="6315" spans="1:3" x14ac:dyDescent="0.35">
      <c r="A6315" s="141" t="s">
        <v>370</v>
      </c>
      <c r="B6315" s="141" t="s">
        <v>275</v>
      </c>
      <c r="C6315" s="141" t="s">
        <v>10</v>
      </c>
    </row>
    <row r="6316" spans="1:3" x14ac:dyDescent="0.35">
      <c r="A6316" s="141" t="s">
        <v>371</v>
      </c>
      <c r="B6316" s="141" t="s">
        <v>275</v>
      </c>
      <c r="C6316" s="141" t="s">
        <v>10</v>
      </c>
    </row>
    <row r="6317" spans="1:3" x14ac:dyDescent="0.35">
      <c r="A6317" s="141" t="s">
        <v>372</v>
      </c>
      <c r="B6317" s="141" t="s">
        <v>275</v>
      </c>
      <c r="C6317" s="141" t="s">
        <v>10</v>
      </c>
    </row>
    <row r="6318" spans="1:3" x14ac:dyDescent="0.35">
      <c r="A6318" s="141" t="s">
        <v>373</v>
      </c>
      <c r="B6318" s="141" t="s">
        <v>275</v>
      </c>
      <c r="C6318" s="141" t="s">
        <v>10</v>
      </c>
    </row>
    <row r="6319" spans="1:3" x14ac:dyDescent="0.35">
      <c r="A6319" s="141" t="s">
        <v>375</v>
      </c>
      <c r="B6319" s="141" t="s">
        <v>275</v>
      </c>
      <c r="C6319" s="141" t="s">
        <v>10</v>
      </c>
    </row>
    <row r="6320" spans="1:3" x14ac:dyDescent="0.35">
      <c r="A6320" s="141" t="s">
        <v>376</v>
      </c>
      <c r="B6320" s="141" t="s">
        <v>275</v>
      </c>
      <c r="C6320" s="141" t="s">
        <v>10</v>
      </c>
    </row>
    <row r="6321" spans="1:3" x14ac:dyDescent="0.35">
      <c r="A6321" s="141" t="s">
        <v>842</v>
      </c>
      <c r="B6321" s="141" t="s">
        <v>275</v>
      </c>
      <c r="C6321" s="141" t="s">
        <v>11</v>
      </c>
    </row>
    <row r="6322" spans="1:3" x14ac:dyDescent="0.35">
      <c r="A6322" s="141" t="s">
        <v>843</v>
      </c>
      <c r="B6322" s="141" t="s">
        <v>275</v>
      </c>
      <c r="C6322" s="141" t="s">
        <v>11</v>
      </c>
    </row>
    <row r="6323" spans="1:3" x14ac:dyDescent="0.35">
      <c r="A6323" s="141" t="s">
        <v>844</v>
      </c>
      <c r="B6323" s="141" t="s">
        <v>275</v>
      </c>
      <c r="C6323" s="141" t="s">
        <v>11</v>
      </c>
    </row>
    <row r="6324" spans="1:3" x14ac:dyDescent="0.35">
      <c r="A6324" s="141" t="s">
        <v>845</v>
      </c>
      <c r="B6324" s="141" t="s">
        <v>275</v>
      </c>
      <c r="C6324" s="141" t="s">
        <v>11</v>
      </c>
    </row>
    <row r="6325" spans="1:3" x14ac:dyDescent="0.35">
      <c r="A6325" s="141" t="s">
        <v>383</v>
      </c>
      <c r="B6325" s="141" t="s">
        <v>275</v>
      </c>
      <c r="C6325" s="141" t="s">
        <v>5</v>
      </c>
    </row>
    <row r="6326" spans="1:3" x14ac:dyDescent="0.35">
      <c r="A6326" s="141" t="s">
        <v>390</v>
      </c>
      <c r="B6326" s="141" t="s">
        <v>275</v>
      </c>
      <c r="C6326" s="141" t="s">
        <v>16</v>
      </c>
    </row>
    <row r="6327" spans="1:3" x14ac:dyDescent="0.35">
      <c r="A6327" s="141" t="s">
        <v>846</v>
      </c>
      <c r="B6327" s="141" t="s">
        <v>275</v>
      </c>
      <c r="C6327" s="141" t="s">
        <v>16</v>
      </c>
    </row>
    <row r="6328" spans="1:3" x14ac:dyDescent="0.35">
      <c r="A6328" s="141" t="s">
        <v>393</v>
      </c>
      <c r="B6328" s="141" t="s">
        <v>275</v>
      </c>
      <c r="C6328" s="141" t="s">
        <v>9</v>
      </c>
    </row>
    <row r="6329" spans="1:3" x14ac:dyDescent="0.35">
      <c r="A6329" s="141" t="s">
        <v>885</v>
      </c>
      <c r="B6329" s="141" t="s">
        <v>275</v>
      </c>
      <c r="C6329" s="141" t="s">
        <v>19</v>
      </c>
    </row>
    <row r="6330" spans="1:3" x14ac:dyDescent="0.35">
      <c r="A6330" s="141" t="s">
        <v>886</v>
      </c>
      <c r="B6330" s="141" t="s">
        <v>275</v>
      </c>
      <c r="C6330" s="141" t="s">
        <v>19</v>
      </c>
    </row>
    <row r="6331" spans="1:3" x14ac:dyDescent="0.35">
      <c r="A6331" s="141" t="s">
        <v>398</v>
      </c>
      <c r="B6331" s="141" t="s">
        <v>275</v>
      </c>
      <c r="C6331" s="141" t="s">
        <v>17</v>
      </c>
    </row>
    <row r="6332" spans="1:3" x14ac:dyDescent="0.35">
      <c r="A6332" s="141" t="s">
        <v>399</v>
      </c>
      <c r="B6332" s="141" t="s">
        <v>275</v>
      </c>
      <c r="C6332" s="141" t="s">
        <v>16</v>
      </c>
    </row>
    <row r="6333" spans="1:3" x14ac:dyDescent="0.35">
      <c r="A6333" s="141" t="s">
        <v>400</v>
      </c>
      <c r="B6333" s="141" t="s">
        <v>275</v>
      </c>
      <c r="C6333" s="141" t="s">
        <v>20</v>
      </c>
    </row>
    <row r="6334" spans="1:3" x14ac:dyDescent="0.35">
      <c r="A6334" s="141" t="s">
        <v>401</v>
      </c>
      <c r="B6334" s="141" t="s">
        <v>275</v>
      </c>
      <c r="C6334" s="141" t="s">
        <v>20</v>
      </c>
    </row>
    <row r="6335" spans="1:3" x14ac:dyDescent="0.35">
      <c r="A6335" s="141" t="s">
        <v>671</v>
      </c>
      <c r="B6335" s="141" t="s">
        <v>275</v>
      </c>
      <c r="C6335" s="141" t="s">
        <v>20</v>
      </c>
    </row>
    <row r="6336" spans="1:3" x14ac:dyDescent="0.35">
      <c r="A6336" s="141" t="s">
        <v>1016</v>
      </c>
      <c r="B6336" s="141" t="s">
        <v>275</v>
      </c>
      <c r="C6336" s="141" t="s">
        <v>20</v>
      </c>
    </row>
    <row r="6337" spans="1:3" x14ac:dyDescent="0.35">
      <c r="A6337" s="141" t="s">
        <v>593</v>
      </c>
      <c r="B6337" s="141" t="s">
        <v>275</v>
      </c>
      <c r="C6337" s="141" t="s">
        <v>20</v>
      </c>
    </row>
    <row r="6338" spans="1:3" x14ac:dyDescent="0.35">
      <c r="A6338" s="141" t="s">
        <v>403</v>
      </c>
      <c r="B6338" s="141" t="s">
        <v>275</v>
      </c>
      <c r="C6338" s="141" t="s">
        <v>20</v>
      </c>
    </row>
    <row r="6339" spans="1:3" x14ac:dyDescent="0.35">
      <c r="A6339" s="141" t="s">
        <v>1017</v>
      </c>
      <c r="B6339" s="141" t="s">
        <v>275</v>
      </c>
      <c r="C6339" s="141" t="s">
        <v>16</v>
      </c>
    </row>
    <row r="6340" spans="1:3" x14ac:dyDescent="0.35">
      <c r="A6340" s="141" t="s">
        <v>406</v>
      </c>
      <c r="B6340" s="141" t="s">
        <v>275</v>
      </c>
      <c r="C6340" s="141" t="s">
        <v>18</v>
      </c>
    </row>
    <row r="6341" spans="1:3" x14ac:dyDescent="0.35">
      <c r="A6341" s="141" t="s">
        <v>407</v>
      </c>
      <c r="B6341" s="141" t="s">
        <v>275</v>
      </c>
      <c r="C6341" s="141" t="s">
        <v>17</v>
      </c>
    </row>
    <row r="6342" spans="1:3" x14ac:dyDescent="0.35">
      <c r="A6342" s="141" t="s">
        <v>566</v>
      </c>
      <c r="B6342" s="141" t="s">
        <v>275</v>
      </c>
      <c r="C6342" s="141" t="s">
        <v>17</v>
      </c>
    </row>
    <row r="6343" spans="1:3" x14ac:dyDescent="0.35">
      <c r="A6343" s="141" t="s">
        <v>833</v>
      </c>
      <c r="B6343" s="141" t="s">
        <v>275</v>
      </c>
      <c r="C6343" s="141" t="s">
        <v>17</v>
      </c>
    </row>
    <row r="6344" spans="1:3" x14ac:dyDescent="0.35">
      <c r="A6344" s="141" t="s">
        <v>409</v>
      </c>
      <c r="B6344" s="141" t="s">
        <v>275</v>
      </c>
      <c r="C6344" s="141" t="s">
        <v>18</v>
      </c>
    </row>
    <row r="6345" spans="1:3" x14ac:dyDescent="0.35">
      <c r="A6345" s="141" t="s">
        <v>1018</v>
      </c>
      <c r="B6345" s="141" t="s">
        <v>275</v>
      </c>
      <c r="C6345" s="141" t="s">
        <v>18</v>
      </c>
    </row>
    <row r="6346" spans="1:3" x14ac:dyDescent="0.35">
      <c r="A6346" s="141" t="s">
        <v>411</v>
      </c>
      <c r="B6346" s="141" t="s">
        <v>275</v>
      </c>
      <c r="C6346" s="141" t="s">
        <v>9</v>
      </c>
    </row>
    <row r="6347" spans="1:3" x14ac:dyDescent="0.35">
      <c r="A6347" s="141" t="s">
        <v>412</v>
      </c>
      <c r="B6347" s="141" t="s">
        <v>275</v>
      </c>
      <c r="C6347" s="141" t="s">
        <v>9</v>
      </c>
    </row>
    <row r="6348" spans="1:3" x14ac:dyDescent="0.35">
      <c r="A6348" s="141" t="s">
        <v>413</v>
      </c>
      <c r="B6348" s="141" t="s">
        <v>275</v>
      </c>
      <c r="C6348" s="141" t="s">
        <v>9</v>
      </c>
    </row>
    <row r="6349" spans="1:3" x14ac:dyDescent="0.35">
      <c r="A6349" s="141" t="s">
        <v>414</v>
      </c>
      <c r="B6349" s="141" t="s">
        <v>275</v>
      </c>
      <c r="C6349" s="141" t="s">
        <v>9</v>
      </c>
    </row>
    <row r="6350" spans="1:3" x14ac:dyDescent="0.35">
      <c r="A6350" s="141" t="s">
        <v>415</v>
      </c>
      <c r="B6350" s="141" t="s">
        <v>275</v>
      </c>
      <c r="C6350" s="141" t="s">
        <v>9</v>
      </c>
    </row>
    <row r="6351" spans="1:3" x14ac:dyDescent="0.35">
      <c r="A6351" s="141" t="s">
        <v>416</v>
      </c>
      <c r="B6351" s="141" t="s">
        <v>275</v>
      </c>
      <c r="C6351" s="141" t="s">
        <v>15</v>
      </c>
    </row>
    <row r="6352" spans="1:3" x14ac:dyDescent="0.35">
      <c r="A6352" s="141" t="s">
        <v>417</v>
      </c>
      <c r="B6352" s="141" t="s">
        <v>275</v>
      </c>
      <c r="C6352" s="141" t="s">
        <v>6</v>
      </c>
    </row>
    <row r="6353" spans="1:3" x14ac:dyDescent="0.35">
      <c r="A6353" s="141" t="s">
        <v>1019</v>
      </c>
      <c r="B6353" s="141" t="s">
        <v>275</v>
      </c>
      <c r="C6353" s="141" t="s">
        <v>17</v>
      </c>
    </row>
    <row r="6354" spans="1:3" x14ac:dyDescent="0.35">
      <c r="A6354" s="141" t="s">
        <v>420</v>
      </c>
      <c r="B6354" s="141" t="s">
        <v>275</v>
      </c>
      <c r="C6354" s="141" t="s">
        <v>17</v>
      </c>
    </row>
    <row r="6355" spans="1:3" x14ac:dyDescent="0.35">
      <c r="A6355" s="141" t="s">
        <v>421</v>
      </c>
      <c r="B6355" s="141" t="s">
        <v>275</v>
      </c>
      <c r="C6355" s="141" t="s">
        <v>6</v>
      </c>
    </row>
    <row r="6356" spans="1:3" x14ac:dyDescent="0.35">
      <c r="A6356" s="141" t="s">
        <v>422</v>
      </c>
      <c r="B6356" s="141" t="s">
        <v>275</v>
      </c>
      <c r="C6356" s="141" t="s">
        <v>17</v>
      </c>
    </row>
    <row r="6357" spans="1:3" x14ac:dyDescent="0.35">
      <c r="A6357" s="141" t="s">
        <v>1020</v>
      </c>
      <c r="B6357" s="141" t="s">
        <v>275</v>
      </c>
      <c r="C6357" s="141" t="s">
        <v>29</v>
      </c>
    </row>
    <row r="6358" spans="1:3" x14ac:dyDescent="0.35">
      <c r="A6358" s="141" t="s">
        <v>1021</v>
      </c>
      <c r="B6358" s="141" t="s">
        <v>275</v>
      </c>
      <c r="C6358" s="141" t="s">
        <v>29</v>
      </c>
    </row>
    <row r="6359" spans="1:3" x14ac:dyDescent="0.35">
      <c r="A6359" s="141" t="s">
        <v>1022</v>
      </c>
      <c r="B6359" s="141" t="s">
        <v>275</v>
      </c>
      <c r="C6359" s="141" t="s">
        <v>29</v>
      </c>
    </row>
    <row r="6360" spans="1:3" x14ac:dyDescent="0.35">
      <c r="A6360" s="141" t="s">
        <v>856</v>
      </c>
      <c r="B6360" s="141" t="s">
        <v>275</v>
      </c>
      <c r="C6360" s="141" t="s">
        <v>52</v>
      </c>
    </row>
    <row r="6361" spans="1:3" x14ac:dyDescent="0.35">
      <c r="A6361" s="141" t="s">
        <v>857</v>
      </c>
      <c r="B6361" s="141" t="s">
        <v>275</v>
      </c>
      <c r="C6361" s="141" t="s">
        <v>52</v>
      </c>
    </row>
    <row r="6362" spans="1:3" x14ac:dyDescent="0.35">
      <c r="A6362" s="141" t="s">
        <v>776</v>
      </c>
      <c r="B6362" s="141" t="s">
        <v>275</v>
      </c>
      <c r="C6362" s="141" t="s">
        <v>45</v>
      </c>
    </row>
    <row r="6363" spans="1:3" x14ac:dyDescent="0.35">
      <c r="A6363" s="141" t="s">
        <v>777</v>
      </c>
      <c r="B6363" s="141" t="s">
        <v>275</v>
      </c>
      <c r="C6363" s="141" t="s">
        <v>46</v>
      </c>
    </row>
    <row r="6364" spans="1:3" x14ac:dyDescent="0.35">
      <c r="A6364" s="141" t="s">
        <v>778</v>
      </c>
      <c r="B6364" s="141" t="s">
        <v>275</v>
      </c>
      <c r="C6364" s="141" t="s">
        <v>45</v>
      </c>
    </row>
    <row r="6365" spans="1:3" x14ac:dyDescent="0.35">
      <c r="A6365" s="141" t="s">
        <v>1023</v>
      </c>
      <c r="B6365" s="141" t="s">
        <v>275</v>
      </c>
      <c r="C6365" s="141" t="s">
        <v>45</v>
      </c>
    </row>
    <row r="6366" spans="1:3" x14ac:dyDescent="0.35">
      <c r="A6366" s="141" t="s">
        <v>781</v>
      </c>
      <c r="B6366" s="141" t="s">
        <v>275</v>
      </c>
      <c r="C6366" s="141" t="s">
        <v>45</v>
      </c>
    </row>
    <row r="6367" spans="1:3" x14ac:dyDescent="0.35">
      <c r="A6367" s="141" t="s">
        <v>1024</v>
      </c>
      <c r="B6367" s="141" t="s">
        <v>275</v>
      </c>
      <c r="C6367" s="141" t="s">
        <v>21</v>
      </c>
    </row>
    <row r="6368" spans="1:3" x14ac:dyDescent="0.35">
      <c r="A6368" s="141" t="s">
        <v>276</v>
      </c>
      <c r="B6368" s="141" t="s">
        <v>275</v>
      </c>
      <c r="C6368" s="141" t="s">
        <v>24</v>
      </c>
    </row>
    <row r="6369" spans="1:3" x14ac:dyDescent="0.35">
      <c r="A6369" s="141" t="s">
        <v>277</v>
      </c>
      <c r="B6369" s="141" t="s">
        <v>275</v>
      </c>
      <c r="C6369" s="141" t="s">
        <v>21</v>
      </c>
    </row>
    <row r="6370" spans="1:3" x14ac:dyDescent="0.35">
      <c r="A6370" s="141" t="s">
        <v>278</v>
      </c>
      <c r="B6370" s="141" t="s">
        <v>275</v>
      </c>
      <c r="C6370" s="141" t="s">
        <v>21</v>
      </c>
    </row>
    <row r="6371" spans="1:3" x14ac:dyDescent="0.35">
      <c r="A6371" s="141" t="s">
        <v>283</v>
      </c>
      <c r="B6371" s="141" t="s">
        <v>275</v>
      </c>
      <c r="C6371" s="141" t="s">
        <v>21</v>
      </c>
    </row>
    <row r="6372" spans="1:3" x14ac:dyDescent="0.35">
      <c r="A6372" s="141" t="s">
        <v>284</v>
      </c>
      <c r="B6372" s="141" t="s">
        <v>275</v>
      </c>
      <c r="C6372" s="141" t="s">
        <v>21</v>
      </c>
    </row>
    <row r="6373" spans="1:3" x14ac:dyDescent="0.35">
      <c r="A6373" s="141" t="s">
        <v>882</v>
      </c>
      <c r="B6373" s="141" t="s">
        <v>275</v>
      </c>
      <c r="C6373" s="141" t="s">
        <v>27</v>
      </c>
    </row>
    <row r="6374" spans="1:3" x14ac:dyDescent="0.35">
      <c r="A6374" s="141" t="s">
        <v>883</v>
      </c>
      <c r="B6374" s="141" t="s">
        <v>275</v>
      </c>
      <c r="C6374" s="141" t="s">
        <v>27</v>
      </c>
    </row>
    <row r="6375" spans="1:3" x14ac:dyDescent="0.35">
      <c r="A6375" s="141" t="s">
        <v>884</v>
      </c>
      <c r="B6375" s="141" t="s">
        <v>275</v>
      </c>
      <c r="C6375" s="141" t="s">
        <v>27</v>
      </c>
    </row>
    <row r="6376" spans="1:3" x14ac:dyDescent="0.35">
      <c r="A6376" s="141" t="s">
        <v>262</v>
      </c>
      <c r="B6376" s="141" t="s">
        <v>275</v>
      </c>
      <c r="C6376" s="141" t="s">
        <v>27</v>
      </c>
    </row>
    <row r="6377" spans="1:3" x14ac:dyDescent="0.35">
      <c r="A6377" s="141" t="s">
        <v>1025</v>
      </c>
      <c r="B6377" s="141" t="s">
        <v>275</v>
      </c>
      <c r="C6377" s="141" t="s">
        <v>27</v>
      </c>
    </row>
    <row r="6378" spans="1:3" x14ac:dyDescent="0.35">
      <c r="A6378" s="141" t="s">
        <v>1026</v>
      </c>
      <c r="B6378" s="141" t="s">
        <v>275</v>
      </c>
      <c r="C6378" s="141" t="s">
        <v>27</v>
      </c>
    </row>
    <row r="6379" spans="1:3" x14ac:dyDescent="0.35">
      <c r="A6379" s="141" t="s">
        <v>1027</v>
      </c>
      <c r="B6379" s="141" t="s">
        <v>275</v>
      </c>
      <c r="C6379" s="141" t="s">
        <v>32</v>
      </c>
    </row>
    <row r="6380" spans="1:3" x14ac:dyDescent="0.35">
      <c r="A6380" s="141" t="s">
        <v>1028</v>
      </c>
      <c r="B6380" s="141" t="s">
        <v>275</v>
      </c>
      <c r="C6380" s="141" t="s">
        <v>27</v>
      </c>
    </row>
    <row r="6381" spans="1:3" x14ac:dyDescent="0.35">
      <c r="A6381" s="141" t="s">
        <v>296</v>
      </c>
      <c r="B6381" s="141" t="s">
        <v>275</v>
      </c>
      <c r="C6381" s="141" t="s">
        <v>32</v>
      </c>
    </row>
    <row r="6382" spans="1:3" x14ac:dyDescent="0.35">
      <c r="A6382" s="141" t="s">
        <v>819</v>
      </c>
      <c r="B6382" s="141" t="s">
        <v>275</v>
      </c>
      <c r="C6382" s="141" t="s">
        <v>45</v>
      </c>
    </row>
    <row r="6383" spans="1:3" x14ac:dyDescent="0.35">
      <c r="A6383" s="141" t="s">
        <v>820</v>
      </c>
      <c r="B6383" s="141" t="s">
        <v>275</v>
      </c>
      <c r="C6383" s="141" t="s">
        <v>45</v>
      </c>
    </row>
    <row r="6384" spans="1:3" x14ac:dyDescent="0.35">
      <c r="A6384" s="141" t="s">
        <v>821</v>
      </c>
      <c r="B6384" s="141" t="s">
        <v>275</v>
      </c>
      <c r="C6384" s="141" t="s">
        <v>45</v>
      </c>
    </row>
    <row r="6385" spans="1:3" x14ac:dyDescent="0.35">
      <c r="A6385" s="141" t="s">
        <v>822</v>
      </c>
      <c r="B6385" s="141" t="s">
        <v>275</v>
      </c>
      <c r="C6385" s="141" t="s">
        <v>45</v>
      </c>
    </row>
    <row r="6386" spans="1:3" x14ac:dyDescent="0.35">
      <c r="A6386" s="141" t="s">
        <v>823</v>
      </c>
      <c r="B6386" s="141" t="s">
        <v>275</v>
      </c>
      <c r="C6386" s="141" t="s">
        <v>45</v>
      </c>
    </row>
    <row r="6387" spans="1:3" x14ac:dyDescent="0.35">
      <c r="A6387" s="141" t="s">
        <v>824</v>
      </c>
      <c r="B6387" s="141" t="s">
        <v>275</v>
      </c>
      <c r="C6387" s="141" t="s">
        <v>45</v>
      </c>
    </row>
    <row r="6388" spans="1:3" x14ac:dyDescent="0.35">
      <c r="A6388" s="141" t="s">
        <v>825</v>
      </c>
      <c r="B6388" s="141" t="s">
        <v>275</v>
      </c>
      <c r="C6388" s="141" t="s">
        <v>45</v>
      </c>
    </row>
    <row r="6389" spans="1:3" x14ac:dyDescent="0.35">
      <c r="A6389" s="141" t="s">
        <v>826</v>
      </c>
      <c r="B6389" s="141" t="s">
        <v>275</v>
      </c>
      <c r="C6389" s="141" t="s">
        <v>45</v>
      </c>
    </row>
    <row r="6390" spans="1:3" x14ac:dyDescent="0.35">
      <c r="A6390" s="141" t="s">
        <v>827</v>
      </c>
      <c r="B6390" s="141" t="s">
        <v>275</v>
      </c>
      <c r="C6390" s="141" t="s">
        <v>45</v>
      </c>
    </row>
    <row r="6391" spans="1:3" x14ac:dyDescent="0.35">
      <c r="A6391" s="141" t="s">
        <v>828</v>
      </c>
      <c r="B6391" s="141" t="s">
        <v>275</v>
      </c>
      <c r="C6391" s="141" t="s">
        <v>45</v>
      </c>
    </row>
    <row r="6392" spans="1:3" x14ac:dyDescent="0.35">
      <c r="A6392" s="141" t="s">
        <v>829</v>
      </c>
      <c r="B6392" s="141" t="s">
        <v>275</v>
      </c>
      <c r="C6392" s="141" t="s">
        <v>45</v>
      </c>
    </row>
    <row r="6393" spans="1:3" x14ac:dyDescent="0.35">
      <c r="A6393" s="141" t="s">
        <v>830</v>
      </c>
      <c r="B6393" s="141" t="s">
        <v>275</v>
      </c>
      <c r="C6393" s="141" t="s">
        <v>45</v>
      </c>
    </row>
    <row r="6394" spans="1:3" x14ac:dyDescent="0.35">
      <c r="A6394" s="141" t="s">
        <v>831</v>
      </c>
      <c r="B6394" s="141" t="s">
        <v>275</v>
      </c>
      <c r="C6394" s="141" t="s">
        <v>45</v>
      </c>
    </row>
    <row r="6395" spans="1:3" x14ac:dyDescent="0.35">
      <c r="A6395" s="141" t="s">
        <v>832</v>
      </c>
      <c r="B6395" s="141" t="s">
        <v>275</v>
      </c>
      <c r="C6395" s="141" t="s">
        <v>45</v>
      </c>
    </row>
    <row r="6396" spans="1:3" x14ac:dyDescent="0.35">
      <c r="A6396" s="141" t="s">
        <v>818</v>
      </c>
      <c r="B6396" s="141" t="s">
        <v>275</v>
      </c>
      <c r="C6396" s="141" t="s">
        <v>12</v>
      </c>
    </row>
    <row r="6397" spans="1:3" x14ac:dyDescent="0.35">
      <c r="A6397" s="141" t="s">
        <v>835</v>
      </c>
      <c r="B6397" s="141" t="s">
        <v>275</v>
      </c>
      <c r="C6397" s="141" t="s">
        <v>12</v>
      </c>
    </row>
    <row r="6398" spans="1:3" x14ac:dyDescent="0.35">
      <c r="A6398" s="141" t="s">
        <v>836</v>
      </c>
      <c r="B6398" s="141" t="s">
        <v>275</v>
      </c>
      <c r="C6398" s="141" t="s">
        <v>12</v>
      </c>
    </row>
    <row r="6399" spans="1:3" x14ac:dyDescent="0.35">
      <c r="A6399" s="141" t="s">
        <v>837</v>
      </c>
      <c r="B6399" s="141" t="s">
        <v>275</v>
      </c>
      <c r="C6399" s="141" t="s">
        <v>14</v>
      </c>
    </row>
    <row r="6400" spans="1:3" x14ac:dyDescent="0.35">
      <c r="A6400" s="141" t="s">
        <v>358</v>
      </c>
      <c r="B6400" s="141" t="s">
        <v>275</v>
      </c>
      <c r="C6400" s="141" t="s">
        <v>14</v>
      </c>
    </row>
    <row r="6401" spans="1:3" x14ac:dyDescent="0.35">
      <c r="A6401" s="141" t="s">
        <v>654</v>
      </c>
      <c r="B6401" s="141" t="s">
        <v>275</v>
      </c>
      <c r="C6401" s="141" t="s">
        <v>14</v>
      </c>
    </row>
    <row r="6402" spans="1:3" x14ac:dyDescent="0.35">
      <c r="A6402" s="141" t="s">
        <v>987</v>
      </c>
      <c r="B6402" s="141" t="s">
        <v>275</v>
      </c>
      <c r="C6402" s="141" t="s">
        <v>14</v>
      </c>
    </row>
    <row r="6403" spans="1:3" x14ac:dyDescent="0.35">
      <c r="A6403" s="141" t="s">
        <v>838</v>
      </c>
      <c r="B6403" s="141" t="s">
        <v>275</v>
      </c>
      <c r="C6403" s="141" t="s">
        <v>13</v>
      </c>
    </row>
    <row r="6404" spans="1:3" x14ac:dyDescent="0.35">
      <c r="A6404" s="141" t="s">
        <v>667</v>
      </c>
      <c r="B6404" s="141" t="s">
        <v>275</v>
      </c>
      <c r="C6404" s="141" t="s">
        <v>55</v>
      </c>
    </row>
    <row r="6405" spans="1:3" x14ac:dyDescent="0.35">
      <c r="A6405" s="141" t="s">
        <v>669</v>
      </c>
      <c r="B6405" s="141" t="s">
        <v>275</v>
      </c>
      <c r="C6405" s="141" t="s">
        <v>55</v>
      </c>
    </row>
    <row r="6406" spans="1:3" x14ac:dyDescent="0.35">
      <c r="A6406" s="141" t="s">
        <v>668</v>
      </c>
      <c r="B6406" s="141" t="s">
        <v>275</v>
      </c>
      <c r="C6406" s="141" t="s">
        <v>54</v>
      </c>
    </row>
    <row r="6407" spans="1:3" x14ac:dyDescent="0.35">
      <c r="A6407" s="141" t="s">
        <v>670</v>
      </c>
      <c r="B6407" s="141" t="s">
        <v>275</v>
      </c>
      <c r="C6407" s="141" t="s">
        <v>54</v>
      </c>
    </row>
    <row r="6408" spans="1:3" x14ac:dyDescent="0.35">
      <c r="A6408" s="141" t="s">
        <v>359</v>
      </c>
      <c r="B6408" s="141" t="s">
        <v>275</v>
      </c>
      <c r="C6408" s="141" t="s">
        <v>46</v>
      </c>
    </row>
    <row r="6409" spans="1:3" x14ac:dyDescent="0.35">
      <c r="A6409" s="141" t="s">
        <v>360</v>
      </c>
      <c r="B6409" s="141" t="s">
        <v>275</v>
      </c>
      <c r="C6409" s="141" t="s">
        <v>46</v>
      </c>
    </row>
    <row r="6410" spans="1:3" x14ac:dyDescent="0.35">
      <c r="A6410" s="141" t="s">
        <v>586</v>
      </c>
      <c r="B6410" s="141" t="s">
        <v>275</v>
      </c>
      <c r="C6410" s="141" t="s">
        <v>4</v>
      </c>
    </row>
    <row r="6411" spans="1:3" x14ac:dyDescent="0.35">
      <c r="A6411" s="141" t="s">
        <v>587</v>
      </c>
      <c r="B6411" s="141" t="s">
        <v>275</v>
      </c>
      <c r="C6411" s="141" t="s">
        <v>4</v>
      </c>
    </row>
    <row r="6412" spans="1:3" x14ac:dyDescent="0.35">
      <c r="A6412" s="141" t="s">
        <v>588</v>
      </c>
      <c r="B6412" s="141" t="s">
        <v>275</v>
      </c>
      <c r="C6412" s="141" t="s">
        <v>4</v>
      </c>
    </row>
    <row r="6413" spans="1:3" x14ac:dyDescent="0.35">
      <c r="A6413" s="141" t="s">
        <v>365</v>
      </c>
      <c r="B6413" s="141" t="s">
        <v>275</v>
      </c>
      <c r="C6413" s="141" t="s">
        <v>7</v>
      </c>
    </row>
    <row r="6414" spans="1:3" x14ac:dyDescent="0.35">
      <c r="A6414" s="141" t="s">
        <v>589</v>
      </c>
      <c r="B6414" s="141" t="s">
        <v>275</v>
      </c>
      <c r="C6414" s="141" t="s">
        <v>4</v>
      </c>
    </row>
    <row r="6415" spans="1:3" x14ac:dyDescent="0.35">
      <c r="A6415" s="141" t="s">
        <v>366</v>
      </c>
      <c r="B6415" s="141" t="s">
        <v>275</v>
      </c>
      <c r="C6415" s="141" t="s">
        <v>8</v>
      </c>
    </row>
    <row r="6416" spans="1:3" x14ac:dyDescent="0.35">
      <c r="A6416" s="141" t="s">
        <v>367</v>
      </c>
      <c r="B6416" s="141" t="s">
        <v>275</v>
      </c>
      <c r="C6416" s="141" t="s">
        <v>8</v>
      </c>
    </row>
    <row r="6417" spans="1:3" x14ac:dyDescent="0.35">
      <c r="A6417" s="141" t="s">
        <v>774</v>
      </c>
      <c r="B6417" s="141" t="s">
        <v>275</v>
      </c>
      <c r="C6417" s="141" t="s">
        <v>38</v>
      </c>
    </row>
    <row r="6418" spans="1:3" x14ac:dyDescent="0.35">
      <c r="A6418" s="141" t="s">
        <v>806</v>
      </c>
      <c r="B6418" s="141" t="s">
        <v>275</v>
      </c>
      <c r="C6418" s="141" t="s">
        <v>32</v>
      </c>
    </row>
    <row r="6419" spans="1:3" x14ac:dyDescent="0.35">
      <c r="A6419" s="141" t="s">
        <v>579</v>
      </c>
      <c r="B6419" s="141" t="s">
        <v>275</v>
      </c>
      <c r="C6419" s="141" t="s">
        <v>32</v>
      </c>
    </row>
    <row r="6420" spans="1:3" x14ac:dyDescent="0.35">
      <c r="A6420" s="141" t="s">
        <v>556</v>
      </c>
      <c r="B6420" s="141" t="s">
        <v>275</v>
      </c>
      <c r="C6420" s="141" t="s">
        <v>32</v>
      </c>
    </row>
    <row r="6421" spans="1:3" x14ac:dyDescent="0.35">
      <c r="A6421" s="141" t="s">
        <v>557</v>
      </c>
      <c r="B6421" s="141" t="s">
        <v>275</v>
      </c>
      <c r="C6421" s="141" t="s">
        <v>32</v>
      </c>
    </row>
    <row r="6422" spans="1:3" x14ac:dyDescent="0.35">
      <c r="A6422" s="141" t="s">
        <v>558</v>
      </c>
      <c r="B6422" s="141" t="s">
        <v>275</v>
      </c>
      <c r="C6422" s="141" t="s">
        <v>32</v>
      </c>
    </row>
    <row r="6423" spans="1:3" x14ac:dyDescent="0.35">
      <c r="A6423" s="141" t="s">
        <v>580</v>
      </c>
      <c r="B6423" s="141" t="s">
        <v>275</v>
      </c>
      <c r="C6423" s="141" t="s">
        <v>32</v>
      </c>
    </row>
    <row r="6424" spans="1:3" x14ac:dyDescent="0.35">
      <c r="A6424" s="141" t="s">
        <v>337</v>
      </c>
      <c r="B6424" s="141" t="s">
        <v>275</v>
      </c>
      <c r="C6424" s="141" t="s">
        <v>47</v>
      </c>
    </row>
    <row r="6425" spans="1:3" x14ac:dyDescent="0.35">
      <c r="A6425" s="141" t="s">
        <v>962</v>
      </c>
      <c r="B6425" s="141" t="s">
        <v>275</v>
      </c>
      <c r="C6425" s="141" t="s">
        <v>47</v>
      </c>
    </row>
    <row r="6426" spans="1:3" x14ac:dyDescent="0.35">
      <c r="A6426" s="141" t="s">
        <v>981</v>
      </c>
      <c r="B6426" s="141" t="s">
        <v>275</v>
      </c>
      <c r="C6426" s="141" t="s">
        <v>47</v>
      </c>
    </row>
    <row r="6427" spans="1:3" x14ac:dyDescent="0.35">
      <c r="A6427" s="141" t="s">
        <v>982</v>
      </c>
      <c r="B6427" s="141" t="s">
        <v>275</v>
      </c>
      <c r="C6427" s="141" t="s">
        <v>47</v>
      </c>
    </row>
    <row r="6428" spans="1:3" x14ac:dyDescent="0.35">
      <c r="A6428" s="141" t="s">
        <v>563</v>
      </c>
      <c r="B6428" s="141" t="s">
        <v>275</v>
      </c>
      <c r="C6428" s="141" t="s">
        <v>47</v>
      </c>
    </row>
    <row r="6429" spans="1:3" x14ac:dyDescent="0.35">
      <c r="A6429" s="141" t="s">
        <v>313</v>
      </c>
      <c r="B6429" s="141" t="s">
        <v>275</v>
      </c>
      <c r="C6429" s="141" t="s">
        <v>51</v>
      </c>
    </row>
    <row r="6430" spans="1:3" x14ac:dyDescent="0.35">
      <c r="A6430" s="141" t="s">
        <v>1029</v>
      </c>
      <c r="B6430" s="141" t="s">
        <v>275</v>
      </c>
      <c r="C6430" s="141" t="s">
        <v>21</v>
      </c>
    </row>
    <row r="6431" spans="1:3" x14ac:dyDescent="0.35">
      <c r="A6431" s="141" t="s">
        <v>1030</v>
      </c>
      <c r="B6431" s="141" t="s">
        <v>275</v>
      </c>
      <c r="C6431" s="141" t="s">
        <v>21</v>
      </c>
    </row>
    <row r="6432" spans="1:3" x14ac:dyDescent="0.35">
      <c r="A6432" s="141" t="s">
        <v>306</v>
      </c>
      <c r="B6432" s="141" t="s">
        <v>275</v>
      </c>
      <c r="C6432" s="141" t="s">
        <v>35</v>
      </c>
    </row>
    <row r="6433" spans="1:3" x14ac:dyDescent="0.35">
      <c r="A6433" s="141" t="s">
        <v>1031</v>
      </c>
      <c r="B6433" s="141" t="s">
        <v>275</v>
      </c>
      <c r="C6433" s="141" t="s">
        <v>35</v>
      </c>
    </row>
    <row r="6434" spans="1:3" x14ac:dyDescent="0.35">
      <c r="A6434" s="141" t="s">
        <v>307</v>
      </c>
      <c r="B6434" s="141" t="s">
        <v>275</v>
      </c>
      <c r="C6434" s="141" t="s">
        <v>33</v>
      </c>
    </row>
    <row r="6435" spans="1:3" x14ac:dyDescent="0.35">
      <c r="A6435" s="141" t="s">
        <v>1032</v>
      </c>
      <c r="B6435" s="141" t="s">
        <v>275</v>
      </c>
      <c r="C6435" s="141" t="s">
        <v>33</v>
      </c>
    </row>
    <row r="6436" spans="1:3" x14ac:dyDescent="0.35">
      <c r="A6436" s="141" t="s">
        <v>1033</v>
      </c>
      <c r="B6436" s="141" t="s">
        <v>275</v>
      </c>
      <c r="C6436" s="141" t="s">
        <v>33</v>
      </c>
    </row>
    <row r="6437" spans="1:3" x14ac:dyDescent="0.35">
      <c r="A6437" s="141" t="s">
        <v>1034</v>
      </c>
      <c r="B6437" s="141" t="s">
        <v>275</v>
      </c>
      <c r="C6437" s="141" t="s">
        <v>33</v>
      </c>
    </row>
    <row r="6438" spans="1:3" x14ac:dyDescent="0.35">
      <c r="A6438" s="141" t="s">
        <v>927</v>
      </c>
      <c r="B6438" s="141" t="s">
        <v>275</v>
      </c>
      <c r="C6438" s="141" t="s">
        <v>37</v>
      </c>
    </row>
    <row r="6439" spans="1:3" x14ac:dyDescent="0.35">
      <c r="A6439" s="141" t="s">
        <v>926</v>
      </c>
      <c r="B6439" s="141" t="s">
        <v>275</v>
      </c>
      <c r="C6439" s="141" t="s">
        <v>37</v>
      </c>
    </row>
    <row r="6440" spans="1:3" x14ac:dyDescent="0.35">
      <c r="A6440" s="141" t="s">
        <v>1035</v>
      </c>
      <c r="B6440" s="141" t="s">
        <v>275</v>
      </c>
      <c r="C6440" s="141" t="s">
        <v>21</v>
      </c>
    </row>
    <row r="6441" spans="1:3" x14ac:dyDescent="0.35">
      <c r="A6441" s="141" t="s">
        <v>985</v>
      </c>
      <c r="B6441" s="141" t="s">
        <v>275</v>
      </c>
      <c r="C6441" s="141" t="s">
        <v>29</v>
      </c>
    </row>
    <row r="6442" spans="1:3" x14ac:dyDescent="0.35">
      <c r="A6442" s="141" t="s">
        <v>984</v>
      </c>
      <c r="B6442" s="141" t="s">
        <v>275</v>
      </c>
      <c r="C6442" s="141" t="s">
        <v>33</v>
      </c>
    </row>
    <row r="6443" spans="1:3" x14ac:dyDescent="0.35">
      <c r="A6443" s="141" t="s">
        <v>983</v>
      </c>
      <c r="B6443" s="141" t="s">
        <v>275</v>
      </c>
      <c r="C6443" s="141" t="s">
        <v>28</v>
      </c>
    </row>
    <row r="6444" spans="1:3" x14ac:dyDescent="0.35">
      <c r="A6444" s="141" t="s">
        <v>988</v>
      </c>
      <c r="B6444" s="141" t="s">
        <v>275</v>
      </c>
      <c r="C6444" s="141" t="s">
        <v>8</v>
      </c>
    </row>
    <row r="6445" spans="1:3" x14ac:dyDescent="0.35">
      <c r="A6445" s="141" t="s">
        <v>950</v>
      </c>
      <c r="B6445" s="141" t="s">
        <v>275</v>
      </c>
      <c r="C6445" s="141" t="s">
        <v>32</v>
      </c>
    </row>
    <row r="6446" spans="1:3" x14ac:dyDescent="0.35">
      <c r="A6446" s="141" t="s">
        <v>947</v>
      </c>
      <c r="B6446" s="141" t="s">
        <v>275</v>
      </c>
      <c r="C6446" s="141" t="s">
        <v>32</v>
      </c>
    </row>
    <row r="6447" spans="1:3" x14ac:dyDescent="0.35">
      <c r="A6447" s="141" t="s">
        <v>949</v>
      </c>
      <c r="B6447" s="141" t="s">
        <v>275</v>
      </c>
      <c r="C6447" s="141" t="s">
        <v>32</v>
      </c>
    </row>
    <row r="6448" spans="1:3" x14ac:dyDescent="0.35">
      <c r="A6448" s="141" t="s">
        <v>951</v>
      </c>
      <c r="B6448" s="141" t="s">
        <v>275</v>
      </c>
      <c r="C6448" s="141" t="s">
        <v>32</v>
      </c>
    </row>
    <row r="6449" spans="1:3" x14ac:dyDescent="0.35">
      <c r="A6449" s="141" t="s">
        <v>952</v>
      </c>
      <c r="B6449" s="141" t="s">
        <v>275</v>
      </c>
      <c r="C6449" s="141" t="s">
        <v>32</v>
      </c>
    </row>
    <row r="6450" spans="1:3" x14ac:dyDescent="0.35">
      <c r="A6450" s="141" t="s">
        <v>986</v>
      </c>
      <c r="B6450" s="141" t="s">
        <v>275</v>
      </c>
      <c r="C6450" s="141" t="s">
        <v>32</v>
      </c>
    </row>
    <row r="6451" spans="1:3" x14ac:dyDescent="0.35">
      <c r="A6451" s="141" t="s">
        <v>948</v>
      </c>
      <c r="B6451" s="141" t="s">
        <v>275</v>
      </c>
      <c r="C6451" s="141" t="s">
        <v>32</v>
      </c>
    </row>
    <row r="6452" spans="1:3" x14ac:dyDescent="0.35">
      <c r="A6452" s="141" t="s">
        <v>953</v>
      </c>
      <c r="B6452" s="141" t="s">
        <v>275</v>
      </c>
      <c r="C6452" s="141" t="s">
        <v>31</v>
      </c>
    </row>
    <row r="6453" spans="1:3" x14ac:dyDescent="0.35">
      <c r="A6453" s="141" t="s">
        <v>286</v>
      </c>
      <c r="B6453" s="141" t="s">
        <v>275</v>
      </c>
      <c r="C6453" s="141" t="s">
        <v>27</v>
      </c>
    </row>
    <row r="6454" spans="1:3" x14ac:dyDescent="0.35">
      <c r="A6454" s="141" t="s">
        <v>285</v>
      </c>
      <c r="B6454" s="141" t="s">
        <v>275</v>
      </c>
      <c r="C6454" s="141" t="s">
        <v>27</v>
      </c>
    </row>
    <row r="6455" spans="1:3" x14ac:dyDescent="0.35">
      <c r="A6455" s="141" t="s">
        <v>387</v>
      </c>
      <c r="B6455" s="141" t="s">
        <v>275</v>
      </c>
      <c r="C6455" s="141" t="s">
        <v>7</v>
      </c>
    </row>
    <row r="6456" spans="1:3" x14ac:dyDescent="0.35">
      <c r="A6456" s="141" t="s">
        <v>564</v>
      </c>
      <c r="B6456" s="141" t="s">
        <v>275</v>
      </c>
      <c r="C6456" s="141" t="s">
        <v>7</v>
      </c>
    </row>
    <row r="6457" spans="1:3" x14ac:dyDescent="0.35">
      <c r="A6457" s="141" t="s">
        <v>565</v>
      </c>
      <c r="B6457" s="141" t="s">
        <v>275</v>
      </c>
      <c r="C6457" s="141" t="s">
        <v>7</v>
      </c>
    </row>
    <row r="6458" spans="1:3" x14ac:dyDescent="0.35">
      <c r="A6458" s="141" t="s">
        <v>385</v>
      </c>
      <c r="B6458" s="141" t="s">
        <v>275</v>
      </c>
      <c r="C6458" s="141" t="s">
        <v>7</v>
      </c>
    </row>
    <row r="6459" spans="1:3" x14ac:dyDescent="0.35">
      <c r="A6459" s="141" t="s">
        <v>386</v>
      </c>
      <c r="B6459" s="141" t="s">
        <v>275</v>
      </c>
      <c r="C6459" s="141" t="s">
        <v>7</v>
      </c>
    </row>
    <row r="6460" spans="1:3" x14ac:dyDescent="0.35">
      <c r="A6460" s="141" t="s">
        <v>977</v>
      </c>
      <c r="B6460" s="141" t="s">
        <v>275</v>
      </c>
      <c r="C6460" s="141" t="s">
        <v>52</v>
      </c>
    </row>
    <row r="6461" spans="1:3" x14ac:dyDescent="0.35">
      <c r="A6461" s="141" t="s">
        <v>305</v>
      </c>
      <c r="B6461" s="141" t="s">
        <v>275</v>
      </c>
      <c r="C6461" s="141" t="s">
        <v>21</v>
      </c>
    </row>
    <row r="6462" spans="1:3" x14ac:dyDescent="0.35">
      <c r="A6462" s="141" t="s">
        <v>928</v>
      </c>
      <c r="B6462" s="141" t="s">
        <v>275</v>
      </c>
      <c r="C6462" s="141" t="s">
        <v>33</v>
      </c>
    </row>
    <row r="6463" spans="1:3" x14ac:dyDescent="0.35">
      <c r="A6463" s="141" t="s">
        <v>931</v>
      </c>
      <c r="B6463" s="141" t="s">
        <v>275</v>
      </c>
      <c r="C6463" s="141" t="s">
        <v>36</v>
      </c>
    </row>
    <row r="6464" spans="1:3" x14ac:dyDescent="0.35">
      <c r="A6464" s="141" t="s">
        <v>914</v>
      </c>
      <c r="B6464" s="141" t="s">
        <v>275</v>
      </c>
      <c r="C6464" s="141" t="s">
        <v>33</v>
      </c>
    </row>
    <row r="6465" spans="1:3" x14ac:dyDescent="0.35">
      <c r="A6465" s="141" t="s">
        <v>927</v>
      </c>
      <c r="B6465" s="141" t="s">
        <v>342</v>
      </c>
      <c r="C6465" s="141" t="s">
        <v>37</v>
      </c>
    </row>
    <row r="6466" spans="1:3" x14ac:dyDescent="0.35">
      <c r="A6466" s="141" t="s">
        <v>926</v>
      </c>
      <c r="B6466" s="141" t="s">
        <v>342</v>
      </c>
      <c r="C6466" s="141" t="s">
        <v>37</v>
      </c>
    </row>
    <row r="6467" spans="1:3" x14ac:dyDescent="0.35">
      <c r="A6467" s="141" t="s">
        <v>985</v>
      </c>
      <c r="B6467" s="141" t="s">
        <v>342</v>
      </c>
      <c r="C6467" s="141" t="s">
        <v>29</v>
      </c>
    </row>
    <row r="6468" spans="1:3" x14ac:dyDescent="0.35">
      <c r="A6468" s="141" t="s">
        <v>984</v>
      </c>
      <c r="B6468" s="141" t="s">
        <v>342</v>
      </c>
      <c r="C6468" s="141" t="s">
        <v>33</v>
      </c>
    </row>
    <row r="6469" spans="1:3" x14ac:dyDescent="0.35">
      <c r="A6469" s="141" t="s">
        <v>983</v>
      </c>
      <c r="B6469" s="141" t="s">
        <v>342</v>
      </c>
      <c r="C6469" s="141" t="s">
        <v>28</v>
      </c>
    </row>
    <row r="6470" spans="1:3" x14ac:dyDescent="0.35">
      <c r="A6470" s="141" t="s">
        <v>988</v>
      </c>
      <c r="B6470" s="141" t="s">
        <v>342</v>
      </c>
      <c r="C6470" s="141" t="s">
        <v>8</v>
      </c>
    </row>
    <row r="6471" spans="1:3" x14ac:dyDescent="0.35">
      <c r="A6471" s="141" t="s">
        <v>950</v>
      </c>
      <c r="B6471" s="141" t="s">
        <v>342</v>
      </c>
      <c r="C6471" s="141" t="s">
        <v>32</v>
      </c>
    </row>
    <row r="6472" spans="1:3" x14ac:dyDescent="0.35">
      <c r="A6472" s="141" t="s">
        <v>947</v>
      </c>
      <c r="B6472" s="141" t="s">
        <v>342</v>
      </c>
      <c r="C6472" s="141" t="s">
        <v>32</v>
      </c>
    </row>
    <row r="6473" spans="1:3" x14ac:dyDescent="0.35">
      <c r="A6473" s="141" t="s">
        <v>949</v>
      </c>
      <c r="B6473" s="141" t="s">
        <v>342</v>
      </c>
      <c r="C6473" s="141" t="s">
        <v>32</v>
      </c>
    </row>
    <row r="6474" spans="1:3" x14ac:dyDescent="0.35">
      <c r="A6474" s="141" t="s">
        <v>951</v>
      </c>
      <c r="B6474" s="141" t="s">
        <v>342</v>
      </c>
      <c r="C6474" s="141" t="s">
        <v>32</v>
      </c>
    </row>
    <row r="6475" spans="1:3" x14ac:dyDescent="0.35">
      <c r="A6475" s="141" t="s">
        <v>952</v>
      </c>
      <c r="B6475" s="141" t="s">
        <v>342</v>
      </c>
      <c r="C6475" s="141" t="s">
        <v>32</v>
      </c>
    </row>
    <row r="6476" spans="1:3" x14ac:dyDescent="0.35">
      <c r="A6476" s="141" t="s">
        <v>986</v>
      </c>
      <c r="B6476" s="141" t="s">
        <v>342</v>
      </c>
      <c r="C6476" s="141" t="s">
        <v>32</v>
      </c>
    </row>
    <row r="6477" spans="1:3" x14ac:dyDescent="0.35">
      <c r="A6477" s="141" t="s">
        <v>948</v>
      </c>
      <c r="B6477" s="141" t="s">
        <v>342</v>
      </c>
      <c r="C6477" s="141" t="s">
        <v>32</v>
      </c>
    </row>
    <row r="6478" spans="1:3" x14ac:dyDescent="0.35">
      <c r="A6478" s="141" t="s">
        <v>953</v>
      </c>
      <c r="B6478" s="141" t="s">
        <v>342</v>
      </c>
      <c r="C6478" s="141" t="s">
        <v>31</v>
      </c>
    </row>
    <row r="6479" spans="1:3" x14ac:dyDescent="0.35">
      <c r="A6479" s="141" t="s">
        <v>286</v>
      </c>
      <c r="B6479" s="141" t="s">
        <v>342</v>
      </c>
      <c r="C6479" s="141" t="s">
        <v>27</v>
      </c>
    </row>
    <row r="6480" spans="1:3" x14ac:dyDescent="0.35">
      <c r="A6480" s="141" t="s">
        <v>285</v>
      </c>
      <c r="B6480" s="141" t="s">
        <v>342</v>
      </c>
      <c r="C6480" s="141" t="s">
        <v>27</v>
      </c>
    </row>
    <row r="6481" spans="1:3" x14ac:dyDescent="0.35">
      <c r="A6481" s="141" t="s">
        <v>387</v>
      </c>
      <c r="B6481" s="141" t="s">
        <v>342</v>
      </c>
      <c r="C6481" s="141" t="s">
        <v>7</v>
      </c>
    </row>
    <row r="6482" spans="1:3" x14ac:dyDescent="0.35">
      <c r="A6482" s="141" t="s">
        <v>564</v>
      </c>
      <c r="B6482" s="141" t="s">
        <v>342</v>
      </c>
      <c r="C6482" s="141" t="s">
        <v>7</v>
      </c>
    </row>
    <row r="6483" spans="1:3" x14ac:dyDescent="0.35">
      <c r="A6483" s="141" t="s">
        <v>565</v>
      </c>
      <c r="B6483" s="141" t="s">
        <v>342</v>
      </c>
      <c r="C6483" s="141" t="s">
        <v>7</v>
      </c>
    </row>
    <row r="6484" spans="1:3" x14ac:dyDescent="0.35">
      <c r="A6484" s="141" t="s">
        <v>385</v>
      </c>
      <c r="B6484" s="141" t="s">
        <v>342</v>
      </c>
      <c r="C6484" s="141" t="s">
        <v>7</v>
      </c>
    </row>
    <row r="6485" spans="1:3" x14ac:dyDescent="0.35">
      <c r="A6485" s="141" t="s">
        <v>386</v>
      </c>
      <c r="B6485" s="141" t="s">
        <v>342</v>
      </c>
      <c r="C6485" s="141" t="s">
        <v>7</v>
      </c>
    </row>
    <row r="6486" spans="1:3" x14ac:dyDescent="0.35">
      <c r="A6486" s="141" t="s">
        <v>977</v>
      </c>
      <c r="B6486" s="141" t="s">
        <v>342</v>
      </c>
      <c r="C6486" s="141" t="s">
        <v>52</v>
      </c>
    </row>
    <row r="6487" spans="1:3" x14ac:dyDescent="0.35">
      <c r="A6487" s="141" t="s">
        <v>305</v>
      </c>
      <c r="B6487" s="141" t="s">
        <v>342</v>
      </c>
      <c r="C6487" s="141" t="s">
        <v>21</v>
      </c>
    </row>
    <row r="6488" spans="1:3" x14ac:dyDescent="0.35">
      <c r="A6488" s="141" t="s">
        <v>931</v>
      </c>
      <c r="B6488" s="141" t="s">
        <v>342</v>
      </c>
      <c r="C6488" s="141" t="s">
        <v>36</v>
      </c>
    </row>
    <row r="6489" spans="1:3" x14ac:dyDescent="0.35">
      <c r="A6489" s="141" t="s">
        <v>914</v>
      </c>
      <c r="B6489" s="141" t="s">
        <v>342</v>
      </c>
      <c r="C6489" s="141" t="s">
        <v>33</v>
      </c>
    </row>
    <row r="6490" spans="1:3" x14ac:dyDescent="0.35">
      <c r="A6490" s="141" t="s">
        <v>352</v>
      </c>
      <c r="B6490" s="141" t="s">
        <v>342</v>
      </c>
      <c r="C6490" s="141" t="s">
        <v>2</v>
      </c>
    </row>
    <row r="6491" spans="1:3" x14ac:dyDescent="0.35">
      <c r="A6491" s="141" t="s">
        <v>354</v>
      </c>
      <c r="B6491" s="141" t="s">
        <v>342</v>
      </c>
      <c r="C6491" s="141" t="s">
        <v>2</v>
      </c>
    </row>
    <row r="6492" spans="1:3" x14ac:dyDescent="0.35">
      <c r="A6492" s="141" t="s">
        <v>989</v>
      </c>
      <c r="B6492" s="141" t="s">
        <v>342</v>
      </c>
      <c r="C6492" s="141" t="s">
        <v>42</v>
      </c>
    </row>
    <row r="6493" spans="1:3" x14ac:dyDescent="0.35">
      <c r="A6493" s="141" t="s">
        <v>807</v>
      </c>
      <c r="B6493" s="141" t="s">
        <v>342</v>
      </c>
      <c r="C6493" s="141" t="s">
        <v>3</v>
      </c>
    </row>
    <row r="6494" spans="1:3" x14ac:dyDescent="0.35">
      <c r="A6494" s="141" t="s">
        <v>290</v>
      </c>
      <c r="B6494" s="141" t="s">
        <v>342</v>
      </c>
      <c r="C6494" s="141" t="s">
        <v>23</v>
      </c>
    </row>
    <row r="6495" spans="1:3" x14ac:dyDescent="0.35">
      <c r="A6495" s="141" t="s">
        <v>848</v>
      </c>
      <c r="B6495" s="141" t="s">
        <v>342</v>
      </c>
      <c r="C6495" s="141" t="s">
        <v>22</v>
      </c>
    </row>
    <row r="6496" spans="1:3" x14ac:dyDescent="0.35">
      <c r="A6496" s="141" t="s">
        <v>849</v>
      </c>
      <c r="B6496" s="141" t="s">
        <v>342</v>
      </c>
      <c r="C6496" s="141" t="s">
        <v>22</v>
      </c>
    </row>
    <row r="6497" spans="1:3" x14ac:dyDescent="0.35">
      <c r="A6497" s="141" t="s">
        <v>850</v>
      </c>
      <c r="B6497" s="141" t="s">
        <v>342</v>
      </c>
      <c r="C6497" s="141" t="s">
        <v>22</v>
      </c>
    </row>
    <row r="6498" spans="1:3" x14ac:dyDescent="0.35">
      <c r="A6498" s="141" t="s">
        <v>887</v>
      </c>
      <c r="B6498" s="141" t="s">
        <v>342</v>
      </c>
      <c r="C6498" s="141" t="s">
        <v>24</v>
      </c>
    </row>
    <row r="6499" spans="1:3" x14ac:dyDescent="0.35">
      <c r="A6499" s="141" t="s">
        <v>888</v>
      </c>
      <c r="B6499" s="141" t="s">
        <v>342</v>
      </c>
      <c r="C6499" s="141" t="s">
        <v>24</v>
      </c>
    </row>
    <row r="6500" spans="1:3" x14ac:dyDescent="0.35">
      <c r="A6500" s="141" t="s">
        <v>889</v>
      </c>
      <c r="B6500" s="141" t="s">
        <v>342</v>
      </c>
      <c r="C6500" s="141" t="s">
        <v>24</v>
      </c>
    </row>
    <row r="6501" spans="1:3" x14ac:dyDescent="0.35">
      <c r="A6501" s="141" t="s">
        <v>890</v>
      </c>
      <c r="B6501" s="141" t="s">
        <v>342</v>
      </c>
      <c r="C6501" s="141" t="s">
        <v>24</v>
      </c>
    </row>
    <row r="6502" spans="1:3" x14ac:dyDescent="0.35">
      <c r="A6502" s="141" t="s">
        <v>891</v>
      </c>
      <c r="B6502" s="141" t="s">
        <v>342</v>
      </c>
      <c r="C6502" s="141" t="s">
        <v>24</v>
      </c>
    </row>
    <row r="6503" spans="1:3" x14ac:dyDescent="0.35">
      <c r="A6503" s="141" t="s">
        <v>294</v>
      </c>
      <c r="B6503" s="141" t="s">
        <v>342</v>
      </c>
      <c r="C6503" s="141" t="s">
        <v>21</v>
      </c>
    </row>
    <row r="6504" spans="1:3" x14ac:dyDescent="0.35">
      <c r="A6504" s="141" t="s">
        <v>1035</v>
      </c>
      <c r="B6504" s="141" t="s">
        <v>342</v>
      </c>
      <c r="C6504" s="141" t="s">
        <v>21</v>
      </c>
    </row>
    <row r="6505" spans="1:3" x14ac:dyDescent="0.35">
      <c r="A6505" s="141" t="s">
        <v>1036</v>
      </c>
      <c r="B6505" s="141" t="s">
        <v>342</v>
      </c>
      <c r="C6505" s="141" t="s">
        <v>24</v>
      </c>
    </row>
    <row r="6506" spans="1:3" x14ac:dyDescent="0.35">
      <c r="A6506" s="141" t="s">
        <v>1037</v>
      </c>
      <c r="B6506" s="141" t="s">
        <v>342</v>
      </c>
      <c r="C6506" s="141" t="s">
        <v>24</v>
      </c>
    </row>
    <row r="6507" spans="1:3" x14ac:dyDescent="0.35">
      <c r="A6507" s="141" t="s">
        <v>990</v>
      </c>
      <c r="B6507" s="141" t="s">
        <v>342</v>
      </c>
      <c r="C6507" s="141" t="s">
        <v>21</v>
      </c>
    </row>
    <row r="6508" spans="1:3" x14ac:dyDescent="0.35">
      <c r="A6508" s="141" t="s">
        <v>991</v>
      </c>
      <c r="B6508" s="141" t="s">
        <v>342</v>
      </c>
      <c r="C6508" s="141" t="s">
        <v>21</v>
      </c>
    </row>
    <row r="6509" spans="1:3" x14ac:dyDescent="0.35">
      <c r="A6509" s="141" t="s">
        <v>992</v>
      </c>
      <c r="B6509" s="141" t="s">
        <v>342</v>
      </c>
      <c r="C6509" s="141" t="s">
        <v>21</v>
      </c>
    </row>
    <row r="6510" spans="1:3" x14ac:dyDescent="0.35">
      <c r="A6510" s="141" t="s">
        <v>993</v>
      </c>
      <c r="B6510" s="141" t="s">
        <v>342</v>
      </c>
      <c r="C6510" s="141" t="s">
        <v>21</v>
      </c>
    </row>
    <row r="6511" spans="1:3" x14ac:dyDescent="0.35">
      <c r="A6511" s="141" t="s">
        <v>994</v>
      </c>
      <c r="B6511" s="141" t="s">
        <v>342</v>
      </c>
      <c r="C6511" s="141" t="s">
        <v>21</v>
      </c>
    </row>
    <row r="6512" spans="1:3" x14ac:dyDescent="0.35">
      <c r="A6512" s="141" t="s">
        <v>995</v>
      </c>
      <c r="B6512" s="141" t="s">
        <v>342</v>
      </c>
      <c r="C6512" s="141" t="s">
        <v>21</v>
      </c>
    </row>
    <row r="6513" spans="1:3" x14ac:dyDescent="0.35">
      <c r="A6513" s="141" t="s">
        <v>892</v>
      </c>
      <c r="B6513" s="141" t="s">
        <v>342</v>
      </c>
      <c r="C6513" s="141" t="s">
        <v>33</v>
      </c>
    </row>
    <row r="6514" spans="1:3" x14ac:dyDescent="0.35">
      <c r="A6514" s="141" t="s">
        <v>893</v>
      </c>
      <c r="B6514" s="141" t="s">
        <v>342</v>
      </c>
      <c r="C6514" s="141" t="s">
        <v>33</v>
      </c>
    </row>
    <row r="6515" spans="1:3" x14ac:dyDescent="0.35">
      <c r="A6515" s="141" t="s">
        <v>894</v>
      </c>
      <c r="B6515" s="141" t="s">
        <v>342</v>
      </c>
      <c r="C6515" s="141" t="s">
        <v>33</v>
      </c>
    </row>
    <row r="6516" spans="1:3" x14ac:dyDescent="0.35">
      <c r="A6516" s="141" t="s">
        <v>672</v>
      </c>
      <c r="B6516" s="141" t="s">
        <v>342</v>
      </c>
      <c r="C6516" s="141" t="s">
        <v>25</v>
      </c>
    </row>
    <row r="6517" spans="1:3" x14ac:dyDescent="0.35">
      <c r="A6517" s="141" t="s">
        <v>897</v>
      </c>
      <c r="B6517" s="141" t="s">
        <v>342</v>
      </c>
      <c r="C6517" s="141" t="s">
        <v>26</v>
      </c>
    </row>
    <row r="6518" spans="1:3" x14ac:dyDescent="0.35">
      <c r="A6518" s="141" t="s">
        <v>996</v>
      </c>
      <c r="B6518" s="141" t="s">
        <v>342</v>
      </c>
      <c r="C6518" s="141" t="s">
        <v>25</v>
      </c>
    </row>
    <row r="6519" spans="1:3" x14ac:dyDescent="0.35">
      <c r="A6519" s="141" t="s">
        <v>898</v>
      </c>
      <c r="B6519" s="141" t="s">
        <v>342</v>
      </c>
      <c r="C6519" s="141" t="s">
        <v>25</v>
      </c>
    </row>
    <row r="6520" spans="1:3" x14ac:dyDescent="0.35">
      <c r="A6520" s="141" t="s">
        <v>895</v>
      </c>
      <c r="B6520" s="141" t="s">
        <v>342</v>
      </c>
      <c r="C6520" s="141" t="s">
        <v>25</v>
      </c>
    </row>
    <row r="6521" spans="1:3" x14ac:dyDescent="0.35">
      <c r="A6521" s="141" t="s">
        <v>896</v>
      </c>
      <c r="B6521" s="141" t="s">
        <v>342</v>
      </c>
      <c r="C6521" s="141" t="s">
        <v>25</v>
      </c>
    </row>
    <row r="6522" spans="1:3" x14ac:dyDescent="0.35">
      <c r="A6522" s="141" t="s">
        <v>957</v>
      </c>
      <c r="B6522" s="141" t="s">
        <v>342</v>
      </c>
      <c r="C6522" s="141" t="s">
        <v>25</v>
      </c>
    </row>
    <row r="6523" spans="1:3" x14ac:dyDescent="0.35">
      <c r="A6523" s="141" t="s">
        <v>963</v>
      </c>
      <c r="B6523" s="141" t="s">
        <v>342</v>
      </c>
      <c r="C6523" s="141" t="s">
        <v>25</v>
      </c>
    </row>
    <row r="6524" spans="1:3" x14ac:dyDescent="0.35">
      <c r="A6524" s="141" t="s">
        <v>964</v>
      </c>
      <c r="B6524" s="141" t="s">
        <v>342</v>
      </c>
      <c r="C6524" s="141" t="s">
        <v>25</v>
      </c>
    </row>
    <row r="6525" spans="1:3" x14ac:dyDescent="0.35">
      <c r="A6525" s="141" t="s">
        <v>946</v>
      </c>
      <c r="B6525" s="141" t="s">
        <v>342</v>
      </c>
      <c r="C6525" s="141" t="s">
        <v>25</v>
      </c>
    </row>
    <row r="6526" spans="1:3" x14ac:dyDescent="0.35">
      <c r="A6526" s="141" t="s">
        <v>855</v>
      </c>
      <c r="B6526" s="141" t="s">
        <v>342</v>
      </c>
      <c r="C6526" s="141" t="s">
        <v>52</v>
      </c>
    </row>
    <row r="6527" spans="1:3" x14ac:dyDescent="0.35">
      <c r="A6527" s="141" t="s">
        <v>570</v>
      </c>
      <c r="B6527" s="141" t="s">
        <v>342</v>
      </c>
      <c r="C6527" s="141" t="s">
        <v>52</v>
      </c>
    </row>
    <row r="6528" spans="1:3" x14ac:dyDescent="0.35">
      <c r="A6528" s="141" t="s">
        <v>706</v>
      </c>
      <c r="B6528" s="141" t="s">
        <v>342</v>
      </c>
      <c r="C6528" s="141" t="s">
        <v>31</v>
      </c>
    </row>
    <row r="6529" spans="1:3" x14ac:dyDescent="0.35">
      <c r="A6529" s="141" t="s">
        <v>707</v>
      </c>
      <c r="B6529" s="141" t="s">
        <v>342</v>
      </c>
      <c r="C6529" s="141" t="s">
        <v>31</v>
      </c>
    </row>
    <row r="6530" spans="1:3" x14ac:dyDescent="0.35">
      <c r="A6530" s="141" t="s">
        <v>708</v>
      </c>
      <c r="B6530" s="141" t="s">
        <v>342</v>
      </c>
      <c r="C6530" s="141" t="s">
        <v>31</v>
      </c>
    </row>
    <row r="6531" spans="1:3" x14ac:dyDescent="0.35">
      <c r="A6531" s="141" t="s">
        <v>709</v>
      </c>
      <c r="B6531" s="141" t="s">
        <v>342</v>
      </c>
      <c r="C6531" s="141" t="s">
        <v>31</v>
      </c>
    </row>
    <row r="6532" spans="1:3" x14ac:dyDescent="0.35">
      <c r="A6532" s="141" t="s">
        <v>710</v>
      </c>
      <c r="B6532" s="141" t="s">
        <v>342</v>
      </c>
      <c r="C6532" s="141" t="s">
        <v>31</v>
      </c>
    </row>
    <row r="6533" spans="1:3" x14ac:dyDescent="0.35">
      <c r="A6533" s="141" t="s">
        <v>456</v>
      </c>
      <c r="B6533" s="141" t="s">
        <v>342</v>
      </c>
      <c r="C6533" s="141" t="s">
        <v>31</v>
      </c>
    </row>
    <row r="6534" spans="1:3" x14ac:dyDescent="0.35">
      <c r="A6534" s="141" t="s">
        <v>902</v>
      </c>
      <c r="B6534" s="141" t="s">
        <v>342</v>
      </c>
      <c r="C6534" s="141" t="s">
        <v>31</v>
      </c>
    </row>
    <row r="6535" spans="1:3" x14ac:dyDescent="0.35">
      <c r="A6535" s="141" t="s">
        <v>903</v>
      </c>
      <c r="B6535" s="141" t="s">
        <v>342</v>
      </c>
      <c r="C6535" s="141" t="s">
        <v>31</v>
      </c>
    </row>
    <row r="6536" spans="1:3" x14ac:dyDescent="0.35">
      <c r="A6536" s="141" t="s">
        <v>904</v>
      </c>
      <c r="B6536" s="141" t="s">
        <v>342</v>
      </c>
      <c r="C6536" s="141" t="s">
        <v>31</v>
      </c>
    </row>
    <row r="6537" spans="1:3" x14ac:dyDescent="0.35">
      <c r="A6537" s="141" t="s">
        <v>905</v>
      </c>
      <c r="B6537" s="141" t="s">
        <v>342</v>
      </c>
      <c r="C6537" s="141" t="s">
        <v>31</v>
      </c>
    </row>
    <row r="6538" spans="1:3" x14ac:dyDescent="0.35">
      <c r="A6538" s="141" t="s">
        <v>906</v>
      </c>
      <c r="B6538" s="141" t="s">
        <v>342</v>
      </c>
      <c r="C6538" s="141" t="s">
        <v>31</v>
      </c>
    </row>
    <row r="6539" spans="1:3" x14ac:dyDescent="0.35">
      <c r="A6539" s="141" t="s">
        <v>907</v>
      </c>
      <c r="B6539" s="141" t="s">
        <v>342</v>
      </c>
      <c r="C6539" s="141" t="s">
        <v>31</v>
      </c>
    </row>
    <row r="6540" spans="1:3" x14ac:dyDescent="0.35">
      <c r="A6540" s="141" t="s">
        <v>908</v>
      </c>
      <c r="B6540" s="141" t="s">
        <v>342</v>
      </c>
      <c r="C6540" s="141" t="s">
        <v>31</v>
      </c>
    </row>
    <row r="6541" spans="1:3" x14ac:dyDescent="0.35">
      <c r="A6541" s="141" t="s">
        <v>909</v>
      </c>
      <c r="B6541" s="141" t="s">
        <v>342</v>
      </c>
      <c r="C6541" s="141" t="s">
        <v>31</v>
      </c>
    </row>
    <row r="6542" spans="1:3" x14ac:dyDescent="0.35">
      <c r="A6542" s="141" t="s">
        <v>297</v>
      </c>
      <c r="B6542" s="141" t="s">
        <v>342</v>
      </c>
      <c r="C6542" s="141" t="s">
        <v>32</v>
      </c>
    </row>
    <row r="6543" spans="1:3" x14ac:dyDescent="0.35">
      <c r="A6543" s="141" t="s">
        <v>298</v>
      </c>
      <c r="B6543" s="141" t="s">
        <v>342</v>
      </c>
      <c r="C6543" s="141" t="s">
        <v>32</v>
      </c>
    </row>
    <row r="6544" spans="1:3" x14ac:dyDescent="0.35">
      <c r="A6544" s="141" t="s">
        <v>299</v>
      </c>
      <c r="B6544" s="141" t="s">
        <v>342</v>
      </c>
      <c r="C6544" s="141" t="s">
        <v>32</v>
      </c>
    </row>
    <row r="6545" spans="1:3" x14ac:dyDescent="0.35">
      <c r="A6545" s="141" t="s">
        <v>300</v>
      </c>
      <c r="B6545" s="141" t="s">
        <v>342</v>
      </c>
      <c r="C6545" s="141" t="s">
        <v>32</v>
      </c>
    </row>
    <row r="6546" spans="1:3" x14ac:dyDescent="0.35">
      <c r="A6546" s="141" t="s">
        <v>301</v>
      </c>
      <c r="B6546" s="141" t="s">
        <v>342</v>
      </c>
      <c r="C6546" s="141" t="s">
        <v>32</v>
      </c>
    </row>
    <row r="6547" spans="1:3" x14ac:dyDescent="0.35">
      <c r="A6547" s="141" t="s">
        <v>302</v>
      </c>
      <c r="B6547" s="141" t="s">
        <v>342</v>
      </c>
      <c r="C6547" s="141" t="s">
        <v>32</v>
      </c>
    </row>
    <row r="6548" spans="1:3" x14ac:dyDescent="0.35">
      <c r="A6548" s="141" t="s">
        <v>997</v>
      </c>
      <c r="B6548" s="141" t="s">
        <v>342</v>
      </c>
      <c r="C6548" s="141" t="s">
        <v>32</v>
      </c>
    </row>
    <row r="6549" spans="1:3" x14ac:dyDescent="0.35">
      <c r="A6549" s="141" t="s">
        <v>932</v>
      </c>
      <c r="B6549" s="141" t="s">
        <v>342</v>
      </c>
      <c r="C6549" s="141" t="s">
        <v>49</v>
      </c>
    </row>
    <row r="6550" spans="1:3" x14ac:dyDescent="0.35">
      <c r="A6550" s="141" t="s">
        <v>940</v>
      </c>
      <c r="B6550" s="141" t="s">
        <v>342</v>
      </c>
      <c r="C6550" s="141" t="s">
        <v>49</v>
      </c>
    </row>
    <row r="6551" spans="1:3" x14ac:dyDescent="0.35">
      <c r="A6551" s="141" t="s">
        <v>941</v>
      </c>
      <c r="B6551" s="141" t="s">
        <v>342</v>
      </c>
      <c r="C6551" s="141" t="s">
        <v>49</v>
      </c>
    </row>
    <row r="6552" spans="1:3" x14ac:dyDescent="0.35">
      <c r="A6552" s="141" t="s">
        <v>933</v>
      </c>
      <c r="B6552" s="141" t="s">
        <v>342</v>
      </c>
      <c r="C6552" s="141" t="s">
        <v>32</v>
      </c>
    </row>
    <row r="6553" spans="1:3" x14ac:dyDescent="0.35">
      <c r="A6553" s="141" t="s">
        <v>935</v>
      </c>
      <c r="B6553" s="141" t="s">
        <v>342</v>
      </c>
      <c r="C6553" s="141" t="s">
        <v>32</v>
      </c>
    </row>
    <row r="6554" spans="1:3" x14ac:dyDescent="0.35">
      <c r="A6554" s="141" t="s">
        <v>937</v>
      </c>
      <c r="B6554" s="141" t="s">
        <v>342</v>
      </c>
      <c r="C6554" s="141" t="s">
        <v>32</v>
      </c>
    </row>
    <row r="6555" spans="1:3" x14ac:dyDescent="0.35">
      <c r="A6555" s="141" t="s">
        <v>938</v>
      </c>
      <c r="B6555" s="141" t="s">
        <v>342</v>
      </c>
      <c r="C6555" s="141" t="s">
        <v>32</v>
      </c>
    </row>
    <row r="6556" spans="1:3" x14ac:dyDescent="0.35">
      <c r="A6556" s="141" t="s">
        <v>939</v>
      </c>
      <c r="B6556" s="141" t="s">
        <v>342</v>
      </c>
      <c r="C6556" s="141" t="s">
        <v>32</v>
      </c>
    </row>
    <row r="6557" spans="1:3" x14ac:dyDescent="0.35">
      <c r="A6557" s="141" t="s">
        <v>942</v>
      </c>
      <c r="B6557" s="141" t="s">
        <v>342</v>
      </c>
      <c r="C6557" s="141" t="s">
        <v>32</v>
      </c>
    </row>
    <row r="6558" spans="1:3" x14ac:dyDescent="0.35">
      <c r="A6558" s="141" t="s">
        <v>943</v>
      </c>
      <c r="B6558" s="141" t="s">
        <v>342</v>
      </c>
      <c r="C6558" s="141" t="s">
        <v>32</v>
      </c>
    </row>
    <row r="6559" spans="1:3" x14ac:dyDescent="0.35">
      <c r="A6559" s="141" t="s">
        <v>944</v>
      </c>
      <c r="B6559" s="141" t="s">
        <v>342</v>
      </c>
      <c r="C6559" s="141" t="s">
        <v>32</v>
      </c>
    </row>
    <row r="6560" spans="1:3" x14ac:dyDescent="0.35">
      <c r="A6560" s="141" t="s">
        <v>934</v>
      </c>
      <c r="B6560" s="141" t="s">
        <v>342</v>
      </c>
      <c r="C6560" s="141" t="s">
        <v>32</v>
      </c>
    </row>
    <row r="6561" spans="1:3" x14ac:dyDescent="0.35">
      <c r="A6561" s="141" t="s">
        <v>936</v>
      </c>
      <c r="B6561" s="141" t="s">
        <v>342</v>
      </c>
      <c r="C6561" s="141" t="s">
        <v>32</v>
      </c>
    </row>
    <row r="6562" spans="1:3" x14ac:dyDescent="0.35">
      <c r="A6562" s="141" t="s">
        <v>945</v>
      </c>
      <c r="B6562" s="141" t="s">
        <v>342</v>
      </c>
      <c r="C6562" s="141" t="s">
        <v>32</v>
      </c>
    </row>
    <row r="6563" spans="1:3" x14ac:dyDescent="0.35">
      <c r="A6563" s="141" t="s">
        <v>861</v>
      </c>
      <c r="B6563" s="141" t="s">
        <v>342</v>
      </c>
      <c r="C6563" s="141" t="s">
        <v>33</v>
      </c>
    </row>
    <row r="6564" spans="1:3" x14ac:dyDescent="0.35">
      <c r="A6564" s="141" t="s">
        <v>862</v>
      </c>
      <c r="B6564" s="141" t="s">
        <v>342</v>
      </c>
      <c r="C6564" s="141" t="s">
        <v>33</v>
      </c>
    </row>
    <row r="6565" spans="1:3" x14ac:dyDescent="0.35">
      <c r="A6565" s="141" t="s">
        <v>516</v>
      </c>
      <c r="B6565" s="141" t="s">
        <v>342</v>
      </c>
      <c r="C6565" s="141" t="s">
        <v>33</v>
      </c>
    </row>
    <row r="6566" spans="1:3" x14ac:dyDescent="0.35">
      <c r="A6566" s="141" t="s">
        <v>955</v>
      </c>
      <c r="B6566" s="141" t="s">
        <v>342</v>
      </c>
      <c r="C6566" s="141" t="s">
        <v>33</v>
      </c>
    </row>
    <row r="6567" spans="1:3" x14ac:dyDescent="0.35">
      <c r="A6567" s="141" t="s">
        <v>956</v>
      </c>
      <c r="B6567" s="141" t="s">
        <v>342</v>
      </c>
      <c r="C6567" s="141" t="s">
        <v>33</v>
      </c>
    </row>
    <row r="6568" spans="1:3" x14ac:dyDescent="0.35">
      <c r="A6568" s="141" t="s">
        <v>910</v>
      </c>
      <c r="B6568" s="141" t="s">
        <v>342</v>
      </c>
      <c r="C6568" s="141" t="s">
        <v>33</v>
      </c>
    </row>
    <row r="6569" spans="1:3" x14ac:dyDescent="0.35">
      <c r="A6569" s="141" t="s">
        <v>911</v>
      </c>
      <c r="B6569" s="141" t="s">
        <v>342</v>
      </c>
      <c r="C6569" s="141" t="s">
        <v>33</v>
      </c>
    </row>
    <row r="6570" spans="1:3" x14ac:dyDescent="0.35">
      <c r="A6570" s="141" t="s">
        <v>912</v>
      </c>
      <c r="B6570" s="141" t="s">
        <v>342</v>
      </c>
      <c r="C6570" s="141" t="s">
        <v>33</v>
      </c>
    </row>
    <row r="6571" spans="1:3" x14ac:dyDescent="0.35">
      <c r="A6571" s="141" t="s">
        <v>998</v>
      </c>
      <c r="B6571" s="141" t="s">
        <v>342</v>
      </c>
      <c r="C6571" s="141" t="s">
        <v>28</v>
      </c>
    </row>
    <row r="6572" spans="1:3" x14ac:dyDescent="0.35">
      <c r="A6572" s="141" t="s">
        <v>999</v>
      </c>
      <c r="B6572" s="141" t="s">
        <v>342</v>
      </c>
      <c r="C6572" s="141" t="s">
        <v>29</v>
      </c>
    </row>
    <row r="6573" spans="1:3" x14ac:dyDescent="0.35">
      <c r="A6573" s="141" t="s">
        <v>1000</v>
      </c>
      <c r="B6573" s="141" t="s">
        <v>342</v>
      </c>
      <c r="C6573" s="141" t="s">
        <v>29</v>
      </c>
    </row>
    <row r="6574" spans="1:3" x14ac:dyDescent="0.35">
      <c r="A6574" s="141" t="s">
        <v>929</v>
      </c>
      <c r="B6574" s="141" t="s">
        <v>342</v>
      </c>
      <c r="C6574" s="141" t="s">
        <v>28</v>
      </c>
    </row>
    <row r="6575" spans="1:3" x14ac:dyDescent="0.35">
      <c r="A6575" s="141" t="s">
        <v>930</v>
      </c>
      <c r="B6575" s="141" t="s">
        <v>342</v>
      </c>
      <c r="C6575" s="141" t="s">
        <v>28</v>
      </c>
    </row>
    <row r="6576" spans="1:3" x14ac:dyDescent="0.35">
      <c r="A6576" s="141" t="s">
        <v>863</v>
      </c>
      <c r="B6576" s="141" t="s">
        <v>342</v>
      </c>
      <c r="C6576" s="141" t="s">
        <v>30</v>
      </c>
    </row>
    <row r="6577" spans="1:3" x14ac:dyDescent="0.35">
      <c r="A6577" s="141" t="s">
        <v>864</v>
      </c>
      <c r="B6577" s="141" t="s">
        <v>342</v>
      </c>
      <c r="C6577" s="141" t="s">
        <v>30</v>
      </c>
    </row>
    <row r="6578" spans="1:3" x14ac:dyDescent="0.35">
      <c r="A6578" s="141" t="s">
        <v>865</v>
      </c>
      <c r="B6578" s="141" t="s">
        <v>342</v>
      </c>
      <c r="C6578" s="141" t="s">
        <v>34</v>
      </c>
    </row>
    <row r="6579" spans="1:3" x14ac:dyDescent="0.35">
      <c r="A6579" s="141" t="s">
        <v>866</v>
      </c>
      <c r="B6579" s="141" t="s">
        <v>342</v>
      </c>
      <c r="C6579" s="141" t="s">
        <v>34</v>
      </c>
    </row>
    <row r="6580" spans="1:3" x14ac:dyDescent="0.35">
      <c r="A6580" s="141" t="s">
        <v>784</v>
      </c>
      <c r="B6580" s="141" t="s">
        <v>342</v>
      </c>
      <c r="C6580" s="141" t="s">
        <v>30</v>
      </c>
    </row>
    <row r="6581" spans="1:3" x14ac:dyDescent="0.35">
      <c r="A6581" s="141" t="s">
        <v>867</v>
      </c>
      <c r="B6581" s="141" t="s">
        <v>342</v>
      </c>
      <c r="C6581" s="141" t="s">
        <v>30</v>
      </c>
    </row>
    <row r="6582" spans="1:3" x14ac:dyDescent="0.35">
      <c r="A6582" s="141" t="s">
        <v>525</v>
      </c>
      <c r="B6582" s="141" t="s">
        <v>342</v>
      </c>
      <c r="C6582" s="141" t="s">
        <v>46</v>
      </c>
    </row>
    <row r="6583" spans="1:3" x14ac:dyDescent="0.35">
      <c r="A6583" s="141" t="s">
        <v>1001</v>
      </c>
      <c r="B6583" s="141" t="s">
        <v>342</v>
      </c>
      <c r="C6583" s="141" t="s">
        <v>32</v>
      </c>
    </row>
    <row r="6584" spans="1:3" x14ac:dyDescent="0.35">
      <c r="A6584" s="141" t="s">
        <v>870</v>
      </c>
      <c r="B6584" s="141" t="s">
        <v>342</v>
      </c>
      <c r="C6584" s="141" t="s">
        <v>32</v>
      </c>
    </row>
    <row r="6585" spans="1:3" x14ac:dyDescent="0.35">
      <c r="A6585" s="141" t="s">
        <v>958</v>
      </c>
      <c r="B6585" s="141" t="s">
        <v>342</v>
      </c>
      <c r="C6585" s="141" t="s">
        <v>25</v>
      </c>
    </row>
    <row r="6586" spans="1:3" x14ac:dyDescent="0.35">
      <c r="A6586" s="141" t="s">
        <v>1038</v>
      </c>
      <c r="B6586" s="141" t="s">
        <v>342</v>
      </c>
      <c r="C6586" s="141" t="s">
        <v>48</v>
      </c>
    </row>
    <row r="6587" spans="1:3" x14ac:dyDescent="0.35">
      <c r="A6587" s="141" t="s">
        <v>308</v>
      </c>
      <c r="B6587" s="141" t="s">
        <v>342</v>
      </c>
      <c r="C6587" s="141" t="s">
        <v>53</v>
      </c>
    </row>
    <row r="6588" spans="1:3" x14ac:dyDescent="0.35">
      <c r="A6588" s="141" t="s">
        <v>309</v>
      </c>
      <c r="B6588" s="141" t="s">
        <v>342</v>
      </c>
      <c r="C6588" s="141" t="s">
        <v>53</v>
      </c>
    </row>
    <row r="6589" spans="1:3" x14ac:dyDescent="0.35">
      <c r="A6589" s="141" t="s">
        <v>311</v>
      </c>
      <c r="B6589" s="141" t="s">
        <v>342</v>
      </c>
      <c r="C6589" s="141" t="s">
        <v>53</v>
      </c>
    </row>
    <row r="6590" spans="1:3" x14ac:dyDescent="0.35">
      <c r="A6590" s="141" t="s">
        <v>534</v>
      </c>
      <c r="B6590" s="141" t="s">
        <v>342</v>
      </c>
      <c r="C6590" s="141" t="s">
        <v>53</v>
      </c>
    </row>
    <row r="6591" spans="1:3" x14ac:dyDescent="0.35">
      <c r="A6591" s="141" t="s">
        <v>312</v>
      </c>
      <c r="B6591" s="141" t="s">
        <v>342</v>
      </c>
      <c r="C6591" s="141" t="s">
        <v>53</v>
      </c>
    </row>
    <row r="6592" spans="1:3" x14ac:dyDescent="0.35">
      <c r="A6592" s="141" t="s">
        <v>965</v>
      </c>
      <c r="B6592" s="141" t="s">
        <v>342</v>
      </c>
      <c r="C6592" s="141" t="s">
        <v>52</v>
      </c>
    </row>
    <row r="6593" spans="1:3" x14ac:dyDescent="0.35">
      <c r="A6593" s="141" t="s">
        <v>1002</v>
      </c>
      <c r="B6593" s="141" t="s">
        <v>342</v>
      </c>
      <c r="C6593" s="141" t="s">
        <v>25</v>
      </c>
    </row>
    <row r="6594" spans="1:3" x14ac:dyDescent="0.35">
      <c r="A6594" s="141" t="s">
        <v>959</v>
      </c>
      <c r="B6594" s="141" t="s">
        <v>342</v>
      </c>
      <c r="C6594" s="141" t="s">
        <v>53</v>
      </c>
    </row>
    <row r="6595" spans="1:3" x14ac:dyDescent="0.35">
      <c r="A6595" s="141" t="s">
        <v>960</v>
      </c>
      <c r="B6595" s="141" t="s">
        <v>342</v>
      </c>
      <c r="C6595" s="141" t="s">
        <v>52</v>
      </c>
    </row>
    <row r="6596" spans="1:3" x14ac:dyDescent="0.35">
      <c r="A6596" s="141" t="s">
        <v>873</v>
      </c>
      <c r="B6596" s="141" t="s">
        <v>342</v>
      </c>
      <c r="C6596" s="141" t="s">
        <v>52</v>
      </c>
    </row>
    <row r="6597" spans="1:3" x14ac:dyDescent="0.35">
      <c r="A6597" s="141" t="s">
        <v>874</v>
      </c>
      <c r="B6597" s="141" t="s">
        <v>342</v>
      </c>
      <c r="C6597" s="141" t="s">
        <v>52</v>
      </c>
    </row>
    <row r="6598" spans="1:3" x14ac:dyDescent="0.35">
      <c r="A6598" s="141" t="s">
        <v>1003</v>
      </c>
      <c r="B6598" s="141" t="s">
        <v>342</v>
      </c>
      <c r="C6598" s="141" t="s">
        <v>52</v>
      </c>
    </row>
    <row r="6599" spans="1:3" x14ac:dyDescent="0.35">
      <c r="A6599" s="141" t="s">
        <v>875</v>
      </c>
      <c r="B6599" s="141" t="s">
        <v>342</v>
      </c>
      <c r="C6599" s="141" t="s">
        <v>52</v>
      </c>
    </row>
    <row r="6600" spans="1:3" x14ac:dyDescent="0.35">
      <c r="A6600" s="141" t="s">
        <v>876</v>
      </c>
      <c r="B6600" s="141" t="s">
        <v>342</v>
      </c>
      <c r="C6600" s="141" t="s">
        <v>52</v>
      </c>
    </row>
    <row r="6601" spans="1:3" x14ac:dyDescent="0.35">
      <c r="A6601" s="141" t="s">
        <v>877</v>
      </c>
      <c r="B6601" s="141" t="s">
        <v>342</v>
      </c>
      <c r="C6601" s="141" t="s">
        <v>52</v>
      </c>
    </row>
    <row r="6602" spans="1:3" x14ac:dyDescent="0.35">
      <c r="A6602" s="141" t="s">
        <v>878</v>
      </c>
      <c r="B6602" s="141" t="s">
        <v>342</v>
      </c>
      <c r="C6602" s="141" t="s">
        <v>52</v>
      </c>
    </row>
    <row r="6603" spans="1:3" x14ac:dyDescent="0.35">
      <c r="A6603" s="141" t="s">
        <v>539</v>
      </c>
      <c r="B6603" s="141" t="s">
        <v>342</v>
      </c>
      <c r="C6603" s="141" t="s">
        <v>52</v>
      </c>
    </row>
    <row r="6604" spans="1:3" x14ac:dyDescent="0.35">
      <c r="A6604" s="141" t="s">
        <v>540</v>
      </c>
      <c r="B6604" s="141" t="s">
        <v>342</v>
      </c>
      <c r="C6604" s="141" t="s">
        <v>52</v>
      </c>
    </row>
    <row r="6605" spans="1:3" x14ac:dyDescent="0.35">
      <c r="A6605" s="141" t="s">
        <v>812</v>
      </c>
      <c r="B6605" s="141" t="s">
        <v>342</v>
      </c>
      <c r="C6605" s="141" t="s">
        <v>52</v>
      </c>
    </row>
    <row r="6606" spans="1:3" x14ac:dyDescent="0.35">
      <c r="A6606" s="141" t="s">
        <v>803</v>
      </c>
      <c r="B6606" s="141" t="s">
        <v>342</v>
      </c>
      <c r="C6606" s="141" t="s">
        <v>52</v>
      </c>
    </row>
    <row r="6607" spans="1:3" x14ac:dyDescent="0.35">
      <c r="A6607" s="141" t="s">
        <v>966</v>
      </c>
      <c r="B6607" s="141" t="s">
        <v>342</v>
      </c>
      <c r="C6607" s="141" t="s">
        <v>53</v>
      </c>
    </row>
    <row r="6608" spans="1:3" x14ac:dyDescent="0.35">
      <c r="A6608" s="141" t="s">
        <v>967</v>
      </c>
      <c r="B6608" s="141" t="s">
        <v>342</v>
      </c>
      <c r="C6608" s="141" t="s">
        <v>53</v>
      </c>
    </row>
    <row r="6609" spans="1:3" x14ac:dyDescent="0.35">
      <c r="A6609" s="141" t="s">
        <v>968</v>
      </c>
      <c r="B6609" s="141" t="s">
        <v>342</v>
      </c>
      <c r="C6609" s="141" t="s">
        <v>53</v>
      </c>
    </row>
    <row r="6610" spans="1:3" x14ac:dyDescent="0.35">
      <c r="A6610" s="141" t="s">
        <v>969</v>
      </c>
      <c r="B6610" s="141" t="s">
        <v>342</v>
      </c>
      <c r="C6610" s="141" t="s">
        <v>53</v>
      </c>
    </row>
    <row r="6611" spans="1:3" x14ac:dyDescent="0.35">
      <c r="A6611" s="141" t="s">
        <v>970</v>
      </c>
      <c r="B6611" s="141" t="s">
        <v>342</v>
      </c>
      <c r="C6611" s="141" t="s">
        <v>53</v>
      </c>
    </row>
    <row r="6612" spans="1:3" x14ac:dyDescent="0.35">
      <c r="A6612" s="141" t="s">
        <v>804</v>
      </c>
      <c r="B6612" s="141" t="s">
        <v>342</v>
      </c>
      <c r="C6612" s="141" t="s">
        <v>53</v>
      </c>
    </row>
    <row r="6613" spans="1:3" x14ac:dyDescent="0.35">
      <c r="A6613" s="141" t="s">
        <v>805</v>
      </c>
      <c r="B6613" s="141" t="s">
        <v>342</v>
      </c>
      <c r="C6613" s="141" t="s">
        <v>52</v>
      </c>
    </row>
    <row r="6614" spans="1:3" x14ac:dyDescent="0.35">
      <c r="A6614" s="141" t="s">
        <v>879</v>
      </c>
      <c r="B6614" s="141" t="s">
        <v>342</v>
      </c>
      <c r="C6614" s="141" t="s">
        <v>52</v>
      </c>
    </row>
    <row r="6615" spans="1:3" x14ac:dyDescent="0.35">
      <c r="A6615" s="141" t="s">
        <v>880</v>
      </c>
      <c r="B6615" s="141" t="s">
        <v>342</v>
      </c>
      <c r="C6615" s="141" t="s">
        <v>52</v>
      </c>
    </row>
    <row r="6616" spans="1:3" x14ac:dyDescent="0.35">
      <c r="A6616" s="141" t="s">
        <v>314</v>
      </c>
      <c r="B6616" s="141" t="s">
        <v>342</v>
      </c>
      <c r="C6616" s="141" t="s">
        <v>16</v>
      </c>
    </row>
    <row r="6617" spans="1:3" x14ac:dyDescent="0.35">
      <c r="A6617" s="141" t="s">
        <v>316</v>
      </c>
      <c r="B6617" s="141" t="s">
        <v>342</v>
      </c>
      <c r="C6617" s="141" t="s">
        <v>16</v>
      </c>
    </row>
    <row r="6618" spans="1:3" x14ac:dyDescent="0.35">
      <c r="A6618" s="141" t="s">
        <v>317</v>
      </c>
      <c r="B6618" s="141" t="s">
        <v>342</v>
      </c>
      <c r="C6618" s="141" t="s">
        <v>16</v>
      </c>
    </row>
    <row r="6619" spans="1:3" x14ac:dyDescent="0.35">
      <c r="A6619" s="141" t="s">
        <v>318</v>
      </c>
      <c r="B6619" s="141" t="s">
        <v>342</v>
      </c>
      <c r="C6619" s="141" t="s">
        <v>16</v>
      </c>
    </row>
    <row r="6620" spans="1:3" x14ac:dyDescent="0.35">
      <c r="A6620" s="141" t="s">
        <v>319</v>
      </c>
      <c r="B6620" s="141" t="s">
        <v>342</v>
      </c>
      <c r="C6620" s="141" t="s">
        <v>16</v>
      </c>
    </row>
    <row r="6621" spans="1:3" x14ac:dyDescent="0.35">
      <c r="A6621" s="141" t="s">
        <v>320</v>
      </c>
      <c r="B6621" s="141" t="s">
        <v>342</v>
      </c>
      <c r="C6621" s="141" t="s">
        <v>16</v>
      </c>
    </row>
    <row r="6622" spans="1:3" x14ac:dyDescent="0.35">
      <c r="A6622" s="141" t="s">
        <v>321</v>
      </c>
      <c r="B6622" s="141" t="s">
        <v>342</v>
      </c>
      <c r="C6622" s="141" t="s">
        <v>16</v>
      </c>
    </row>
    <row r="6623" spans="1:3" x14ac:dyDescent="0.35">
      <c r="A6623" s="141" t="s">
        <v>322</v>
      </c>
      <c r="B6623" s="141" t="s">
        <v>342</v>
      </c>
      <c r="C6623" s="141" t="s">
        <v>16</v>
      </c>
    </row>
    <row r="6624" spans="1:3" x14ac:dyDescent="0.35">
      <c r="A6624" s="141" t="s">
        <v>323</v>
      </c>
      <c r="B6624" s="141" t="s">
        <v>342</v>
      </c>
      <c r="C6624" s="141" t="s">
        <v>16</v>
      </c>
    </row>
    <row r="6625" spans="1:3" x14ac:dyDescent="0.35">
      <c r="A6625" s="141" t="s">
        <v>324</v>
      </c>
      <c r="B6625" s="141" t="s">
        <v>342</v>
      </c>
      <c r="C6625" s="141" t="s">
        <v>16</v>
      </c>
    </row>
    <row r="6626" spans="1:3" x14ac:dyDescent="0.35">
      <c r="A6626" s="141" t="s">
        <v>325</v>
      </c>
      <c r="B6626" s="141" t="s">
        <v>342</v>
      </c>
      <c r="C6626" s="141" t="s">
        <v>16</v>
      </c>
    </row>
    <row r="6627" spans="1:3" x14ac:dyDescent="0.35">
      <c r="A6627" s="141" t="s">
        <v>326</v>
      </c>
      <c r="B6627" s="141" t="s">
        <v>342</v>
      </c>
      <c r="C6627" s="141" t="s">
        <v>16</v>
      </c>
    </row>
    <row r="6628" spans="1:3" x14ac:dyDescent="0.35">
      <c r="A6628" s="141" t="s">
        <v>971</v>
      </c>
      <c r="B6628" s="141" t="s">
        <v>342</v>
      </c>
      <c r="C6628" s="141" t="s">
        <v>16</v>
      </c>
    </row>
    <row r="6629" spans="1:3" x14ac:dyDescent="0.35">
      <c r="A6629" s="141" t="s">
        <v>327</v>
      </c>
      <c r="B6629" s="141" t="s">
        <v>342</v>
      </c>
      <c r="C6629" s="141" t="s">
        <v>16</v>
      </c>
    </row>
    <row r="6630" spans="1:3" x14ac:dyDescent="0.35">
      <c r="A6630" s="141" t="s">
        <v>972</v>
      </c>
      <c r="B6630" s="141" t="s">
        <v>342</v>
      </c>
      <c r="C6630" s="141" t="s">
        <v>16</v>
      </c>
    </row>
    <row r="6631" spans="1:3" x14ac:dyDescent="0.35">
      <c r="A6631" s="141" t="s">
        <v>328</v>
      </c>
      <c r="B6631" s="141" t="s">
        <v>342</v>
      </c>
      <c r="C6631" s="141" t="s">
        <v>16</v>
      </c>
    </row>
    <row r="6632" spans="1:3" x14ac:dyDescent="0.35">
      <c r="A6632" s="141" t="s">
        <v>1004</v>
      </c>
      <c r="B6632" s="141" t="s">
        <v>342</v>
      </c>
      <c r="C6632" s="141" t="s">
        <v>16</v>
      </c>
    </row>
    <row r="6633" spans="1:3" x14ac:dyDescent="0.35">
      <c r="A6633" s="141" t="s">
        <v>331</v>
      </c>
      <c r="B6633" s="141" t="s">
        <v>342</v>
      </c>
      <c r="C6633" s="141" t="s">
        <v>16</v>
      </c>
    </row>
    <row r="6634" spans="1:3" x14ac:dyDescent="0.35">
      <c r="A6634" s="141" t="s">
        <v>332</v>
      </c>
      <c r="B6634" s="141" t="s">
        <v>342</v>
      </c>
      <c r="C6634" s="141" t="s">
        <v>16</v>
      </c>
    </row>
    <row r="6635" spans="1:3" x14ac:dyDescent="0.35">
      <c r="A6635" s="141" t="s">
        <v>333</v>
      </c>
      <c r="B6635" s="141" t="s">
        <v>342</v>
      </c>
      <c r="C6635" s="141" t="s">
        <v>16</v>
      </c>
    </row>
    <row r="6636" spans="1:3" x14ac:dyDescent="0.35">
      <c r="A6636" s="141" t="s">
        <v>1005</v>
      </c>
      <c r="B6636" s="141" t="s">
        <v>342</v>
      </c>
      <c r="C6636" s="141" t="s">
        <v>16</v>
      </c>
    </row>
    <row r="6637" spans="1:3" x14ac:dyDescent="0.35">
      <c r="A6637" s="141" t="s">
        <v>1039</v>
      </c>
      <c r="B6637" s="141" t="s">
        <v>342</v>
      </c>
      <c r="C6637" s="141" t="s">
        <v>16</v>
      </c>
    </row>
    <row r="6638" spans="1:3" x14ac:dyDescent="0.35">
      <c r="A6638" s="141" t="s">
        <v>974</v>
      </c>
      <c r="B6638" s="141" t="s">
        <v>342</v>
      </c>
      <c r="C6638" s="141" t="s">
        <v>16</v>
      </c>
    </row>
    <row r="6639" spans="1:3" x14ac:dyDescent="0.35">
      <c r="A6639" s="141" t="s">
        <v>330</v>
      </c>
      <c r="B6639" s="141" t="s">
        <v>342</v>
      </c>
      <c r="C6639" s="141" t="s">
        <v>16</v>
      </c>
    </row>
    <row r="6640" spans="1:3" x14ac:dyDescent="0.35">
      <c r="A6640" s="141" t="s">
        <v>531</v>
      </c>
      <c r="B6640" s="141" t="s">
        <v>342</v>
      </c>
      <c r="C6640" s="141" t="s">
        <v>51</v>
      </c>
    </row>
    <row r="6641" spans="1:3" x14ac:dyDescent="0.35">
      <c r="A6641" s="141" t="s">
        <v>741</v>
      </c>
      <c r="B6641" s="141" t="s">
        <v>342</v>
      </c>
      <c r="C6641" s="141" t="s">
        <v>51</v>
      </c>
    </row>
    <row r="6642" spans="1:3" x14ac:dyDescent="0.35">
      <c r="A6642" s="141" t="s">
        <v>742</v>
      </c>
      <c r="B6642" s="141" t="s">
        <v>342</v>
      </c>
      <c r="C6642" s="141" t="s">
        <v>51</v>
      </c>
    </row>
    <row r="6643" spans="1:3" x14ac:dyDescent="0.35">
      <c r="A6643" s="141" t="s">
        <v>743</v>
      </c>
      <c r="B6643" s="141" t="s">
        <v>342</v>
      </c>
      <c r="C6643" s="141" t="s">
        <v>51</v>
      </c>
    </row>
    <row r="6644" spans="1:3" x14ac:dyDescent="0.35">
      <c r="A6644" s="141" t="s">
        <v>747</v>
      </c>
      <c r="B6644" s="141" t="s">
        <v>342</v>
      </c>
      <c r="C6644" s="141" t="s">
        <v>51</v>
      </c>
    </row>
    <row r="6645" spans="1:3" x14ac:dyDescent="0.35">
      <c r="A6645" s="141" t="s">
        <v>748</v>
      </c>
      <c r="B6645" s="141" t="s">
        <v>342</v>
      </c>
      <c r="C6645" s="141" t="s">
        <v>51</v>
      </c>
    </row>
    <row r="6646" spans="1:3" x14ac:dyDescent="0.35">
      <c r="A6646" s="141" t="s">
        <v>533</v>
      </c>
      <c r="B6646" s="141" t="s">
        <v>342</v>
      </c>
      <c r="C6646" s="141" t="s">
        <v>50</v>
      </c>
    </row>
    <row r="6647" spans="1:3" x14ac:dyDescent="0.35">
      <c r="A6647" s="141" t="s">
        <v>954</v>
      </c>
      <c r="B6647" s="141" t="s">
        <v>342</v>
      </c>
      <c r="C6647" s="141" t="s">
        <v>35</v>
      </c>
    </row>
    <row r="6648" spans="1:3" x14ac:dyDescent="0.35">
      <c r="A6648" s="141" t="s">
        <v>1040</v>
      </c>
      <c r="B6648" s="141" t="s">
        <v>342</v>
      </c>
      <c r="C6648" s="141" t="s">
        <v>35</v>
      </c>
    </row>
    <row r="6649" spans="1:3" x14ac:dyDescent="0.35">
      <c r="A6649" s="141" t="s">
        <v>740</v>
      </c>
      <c r="B6649" s="141" t="s">
        <v>342</v>
      </c>
      <c r="C6649" s="141" t="s">
        <v>33</v>
      </c>
    </row>
    <row r="6650" spans="1:3" x14ac:dyDescent="0.35">
      <c r="A6650" s="141" t="s">
        <v>1029</v>
      </c>
      <c r="B6650" s="141" t="s">
        <v>342</v>
      </c>
      <c r="C6650" s="141" t="s">
        <v>21</v>
      </c>
    </row>
    <row r="6651" spans="1:3" x14ac:dyDescent="0.35">
      <c r="A6651" s="141" t="s">
        <v>1030</v>
      </c>
      <c r="B6651" s="141" t="s">
        <v>342</v>
      </c>
      <c r="C6651" s="141" t="s">
        <v>21</v>
      </c>
    </row>
    <row r="6652" spans="1:3" x14ac:dyDescent="0.35">
      <c r="A6652" s="141" t="s">
        <v>601</v>
      </c>
      <c r="B6652" s="141" t="s">
        <v>342</v>
      </c>
      <c r="C6652" s="141" t="s">
        <v>40</v>
      </c>
    </row>
    <row r="6653" spans="1:3" x14ac:dyDescent="0.35">
      <c r="A6653" s="141" t="s">
        <v>602</v>
      </c>
      <c r="B6653" s="141" t="s">
        <v>342</v>
      </c>
      <c r="C6653" s="141" t="s">
        <v>39</v>
      </c>
    </row>
    <row r="6654" spans="1:3" x14ac:dyDescent="0.35">
      <c r="A6654" s="141" t="s">
        <v>1006</v>
      </c>
      <c r="B6654" s="141" t="s">
        <v>342</v>
      </c>
      <c r="C6654" s="141" t="s">
        <v>41</v>
      </c>
    </row>
    <row r="6655" spans="1:3" x14ac:dyDescent="0.35">
      <c r="A6655" s="141" t="s">
        <v>737</v>
      </c>
      <c r="B6655" s="141" t="s">
        <v>342</v>
      </c>
      <c r="C6655" s="141" t="s">
        <v>41</v>
      </c>
    </row>
    <row r="6656" spans="1:3" x14ac:dyDescent="0.35">
      <c r="A6656" s="141" t="s">
        <v>738</v>
      </c>
      <c r="B6656" s="141" t="s">
        <v>342</v>
      </c>
      <c r="C6656" s="141" t="s">
        <v>41</v>
      </c>
    </row>
    <row r="6657" spans="1:3" x14ac:dyDescent="0.35">
      <c r="A6657" s="141" t="s">
        <v>797</v>
      </c>
      <c r="B6657" s="141" t="s">
        <v>342</v>
      </c>
      <c r="C6657" s="141" t="s">
        <v>41</v>
      </c>
    </row>
    <row r="6658" spans="1:3" x14ac:dyDescent="0.35">
      <c r="A6658" s="141" t="s">
        <v>1007</v>
      </c>
      <c r="B6658" s="141" t="s">
        <v>342</v>
      </c>
      <c r="C6658" s="141" t="s">
        <v>40</v>
      </c>
    </row>
    <row r="6659" spans="1:3" x14ac:dyDescent="0.35">
      <c r="A6659" s="141" t="s">
        <v>775</v>
      </c>
      <c r="B6659" s="141" t="s">
        <v>342</v>
      </c>
      <c r="C6659" s="141" t="s">
        <v>38</v>
      </c>
    </row>
    <row r="6660" spans="1:3" x14ac:dyDescent="0.35">
      <c r="A6660" s="141" t="s">
        <v>605</v>
      </c>
      <c r="B6660" s="141" t="s">
        <v>342</v>
      </c>
      <c r="C6660" s="141" t="s">
        <v>43</v>
      </c>
    </row>
    <row r="6661" spans="1:3" x14ac:dyDescent="0.35">
      <c r="A6661" s="141" t="s">
        <v>1008</v>
      </c>
      <c r="B6661" s="141" t="s">
        <v>342</v>
      </c>
      <c r="C6661" s="141" t="s">
        <v>43</v>
      </c>
    </row>
    <row r="6662" spans="1:3" x14ac:dyDescent="0.35">
      <c r="A6662" s="141" t="s">
        <v>608</v>
      </c>
      <c r="B6662" s="141" t="s">
        <v>342</v>
      </c>
      <c r="C6662" s="141" t="s">
        <v>43</v>
      </c>
    </row>
    <row r="6663" spans="1:3" x14ac:dyDescent="0.35">
      <c r="A6663" s="141" t="s">
        <v>609</v>
      </c>
      <c r="B6663" s="141" t="s">
        <v>342</v>
      </c>
      <c r="C6663" s="141" t="s">
        <v>43</v>
      </c>
    </row>
    <row r="6664" spans="1:3" x14ac:dyDescent="0.35">
      <c r="A6664" s="141" t="s">
        <v>610</v>
      </c>
      <c r="B6664" s="141" t="s">
        <v>342</v>
      </c>
      <c r="C6664" s="141" t="s">
        <v>43</v>
      </c>
    </row>
    <row r="6665" spans="1:3" x14ac:dyDescent="0.35">
      <c r="A6665" s="141" t="s">
        <v>612</v>
      </c>
      <c r="B6665" s="141" t="s">
        <v>342</v>
      </c>
      <c r="C6665" s="141" t="s">
        <v>43</v>
      </c>
    </row>
    <row r="6666" spans="1:3" x14ac:dyDescent="0.35">
      <c r="A6666" s="141" t="s">
        <v>1009</v>
      </c>
      <c r="B6666" s="141" t="s">
        <v>342</v>
      </c>
      <c r="C6666" s="141" t="s">
        <v>43</v>
      </c>
    </row>
    <row r="6667" spans="1:3" x14ac:dyDescent="0.35">
      <c r="A6667" s="141" t="s">
        <v>615</v>
      </c>
      <c r="B6667" s="141" t="s">
        <v>342</v>
      </c>
      <c r="C6667" s="141" t="s">
        <v>43</v>
      </c>
    </row>
    <row r="6668" spans="1:3" x14ac:dyDescent="0.35">
      <c r="A6668" s="141" t="s">
        <v>616</v>
      </c>
      <c r="B6668" s="141" t="s">
        <v>342</v>
      </c>
      <c r="C6668" s="141" t="s">
        <v>43</v>
      </c>
    </row>
    <row r="6669" spans="1:3" x14ac:dyDescent="0.35">
      <c r="A6669" s="141" t="s">
        <v>854</v>
      </c>
      <c r="B6669" s="141" t="s">
        <v>342</v>
      </c>
      <c r="C6669" s="141" t="s">
        <v>43</v>
      </c>
    </row>
    <row r="6670" spans="1:3" x14ac:dyDescent="0.35">
      <c r="A6670" s="141" t="s">
        <v>618</v>
      </c>
      <c r="B6670" s="141" t="s">
        <v>342</v>
      </c>
      <c r="C6670" s="141" t="s">
        <v>43</v>
      </c>
    </row>
    <row r="6671" spans="1:3" x14ac:dyDescent="0.35">
      <c r="A6671" s="141" t="s">
        <v>619</v>
      </c>
      <c r="B6671" s="141" t="s">
        <v>342</v>
      </c>
      <c r="C6671" s="141" t="s">
        <v>44</v>
      </c>
    </row>
    <row r="6672" spans="1:3" x14ac:dyDescent="0.35">
      <c r="A6672" s="141" t="s">
        <v>1010</v>
      </c>
      <c r="B6672" s="141" t="s">
        <v>342</v>
      </c>
      <c r="C6672" s="141" t="s">
        <v>43</v>
      </c>
    </row>
    <row r="6673" spans="1:3" x14ac:dyDescent="0.35">
      <c r="A6673" s="141" t="s">
        <v>1011</v>
      </c>
      <c r="B6673" s="141" t="s">
        <v>342</v>
      </c>
      <c r="C6673" s="141" t="s">
        <v>43</v>
      </c>
    </row>
    <row r="6674" spans="1:3" x14ac:dyDescent="0.35">
      <c r="A6674" s="141" t="s">
        <v>1012</v>
      </c>
      <c r="B6674" s="141" t="s">
        <v>342</v>
      </c>
      <c r="C6674" s="141" t="s">
        <v>43</v>
      </c>
    </row>
    <row r="6675" spans="1:3" x14ac:dyDescent="0.35">
      <c r="A6675" s="141" t="s">
        <v>1013</v>
      </c>
      <c r="B6675" s="141" t="s">
        <v>342</v>
      </c>
      <c r="C6675" s="141" t="s">
        <v>43</v>
      </c>
    </row>
    <row r="6676" spans="1:3" x14ac:dyDescent="0.35">
      <c r="A6676" s="141" t="s">
        <v>1014</v>
      </c>
      <c r="B6676" s="141" t="s">
        <v>342</v>
      </c>
      <c r="C6676" s="141" t="s">
        <v>43</v>
      </c>
    </row>
    <row r="6677" spans="1:3" x14ac:dyDescent="0.35">
      <c r="A6677" s="141" t="s">
        <v>1015</v>
      </c>
      <c r="B6677" s="141" t="s">
        <v>342</v>
      </c>
      <c r="C6677" s="141" t="s">
        <v>43</v>
      </c>
    </row>
    <row r="6678" spans="1:3" x14ac:dyDescent="0.35">
      <c r="A6678" s="141" t="s">
        <v>840</v>
      </c>
      <c r="B6678" s="141" t="s">
        <v>342</v>
      </c>
      <c r="C6678" s="141" t="s">
        <v>10</v>
      </c>
    </row>
    <row r="6679" spans="1:3" x14ac:dyDescent="0.35">
      <c r="A6679" s="141" t="s">
        <v>841</v>
      </c>
      <c r="B6679" s="141" t="s">
        <v>342</v>
      </c>
      <c r="C6679" s="141" t="s">
        <v>10</v>
      </c>
    </row>
    <row r="6680" spans="1:3" x14ac:dyDescent="0.35">
      <c r="A6680" s="141" t="s">
        <v>370</v>
      </c>
      <c r="B6680" s="141" t="s">
        <v>342</v>
      </c>
      <c r="C6680" s="141" t="s">
        <v>10</v>
      </c>
    </row>
    <row r="6681" spans="1:3" x14ac:dyDescent="0.35">
      <c r="A6681" s="141" t="s">
        <v>371</v>
      </c>
      <c r="B6681" s="141" t="s">
        <v>342</v>
      </c>
      <c r="C6681" s="141" t="s">
        <v>10</v>
      </c>
    </row>
    <row r="6682" spans="1:3" x14ac:dyDescent="0.35">
      <c r="A6682" s="141" t="s">
        <v>372</v>
      </c>
      <c r="B6682" s="141" t="s">
        <v>342</v>
      </c>
      <c r="C6682" s="141" t="s">
        <v>10</v>
      </c>
    </row>
    <row r="6683" spans="1:3" x14ac:dyDescent="0.35">
      <c r="A6683" s="141" t="s">
        <v>373</v>
      </c>
      <c r="B6683" s="141" t="s">
        <v>342</v>
      </c>
      <c r="C6683" s="141" t="s">
        <v>10</v>
      </c>
    </row>
    <row r="6684" spans="1:3" x14ac:dyDescent="0.35">
      <c r="A6684" s="141" t="s">
        <v>375</v>
      </c>
      <c r="B6684" s="141" t="s">
        <v>342</v>
      </c>
      <c r="C6684" s="141" t="s">
        <v>10</v>
      </c>
    </row>
    <row r="6685" spans="1:3" x14ac:dyDescent="0.35">
      <c r="A6685" s="141" t="s">
        <v>376</v>
      </c>
      <c r="B6685" s="141" t="s">
        <v>342</v>
      </c>
      <c r="C6685" s="141" t="s">
        <v>10</v>
      </c>
    </row>
    <row r="6686" spans="1:3" x14ac:dyDescent="0.35">
      <c r="A6686" s="141" t="s">
        <v>842</v>
      </c>
      <c r="B6686" s="141" t="s">
        <v>342</v>
      </c>
      <c r="C6686" s="141" t="s">
        <v>11</v>
      </c>
    </row>
    <row r="6687" spans="1:3" x14ac:dyDescent="0.35">
      <c r="A6687" s="141" t="s">
        <v>843</v>
      </c>
      <c r="B6687" s="141" t="s">
        <v>342</v>
      </c>
      <c r="C6687" s="141" t="s">
        <v>11</v>
      </c>
    </row>
    <row r="6688" spans="1:3" x14ac:dyDescent="0.35">
      <c r="A6688" s="141" t="s">
        <v>844</v>
      </c>
      <c r="B6688" s="141" t="s">
        <v>342</v>
      </c>
      <c r="C6688" s="141" t="s">
        <v>11</v>
      </c>
    </row>
    <row r="6689" spans="1:3" x14ac:dyDescent="0.35">
      <c r="A6689" s="141" t="s">
        <v>845</v>
      </c>
      <c r="B6689" s="141" t="s">
        <v>342</v>
      </c>
      <c r="C6689" s="141" t="s">
        <v>11</v>
      </c>
    </row>
    <row r="6690" spans="1:3" x14ac:dyDescent="0.35">
      <c r="A6690" s="141" t="s">
        <v>383</v>
      </c>
      <c r="B6690" s="141" t="s">
        <v>342</v>
      </c>
      <c r="C6690" s="141" t="s">
        <v>5</v>
      </c>
    </row>
    <row r="6691" spans="1:3" x14ac:dyDescent="0.35">
      <c r="A6691" s="141" t="s">
        <v>390</v>
      </c>
      <c r="B6691" s="141" t="s">
        <v>342</v>
      </c>
      <c r="C6691" s="141" t="s">
        <v>16</v>
      </c>
    </row>
    <row r="6692" spans="1:3" x14ac:dyDescent="0.35">
      <c r="A6692" s="141" t="s">
        <v>846</v>
      </c>
      <c r="B6692" s="141" t="s">
        <v>342</v>
      </c>
      <c r="C6692" s="141" t="s">
        <v>16</v>
      </c>
    </row>
    <row r="6693" spans="1:3" x14ac:dyDescent="0.35">
      <c r="A6693" s="141" t="s">
        <v>393</v>
      </c>
      <c r="B6693" s="141" t="s">
        <v>342</v>
      </c>
      <c r="C6693" s="141" t="s">
        <v>9</v>
      </c>
    </row>
    <row r="6694" spans="1:3" x14ac:dyDescent="0.35">
      <c r="A6694" s="141" t="s">
        <v>885</v>
      </c>
      <c r="B6694" s="141" t="s">
        <v>342</v>
      </c>
      <c r="C6694" s="141" t="s">
        <v>19</v>
      </c>
    </row>
    <row r="6695" spans="1:3" x14ac:dyDescent="0.35">
      <c r="A6695" s="141" t="s">
        <v>886</v>
      </c>
      <c r="B6695" s="141" t="s">
        <v>342</v>
      </c>
      <c r="C6695" s="141" t="s">
        <v>19</v>
      </c>
    </row>
    <row r="6696" spans="1:3" x14ac:dyDescent="0.35">
      <c r="A6696" s="141" t="s">
        <v>398</v>
      </c>
      <c r="B6696" s="141" t="s">
        <v>342</v>
      </c>
      <c r="C6696" s="141" t="s">
        <v>17</v>
      </c>
    </row>
    <row r="6697" spans="1:3" x14ac:dyDescent="0.35">
      <c r="A6697" s="141" t="s">
        <v>399</v>
      </c>
      <c r="B6697" s="141" t="s">
        <v>342</v>
      </c>
      <c r="C6697" s="141" t="s">
        <v>16</v>
      </c>
    </row>
    <row r="6698" spans="1:3" x14ac:dyDescent="0.35">
      <c r="A6698" s="141" t="s">
        <v>400</v>
      </c>
      <c r="B6698" s="141" t="s">
        <v>342</v>
      </c>
      <c r="C6698" s="141" t="s">
        <v>20</v>
      </c>
    </row>
    <row r="6699" spans="1:3" x14ac:dyDescent="0.35">
      <c r="A6699" s="141" t="s">
        <v>401</v>
      </c>
      <c r="B6699" s="141" t="s">
        <v>342</v>
      </c>
      <c r="C6699" s="141" t="s">
        <v>20</v>
      </c>
    </row>
    <row r="6700" spans="1:3" x14ac:dyDescent="0.35">
      <c r="A6700" s="141" t="s">
        <v>671</v>
      </c>
      <c r="B6700" s="141" t="s">
        <v>342</v>
      </c>
      <c r="C6700" s="141" t="s">
        <v>20</v>
      </c>
    </row>
    <row r="6701" spans="1:3" x14ac:dyDescent="0.35">
      <c r="A6701" s="141" t="s">
        <v>1016</v>
      </c>
      <c r="B6701" s="141" t="s">
        <v>342</v>
      </c>
      <c r="C6701" s="141" t="s">
        <v>20</v>
      </c>
    </row>
    <row r="6702" spans="1:3" x14ac:dyDescent="0.35">
      <c r="A6702" s="141" t="s">
        <v>593</v>
      </c>
      <c r="B6702" s="141" t="s">
        <v>342</v>
      </c>
      <c r="C6702" s="141" t="s">
        <v>20</v>
      </c>
    </row>
    <row r="6703" spans="1:3" x14ac:dyDescent="0.35">
      <c r="A6703" s="141" t="s">
        <v>403</v>
      </c>
      <c r="B6703" s="141" t="s">
        <v>342</v>
      </c>
      <c r="C6703" s="141" t="s">
        <v>20</v>
      </c>
    </row>
    <row r="6704" spans="1:3" x14ac:dyDescent="0.35">
      <c r="A6704" s="141" t="s">
        <v>1017</v>
      </c>
      <c r="B6704" s="141" t="s">
        <v>342</v>
      </c>
      <c r="C6704" s="141" t="s">
        <v>16</v>
      </c>
    </row>
    <row r="6705" spans="1:3" x14ac:dyDescent="0.35">
      <c r="A6705" s="141" t="s">
        <v>406</v>
      </c>
      <c r="B6705" s="141" t="s">
        <v>342</v>
      </c>
      <c r="C6705" s="141" t="s">
        <v>18</v>
      </c>
    </row>
    <row r="6706" spans="1:3" x14ac:dyDescent="0.35">
      <c r="A6706" s="141" t="s">
        <v>407</v>
      </c>
      <c r="B6706" s="141" t="s">
        <v>342</v>
      </c>
      <c r="C6706" s="141" t="s">
        <v>17</v>
      </c>
    </row>
    <row r="6707" spans="1:3" x14ac:dyDescent="0.35">
      <c r="A6707" s="141" t="s">
        <v>566</v>
      </c>
      <c r="B6707" s="141" t="s">
        <v>342</v>
      </c>
      <c r="C6707" s="141" t="s">
        <v>17</v>
      </c>
    </row>
    <row r="6708" spans="1:3" x14ac:dyDescent="0.35">
      <c r="A6708" s="141" t="s">
        <v>833</v>
      </c>
      <c r="B6708" s="141" t="s">
        <v>342</v>
      </c>
      <c r="C6708" s="141" t="s">
        <v>17</v>
      </c>
    </row>
    <row r="6709" spans="1:3" x14ac:dyDescent="0.35">
      <c r="A6709" s="141" t="s">
        <v>409</v>
      </c>
      <c r="B6709" s="141" t="s">
        <v>342</v>
      </c>
      <c r="C6709" s="141" t="s">
        <v>18</v>
      </c>
    </row>
    <row r="6710" spans="1:3" x14ac:dyDescent="0.35">
      <c r="A6710" s="141" t="s">
        <v>1018</v>
      </c>
      <c r="B6710" s="141" t="s">
        <v>342</v>
      </c>
      <c r="C6710" s="141" t="s">
        <v>18</v>
      </c>
    </row>
    <row r="6711" spans="1:3" x14ac:dyDescent="0.35">
      <c r="A6711" s="141" t="s">
        <v>411</v>
      </c>
      <c r="B6711" s="141" t="s">
        <v>342</v>
      </c>
      <c r="C6711" s="141" t="s">
        <v>9</v>
      </c>
    </row>
    <row r="6712" spans="1:3" x14ac:dyDescent="0.35">
      <c r="A6712" s="141" t="s">
        <v>412</v>
      </c>
      <c r="B6712" s="141" t="s">
        <v>342</v>
      </c>
      <c r="C6712" s="141" t="s">
        <v>9</v>
      </c>
    </row>
    <row r="6713" spans="1:3" x14ac:dyDescent="0.35">
      <c r="A6713" s="141" t="s">
        <v>413</v>
      </c>
      <c r="B6713" s="141" t="s">
        <v>342</v>
      </c>
      <c r="C6713" s="141" t="s">
        <v>9</v>
      </c>
    </row>
    <row r="6714" spans="1:3" x14ac:dyDescent="0.35">
      <c r="A6714" s="141" t="s">
        <v>414</v>
      </c>
      <c r="B6714" s="141" t="s">
        <v>342</v>
      </c>
      <c r="C6714" s="141" t="s">
        <v>9</v>
      </c>
    </row>
    <row r="6715" spans="1:3" x14ac:dyDescent="0.35">
      <c r="A6715" s="141" t="s">
        <v>415</v>
      </c>
      <c r="B6715" s="141" t="s">
        <v>342</v>
      </c>
      <c r="C6715" s="141" t="s">
        <v>9</v>
      </c>
    </row>
    <row r="6716" spans="1:3" x14ac:dyDescent="0.35">
      <c r="A6716" s="141" t="s">
        <v>416</v>
      </c>
      <c r="B6716" s="141" t="s">
        <v>342</v>
      </c>
      <c r="C6716" s="141" t="s">
        <v>15</v>
      </c>
    </row>
    <row r="6717" spans="1:3" x14ac:dyDescent="0.35">
      <c r="A6717" s="141" t="s">
        <v>417</v>
      </c>
      <c r="B6717" s="141" t="s">
        <v>342</v>
      </c>
      <c r="C6717" s="141" t="s">
        <v>6</v>
      </c>
    </row>
    <row r="6718" spans="1:3" x14ac:dyDescent="0.35">
      <c r="A6718" s="141" t="s">
        <v>1019</v>
      </c>
      <c r="B6718" s="141" t="s">
        <v>342</v>
      </c>
      <c r="C6718" s="141" t="s">
        <v>17</v>
      </c>
    </row>
    <row r="6719" spans="1:3" x14ac:dyDescent="0.35">
      <c r="A6719" s="141" t="s">
        <v>420</v>
      </c>
      <c r="B6719" s="141" t="s">
        <v>342</v>
      </c>
      <c r="C6719" s="141" t="s">
        <v>17</v>
      </c>
    </row>
    <row r="6720" spans="1:3" x14ac:dyDescent="0.35">
      <c r="A6720" s="141" t="s">
        <v>421</v>
      </c>
      <c r="B6720" s="141" t="s">
        <v>342</v>
      </c>
      <c r="C6720" s="141" t="s">
        <v>6</v>
      </c>
    </row>
    <row r="6721" spans="1:3" x14ac:dyDescent="0.35">
      <c r="A6721" s="141" t="s">
        <v>422</v>
      </c>
      <c r="B6721" s="141" t="s">
        <v>342</v>
      </c>
      <c r="C6721" s="141" t="s">
        <v>17</v>
      </c>
    </row>
    <row r="6722" spans="1:3" x14ac:dyDescent="0.35">
      <c r="A6722" s="141" t="s">
        <v>1020</v>
      </c>
      <c r="B6722" s="141" t="s">
        <v>342</v>
      </c>
      <c r="C6722" s="141" t="s">
        <v>29</v>
      </c>
    </row>
    <row r="6723" spans="1:3" x14ac:dyDescent="0.35">
      <c r="A6723" s="141" t="s">
        <v>1021</v>
      </c>
      <c r="B6723" s="141" t="s">
        <v>342</v>
      </c>
      <c r="C6723" s="141" t="s">
        <v>29</v>
      </c>
    </row>
    <row r="6724" spans="1:3" x14ac:dyDescent="0.35">
      <c r="A6724" s="141" t="s">
        <v>1022</v>
      </c>
      <c r="B6724" s="141" t="s">
        <v>342</v>
      </c>
      <c r="C6724" s="141" t="s">
        <v>29</v>
      </c>
    </row>
    <row r="6725" spans="1:3" x14ac:dyDescent="0.35">
      <c r="A6725" s="141" t="s">
        <v>856</v>
      </c>
      <c r="B6725" s="141" t="s">
        <v>342</v>
      </c>
      <c r="C6725" s="141" t="s">
        <v>52</v>
      </c>
    </row>
    <row r="6726" spans="1:3" x14ac:dyDescent="0.35">
      <c r="A6726" s="141" t="s">
        <v>857</v>
      </c>
      <c r="B6726" s="141" t="s">
        <v>342</v>
      </c>
      <c r="C6726" s="141" t="s">
        <v>52</v>
      </c>
    </row>
    <row r="6727" spans="1:3" x14ac:dyDescent="0.35">
      <c r="A6727" s="141" t="s">
        <v>776</v>
      </c>
      <c r="B6727" s="141" t="s">
        <v>342</v>
      </c>
      <c r="C6727" s="141" t="s">
        <v>45</v>
      </c>
    </row>
    <row r="6728" spans="1:3" x14ac:dyDescent="0.35">
      <c r="A6728" s="141" t="s">
        <v>777</v>
      </c>
      <c r="B6728" s="141" t="s">
        <v>342</v>
      </c>
      <c r="C6728" s="141" t="s">
        <v>46</v>
      </c>
    </row>
    <row r="6729" spans="1:3" x14ac:dyDescent="0.35">
      <c r="A6729" s="141" t="s">
        <v>778</v>
      </c>
      <c r="B6729" s="141" t="s">
        <v>342</v>
      </c>
      <c r="C6729" s="141" t="s">
        <v>45</v>
      </c>
    </row>
    <row r="6730" spans="1:3" x14ac:dyDescent="0.35">
      <c r="A6730" s="141" t="s">
        <v>1023</v>
      </c>
      <c r="B6730" s="141" t="s">
        <v>342</v>
      </c>
      <c r="C6730" s="141" t="s">
        <v>45</v>
      </c>
    </row>
    <row r="6731" spans="1:3" x14ac:dyDescent="0.35">
      <c r="A6731" s="141" t="s">
        <v>781</v>
      </c>
      <c r="B6731" s="141" t="s">
        <v>342</v>
      </c>
      <c r="C6731" s="141" t="s">
        <v>45</v>
      </c>
    </row>
    <row r="6732" spans="1:3" x14ac:dyDescent="0.35">
      <c r="A6732" s="141" t="s">
        <v>1024</v>
      </c>
      <c r="B6732" s="141" t="s">
        <v>342</v>
      </c>
      <c r="C6732" s="141" t="s">
        <v>21</v>
      </c>
    </row>
    <row r="6733" spans="1:3" x14ac:dyDescent="0.35">
      <c r="A6733" s="141" t="s">
        <v>276</v>
      </c>
      <c r="B6733" s="141" t="s">
        <v>342</v>
      </c>
      <c r="C6733" s="141" t="s">
        <v>24</v>
      </c>
    </row>
    <row r="6734" spans="1:3" x14ac:dyDescent="0.35">
      <c r="A6734" s="141" t="s">
        <v>277</v>
      </c>
      <c r="B6734" s="141" t="s">
        <v>342</v>
      </c>
      <c r="C6734" s="141" t="s">
        <v>21</v>
      </c>
    </row>
    <row r="6735" spans="1:3" x14ac:dyDescent="0.35">
      <c r="A6735" s="141" t="s">
        <v>278</v>
      </c>
      <c r="B6735" s="141" t="s">
        <v>342</v>
      </c>
      <c r="C6735" s="141" t="s">
        <v>21</v>
      </c>
    </row>
    <row r="6736" spans="1:3" x14ac:dyDescent="0.35">
      <c r="A6736" s="141" t="s">
        <v>283</v>
      </c>
      <c r="B6736" s="141" t="s">
        <v>342</v>
      </c>
      <c r="C6736" s="141" t="s">
        <v>21</v>
      </c>
    </row>
    <row r="6737" spans="1:3" x14ac:dyDescent="0.35">
      <c r="A6737" s="141" t="s">
        <v>284</v>
      </c>
      <c r="B6737" s="141" t="s">
        <v>342</v>
      </c>
      <c r="C6737" s="141" t="s">
        <v>21</v>
      </c>
    </row>
    <row r="6738" spans="1:3" x14ac:dyDescent="0.35">
      <c r="A6738" s="141" t="s">
        <v>882</v>
      </c>
      <c r="B6738" s="141" t="s">
        <v>342</v>
      </c>
      <c r="C6738" s="141" t="s">
        <v>27</v>
      </c>
    </row>
    <row r="6739" spans="1:3" x14ac:dyDescent="0.35">
      <c r="A6739" s="141" t="s">
        <v>883</v>
      </c>
      <c r="B6739" s="141" t="s">
        <v>342</v>
      </c>
      <c r="C6739" s="141" t="s">
        <v>27</v>
      </c>
    </row>
    <row r="6740" spans="1:3" x14ac:dyDescent="0.35">
      <c r="A6740" s="141" t="s">
        <v>884</v>
      </c>
      <c r="B6740" s="141" t="s">
        <v>342</v>
      </c>
      <c r="C6740" s="141" t="s">
        <v>27</v>
      </c>
    </row>
    <row r="6741" spans="1:3" x14ac:dyDescent="0.35">
      <c r="A6741" s="141" t="s">
        <v>262</v>
      </c>
      <c r="B6741" s="141" t="s">
        <v>342</v>
      </c>
      <c r="C6741" s="141" t="s">
        <v>27</v>
      </c>
    </row>
    <row r="6742" spans="1:3" x14ac:dyDescent="0.35">
      <c r="A6742" s="141" t="s">
        <v>1025</v>
      </c>
      <c r="B6742" s="141" t="s">
        <v>342</v>
      </c>
      <c r="C6742" s="141" t="s">
        <v>27</v>
      </c>
    </row>
    <row r="6743" spans="1:3" x14ac:dyDescent="0.35">
      <c r="A6743" s="141" t="s">
        <v>1026</v>
      </c>
      <c r="B6743" s="141" t="s">
        <v>342</v>
      </c>
      <c r="C6743" s="141" t="s">
        <v>27</v>
      </c>
    </row>
    <row r="6744" spans="1:3" x14ac:dyDescent="0.35">
      <c r="A6744" s="141" t="s">
        <v>1027</v>
      </c>
      <c r="B6744" s="141" t="s">
        <v>342</v>
      </c>
      <c r="C6744" s="141" t="s">
        <v>32</v>
      </c>
    </row>
    <row r="6745" spans="1:3" x14ac:dyDescent="0.35">
      <c r="A6745" s="141" t="s">
        <v>1028</v>
      </c>
      <c r="B6745" s="141" t="s">
        <v>342</v>
      </c>
      <c r="C6745" s="141" t="s">
        <v>27</v>
      </c>
    </row>
    <row r="6746" spans="1:3" x14ac:dyDescent="0.35">
      <c r="A6746" s="141" t="s">
        <v>296</v>
      </c>
      <c r="B6746" s="141" t="s">
        <v>342</v>
      </c>
      <c r="C6746" s="141" t="s">
        <v>32</v>
      </c>
    </row>
    <row r="6747" spans="1:3" x14ac:dyDescent="0.35">
      <c r="A6747" s="141" t="s">
        <v>819</v>
      </c>
      <c r="B6747" s="141" t="s">
        <v>342</v>
      </c>
      <c r="C6747" s="141" t="s">
        <v>45</v>
      </c>
    </row>
    <row r="6748" spans="1:3" x14ac:dyDescent="0.35">
      <c r="A6748" s="141" t="s">
        <v>820</v>
      </c>
      <c r="B6748" s="141" t="s">
        <v>342</v>
      </c>
      <c r="C6748" s="141" t="s">
        <v>45</v>
      </c>
    </row>
    <row r="6749" spans="1:3" x14ac:dyDescent="0.35">
      <c r="A6749" s="141" t="s">
        <v>821</v>
      </c>
      <c r="B6749" s="141" t="s">
        <v>342</v>
      </c>
      <c r="C6749" s="141" t="s">
        <v>45</v>
      </c>
    </row>
    <row r="6750" spans="1:3" x14ac:dyDescent="0.35">
      <c r="A6750" s="141" t="s">
        <v>1041</v>
      </c>
      <c r="B6750" s="141" t="s">
        <v>342</v>
      </c>
      <c r="C6750" s="141" t="s">
        <v>45</v>
      </c>
    </row>
    <row r="6751" spans="1:3" x14ac:dyDescent="0.35">
      <c r="A6751" s="141" t="s">
        <v>822</v>
      </c>
      <c r="B6751" s="141" t="s">
        <v>342</v>
      </c>
      <c r="C6751" s="141" t="s">
        <v>45</v>
      </c>
    </row>
    <row r="6752" spans="1:3" x14ac:dyDescent="0.35">
      <c r="A6752" s="141" t="s">
        <v>823</v>
      </c>
      <c r="B6752" s="141" t="s">
        <v>342</v>
      </c>
      <c r="C6752" s="141" t="s">
        <v>45</v>
      </c>
    </row>
    <row r="6753" spans="1:3" x14ac:dyDescent="0.35">
      <c r="A6753" s="141" t="s">
        <v>824</v>
      </c>
      <c r="B6753" s="141" t="s">
        <v>342</v>
      </c>
      <c r="C6753" s="141" t="s">
        <v>45</v>
      </c>
    </row>
    <row r="6754" spans="1:3" x14ac:dyDescent="0.35">
      <c r="A6754" s="141" t="s">
        <v>827</v>
      </c>
      <c r="B6754" s="141" t="s">
        <v>342</v>
      </c>
      <c r="C6754" s="141" t="s">
        <v>45</v>
      </c>
    </row>
    <row r="6755" spans="1:3" x14ac:dyDescent="0.35">
      <c r="A6755" s="141" t="s">
        <v>828</v>
      </c>
      <c r="B6755" s="141" t="s">
        <v>342</v>
      </c>
      <c r="C6755" s="141" t="s">
        <v>45</v>
      </c>
    </row>
    <row r="6756" spans="1:3" x14ac:dyDescent="0.35">
      <c r="A6756" s="141" t="s">
        <v>829</v>
      </c>
      <c r="B6756" s="141" t="s">
        <v>342</v>
      </c>
      <c r="C6756" s="141" t="s">
        <v>45</v>
      </c>
    </row>
    <row r="6757" spans="1:3" x14ac:dyDescent="0.35">
      <c r="A6757" s="141" t="s">
        <v>830</v>
      </c>
      <c r="B6757" s="141" t="s">
        <v>342</v>
      </c>
      <c r="C6757" s="141" t="s">
        <v>45</v>
      </c>
    </row>
    <row r="6758" spans="1:3" x14ac:dyDescent="0.35">
      <c r="A6758" s="141" t="s">
        <v>831</v>
      </c>
      <c r="B6758" s="141" t="s">
        <v>342</v>
      </c>
      <c r="C6758" s="141" t="s">
        <v>45</v>
      </c>
    </row>
    <row r="6759" spans="1:3" x14ac:dyDescent="0.35">
      <c r="A6759" s="141" t="s">
        <v>1042</v>
      </c>
      <c r="B6759" s="141" t="s">
        <v>342</v>
      </c>
      <c r="C6759" s="141" t="s">
        <v>45</v>
      </c>
    </row>
    <row r="6760" spans="1:3" x14ac:dyDescent="0.35">
      <c r="A6760" s="141" t="s">
        <v>818</v>
      </c>
      <c r="B6760" s="141" t="s">
        <v>342</v>
      </c>
      <c r="C6760" s="141" t="s">
        <v>12</v>
      </c>
    </row>
    <row r="6761" spans="1:3" x14ac:dyDescent="0.35">
      <c r="A6761" s="141" t="s">
        <v>835</v>
      </c>
      <c r="B6761" s="141" t="s">
        <v>342</v>
      </c>
      <c r="C6761" s="141" t="s">
        <v>12</v>
      </c>
    </row>
    <row r="6762" spans="1:3" x14ac:dyDescent="0.35">
      <c r="A6762" s="141" t="s">
        <v>836</v>
      </c>
      <c r="B6762" s="141" t="s">
        <v>342</v>
      </c>
      <c r="C6762" s="141" t="s">
        <v>12</v>
      </c>
    </row>
    <row r="6763" spans="1:3" x14ac:dyDescent="0.35">
      <c r="A6763" s="141" t="s">
        <v>837</v>
      </c>
      <c r="B6763" s="141" t="s">
        <v>342</v>
      </c>
      <c r="C6763" s="141" t="s">
        <v>14</v>
      </c>
    </row>
    <row r="6764" spans="1:3" x14ac:dyDescent="0.35">
      <c r="A6764" s="141" t="s">
        <v>358</v>
      </c>
      <c r="B6764" s="141" t="s">
        <v>342</v>
      </c>
      <c r="C6764" s="141" t="s">
        <v>14</v>
      </c>
    </row>
    <row r="6765" spans="1:3" x14ac:dyDescent="0.35">
      <c r="A6765" s="141" t="s">
        <v>654</v>
      </c>
      <c r="B6765" s="141" t="s">
        <v>342</v>
      </c>
      <c r="C6765" s="141" t="s">
        <v>14</v>
      </c>
    </row>
    <row r="6766" spans="1:3" x14ac:dyDescent="0.35">
      <c r="A6766" s="141" t="s">
        <v>987</v>
      </c>
      <c r="B6766" s="141" t="s">
        <v>342</v>
      </c>
      <c r="C6766" s="141" t="s">
        <v>14</v>
      </c>
    </row>
    <row r="6767" spans="1:3" x14ac:dyDescent="0.35">
      <c r="A6767" s="141" t="s">
        <v>838</v>
      </c>
      <c r="B6767" s="141" t="s">
        <v>342</v>
      </c>
      <c r="C6767" s="141" t="s">
        <v>13</v>
      </c>
    </row>
    <row r="6768" spans="1:3" x14ac:dyDescent="0.35">
      <c r="A6768" s="141" t="s">
        <v>667</v>
      </c>
      <c r="B6768" s="141" t="s">
        <v>342</v>
      </c>
      <c r="C6768" s="141" t="s">
        <v>55</v>
      </c>
    </row>
    <row r="6769" spans="1:3" x14ac:dyDescent="0.35">
      <c r="A6769" s="141" t="s">
        <v>669</v>
      </c>
      <c r="B6769" s="141" t="s">
        <v>342</v>
      </c>
      <c r="C6769" s="141" t="s">
        <v>55</v>
      </c>
    </row>
    <row r="6770" spans="1:3" x14ac:dyDescent="0.35">
      <c r="A6770" s="141" t="s">
        <v>668</v>
      </c>
      <c r="B6770" s="141" t="s">
        <v>342</v>
      </c>
      <c r="C6770" s="141" t="s">
        <v>54</v>
      </c>
    </row>
    <row r="6771" spans="1:3" x14ac:dyDescent="0.35">
      <c r="A6771" s="141" t="s">
        <v>670</v>
      </c>
      <c r="B6771" s="141" t="s">
        <v>342</v>
      </c>
      <c r="C6771" s="141" t="s">
        <v>54</v>
      </c>
    </row>
    <row r="6772" spans="1:3" x14ac:dyDescent="0.35">
      <c r="A6772" s="141" t="s">
        <v>359</v>
      </c>
      <c r="B6772" s="141" t="s">
        <v>342</v>
      </c>
      <c r="C6772" s="141" t="s">
        <v>46</v>
      </c>
    </row>
    <row r="6773" spans="1:3" x14ac:dyDescent="0.35">
      <c r="A6773" s="141" t="s">
        <v>360</v>
      </c>
      <c r="B6773" s="141" t="s">
        <v>342</v>
      </c>
      <c r="C6773" s="141" t="s">
        <v>46</v>
      </c>
    </row>
    <row r="6774" spans="1:3" x14ac:dyDescent="0.35">
      <c r="A6774" s="141" t="s">
        <v>1043</v>
      </c>
      <c r="B6774" s="141" t="s">
        <v>342</v>
      </c>
      <c r="C6774" s="141" t="s">
        <v>4</v>
      </c>
    </row>
    <row r="6775" spans="1:3" x14ac:dyDescent="0.35">
      <c r="A6775" s="141" t="s">
        <v>365</v>
      </c>
      <c r="B6775" s="141" t="s">
        <v>342</v>
      </c>
      <c r="C6775" s="141" t="s">
        <v>7</v>
      </c>
    </row>
    <row r="6776" spans="1:3" x14ac:dyDescent="0.35">
      <c r="A6776" s="141" t="s">
        <v>589</v>
      </c>
      <c r="B6776" s="141" t="s">
        <v>342</v>
      </c>
      <c r="C6776" s="141" t="s">
        <v>4</v>
      </c>
    </row>
    <row r="6777" spans="1:3" x14ac:dyDescent="0.35">
      <c r="A6777" s="141" t="s">
        <v>366</v>
      </c>
      <c r="B6777" s="141" t="s">
        <v>342</v>
      </c>
      <c r="C6777" s="141" t="s">
        <v>8</v>
      </c>
    </row>
    <row r="6778" spans="1:3" x14ac:dyDescent="0.35">
      <c r="A6778" s="141" t="s">
        <v>367</v>
      </c>
      <c r="B6778" s="141" t="s">
        <v>342</v>
      </c>
      <c r="C6778" s="141" t="s">
        <v>8</v>
      </c>
    </row>
    <row r="6779" spans="1:3" x14ac:dyDescent="0.35">
      <c r="A6779" s="141" t="s">
        <v>1044</v>
      </c>
      <c r="B6779" s="141" t="s">
        <v>342</v>
      </c>
      <c r="C6779" s="141" t="s">
        <v>24</v>
      </c>
    </row>
    <row r="6780" spans="1:3" x14ac:dyDescent="0.35">
      <c r="A6780" s="141" t="s">
        <v>1045</v>
      </c>
      <c r="B6780" s="141" t="s">
        <v>342</v>
      </c>
      <c r="C6780" s="141" t="s">
        <v>24</v>
      </c>
    </row>
    <row r="6781" spans="1:3" x14ac:dyDescent="0.35">
      <c r="A6781" s="141" t="s">
        <v>271</v>
      </c>
      <c r="B6781" s="141" t="s">
        <v>342</v>
      </c>
      <c r="C6781" s="141" t="s">
        <v>24</v>
      </c>
    </row>
    <row r="6782" spans="1:3" x14ac:dyDescent="0.35">
      <c r="A6782" s="141" t="s">
        <v>774</v>
      </c>
      <c r="B6782" s="141" t="s">
        <v>342</v>
      </c>
      <c r="C6782" s="141" t="s">
        <v>38</v>
      </c>
    </row>
    <row r="6783" spans="1:3" x14ac:dyDescent="0.35">
      <c r="A6783" s="141" t="s">
        <v>306</v>
      </c>
      <c r="B6783" s="141" t="s">
        <v>342</v>
      </c>
      <c r="C6783" s="141" t="s">
        <v>35</v>
      </c>
    </row>
    <row r="6784" spans="1:3" x14ac:dyDescent="0.35">
      <c r="A6784" s="141" t="s">
        <v>1031</v>
      </c>
      <c r="B6784" s="141" t="s">
        <v>342</v>
      </c>
      <c r="C6784" s="141" t="s">
        <v>35</v>
      </c>
    </row>
    <row r="6785" spans="1:3" x14ac:dyDescent="0.35">
      <c r="A6785" s="141" t="s">
        <v>1046</v>
      </c>
      <c r="B6785" s="141" t="s">
        <v>342</v>
      </c>
      <c r="C6785" s="141" t="s">
        <v>33</v>
      </c>
    </row>
    <row r="6786" spans="1:3" x14ac:dyDescent="0.35">
      <c r="A6786" s="141" t="s">
        <v>1032</v>
      </c>
      <c r="B6786" s="141" t="s">
        <v>342</v>
      </c>
      <c r="C6786" s="141" t="s">
        <v>33</v>
      </c>
    </row>
    <row r="6787" spans="1:3" x14ac:dyDescent="0.35">
      <c r="A6787" s="141" t="s">
        <v>1033</v>
      </c>
      <c r="B6787" s="141" t="s">
        <v>342</v>
      </c>
      <c r="C6787" s="141" t="s">
        <v>33</v>
      </c>
    </row>
    <row r="6788" spans="1:3" x14ac:dyDescent="0.35">
      <c r="A6788" s="141" t="s">
        <v>1034</v>
      </c>
      <c r="B6788" s="141" t="s">
        <v>342</v>
      </c>
      <c r="C6788" s="141" t="s">
        <v>33</v>
      </c>
    </row>
    <row r="6789" spans="1:3" x14ac:dyDescent="0.35">
      <c r="A6789" s="141" t="s">
        <v>1047</v>
      </c>
      <c r="B6789" s="141" t="s">
        <v>342</v>
      </c>
      <c r="C6789" s="141" t="s">
        <v>49</v>
      </c>
    </row>
    <row r="6790" spans="1:3" x14ac:dyDescent="0.35">
      <c r="A6790" s="141" t="s">
        <v>1048</v>
      </c>
      <c r="B6790" s="141" t="s">
        <v>342</v>
      </c>
      <c r="C6790" s="141" t="s">
        <v>49</v>
      </c>
    </row>
    <row r="6791" spans="1:3" x14ac:dyDescent="0.35">
      <c r="A6791" s="141" t="s">
        <v>806</v>
      </c>
      <c r="B6791" s="141" t="s">
        <v>342</v>
      </c>
      <c r="C6791" s="141" t="s">
        <v>32</v>
      </c>
    </row>
    <row r="6792" spans="1:3" x14ac:dyDescent="0.35">
      <c r="A6792" s="141" t="s">
        <v>579</v>
      </c>
      <c r="B6792" s="141" t="s">
        <v>342</v>
      </c>
      <c r="C6792" s="141" t="s">
        <v>32</v>
      </c>
    </row>
    <row r="6793" spans="1:3" x14ac:dyDescent="0.35">
      <c r="A6793" s="141" t="s">
        <v>556</v>
      </c>
      <c r="B6793" s="141" t="s">
        <v>342</v>
      </c>
      <c r="C6793" s="141" t="s">
        <v>32</v>
      </c>
    </row>
    <row r="6794" spans="1:3" x14ac:dyDescent="0.35">
      <c r="A6794" s="141" t="s">
        <v>557</v>
      </c>
      <c r="B6794" s="141" t="s">
        <v>342</v>
      </c>
      <c r="C6794" s="141" t="s">
        <v>32</v>
      </c>
    </row>
    <row r="6795" spans="1:3" x14ac:dyDescent="0.35">
      <c r="A6795" s="141" t="s">
        <v>558</v>
      </c>
      <c r="B6795" s="141" t="s">
        <v>342</v>
      </c>
      <c r="C6795" s="141" t="s">
        <v>32</v>
      </c>
    </row>
    <row r="6796" spans="1:3" x14ac:dyDescent="0.35">
      <c r="A6796" s="141" t="s">
        <v>580</v>
      </c>
      <c r="B6796" s="141" t="s">
        <v>342</v>
      </c>
      <c r="C6796" s="141" t="s">
        <v>32</v>
      </c>
    </row>
    <row r="6797" spans="1:3" x14ac:dyDescent="0.35">
      <c r="A6797" s="141" t="s">
        <v>337</v>
      </c>
      <c r="B6797" s="141" t="s">
        <v>342</v>
      </c>
      <c r="C6797" s="141" t="s">
        <v>47</v>
      </c>
    </row>
    <row r="6798" spans="1:3" x14ac:dyDescent="0.35">
      <c r="A6798" s="141" t="s">
        <v>962</v>
      </c>
      <c r="B6798" s="141" t="s">
        <v>342</v>
      </c>
      <c r="C6798" s="141" t="s">
        <v>47</v>
      </c>
    </row>
    <row r="6799" spans="1:3" x14ac:dyDescent="0.35">
      <c r="A6799" s="141" t="s">
        <v>981</v>
      </c>
      <c r="B6799" s="141" t="s">
        <v>342</v>
      </c>
      <c r="C6799" s="141" t="s">
        <v>47</v>
      </c>
    </row>
    <row r="6800" spans="1:3" x14ac:dyDescent="0.35">
      <c r="A6800" s="141" t="s">
        <v>982</v>
      </c>
      <c r="B6800" s="141" t="s">
        <v>342</v>
      </c>
      <c r="C6800" s="141" t="s">
        <v>47</v>
      </c>
    </row>
    <row r="6801" spans="1:3" x14ac:dyDescent="0.35">
      <c r="A6801" s="141" t="s">
        <v>563</v>
      </c>
      <c r="B6801" s="141" t="s">
        <v>342</v>
      </c>
      <c r="C6801" s="141" t="s">
        <v>47</v>
      </c>
    </row>
    <row r="6802" spans="1:3" x14ac:dyDescent="0.35">
      <c r="A6802" s="141" t="s">
        <v>313</v>
      </c>
      <c r="B6802" s="141" t="s">
        <v>342</v>
      </c>
      <c r="C6802" s="141" t="s">
        <v>51</v>
      </c>
    </row>
    <row r="6803" spans="1:3" x14ac:dyDescent="0.35">
      <c r="A6803" s="141" t="s">
        <v>927</v>
      </c>
      <c r="B6803" s="141" t="s">
        <v>341</v>
      </c>
      <c r="C6803" s="141" t="s">
        <v>37</v>
      </c>
    </row>
    <row r="6804" spans="1:3" x14ac:dyDescent="0.35">
      <c r="A6804" s="141" t="s">
        <v>926</v>
      </c>
      <c r="B6804" s="141" t="s">
        <v>341</v>
      </c>
      <c r="C6804" s="141" t="s">
        <v>37</v>
      </c>
    </row>
    <row r="6805" spans="1:3" x14ac:dyDescent="0.35">
      <c r="A6805" s="141" t="s">
        <v>985</v>
      </c>
      <c r="B6805" s="141" t="s">
        <v>341</v>
      </c>
      <c r="C6805" s="141" t="s">
        <v>29</v>
      </c>
    </row>
    <row r="6806" spans="1:3" x14ac:dyDescent="0.35">
      <c r="A6806" s="141" t="s">
        <v>984</v>
      </c>
      <c r="B6806" s="141" t="s">
        <v>341</v>
      </c>
      <c r="C6806" s="141" t="s">
        <v>33</v>
      </c>
    </row>
    <row r="6807" spans="1:3" x14ac:dyDescent="0.35">
      <c r="A6807" s="141" t="s">
        <v>983</v>
      </c>
      <c r="B6807" s="141" t="s">
        <v>341</v>
      </c>
      <c r="C6807" s="141" t="s">
        <v>28</v>
      </c>
    </row>
    <row r="6808" spans="1:3" x14ac:dyDescent="0.35">
      <c r="A6808" s="141" t="s">
        <v>988</v>
      </c>
      <c r="B6808" s="141" t="s">
        <v>341</v>
      </c>
      <c r="C6808" s="141" t="s">
        <v>8</v>
      </c>
    </row>
    <row r="6809" spans="1:3" x14ac:dyDescent="0.35">
      <c r="A6809" s="141" t="s">
        <v>950</v>
      </c>
      <c r="B6809" s="141" t="s">
        <v>341</v>
      </c>
      <c r="C6809" s="141" t="s">
        <v>32</v>
      </c>
    </row>
    <row r="6810" spans="1:3" x14ac:dyDescent="0.35">
      <c r="A6810" s="141" t="s">
        <v>947</v>
      </c>
      <c r="B6810" s="141" t="s">
        <v>341</v>
      </c>
      <c r="C6810" s="141" t="s">
        <v>32</v>
      </c>
    </row>
    <row r="6811" spans="1:3" x14ac:dyDescent="0.35">
      <c r="A6811" s="141" t="s">
        <v>949</v>
      </c>
      <c r="B6811" s="141" t="s">
        <v>341</v>
      </c>
      <c r="C6811" s="141" t="s">
        <v>32</v>
      </c>
    </row>
    <row r="6812" spans="1:3" x14ac:dyDescent="0.35">
      <c r="A6812" s="141" t="s">
        <v>951</v>
      </c>
      <c r="B6812" s="141" t="s">
        <v>341</v>
      </c>
      <c r="C6812" s="141" t="s">
        <v>32</v>
      </c>
    </row>
    <row r="6813" spans="1:3" x14ac:dyDescent="0.35">
      <c r="A6813" s="141" t="s">
        <v>952</v>
      </c>
      <c r="B6813" s="141" t="s">
        <v>341</v>
      </c>
      <c r="C6813" s="141" t="s">
        <v>32</v>
      </c>
    </row>
    <row r="6814" spans="1:3" x14ac:dyDescent="0.35">
      <c r="A6814" s="141" t="s">
        <v>986</v>
      </c>
      <c r="B6814" s="141" t="s">
        <v>341</v>
      </c>
      <c r="C6814" s="141" t="s">
        <v>32</v>
      </c>
    </row>
    <row r="6815" spans="1:3" x14ac:dyDescent="0.35">
      <c r="A6815" s="141" t="s">
        <v>948</v>
      </c>
      <c r="B6815" s="141" t="s">
        <v>341</v>
      </c>
      <c r="C6815" s="141" t="s">
        <v>32</v>
      </c>
    </row>
    <row r="6816" spans="1:3" x14ac:dyDescent="0.35">
      <c r="A6816" s="141" t="s">
        <v>953</v>
      </c>
      <c r="B6816" s="141" t="s">
        <v>341</v>
      </c>
      <c r="C6816" s="141" t="s">
        <v>31</v>
      </c>
    </row>
    <row r="6817" spans="1:3" x14ac:dyDescent="0.35">
      <c r="A6817" s="141" t="s">
        <v>286</v>
      </c>
      <c r="B6817" s="141" t="s">
        <v>341</v>
      </c>
      <c r="C6817" s="141" t="s">
        <v>27</v>
      </c>
    </row>
    <row r="6818" spans="1:3" x14ac:dyDescent="0.35">
      <c r="A6818" s="141" t="s">
        <v>285</v>
      </c>
      <c r="B6818" s="141" t="s">
        <v>341</v>
      </c>
      <c r="C6818" s="141" t="s">
        <v>27</v>
      </c>
    </row>
    <row r="6819" spans="1:3" x14ac:dyDescent="0.35">
      <c r="A6819" s="141" t="s">
        <v>387</v>
      </c>
      <c r="B6819" s="141" t="s">
        <v>341</v>
      </c>
      <c r="C6819" s="141" t="s">
        <v>7</v>
      </c>
    </row>
    <row r="6820" spans="1:3" x14ac:dyDescent="0.35">
      <c r="A6820" s="141" t="s">
        <v>564</v>
      </c>
      <c r="B6820" s="141" t="s">
        <v>341</v>
      </c>
      <c r="C6820" s="141" t="s">
        <v>7</v>
      </c>
    </row>
    <row r="6821" spans="1:3" x14ac:dyDescent="0.35">
      <c r="A6821" s="141" t="s">
        <v>565</v>
      </c>
      <c r="B6821" s="141" t="s">
        <v>341</v>
      </c>
      <c r="C6821" s="141" t="s">
        <v>7</v>
      </c>
    </row>
    <row r="6822" spans="1:3" x14ac:dyDescent="0.35">
      <c r="A6822" s="141" t="s">
        <v>385</v>
      </c>
      <c r="B6822" s="141" t="s">
        <v>341</v>
      </c>
      <c r="C6822" s="141" t="s">
        <v>7</v>
      </c>
    </row>
    <row r="6823" spans="1:3" x14ac:dyDescent="0.35">
      <c r="A6823" s="141" t="s">
        <v>386</v>
      </c>
      <c r="B6823" s="141" t="s">
        <v>341</v>
      </c>
      <c r="C6823" s="141" t="s">
        <v>7</v>
      </c>
    </row>
    <row r="6824" spans="1:3" x14ac:dyDescent="0.35">
      <c r="A6824" s="141" t="s">
        <v>977</v>
      </c>
      <c r="B6824" s="141" t="s">
        <v>341</v>
      </c>
      <c r="C6824" s="141" t="s">
        <v>52</v>
      </c>
    </row>
    <row r="6825" spans="1:3" x14ac:dyDescent="0.35">
      <c r="A6825" s="141" t="s">
        <v>305</v>
      </c>
      <c r="B6825" s="141" t="s">
        <v>341</v>
      </c>
      <c r="C6825" s="141" t="s">
        <v>21</v>
      </c>
    </row>
    <row r="6826" spans="1:3" x14ac:dyDescent="0.35">
      <c r="A6826" s="141" t="s">
        <v>931</v>
      </c>
      <c r="B6826" s="141" t="s">
        <v>341</v>
      </c>
      <c r="C6826" s="141" t="s">
        <v>36</v>
      </c>
    </row>
    <row r="6827" spans="1:3" x14ac:dyDescent="0.35">
      <c r="A6827" s="141" t="s">
        <v>914</v>
      </c>
      <c r="B6827" s="141" t="s">
        <v>341</v>
      </c>
      <c r="C6827" s="141" t="s">
        <v>33</v>
      </c>
    </row>
    <row r="6828" spans="1:3" x14ac:dyDescent="0.35">
      <c r="A6828" s="141" t="s">
        <v>352</v>
      </c>
      <c r="B6828" s="141" t="s">
        <v>341</v>
      </c>
      <c r="C6828" s="141" t="s">
        <v>2</v>
      </c>
    </row>
    <row r="6829" spans="1:3" x14ac:dyDescent="0.35">
      <c r="A6829" s="141" t="s">
        <v>354</v>
      </c>
      <c r="B6829" s="141" t="s">
        <v>341</v>
      </c>
      <c r="C6829" s="141" t="s">
        <v>2</v>
      </c>
    </row>
    <row r="6830" spans="1:3" x14ac:dyDescent="0.35">
      <c r="A6830" s="141" t="s">
        <v>989</v>
      </c>
      <c r="B6830" s="141" t="s">
        <v>341</v>
      </c>
      <c r="C6830" s="141" t="s">
        <v>42</v>
      </c>
    </row>
    <row r="6831" spans="1:3" x14ac:dyDescent="0.35">
      <c r="A6831" s="141" t="s">
        <v>807</v>
      </c>
      <c r="B6831" s="141" t="s">
        <v>341</v>
      </c>
      <c r="C6831" s="141" t="s">
        <v>3</v>
      </c>
    </row>
    <row r="6832" spans="1:3" x14ac:dyDescent="0.35">
      <c r="A6832" s="141" t="s">
        <v>290</v>
      </c>
      <c r="B6832" s="141" t="s">
        <v>341</v>
      </c>
      <c r="C6832" s="141" t="s">
        <v>23</v>
      </c>
    </row>
    <row r="6833" spans="1:3" x14ac:dyDescent="0.35">
      <c r="A6833" s="141" t="s">
        <v>848</v>
      </c>
      <c r="B6833" s="141" t="s">
        <v>341</v>
      </c>
      <c r="C6833" s="141" t="s">
        <v>22</v>
      </c>
    </row>
    <row r="6834" spans="1:3" x14ac:dyDescent="0.35">
      <c r="A6834" s="141" t="s">
        <v>849</v>
      </c>
      <c r="B6834" s="141" t="s">
        <v>341</v>
      </c>
      <c r="C6834" s="141" t="s">
        <v>22</v>
      </c>
    </row>
    <row r="6835" spans="1:3" x14ac:dyDescent="0.35">
      <c r="A6835" s="141" t="s">
        <v>850</v>
      </c>
      <c r="B6835" s="141" t="s">
        <v>341</v>
      </c>
      <c r="C6835" s="141" t="s">
        <v>22</v>
      </c>
    </row>
    <row r="6836" spans="1:3" x14ac:dyDescent="0.35">
      <c r="A6836" s="141" t="s">
        <v>887</v>
      </c>
      <c r="B6836" s="141" t="s">
        <v>341</v>
      </c>
      <c r="C6836" s="141" t="s">
        <v>24</v>
      </c>
    </row>
    <row r="6837" spans="1:3" x14ac:dyDescent="0.35">
      <c r="A6837" s="141" t="s">
        <v>888</v>
      </c>
      <c r="B6837" s="141" t="s">
        <v>341</v>
      </c>
      <c r="C6837" s="141" t="s">
        <v>24</v>
      </c>
    </row>
    <row r="6838" spans="1:3" x14ac:dyDescent="0.35">
      <c r="A6838" s="141" t="s">
        <v>889</v>
      </c>
      <c r="B6838" s="141" t="s">
        <v>341</v>
      </c>
      <c r="C6838" s="141" t="s">
        <v>24</v>
      </c>
    </row>
    <row r="6839" spans="1:3" x14ac:dyDescent="0.35">
      <c r="A6839" s="141" t="s">
        <v>890</v>
      </c>
      <c r="B6839" s="141" t="s">
        <v>341</v>
      </c>
      <c r="C6839" s="141" t="s">
        <v>24</v>
      </c>
    </row>
    <row r="6840" spans="1:3" x14ac:dyDescent="0.35">
      <c r="A6840" s="141" t="s">
        <v>891</v>
      </c>
      <c r="B6840" s="141" t="s">
        <v>341</v>
      </c>
      <c r="C6840" s="141" t="s">
        <v>24</v>
      </c>
    </row>
    <row r="6841" spans="1:3" x14ac:dyDescent="0.35">
      <c r="A6841" s="141" t="s">
        <v>294</v>
      </c>
      <c r="B6841" s="141" t="s">
        <v>341</v>
      </c>
      <c r="C6841" s="141" t="s">
        <v>21</v>
      </c>
    </row>
    <row r="6842" spans="1:3" x14ac:dyDescent="0.35">
      <c r="A6842" s="141" t="s">
        <v>1035</v>
      </c>
      <c r="B6842" s="141" t="s">
        <v>341</v>
      </c>
      <c r="C6842" s="141" t="s">
        <v>21</v>
      </c>
    </row>
    <row r="6843" spans="1:3" x14ac:dyDescent="0.35">
      <c r="A6843" s="141" t="s">
        <v>1036</v>
      </c>
      <c r="B6843" s="141" t="s">
        <v>341</v>
      </c>
      <c r="C6843" s="141" t="s">
        <v>24</v>
      </c>
    </row>
    <row r="6844" spans="1:3" x14ac:dyDescent="0.35">
      <c r="A6844" s="141" t="s">
        <v>1037</v>
      </c>
      <c r="B6844" s="141" t="s">
        <v>341</v>
      </c>
      <c r="C6844" s="141" t="s">
        <v>24</v>
      </c>
    </row>
    <row r="6845" spans="1:3" x14ac:dyDescent="0.35">
      <c r="A6845" s="141" t="s">
        <v>990</v>
      </c>
      <c r="B6845" s="141" t="s">
        <v>341</v>
      </c>
      <c r="C6845" s="141" t="s">
        <v>21</v>
      </c>
    </row>
    <row r="6846" spans="1:3" x14ac:dyDescent="0.35">
      <c r="A6846" s="141" t="s">
        <v>991</v>
      </c>
      <c r="B6846" s="141" t="s">
        <v>341</v>
      </c>
      <c r="C6846" s="141" t="s">
        <v>21</v>
      </c>
    </row>
    <row r="6847" spans="1:3" x14ac:dyDescent="0.35">
      <c r="A6847" s="141" t="s">
        <v>992</v>
      </c>
      <c r="B6847" s="141" t="s">
        <v>341</v>
      </c>
      <c r="C6847" s="141" t="s">
        <v>21</v>
      </c>
    </row>
    <row r="6848" spans="1:3" x14ac:dyDescent="0.35">
      <c r="A6848" s="141" t="s">
        <v>993</v>
      </c>
      <c r="B6848" s="141" t="s">
        <v>341</v>
      </c>
      <c r="C6848" s="141" t="s">
        <v>21</v>
      </c>
    </row>
    <row r="6849" spans="1:3" x14ac:dyDescent="0.35">
      <c r="A6849" s="141" t="s">
        <v>994</v>
      </c>
      <c r="B6849" s="141" t="s">
        <v>341</v>
      </c>
      <c r="C6849" s="141" t="s">
        <v>21</v>
      </c>
    </row>
    <row r="6850" spans="1:3" x14ac:dyDescent="0.35">
      <c r="A6850" s="141" t="s">
        <v>995</v>
      </c>
      <c r="B6850" s="141" t="s">
        <v>341</v>
      </c>
      <c r="C6850" s="141" t="s">
        <v>21</v>
      </c>
    </row>
    <row r="6851" spans="1:3" x14ac:dyDescent="0.35">
      <c r="A6851" s="141" t="s">
        <v>892</v>
      </c>
      <c r="B6851" s="141" t="s">
        <v>341</v>
      </c>
      <c r="C6851" s="141" t="s">
        <v>33</v>
      </c>
    </row>
    <row r="6852" spans="1:3" x14ac:dyDescent="0.35">
      <c r="A6852" s="141" t="s">
        <v>893</v>
      </c>
      <c r="B6852" s="141" t="s">
        <v>341</v>
      </c>
      <c r="C6852" s="141" t="s">
        <v>33</v>
      </c>
    </row>
    <row r="6853" spans="1:3" x14ac:dyDescent="0.35">
      <c r="A6853" s="141" t="s">
        <v>894</v>
      </c>
      <c r="B6853" s="141" t="s">
        <v>341</v>
      </c>
      <c r="C6853" s="141" t="s">
        <v>33</v>
      </c>
    </row>
    <row r="6854" spans="1:3" x14ac:dyDescent="0.35">
      <c r="A6854" s="141" t="s">
        <v>672</v>
      </c>
      <c r="B6854" s="141" t="s">
        <v>341</v>
      </c>
      <c r="C6854" s="141" t="s">
        <v>25</v>
      </c>
    </row>
    <row r="6855" spans="1:3" x14ac:dyDescent="0.35">
      <c r="A6855" s="141" t="s">
        <v>897</v>
      </c>
      <c r="B6855" s="141" t="s">
        <v>341</v>
      </c>
      <c r="C6855" s="141" t="s">
        <v>26</v>
      </c>
    </row>
    <row r="6856" spans="1:3" x14ac:dyDescent="0.35">
      <c r="A6856" s="141" t="s">
        <v>996</v>
      </c>
      <c r="B6856" s="141" t="s">
        <v>341</v>
      </c>
      <c r="C6856" s="141" t="s">
        <v>25</v>
      </c>
    </row>
    <row r="6857" spans="1:3" x14ac:dyDescent="0.35">
      <c r="A6857" s="141" t="s">
        <v>898</v>
      </c>
      <c r="B6857" s="141" t="s">
        <v>341</v>
      </c>
      <c r="C6857" s="141" t="s">
        <v>25</v>
      </c>
    </row>
    <row r="6858" spans="1:3" x14ac:dyDescent="0.35">
      <c r="A6858" s="141" t="s">
        <v>895</v>
      </c>
      <c r="B6858" s="141" t="s">
        <v>341</v>
      </c>
      <c r="C6858" s="141" t="s">
        <v>25</v>
      </c>
    </row>
    <row r="6859" spans="1:3" x14ac:dyDescent="0.35">
      <c r="A6859" s="141" t="s">
        <v>896</v>
      </c>
      <c r="B6859" s="141" t="s">
        <v>341</v>
      </c>
      <c r="C6859" s="141" t="s">
        <v>25</v>
      </c>
    </row>
    <row r="6860" spans="1:3" x14ac:dyDescent="0.35">
      <c r="A6860" s="141" t="s">
        <v>957</v>
      </c>
      <c r="B6860" s="141" t="s">
        <v>341</v>
      </c>
      <c r="C6860" s="141" t="s">
        <v>25</v>
      </c>
    </row>
    <row r="6861" spans="1:3" x14ac:dyDescent="0.35">
      <c r="A6861" s="141" t="s">
        <v>963</v>
      </c>
      <c r="B6861" s="141" t="s">
        <v>341</v>
      </c>
      <c r="C6861" s="141" t="s">
        <v>25</v>
      </c>
    </row>
    <row r="6862" spans="1:3" x14ac:dyDescent="0.35">
      <c r="A6862" s="141" t="s">
        <v>964</v>
      </c>
      <c r="B6862" s="141" t="s">
        <v>341</v>
      </c>
      <c r="C6862" s="141" t="s">
        <v>25</v>
      </c>
    </row>
    <row r="6863" spans="1:3" x14ac:dyDescent="0.35">
      <c r="A6863" s="141" t="s">
        <v>946</v>
      </c>
      <c r="B6863" s="141" t="s">
        <v>341</v>
      </c>
      <c r="C6863" s="141" t="s">
        <v>25</v>
      </c>
    </row>
    <row r="6864" spans="1:3" x14ac:dyDescent="0.35">
      <c r="A6864" s="141" t="s">
        <v>855</v>
      </c>
      <c r="B6864" s="141" t="s">
        <v>341</v>
      </c>
      <c r="C6864" s="141" t="s">
        <v>52</v>
      </c>
    </row>
    <row r="6865" spans="1:3" x14ac:dyDescent="0.35">
      <c r="A6865" s="141" t="s">
        <v>570</v>
      </c>
      <c r="B6865" s="141" t="s">
        <v>341</v>
      </c>
      <c r="C6865" s="141" t="s">
        <v>52</v>
      </c>
    </row>
    <row r="6866" spans="1:3" x14ac:dyDescent="0.35">
      <c r="A6866" s="141" t="s">
        <v>706</v>
      </c>
      <c r="B6866" s="141" t="s">
        <v>341</v>
      </c>
      <c r="C6866" s="141" t="s">
        <v>31</v>
      </c>
    </row>
    <row r="6867" spans="1:3" x14ac:dyDescent="0.35">
      <c r="A6867" s="141" t="s">
        <v>707</v>
      </c>
      <c r="B6867" s="141" t="s">
        <v>341</v>
      </c>
      <c r="C6867" s="141" t="s">
        <v>31</v>
      </c>
    </row>
    <row r="6868" spans="1:3" x14ac:dyDescent="0.35">
      <c r="A6868" s="141" t="s">
        <v>708</v>
      </c>
      <c r="B6868" s="141" t="s">
        <v>341</v>
      </c>
      <c r="C6868" s="141" t="s">
        <v>31</v>
      </c>
    </row>
    <row r="6869" spans="1:3" x14ac:dyDescent="0.35">
      <c r="A6869" s="141" t="s">
        <v>709</v>
      </c>
      <c r="B6869" s="141" t="s">
        <v>341</v>
      </c>
      <c r="C6869" s="141" t="s">
        <v>31</v>
      </c>
    </row>
    <row r="6870" spans="1:3" x14ac:dyDescent="0.35">
      <c r="A6870" s="141" t="s">
        <v>710</v>
      </c>
      <c r="B6870" s="141" t="s">
        <v>341</v>
      </c>
      <c r="C6870" s="141" t="s">
        <v>31</v>
      </c>
    </row>
    <row r="6871" spans="1:3" x14ac:dyDescent="0.35">
      <c r="A6871" s="141" t="s">
        <v>456</v>
      </c>
      <c r="B6871" s="141" t="s">
        <v>341</v>
      </c>
      <c r="C6871" s="141" t="s">
        <v>31</v>
      </c>
    </row>
    <row r="6872" spans="1:3" x14ac:dyDescent="0.35">
      <c r="A6872" s="141" t="s">
        <v>902</v>
      </c>
      <c r="B6872" s="141" t="s">
        <v>341</v>
      </c>
      <c r="C6872" s="141" t="s">
        <v>31</v>
      </c>
    </row>
    <row r="6873" spans="1:3" x14ac:dyDescent="0.35">
      <c r="A6873" s="141" t="s">
        <v>903</v>
      </c>
      <c r="B6873" s="141" t="s">
        <v>341</v>
      </c>
      <c r="C6873" s="141" t="s">
        <v>31</v>
      </c>
    </row>
    <row r="6874" spans="1:3" x14ac:dyDescent="0.35">
      <c r="A6874" s="141" t="s">
        <v>904</v>
      </c>
      <c r="B6874" s="141" t="s">
        <v>341</v>
      </c>
      <c r="C6874" s="141" t="s">
        <v>31</v>
      </c>
    </row>
    <row r="6875" spans="1:3" x14ac:dyDescent="0.35">
      <c r="A6875" s="141" t="s">
        <v>905</v>
      </c>
      <c r="B6875" s="141" t="s">
        <v>341</v>
      </c>
      <c r="C6875" s="141" t="s">
        <v>31</v>
      </c>
    </row>
    <row r="6876" spans="1:3" x14ac:dyDescent="0.35">
      <c r="A6876" s="141" t="s">
        <v>906</v>
      </c>
      <c r="B6876" s="141" t="s">
        <v>341</v>
      </c>
      <c r="C6876" s="141" t="s">
        <v>31</v>
      </c>
    </row>
    <row r="6877" spans="1:3" x14ac:dyDescent="0.35">
      <c r="A6877" s="141" t="s">
        <v>907</v>
      </c>
      <c r="B6877" s="141" t="s">
        <v>341</v>
      </c>
      <c r="C6877" s="141" t="s">
        <v>31</v>
      </c>
    </row>
    <row r="6878" spans="1:3" x14ac:dyDescent="0.35">
      <c r="A6878" s="141" t="s">
        <v>908</v>
      </c>
      <c r="B6878" s="141" t="s">
        <v>341</v>
      </c>
      <c r="C6878" s="141" t="s">
        <v>31</v>
      </c>
    </row>
    <row r="6879" spans="1:3" x14ac:dyDescent="0.35">
      <c r="A6879" s="141" t="s">
        <v>909</v>
      </c>
      <c r="B6879" s="141" t="s">
        <v>341</v>
      </c>
      <c r="C6879" s="141" t="s">
        <v>31</v>
      </c>
    </row>
    <row r="6880" spans="1:3" x14ac:dyDescent="0.35">
      <c r="A6880" s="141" t="s">
        <v>297</v>
      </c>
      <c r="B6880" s="141" t="s">
        <v>341</v>
      </c>
      <c r="C6880" s="141" t="s">
        <v>32</v>
      </c>
    </row>
    <row r="6881" spans="1:3" x14ac:dyDescent="0.35">
      <c r="A6881" s="141" t="s">
        <v>298</v>
      </c>
      <c r="B6881" s="141" t="s">
        <v>341</v>
      </c>
      <c r="C6881" s="141" t="s">
        <v>32</v>
      </c>
    </row>
    <row r="6882" spans="1:3" x14ac:dyDescent="0.35">
      <c r="A6882" s="141" t="s">
        <v>299</v>
      </c>
      <c r="B6882" s="141" t="s">
        <v>341</v>
      </c>
      <c r="C6882" s="141" t="s">
        <v>32</v>
      </c>
    </row>
    <row r="6883" spans="1:3" x14ac:dyDescent="0.35">
      <c r="A6883" s="141" t="s">
        <v>300</v>
      </c>
      <c r="B6883" s="141" t="s">
        <v>341</v>
      </c>
      <c r="C6883" s="141" t="s">
        <v>32</v>
      </c>
    </row>
    <row r="6884" spans="1:3" x14ac:dyDescent="0.35">
      <c r="A6884" s="141" t="s">
        <v>301</v>
      </c>
      <c r="B6884" s="141" t="s">
        <v>341</v>
      </c>
      <c r="C6884" s="141" t="s">
        <v>32</v>
      </c>
    </row>
    <row r="6885" spans="1:3" x14ac:dyDescent="0.35">
      <c r="A6885" s="141" t="s">
        <v>302</v>
      </c>
      <c r="B6885" s="141" t="s">
        <v>341</v>
      </c>
      <c r="C6885" s="141" t="s">
        <v>32</v>
      </c>
    </row>
    <row r="6886" spans="1:3" x14ac:dyDescent="0.35">
      <c r="A6886" s="141" t="s">
        <v>997</v>
      </c>
      <c r="B6886" s="141" t="s">
        <v>341</v>
      </c>
      <c r="C6886" s="141" t="s">
        <v>32</v>
      </c>
    </row>
    <row r="6887" spans="1:3" x14ac:dyDescent="0.35">
      <c r="A6887" s="141" t="s">
        <v>932</v>
      </c>
      <c r="B6887" s="141" t="s">
        <v>341</v>
      </c>
      <c r="C6887" s="141" t="s">
        <v>49</v>
      </c>
    </row>
    <row r="6888" spans="1:3" x14ac:dyDescent="0.35">
      <c r="A6888" s="141" t="s">
        <v>940</v>
      </c>
      <c r="B6888" s="141" t="s">
        <v>341</v>
      </c>
      <c r="C6888" s="141" t="s">
        <v>49</v>
      </c>
    </row>
    <row r="6889" spans="1:3" x14ac:dyDescent="0.35">
      <c r="A6889" s="141" t="s">
        <v>941</v>
      </c>
      <c r="B6889" s="141" t="s">
        <v>341</v>
      </c>
      <c r="C6889" s="141" t="s">
        <v>49</v>
      </c>
    </row>
    <row r="6890" spans="1:3" x14ac:dyDescent="0.35">
      <c r="A6890" s="141" t="s">
        <v>933</v>
      </c>
      <c r="B6890" s="141" t="s">
        <v>341</v>
      </c>
      <c r="C6890" s="141" t="s">
        <v>32</v>
      </c>
    </row>
    <row r="6891" spans="1:3" x14ac:dyDescent="0.35">
      <c r="A6891" s="141" t="s">
        <v>935</v>
      </c>
      <c r="B6891" s="141" t="s">
        <v>341</v>
      </c>
      <c r="C6891" s="141" t="s">
        <v>32</v>
      </c>
    </row>
    <row r="6892" spans="1:3" x14ac:dyDescent="0.35">
      <c r="A6892" s="141" t="s">
        <v>937</v>
      </c>
      <c r="B6892" s="141" t="s">
        <v>341</v>
      </c>
      <c r="C6892" s="141" t="s">
        <v>32</v>
      </c>
    </row>
    <row r="6893" spans="1:3" x14ac:dyDescent="0.35">
      <c r="A6893" s="141" t="s">
        <v>938</v>
      </c>
      <c r="B6893" s="141" t="s">
        <v>341</v>
      </c>
      <c r="C6893" s="141" t="s">
        <v>32</v>
      </c>
    </row>
    <row r="6894" spans="1:3" x14ac:dyDescent="0.35">
      <c r="A6894" s="141" t="s">
        <v>939</v>
      </c>
      <c r="B6894" s="141" t="s">
        <v>341</v>
      </c>
      <c r="C6894" s="141" t="s">
        <v>32</v>
      </c>
    </row>
    <row r="6895" spans="1:3" x14ac:dyDescent="0.35">
      <c r="A6895" s="141" t="s">
        <v>942</v>
      </c>
      <c r="B6895" s="141" t="s">
        <v>341</v>
      </c>
      <c r="C6895" s="141" t="s">
        <v>32</v>
      </c>
    </row>
    <row r="6896" spans="1:3" x14ac:dyDescent="0.35">
      <c r="A6896" s="141" t="s">
        <v>943</v>
      </c>
      <c r="B6896" s="141" t="s">
        <v>341</v>
      </c>
      <c r="C6896" s="141" t="s">
        <v>32</v>
      </c>
    </row>
    <row r="6897" spans="1:3" x14ac:dyDescent="0.35">
      <c r="A6897" s="141" t="s">
        <v>944</v>
      </c>
      <c r="B6897" s="141" t="s">
        <v>341</v>
      </c>
      <c r="C6897" s="141" t="s">
        <v>32</v>
      </c>
    </row>
    <row r="6898" spans="1:3" x14ac:dyDescent="0.35">
      <c r="A6898" s="141" t="s">
        <v>934</v>
      </c>
      <c r="B6898" s="141" t="s">
        <v>341</v>
      </c>
      <c r="C6898" s="141" t="s">
        <v>32</v>
      </c>
    </row>
    <row r="6899" spans="1:3" x14ac:dyDescent="0.35">
      <c r="A6899" s="141" t="s">
        <v>936</v>
      </c>
      <c r="B6899" s="141" t="s">
        <v>341</v>
      </c>
      <c r="C6899" s="141" t="s">
        <v>32</v>
      </c>
    </row>
    <row r="6900" spans="1:3" x14ac:dyDescent="0.35">
      <c r="A6900" s="141" t="s">
        <v>945</v>
      </c>
      <c r="B6900" s="141" t="s">
        <v>341</v>
      </c>
      <c r="C6900" s="141" t="s">
        <v>32</v>
      </c>
    </row>
    <row r="6901" spans="1:3" x14ac:dyDescent="0.35">
      <c r="A6901" s="141" t="s">
        <v>861</v>
      </c>
      <c r="B6901" s="141" t="s">
        <v>341</v>
      </c>
      <c r="C6901" s="141" t="s">
        <v>33</v>
      </c>
    </row>
    <row r="6902" spans="1:3" x14ac:dyDescent="0.35">
      <c r="A6902" s="141" t="s">
        <v>862</v>
      </c>
      <c r="B6902" s="141" t="s">
        <v>341</v>
      </c>
      <c r="C6902" s="141" t="s">
        <v>33</v>
      </c>
    </row>
    <row r="6903" spans="1:3" x14ac:dyDescent="0.35">
      <c r="A6903" s="141" t="s">
        <v>516</v>
      </c>
      <c r="B6903" s="141" t="s">
        <v>341</v>
      </c>
      <c r="C6903" s="141" t="s">
        <v>33</v>
      </c>
    </row>
    <row r="6904" spans="1:3" x14ac:dyDescent="0.35">
      <c r="A6904" s="141" t="s">
        <v>955</v>
      </c>
      <c r="B6904" s="141" t="s">
        <v>341</v>
      </c>
      <c r="C6904" s="141" t="s">
        <v>33</v>
      </c>
    </row>
    <row r="6905" spans="1:3" x14ac:dyDescent="0.35">
      <c r="A6905" s="141" t="s">
        <v>956</v>
      </c>
      <c r="B6905" s="141" t="s">
        <v>341</v>
      </c>
      <c r="C6905" s="141" t="s">
        <v>33</v>
      </c>
    </row>
    <row r="6906" spans="1:3" x14ac:dyDescent="0.35">
      <c r="A6906" s="141" t="s">
        <v>910</v>
      </c>
      <c r="B6906" s="141" t="s">
        <v>341</v>
      </c>
      <c r="C6906" s="141" t="s">
        <v>33</v>
      </c>
    </row>
    <row r="6907" spans="1:3" x14ac:dyDescent="0.35">
      <c r="A6907" s="141" t="s">
        <v>911</v>
      </c>
      <c r="B6907" s="141" t="s">
        <v>341</v>
      </c>
      <c r="C6907" s="141" t="s">
        <v>33</v>
      </c>
    </row>
    <row r="6908" spans="1:3" x14ac:dyDescent="0.35">
      <c r="A6908" s="141" t="s">
        <v>912</v>
      </c>
      <c r="B6908" s="141" t="s">
        <v>341</v>
      </c>
      <c r="C6908" s="141" t="s">
        <v>33</v>
      </c>
    </row>
    <row r="6909" spans="1:3" x14ac:dyDescent="0.35">
      <c r="A6909" s="141" t="s">
        <v>998</v>
      </c>
      <c r="B6909" s="141" t="s">
        <v>341</v>
      </c>
      <c r="C6909" s="141" t="s">
        <v>28</v>
      </c>
    </row>
    <row r="6910" spans="1:3" x14ac:dyDescent="0.35">
      <c r="A6910" s="141" t="s">
        <v>999</v>
      </c>
      <c r="B6910" s="141" t="s">
        <v>341</v>
      </c>
      <c r="C6910" s="141" t="s">
        <v>29</v>
      </c>
    </row>
    <row r="6911" spans="1:3" x14ac:dyDescent="0.35">
      <c r="A6911" s="141" t="s">
        <v>1000</v>
      </c>
      <c r="B6911" s="141" t="s">
        <v>341</v>
      </c>
      <c r="C6911" s="141" t="s">
        <v>29</v>
      </c>
    </row>
    <row r="6912" spans="1:3" x14ac:dyDescent="0.35">
      <c r="A6912" s="141" t="s">
        <v>929</v>
      </c>
      <c r="B6912" s="141" t="s">
        <v>341</v>
      </c>
      <c r="C6912" s="141" t="s">
        <v>28</v>
      </c>
    </row>
    <row r="6913" spans="1:3" x14ac:dyDescent="0.35">
      <c r="A6913" s="141" t="s">
        <v>930</v>
      </c>
      <c r="B6913" s="141" t="s">
        <v>341</v>
      </c>
      <c r="C6913" s="141" t="s">
        <v>28</v>
      </c>
    </row>
    <row r="6914" spans="1:3" x14ac:dyDescent="0.35">
      <c r="A6914" s="141" t="s">
        <v>863</v>
      </c>
      <c r="B6914" s="141" t="s">
        <v>341</v>
      </c>
      <c r="C6914" s="141" t="s">
        <v>30</v>
      </c>
    </row>
    <row r="6915" spans="1:3" x14ac:dyDescent="0.35">
      <c r="A6915" s="141" t="s">
        <v>864</v>
      </c>
      <c r="B6915" s="141" t="s">
        <v>341</v>
      </c>
      <c r="C6915" s="141" t="s">
        <v>30</v>
      </c>
    </row>
    <row r="6916" spans="1:3" x14ac:dyDescent="0.35">
      <c r="A6916" s="141" t="s">
        <v>865</v>
      </c>
      <c r="B6916" s="141" t="s">
        <v>341</v>
      </c>
      <c r="C6916" s="141" t="s">
        <v>34</v>
      </c>
    </row>
    <row r="6917" spans="1:3" x14ac:dyDescent="0.35">
      <c r="A6917" s="141" t="s">
        <v>866</v>
      </c>
      <c r="B6917" s="141" t="s">
        <v>341</v>
      </c>
      <c r="C6917" s="141" t="s">
        <v>34</v>
      </c>
    </row>
    <row r="6918" spans="1:3" x14ac:dyDescent="0.35">
      <c r="A6918" s="141" t="s">
        <v>784</v>
      </c>
      <c r="B6918" s="141" t="s">
        <v>341</v>
      </c>
      <c r="C6918" s="141" t="s">
        <v>30</v>
      </c>
    </row>
    <row r="6919" spans="1:3" x14ac:dyDescent="0.35">
      <c r="A6919" s="141" t="s">
        <v>867</v>
      </c>
      <c r="B6919" s="141" t="s">
        <v>341</v>
      </c>
      <c r="C6919" s="141" t="s">
        <v>30</v>
      </c>
    </row>
    <row r="6920" spans="1:3" x14ac:dyDescent="0.35">
      <c r="A6920" s="141" t="s">
        <v>525</v>
      </c>
      <c r="B6920" s="141" t="s">
        <v>341</v>
      </c>
      <c r="C6920" s="141" t="s">
        <v>46</v>
      </c>
    </row>
    <row r="6921" spans="1:3" x14ac:dyDescent="0.35">
      <c r="A6921" s="141" t="s">
        <v>1001</v>
      </c>
      <c r="B6921" s="141" t="s">
        <v>341</v>
      </c>
      <c r="C6921" s="141" t="s">
        <v>32</v>
      </c>
    </row>
    <row r="6922" spans="1:3" x14ac:dyDescent="0.35">
      <c r="A6922" s="141" t="s">
        <v>870</v>
      </c>
      <c r="B6922" s="141" t="s">
        <v>341</v>
      </c>
      <c r="C6922" s="141" t="s">
        <v>32</v>
      </c>
    </row>
    <row r="6923" spans="1:3" x14ac:dyDescent="0.35">
      <c r="A6923" s="141" t="s">
        <v>958</v>
      </c>
      <c r="B6923" s="141" t="s">
        <v>341</v>
      </c>
      <c r="C6923" s="141" t="s">
        <v>25</v>
      </c>
    </row>
    <row r="6924" spans="1:3" x14ac:dyDescent="0.35">
      <c r="A6924" s="141" t="s">
        <v>1038</v>
      </c>
      <c r="B6924" s="141" t="s">
        <v>341</v>
      </c>
      <c r="C6924" s="141" t="s">
        <v>48</v>
      </c>
    </row>
    <row r="6925" spans="1:3" x14ac:dyDescent="0.35">
      <c r="A6925" s="141" t="s">
        <v>308</v>
      </c>
      <c r="B6925" s="141" t="s">
        <v>341</v>
      </c>
      <c r="C6925" s="141" t="s">
        <v>53</v>
      </c>
    </row>
    <row r="6926" spans="1:3" x14ac:dyDescent="0.35">
      <c r="A6926" s="141" t="s">
        <v>309</v>
      </c>
      <c r="B6926" s="141" t="s">
        <v>341</v>
      </c>
      <c r="C6926" s="141" t="s">
        <v>53</v>
      </c>
    </row>
    <row r="6927" spans="1:3" x14ac:dyDescent="0.35">
      <c r="A6927" s="141" t="s">
        <v>311</v>
      </c>
      <c r="B6927" s="141" t="s">
        <v>341</v>
      </c>
      <c r="C6927" s="141" t="s">
        <v>53</v>
      </c>
    </row>
    <row r="6928" spans="1:3" x14ac:dyDescent="0.35">
      <c r="A6928" s="141" t="s">
        <v>534</v>
      </c>
      <c r="B6928" s="141" t="s">
        <v>341</v>
      </c>
      <c r="C6928" s="141" t="s">
        <v>53</v>
      </c>
    </row>
    <row r="6929" spans="1:3" x14ac:dyDescent="0.35">
      <c r="A6929" s="141" t="s">
        <v>312</v>
      </c>
      <c r="B6929" s="141" t="s">
        <v>341</v>
      </c>
      <c r="C6929" s="141" t="s">
        <v>53</v>
      </c>
    </row>
    <row r="6930" spans="1:3" x14ac:dyDescent="0.35">
      <c r="A6930" s="141" t="s">
        <v>965</v>
      </c>
      <c r="B6930" s="141" t="s">
        <v>341</v>
      </c>
      <c r="C6930" s="141" t="s">
        <v>52</v>
      </c>
    </row>
    <row r="6931" spans="1:3" x14ac:dyDescent="0.35">
      <c r="A6931" s="141" t="s">
        <v>1002</v>
      </c>
      <c r="B6931" s="141" t="s">
        <v>341</v>
      </c>
      <c r="C6931" s="141" t="s">
        <v>25</v>
      </c>
    </row>
    <row r="6932" spans="1:3" x14ac:dyDescent="0.35">
      <c r="A6932" s="141" t="s">
        <v>959</v>
      </c>
      <c r="B6932" s="141" t="s">
        <v>341</v>
      </c>
      <c r="C6932" s="141" t="s">
        <v>53</v>
      </c>
    </row>
    <row r="6933" spans="1:3" x14ac:dyDescent="0.35">
      <c r="A6933" s="141" t="s">
        <v>960</v>
      </c>
      <c r="B6933" s="141" t="s">
        <v>341</v>
      </c>
      <c r="C6933" s="141" t="s">
        <v>52</v>
      </c>
    </row>
    <row r="6934" spans="1:3" x14ac:dyDescent="0.35">
      <c r="A6934" s="141" t="s">
        <v>873</v>
      </c>
      <c r="B6934" s="141" t="s">
        <v>341</v>
      </c>
      <c r="C6934" s="141" t="s">
        <v>52</v>
      </c>
    </row>
    <row r="6935" spans="1:3" x14ac:dyDescent="0.35">
      <c r="A6935" s="141" t="s">
        <v>874</v>
      </c>
      <c r="B6935" s="141" t="s">
        <v>341</v>
      </c>
      <c r="C6935" s="141" t="s">
        <v>52</v>
      </c>
    </row>
    <row r="6936" spans="1:3" x14ac:dyDescent="0.35">
      <c r="A6936" s="141" t="s">
        <v>1003</v>
      </c>
      <c r="B6936" s="141" t="s">
        <v>341</v>
      </c>
      <c r="C6936" s="141" t="s">
        <v>52</v>
      </c>
    </row>
    <row r="6937" spans="1:3" x14ac:dyDescent="0.35">
      <c r="A6937" s="141" t="s">
        <v>875</v>
      </c>
      <c r="B6937" s="141" t="s">
        <v>341</v>
      </c>
      <c r="C6937" s="141" t="s">
        <v>52</v>
      </c>
    </row>
    <row r="6938" spans="1:3" x14ac:dyDescent="0.35">
      <c r="A6938" s="141" t="s">
        <v>876</v>
      </c>
      <c r="B6938" s="141" t="s">
        <v>341</v>
      </c>
      <c r="C6938" s="141" t="s">
        <v>52</v>
      </c>
    </row>
    <row r="6939" spans="1:3" x14ac:dyDescent="0.35">
      <c r="A6939" s="141" t="s">
        <v>877</v>
      </c>
      <c r="B6939" s="141" t="s">
        <v>341</v>
      </c>
      <c r="C6939" s="141" t="s">
        <v>52</v>
      </c>
    </row>
    <row r="6940" spans="1:3" x14ac:dyDescent="0.35">
      <c r="A6940" s="141" t="s">
        <v>878</v>
      </c>
      <c r="B6940" s="141" t="s">
        <v>341</v>
      </c>
      <c r="C6940" s="141" t="s">
        <v>52</v>
      </c>
    </row>
    <row r="6941" spans="1:3" x14ac:dyDescent="0.35">
      <c r="A6941" s="141" t="s">
        <v>539</v>
      </c>
      <c r="B6941" s="141" t="s">
        <v>341</v>
      </c>
      <c r="C6941" s="141" t="s">
        <v>52</v>
      </c>
    </row>
    <row r="6942" spans="1:3" x14ac:dyDescent="0.35">
      <c r="A6942" s="141" t="s">
        <v>540</v>
      </c>
      <c r="B6942" s="141" t="s">
        <v>341</v>
      </c>
      <c r="C6942" s="141" t="s">
        <v>52</v>
      </c>
    </row>
    <row r="6943" spans="1:3" x14ac:dyDescent="0.35">
      <c r="A6943" s="141" t="s">
        <v>812</v>
      </c>
      <c r="B6943" s="141" t="s">
        <v>341</v>
      </c>
      <c r="C6943" s="141" t="s">
        <v>52</v>
      </c>
    </row>
    <row r="6944" spans="1:3" x14ac:dyDescent="0.35">
      <c r="A6944" s="141" t="s">
        <v>803</v>
      </c>
      <c r="B6944" s="141" t="s">
        <v>341</v>
      </c>
      <c r="C6944" s="141" t="s">
        <v>52</v>
      </c>
    </row>
    <row r="6945" spans="1:3" x14ac:dyDescent="0.35">
      <c r="A6945" s="141" t="s">
        <v>966</v>
      </c>
      <c r="B6945" s="141" t="s">
        <v>341</v>
      </c>
      <c r="C6945" s="141" t="s">
        <v>53</v>
      </c>
    </row>
    <row r="6946" spans="1:3" x14ac:dyDescent="0.35">
      <c r="A6946" s="141" t="s">
        <v>967</v>
      </c>
      <c r="B6946" s="141" t="s">
        <v>341</v>
      </c>
      <c r="C6946" s="141" t="s">
        <v>53</v>
      </c>
    </row>
    <row r="6947" spans="1:3" x14ac:dyDescent="0.35">
      <c r="A6947" s="141" t="s">
        <v>968</v>
      </c>
      <c r="B6947" s="141" t="s">
        <v>341</v>
      </c>
      <c r="C6947" s="141" t="s">
        <v>53</v>
      </c>
    </row>
    <row r="6948" spans="1:3" x14ac:dyDescent="0.35">
      <c r="A6948" s="141" t="s">
        <v>969</v>
      </c>
      <c r="B6948" s="141" t="s">
        <v>341</v>
      </c>
      <c r="C6948" s="141" t="s">
        <v>53</v>
      </c>
    </row>
    <row r="6949" spans="1:3" x14ac:dyDescent="0.35">
      <c r="A6949" s="141" t="s">
        <v>970</v>
      </c>
      <c r="B6949" s="141" t="s">
        <v>341</v>
      </c>
      <c r="C6949" s="141" t="s">
        <v>53</v>
      </c>
    </row>
    <row r="6950" spans="1:3" x14ac:dyDescent="0.35">
      <c r="A6950" s="141" t="s">
        <v>804</v>
      </c>
      <c r="B6950" s="141" t="s">
        <v>341</v>
      </c>
      <c r="C6950" s="141" t="s">
        <v>53</v>
      </c>
    </row>
    <row r="6951" spans="1:3" x14ac:dyDescent="0.35">
      <c r="A6951" s="141" t="s">
        <v>805</v>
      </c>
      <c r="B6951" s="141" t="s">
        <v>341</v>
      </c>
      <c r="C6951" s="141" t="s">
        <v>52</v>
      </c>
    </row>
    <row r="6952" spans="1:3" x14ac:dyDescent="0.35">
      <c r="A6952" s="141" t="s">
        <v>879</v>
      </c>
      <c r="B6952" s="141" t="s">
        <v>341</v>
      </c>
      <c r="C6952" s="141" t="s">
        <v>52</v>
      </c>
    </row>
    <row r="6953" spans="1:3" x14ac:dyDescent="0.35">
      <c r="A6953" s="141" t="s">
        <v>880</v>
      </c>
      <c r="B6953" s="141" t="s">
        <v>341</v>
      </c>
      <c r="C6953" s="141" t="s">
        <v>52</v>
      </c>
    </row>
    <row r="6954" spans="1:3" x14ac:dyDescent="0.35">
      <c r="A6954" s="141" t="s">
        <v>314</v>
      </c>
      <c r="B6954" s="141" t="s">
        <v>341</v>
      </c>
      <c r="C6954" s="141" t="s">
        <v>16</v>
      </c>
    </row>
    <row r="6955" spans="1:3" x14ac:dyDescent="0.35">
      <c r="A6955" s="141" t="s">
        <v>316</v>
      </c>
      <c r="B6955" s="141" t="s">
        <v>341</v>
      </c>
      <c r="C6955" s="141" t="s">
        <v>16</v>
      </c>
    </row>
    <row r="6956" spans="1:3" x14ac:dyDescent="0.35">
      <c r="A6956" s="141" t="s">
        <v>317</v>
      </c>
      <c r="B6956" s="141" t="s">
        <v>341</v>
      </c>
      <c r="C6956" s="141" t="s">
        <v>16</v>
      </c>
    </row>
    <row r="6957" spans="1:3" x14ac:dyDescent="0.35">
      <c r="A6957" s="141" t="s">
        <v>318</v>
      </c>
      <c r="B6957" s="141" t="s">
        <v>341</v>
      </c>
      <c r="C6957" s="141" t="s">
        <v>16</v>
      </c>
    </row>
    <row r="6958" spans="1:3" x14ac:dyDescent="0.35">
      <c r="A6958" s="141" t="s">
        <v>319</v>
      </c>
      <c r="B6958" s="141" t="s">
        <v>341</v>
      </c>
      <c r="C6958" s="141" t="s">
        <v>16</v>
      </c>
    </row>
    <row r="6959" spans="1:3" x14ac:dyDescent="0.35">
      <c r="A6959" s="141" t="s">
        <v>320</v>
      </c>
      <c r="B6959" s="141" t="s">
        <v>341</v>
      </c>
      <c r="C6959" s="141" t="s">
        <v>16</v>
      </c>
    </row>
    <row r="6960" spans="1:3" x14ac:dyDescent="0.35">
      <c r="A6960" s="141" t="s">
        <v>321</v>
      </c>
      <c r="B6960" s="141" t="s">
        <v>341</v>
      </c>
      <c r="C6960" s="141" t="s">
        <v>16</v>
      </c>
    </row>
    <row r="6961" spans="1:3" x14ac:dyDescent="0.35">
      <c r="A6961" s="141" t="s">
        <v>322</v>
      </c>
      <c r="B6961" s="141" t="s">
        <v>341</v>
      </c>
      <c r="C6961" s="141" t="s">
        <v>16</v>
      </c>
    </row>
    <row r="6962" spans="1:3" x14ac:dyDescent="0.35">
      <c r="A6962" s="141" t="s">
        <v>323</v>
      </c>
      <c r="B6962" s="141" t="s">
        <v>341</v>
      </c>
      <c r="C6962" s="141" t="s">
        <v>16</v>
      </c>
    </row>
    <row r="6963" spans="1:3" x14ac:dyDescent="0.35">
      <c r="A6963" s="141" t="s">
        <v>324</v>
      </c>
      <c r="B6963" s="141" t="s">
        <v>341</v>
      </c>
      <c r="C6963" s="141" t="s">
        <v>16</v>
      </c>
    </row>
    <row r="6964" spans="1:3" x14ac:dyDescent="0.35">
      <c r="A6964" s="141" t="s">
        <v>325</v>
      </c>
      <c r="B6964" s="141" t="s">
        <v>341</v>
      </c>
      <c r="C6964" s="141" t="s">
        <v>16</v>
      </c>
    </row>
    <row r="6965" spans="1:3" x14ac:dyDescent="0.35">
      <c r="A6965" s="141" t="s">
        <v>326</v>
      </c>
      <c r="B6965" s="141" t="s">
        <v>341</v>
      </c>
      <c r="C6965" s="141" t="s">
        <v>16</v>
      </c>
    </row>
    <row r="6966" spans="1:3" x14ac:dyDescent="0.35">
      <c r="A6966" s="141" t="s">
        <v>971</v>
      </c>
      <c r="B6966" s="141" t="s">
        <v>341</v>
      </c>
      <c r="C6966" s="141" t="s">
        <v>16</v>
      </c>
    </row>
    <row r="6967" spans="1:3" x14ac:dyDescent="0.35">
      <c r="A6967" s="141" t="s">
        <v>327</v>
      </c>
      <c r="B6967" s="141" t="s">
        <v>341</v>
      </c>
      <c r="C6967" s="141" t="s">
        <v>16</v>
      </c>
    </row>
    <row r="6968" spans="1:3" x14ac:dyDescent="0.35">
      <c r="A6968" s="141" t="s">
        <v>972</v>
      </c>
      <c r="B6968" s="141" t="s">
        <v>341</v>
      </c>
      <c r="C6968" s="141" t="s">
        <v>16</v>
      </c>
    </row>
    <row r="6969" spans="1:3" x14ac:dyDescent="0.35">
      <c r="A6969" s="141" t="s">
        <v>328</v>
      </c>
      <c r="B6969" s="141" t="s">
        <v>341</v>
      </c>
      <c r="C6969" s="141" t="s">
        <v>16</v>
      </c>
    </row>
    <row r="6970" spans="1:3" x14ac:dyDescent="0.35">
      <c r="A6970" s="141" t="s">
        <v>1004</v>
      </c>
      <c r="B6970" s="141" t="s">
        <v>341</v>
      </c>
      <c r="C6970" s="141" t="s">
        <v>16</v>
      </c>
    </row>
    <row r="6971" spans="1:3" x14ac:dyDescent="0.35">
      <c r="A6971" s="141" t="s">
        <v>331</v>
      </c>
      <c r="B6971" s="141" t="s">
        <v>341</v>
      </c>
      <c r="C6971" s="141" t="s">
        <v>16</v>
      </c>
    </row>
    <row r="6972" spans="1:3" x14ac:dyDescent="0.35">
      <c r="A6972" s="141" t="s">
        <v>332</v>
      </c>
      <c r="B6972" s="141" t="s">
        <v>341</v>
      </c>
      <c r="C6972" s="141" t="s">
        <v>16</v>
      </c>
    </row>
    <row r="6973" spans="1:3" x14ac:dyDescent="0.35">
      <c r="A6973" s="141" t="s">
        <v>333</v>
      </c>
      <c r="B6973" s="141" t="s">
        <v>341</v>
      </c>
      <c r="C6973" s="141" t="s">
        <v>16</v>
      </c>
    </row>
    <row r="6974" spans="1:3" x14ac:dyDescent="0.35">
      <c r="A6974" s="141" t="s">
        <v>1005</v>
      </c>
      <c r="B6974" s="141" t="s">
        <v>341</v>
      </c>
      <c r="C6974" s="141" t="s">
        <v>16</v>
      </c>
    </row>
    <row r="6975" spans="1:3" x14ac:dyDescent="0.35">
      <c r="A6975" s="141" t="s">
        <v>1039</v>
      </c>
      <c r="B6975" s="141" t="s">
        <v>341</v>
      </c>
      <c r="C6975" s="141" t="s">
        <v>16</v>
      </c>
    </row>
    <row r="6976" spans="1:3" x14ac:dyDescent="0.35">
      <c r="A6976" s="141" t="s">
        <v>974</v>
      </c>
      <c r="B6976" s="141" t="s">
        <v>341</v>
      </c>
      <c r="C6976" s="141" t="s">
        <v>16</v>
      </c>
    </row>
    <row r="6977" spans="1:3" x14ac:dyDescent="0.35">
      <c r="A6977" s="141" t="s">
        <v>330</v>
      </c>
      <c r="B6977" s="141" t="s">
        <v>341</v>
      </c>
      <c r="C6977" s="141" t="s">
        <v>16</v>
      </c>
    </row>
    <row r="6978" spans="1:3" x14ac:dyDescent="0.35">
      <c r="A6978" s="141" t="s">
        <v>531</v>
      </c>
      <c r="B6978" s="141" t="s">
        <v>341</v>
      </c>
      <c r="C6978" s="141" t="s">
        <v>51</v>
      </c>
    </row>
    <row r="6979" spans="1:3" x14ac:dyDescent="0.35">
      <c r="A6979" s="141" t="s">
        <v>741</v>
      </c>
      <c r="B6979" s="141" t="s">
        <v>341</v>
      </c>
      <c r="C6979" s="141" t="s">
        <v>51</v>
      </c>
    </row>
    <row r="6980" spans="1:3" x14ac:dyDescent="0.35">
      <c r="A6980" s="141" t="s">
        <v>742</v>
      </c>
      <c r="B6980" s="141" t="s">
        <v>341</v>
      </c>
      <c r="C6980" s="141" t="s">
        <v>51</v>
      </c>
    </row>
    <row r="6981" spans="1:3" x14ac:dyDescent="0.35">
      <c r="A6981" s="141" t="s">
        <v>743</v>
      </c>
      <c r="B6981" s="141" t="s">
        <v>341</v>
      </c>
      <c r="C6981" s="141" t="s">
        <v>51</v>
      </c>
    </row>
    <row r="6982" spans="1:3" x14ac:dyDescent="0.35">
      <c r="A6982" s="141" t="s">
        <v>747</v>
      </c>
      <c r="B6982" s="141" t="s">
        <v>341</v>
      </c>
      <c r="C6982" s="141" t="s">
        <v>51</v>
      </c>
    </row>
    <row r="6983" spans="1:3" x14ac:dyDescent="0.35">
      <c r="A6983" s="141" t="s">
        <v>748</v>
      </c>
      <c r="B6983" s="141" t="s">
        <v>341</v>
      </c>
      <c r="C6983" s="141" t="s">
        <v>51</v>
      </c>
    </row>
    <row r="6984" spans="1:3" x14ac:dyDescent="0.35">
      <c r="A6984" s="141" t="s">
        <v>533</v>
      </c>
      <c r="B6984" s="141" t="s">
        <v>341</v>
      </c>
      <c r="C6984" s="141" t="s">
        <v>50</v>
      </c>
    </row>
    <row r="6985" spans="1:3" x14ac:dyDescent="0.35">
      <c r="A6985" s="141" t="s">
        <v>954</v>
      </c>
      <c r="B6985" s="141" t="s">
        <v>341</v>
      </c>
      <c r="C6985" s="141" t="s">
        <v>35</v>
      </c>
    </row>
    <row r="6986" spans="1:3" x14ac:dyDescent="0.35">
      <c r="A6986" s="141" t="s">
        <v>1040</v>
      </c>
      <c r="B6986" s="141" t="s">
        <v>341</v>
      </c>
      <c r="C6986" s="141" t="s">
        <v>35</v>
      </c>
    </row>
    <row r="6987" spans="1:3" x14ac:dyDescent="0.35">
      <c r="A6987" s="141" t="s">
        <v>740</v>
      </c>
      <c r="B6987" s="141" t="s">
        <v>341</v>
      </c>
      <c r="C6987" s="141" t="s">
        <v>33</v>
      </c>
    </row>
    <row r="6988" spans="1:3" x14ac:dyDescent="0.35">
      <c r="A6988" s="141" t="s">
        <v>1029</v>
      </c>
      <c r="B6988" s="141" t="s">
        <v>341</v>
      </c>
      <c r="C6988" s="141" t="s">
        <v>21</v>
      </c>
    </row>
    <row r="6989" spans="1:3" x14ac:dyDescent="0.35">
      <c r="A6989" s="141" t="s">
        <v>1030</v>
      </c>
      <c r="B6989" s="141" t="s">
        <v>341</v>
      </c>
      <c r="C6989" s="141" t="s">
        <v>21</v>
      </c>
    </row>
    <row r="6990" spans="1:3" x14ac:dyDescent="0.35">
      <c r="A6990" s="141" t="s">
        <v>601</v>
      </c>
      <c r="B6990" s="141" t="s">
        <v>341</v>
      </c>
      <c r="C6990" s="141" t="s">
        <v>40</v>
      </c>
    </row>
    <row r="6991" spans="1:3" x14ac:dyDescent="0.35">
      <c r="A6991" s="141" t="s">
        <v>602</v>
      </c>
      <c r="B6991" s="141" t="s">
        <v>341</v>
      </c>
      <c r="C6991" s="141" t="s">
        <v>39</v>
      </c>
    </row>
    <row r="6992" spans="1:3" x14ac:dyDescent="0.35">
      <c r="A6992" s="141" t="s">
        <v>1006</v>
      </c>
      <c r="B6992" s="141" t="s">
        <v>341</v>
      </c>
      <c r="C6992" s="141" t="s">
        <v>41</v>
      </c>
    </row>
    <row r="6993" spans="1:3" x14ac:dyDescent="0.35">
      <c r="A6993" s="141" t="s">
        <v>737</v>
      </c>
      <c r="B6993" s="141" t="s">
        <v>341</v>
      </c>
      <c r="C6993" s="141" t="s">
        <v>41</v>
      </c>
    </row>
    <row r="6994" spans="1:3" x14ac:dyDescent="0.35">
      <c r="A6994" s="141" t="s">
        <v>738</v>
      </c>
      <c r="B6994" s="141" t="s">
        <v>341</v>
      </c>
      <c r="C6994" s="141" t="s">
        <v>41</v>
      </c>
    </row>
    <row r="6995" spans="1:3" x14ac:dyDescent="0.35">
      <c r="A6995" s="141" t="s">
        <v>797</v>
      </c>
      <c r="B6995" s="141" t="s">
        <v>341</v>
      </c>
      <c r="C6995" s="141" t="s">
        <v>41</v>
      </c>
    </row>
    <row r="6996" spans="1:3" x14ac:dyDescent="0.35">
      <c r="A6996" s="141" t="s">
        <v>1007</v>
      </c>
      <c r="B6996" s="141" t="s">
        <v>341</v>
      </c>
      <c r="C6996" s="141" t="s">
        <v>40</v>
      </c>
    </row>
    <row r="6997" spans="1:3" x14ac:dyDescent="0.35">
      <c r="A6997" s="141" t="s">
        <v>775</v>
      </c>
      <c r="B6997" s="141" t="s">
        <v>341</v>
      </c>
      <c r="C6997" s="141" t="s">
        <v>38</v>
      </c>
    </row>
    <row r="6998" spans="1:3" x14ac:dyDescent="0.35">
      <c r="A6998" s="141" t="s">
        <v>605</v>
      </c>
      <c r="B6998" s="141" t="s">
        <v>341</v>
      </c>
      <c r="C6998" s="141" t="s">
        <v>43</v>
      </c>
    </row>
    <row r="6999" spans="1:3" x14ac:dyDescent="0.35">
      <c r="A6999" s="141" t="s">
        <v>1008</v>
      </c>
      <c r="B6999" s="141" t="s">
        <v>341</v>
      </c>
      <c r="C6999" s="141" t="s">
        <v>43</v>
      </c>
    </row>
    <row r="7000" spans="1:3" x14ac:dyDescent="0.35">
      <c r="A7000" s="141" t="s">
        <v>608</v>
      </c>
      <c r="B7000" s="141" t="s">
        <v>341</v>
      </c>
      <c r="C7000" s="141" t="s">
        <v>43</v>
      </c>
    </row>
    <row r="7001" spans="1:3" x14ac:dyDescent="0.35">
      <c r="A7001" s="141" t="s">
        <v>609</v>
      </c>
      <c r="B7001" s="141" t="s">
        <v>341</v>
      </c>
      <c r="C7001" s="141" t="s">
        <v>43</v>
      </c>
    </row>
    <row r="7002" spans="1:3" x14ac:dyDescent="0.35">
      <c r="A7002" s="141" t="s">
        <v>610</v>
      </c>
      <c r="B7002" s="141" t="s">
        <v>341</v>
      </c>
      <c r="C7002" s="141" t="s">
        <v>43</v>
      </c>
    </row>
    <row r="7003" spans="1:3" x14ac:dyDescent="0.35">
      <c r="A7003" s="141" t="s">
        <v>612</v>
      </c>
      <c r="B7003" s="141" t="s">
        <v>341</v>
      </c>
      <c r="C7003" s="141" t="s">
        <v>43</v>
      </c>
    </row>
    <row r="7004" spans="1:3" x14ac:dyDescent="0.35">
      <c r="A7004" s="141" t="s">
        <v>1009</v>
      </c>
      <c r="B7004" s="141" t="s">
        <v>341</v>
      </c>
      <c r="C7004" s="141" t="s">
        <v>43</v>
      </c>
    </row>
    <row r="7005" spans="1:3" x14ac:dyDescent="0.35">
      <c r="A7005" s="141" t="s">
        <v>615</v>
      </c>
      <c r="B7005" s="141" t="s">
        <v>341</v>
      </c>
      <c r="C7005" s="141" t="s">
        <v>43</v>
      </c>
    </row>
    <row r="7006" spans="1:3" x14ac:dyDescent="0.35">
      <c r="A7006" s="141" t="s">
        <v>616</v>
      </c>
      <c r="B7006" s="141" t="s">
        <v>341</v>
      </c>
      <c r="C7006" s="141" t="s">
        <v>43</v>
      </c>
    </row>
    <row r="7007" spans="1:3" x14ac:dyDescent="0.35">
      <c r="A7007" s="141" t="s">
        <v>854</v>
      </c>
      <c r="B7007" s="141" t="s">
        <v>341</v>
      </c>
      <c r="C7007" s="141" t="s">
        <v>43</v>
      </c>
    </row>
    <row r="7008" spans="1:3" x14ac:dyDescent="0.35">
      <c r="A7008" s="141" t="s">
        <v>618</v>
      </c>
      <c r="B7008" s="141" t="s">
        <v>341</v>
      </c>
      <c r="C7008" s="141" t="s">
        <v>43</v>
      </c>
    </row>
    <row r="7009" spans="1:3" x14ac:dyDescent="0.35">
      <c r="A7009" s="141" t="s">
        <v>619</v>
      </c>
      <c r="B7009" s="141" t="s">
        <v>341</v>
      </c>
      <c r="C7009" s="141" t="s">
        <v>44</v>
      </c>
    </row>
    <row r="7010" spans="1:3" x14ac:dyDescent="0.35">
      <c r="A7010" s="141" t="s">
        <v>1010</v>
      </c>
      <c r="B7010" s="141" t="s">
        <v>341</v>
      </c>
      <c r="C7010" s="141" t="s">
        <v>43</v>
      </c>
    </row>
    <row r="7011" spans="1:3" x14ac:dyDescent="0.35">
      <c r="A7011" s="141" t="s">
        <v>1011</v>
      </c>
      <c r="B7011" s="141" t="s">
        <v>341</v>
      </c>
      <c r="C7011" s="141" t="s">
        <v>43</v>
      </c>
    </row>
    <row r="7012" spans="1:3" x14ac:dyDescent="0.35">
      <c r="A7012" s="141" t="s">
        <v>1012</v>
      </c>
      <c r="B7012" s="141" t="s">
        <v>341</v>
      </c>
      <c r="C7012" s="141" t="s">
        <v>43</v>
      </c>
    </row>
    <row r="7013" spans="1:3" x14ac:dyDescent="0.35">
      <c r="A7013" s="141" t="s">
        <v>1013</v>
      </c>
      <c r="B7013" s="141" t="s">
        <v>341</v>
      </c>
      <c r="C7013" s="141" t="s">
        <v>43</v>
      </c>
    </row>
    <row r="7014" spans="1:3" x14ac:dyDescent="0.35">
      <c r="A7014" s="141" t="s">
        <v>1014</v>
      </c>
      <c r="B7014" s="141" t="s">
        <v>341</v>
      </c>
      <c r="C7014" s="141" t="s">
        <v>43</v>
      </c>
    </row>
    <row r="7015" spans="1:3" x14ac:dyDescent="0.35">
      <c r="A7015" s="141" t="s">
        <v>1015</v>
      </c>
      <c r="B7015" s="141" t="s">
        <v>341</v>
      </c>
      <c r="C7015" s="141" t="s">
        <v>43</v>
      </c>
    </row>
    <row r="7016" spans="1:3" x14ac:dyDescent="0.35">
      <c r="A7016" s="141" t="s">
        <v>840</v>
      </c>
      <c r="B7016" s="141" t="s">
        <v>341</v>
      </c>
      <c r="C7016" s="141" t="s">
        <v>10</v>
      </c>
    </row>
    <row r="7017" spans="1:3" x14ac:dyDescent="0.35">
      <c r="A7017" s="141" t="s">
        <v>841</v>
      </c>
      <c r="B7017" s="141" t="s">
        <v>341</v>
      </c>
      <c r="C7017" s="141" t="s">
        <v>10</v>
      </c>
    </row>
    <row r="7018" spans="1:3" x14ac:dyDescent="0.35">
      <c r="A7018" s="141" t="s">
        <v>370</v>
      </c>
      <c r="B7018" s="141" t="s">
        <v>341</v>
      </c>
      <c r="C7018" s="141" t="s">
        <v>10</v>
      </c>
    </row>
    <row r="7019" spans="1:3" x14ac:dyDescent="0.35">
      <c r="A7019" s="141" t="s">
        <v>371</v>
      </c>
      <c r="B7019" s="141" t="s">
        <v>341</v>
      </c>
      <c r="C7019" s="141" t="s">
        <v>10</v>
      </c>
    </row>
    <row r="7020" spans="1:3" x14ac:dyDescent="0.35">
      <c r="A7020" s="141" t="s">
        <v>372</v>
      </c>
      <c r="B7020" s="141" t="s">
        <v>341</v>
      </c>
      <c r="C7020" s="141" t="s">
        <v>10</v>
      </c>
    </row>
    <row r="7021" spans="1:3" x14ac:dyDescent="0.35">
      <c r="A7021" s="141" t="s">
        <v>373</v>
      </c>
      <c r="B7021" s="141" t="s">
        <v>341</v>
      </c>
      <c r="C7021" s="141" t="s">
        <v>10</v>
      </c>
    </row>
    <row r="7022" spans="1:3" x14ac:dyDescent="0.35">
      <c r="A7022" s="141" t="s">
        <v>375</v>
      </c>
      <c r="B7022" s="141" t="s">
        <v>341</v>
      </c>
      <c r="C7022" s="141" t="s">
        <v>10</v>
      </c>
    </row>
    <row r="7023" spans="1:3" x14ac:dyDescent="0.35">
      <c r="A7023" s="141" t="s">
        <v>376</v>
      </c>
      <c r="B7023" s="141" t="s">
        <v>341</v>
      </c>
      <c r="C7023" s="141" t="s">
        <v>10</v>
      </c>
    </row>
    <row r="7024" spans="1:3" x14ac:dyDescent="0.35">
      <c r="A7024" s="141" t="s">
        <v>842</v>
      </c>
      <c r="B7024" s="141" t="s">
        <v>341</v>
      </c>
      <c r="C7024" s="141" t="s">
        <v>11</v>
      </c>
    </row>
    <row r="7025" spans="1:3" x14ac:dyDescent="0.35">
      <c r="A7025" s="141" t="s">
        <v>843</v>
      </c>
      <c r="B7025" s="141" t="s">
        <v>341</v>
      </c>
      <c r="C7025" s="141" t="s">
        <v>11</v>
      </c>
    </row>
    <row r="7026" spans="1:3" x14ac:dyDescent="0.35">
      <c r="A7026" s="141" t="s">
        <v>844</v>
      </c>
      <c r="B7026" s="141" t="s">
        <v>341</v>
      </c>
      <c r="C7026" s="141" t="s">
        <v>11</v>
      </c>
    </row>
    <row r="7027" spans="1:3" x14ac:dyDescent="0.35">
      <c r="A7027" s="141" t="s">
        <v>845</v>
      </c>
      <c r="B7027" s="141" t="s">
        <v>341</v>
      </c>
      <c r="C7027" s="141" t="s">
        <v>11</v>
      </c>
    </row>
    <row r="7028" spans="1:3" x14ac:dyDescent="0.35">
      <c r="A7028" s="141" t="s">
        <v>383</v>
      </c>
      <c r="B7028" s="141" t="s">
        <v>341</v>
      </c>
      <c r="C7028" s="141" t="s">
        <v>5</v>
      </c>
    </row>
    <row r="7029" spans="1:3" x14ac:dyDescent="0.35">
      <c r="A7029" s="141" t="s">
        <v>390</v>
      </c>
      <c r="B7029" s="141" t="s">
        <v>341</v>
      </c>
      <c r="C7029" s="141" t="s">
        <v>16</v>
      </c>
    </row>
    <row r="7030" spans="1:3" x14ac:dyDescent="0.35">
      <c r="A7030" s="141" t="s">
        <v>846</v>
      </c>
      <c r="B7030" s="141" t="s">
        <v>341</v>
      </c>
      <c r="C7030" s="141" t="s">
        <v>16</v>
      </c>
    </row>
    <row r="7031" spans="1:3" x14ac:dyDescent="0.35">
      <c r="A7031" s="141" t="s">
        <v>393</v>
      </c>
      <c r="B7031" s="141" t="s">
        <v>341</v>
      </c>
      <c r="C7031" s="141" t="s">
        <v>9</v>
      </c>
    </row>
    <row r="7032" spans="1:3" x14ac:dyDescent="0.35">
      <c r="A7032" s="141" t="s">
        <v>885</v>
      </c>
      <c r="B7032" s="141" t="s">
        <v>341</v>
      </c>
      <c r="C7032" s="141" t="s">
        <v>19</v>
      </c>
    </row>
    <row r="7033" spans="1:3" x14ac:dyDescent="0.35">
      <c r="A7033" s="141" t="s">
        <v>886</v>
      </c>
      <c r="B7033" s="141" t="s">
        <v>341</v>
      </c>
      <c r="C7033" s="141" t="s">
        <v>19</v>
      </c>
    </row>
    <row r="7034" spans="1:3" x14ac:dyDescent="0.35">
      <c r="A7034" s="141" t="s">
        <v>398</v>
      </c>
      <c r="B7034" s="141" t="s">
        <v>341</v>
      </c>
      <c r="C7034" s="141" t="s">
        <v>17</v>
      </c>
    </row>
    <row r="7035" spans="1:3" x14ac:dyDescent="0.35">
      <c r="A7035" s="141" t="s">
        <v>399</v>
      </c>
      <c r="B7035" s="141" t="s">
        <v>341</v>
      </c>
      <c r="C7035" s="141" t="s">
        <v>16</v>
      </c>
    </row>
    <row r="7036" spans="1:3" x14ac:dyDescent="0.35">
      <c r="A7036" s="141" t="s">
        <v>400</v>
      </c>
      <c r="B7036" s="141" t="s">
        <v>341</v>
      </c>
      <c r="C7036" s="141" t="s">
        <v>20</v>
      </c>
    </row>
    <row r="7037" spans="1:3" x14ac:dyDescent="0.35">
      <c r="A7037" s="141" t="s">
        <v>401</v>
      </c>
      <c r="B7037" s="141" t="s">
        <v>341</v>
      </c>
      <c r="C7037" s="141" t="s">
        <v>20</v>
      </c>
    </row>
    <row r="7038" spans="1:3" x14ac:dyDescent="0.35">
      <c r="A7038" s="141" t="s">
        <v>671</v>
      </c>
      <c r="B7038" s="141" t="s">
        <v>341</v>
      </c>
      <c r="C7038" s="141" t="s">
        <v>20</v>
      </c>
    </row>
    <row r="7039" spans="1:3" x14ac:dyDescent="0.35">
      <c r="A7039" s="141" t="s">
        <v>1016</v>
      </c>
      <c r="B7039" s="141" t="s">
        <v>341</v>
      </c>
      <c r="C7039" s="141" t="s">
        <v>20</v>
      </c>
    </row>
    <row r="7040" spans="1:3" x14ac:dyDescent="0.35">
      <c r="A7040" s="141" t="s">
        <v>593</v>
      </c>
      <c r="B7040" s="141" t="s">
        <v>341</v>
      </c>
      <c r="C7040" s="141" t="s">
        <v>20</v>
      </c>
    </row>
    <row r="7041" spans="1:3" x14ac:dyDescent="0.35">
      <c r="A7041" s="141" t="s">
        <v>403</v>
      </c>
      <c r="B7041" s="141" t="s">
        <v>341</v>
      </c>
      <c r="C7041" s="141" t="s">
        <v>20</v>
      </c>
    </row>
    <row r="7042" spans="1:3" x14ac:dyDescent="0.35">
      <c r="A7042" s="141" t="s">
        <v>1017</v>
      </c>
      <c r="B7042" s="141" t="s">
        <v>341</v>
      </c>
      <c r="C7042" s="141" t="s">
        <v>16</v>
      </c>
    </row>
    <row r="7043" spans="1:3" x14ac:dyDescent="0.35">
      <c r="A7043" s="141" t="s">
        <v>406</v>
      </c>
      <c r="B7043" s="141" t="s">
        <v>341</v>
      </c>
      <c r="C7043" s="141" t="s">
        <v>18</v>
      </c>
    </row>
    <row r="7044" spans="1:3" x14ac:dyDescent="0.35">
      <c r="A7044" s="141" t="s">
        <v>407</v>
      </c>
      <c r="B7044" s="141" t="s">
        <v>341</v>
      </c>
      <c r="C7044" s="141" t="s">
        <v>17</v>
      </c>
    </row>
    <row r="7045" spans="1:3" x14ac:dyDescent="0.35">
      <c r="A7045" s="141" t="s">
        <v>566</v>
      </c>
      <c r="B7045" s="141" t="s">
        <v>341</v>
      </c>
      <c r="C7045" s="141" t="s">
        <v>17</v>
      </c>
    </row>
    <row r="7046" spans="1:3" x14ac:dyDescent="0.35">
      <c r="A7046" s="141" t="s">
        <v>833</v>
      </c>
      <c r="B7046" s="141" t="s">
        <v>341</v>
      </c>
      <c r="C7046" s="141" t="s">
        <v>17</v>
      </c>
    </row>
    <row r="7047" spans="1:3" x14ac:dyDescent="0.35">
      <c r="A7047" s="141" t="s">
        <v>409</v>
      </c>
      <c r="B7047" s="141" t="s">
        <v>341</v>
      </c>
      <c r="C7047" s="141" t="s">
        <v>18</v>
      </c>
    </row>
    <row r="7048" spans="1:3" x14ac:dyDescent="0.35">
      <c r="A7048" s="141" t="s">
        <v>1018</v>
      </c>
      <c r="B7048" s="141" t="s">
        <v>341</v>
      </c>
      <c r="C7048" s="141" t="s">
        <v>18</v>
      </c>
    </row>
    <row r="7049" spans="1:3" x14ac:dyDescent="0.35">
      <c r="A7049" s="141" t="s">
        <v>411</v>
      </c>
      <c r="B7049" s="141" t="s">
        <v>341</v>
      </c>
      <c r="C7049" s="141" t="s">
        <v>9</v>
      </c>
    </row>
    <row r="7050" spans="1:3" x14ac:dyDescent="0.35">
      <c r="A7050" s="141" t="s">
        <v>412</v>
      </c>
      <c r="B7050" s="141" t="s">
        <v>341</v>
      </c>
      <c r="C7050" s="141" t="s">
        <v>9</v>
      </c>
    </row>
    <row r="7051" spans="1:3" x14ac:dyDescent="0.35">
      <c r="A7051" s="141" t="s">
        <v>413</v>
      </c>
      <c r="B7051" s="141" t="s">
        <v>341</v>
      </c>
      <c r="C7051" s="141" t="s">
        <v>9</v>
      </c>
    </row>
    <row r="7052" spans="1:3" x14ac:dyDescent="0.35">
      <c r="A7052" s="141" t="s">
        <v>414</v>
      </c>
      <c r="B7052" s="141" t="s">
        <v>341</v>
      </c>
      <c r="C7052" s="141" t="s">
        <v>9</v>
      </c>
    </row>
    <row r="7053" spans="1:3" x14ac:dyDescent="0.35">
      <c r="A7053" s="141" t="s">
        <v>415</v>
      </c>
      <c r="B7053" s="141" t="s">
        <v>341</v>
      </c>
      <c r="C7053" s="141" t="s">
        <v>9</v>
      </c>
    </row>
    <row r="7054" spans="1:3" x14ac:dyDescent="0.35">
      <c r="A7054" s="141" t="s">
        <v>416</v>
      </c>
      <c r="B7054" s="141" t="s">
        <v>341</v>
      </c>
      <c r="C7054" s="141" t="s">
        <v>15</v>
      </c>
    </row>
    <row r="7055" spans="1:3" x14ac:dyDescent="0.35">
      <c r="A7055" s="141" t="s">
        <v>417</v>
      </c>
      <c r="B7055" s="141" t="s">
        <v>341</v>
      </c>
      <c r="C7055" s="141" t="s">
        <v>6</v>
      </c>
    </row>
    <row r="7056" spans="1:3" x14ac:dyDescent="0.35">
      <c r="A7056" s="141" t="s">
        <v>1019</v>
      </c>
      <c r="B7056" s="141" t="s">
        <v>341</v>
      </c>
      <c r="C7056" s="141" t="s">
        <v>17</v>
      </c>
    </row>
    <row r="7057" spans="1:3" x14ac:dyDescent="0.35">
      <c r="A7057" s="141" t="s">
        <v>420</v>
      </c>
      <c r="B7057" s="141" t="s">
        <v>341</v>
      </c>
      <c r="C7057" s="141" t="s">
        <v>17</v>
      </c>
    </row>
    <row r="7058" spans="1:3" x14ac:dyDescent="0.35">
      <c r="A7058" s="141" t="s">
        <v>421</v>
      </c>
      <c r="B7058" s="141" t="s">
        <v>341</v>
      </c>
      <c r="C7058" s="141" t="s">
        <v>6</v>
      </c>
    </row>
    <row r="7059" spans="1:3" x14ac:dyDescent="0.35">
      <c r="A7059" s="141" t="s">
        <v>422</v>
      </c>
      <c r="B7059" s="141" t="s">
        <v>341</v>
      </c>
      <c r="C7059" s="141" t="s">
        <v>17</v>
      </c>
    </row>
    <row r="7060" spans="1:3" x14ac:dyDescent="0.35">
      <c r="A7060" s="141" t="s">
        <v>1020</v>
      </c>
      <c r="B7060" s="141" t="s">
        <v>341</v>
      </c>
      <c r="C7060" s="141" t="s">
        <v>29</v>
      </c>
    </row>
    <row r="7061" spans="1:3" x14ac:dyDescent="0.35">
      <c r="A7061" s="141" t="s">
        <v>1021</v>
      </c>
      <c r="B7061" s="141" t="s">
        <v>341</v>
      </c>
      <c r="C7061" s="141" t="s">
        <v>29</v>
      </c>
    </row>
    <row r="7062" spans="1:3" x14ac:dyDescent="0.35">
      <c r="A7062" s="141" t="s">
        <v>1022</v>
      </c>
      <c r="B7062" s="141" t="s">
        <v>341</v>
      </c>
      <c r="C7062" s="141" t="s">
        <v>29</v>
      </c>
    </row>
    <row r="7063" spans="1:3" x14ac:dyDescent="0.35">
      <c r="A7063" s="141" t="s">
        <v>856</v>
      </c>
      <c r="B7063" s="141" t="s">
        <v>341</v>
      </c>
      <c r="C7063" s="141" t="s">
        <v>52</v>
      </c>
    </row>
    <row r="7064" spans="1:3" x14ac:dyDescent="0.35">
      <c r="A7064" s="141" t="s">
        <v>857</v>
      </c>
      <c r="B7064" s="141" t="s">
        <v>341</v>
      </c>
      <c r="C7064" s="141" t="s">
        <v>52</v>
      </c>
    </row>
    <row r="7065" spans="1:3" x14ac:dyDescent="0.35">
      <c r="A7065" s="141" t="s">
        <v>776</v>
      </c>
      <c r="B7065" s="141" t="s">
        <v>341</v>
      </c>
      <c r="C7065" s="141" t="s">
        <v>45</v>
      </c>
    </row>
    <row r="7066" spans="1:3" x14ac:dyDescent="0.35">
      <c r="A7066" s="141" t="s">
        <v>777</v>
      </c>
      <c r="B7066" s="141" t="s">
        <v>341</v>
      </c>
      <c r="C7066" s="141" t="s">
        <v>46</v>
      </c>
    </row>
    <row r="7067" spans="1:3" x14ac:dyDescent="0.35">
      <c r="A7067" s="141" t="s">
        <v>778</v>
      </c>
      <c r="B7067" s="141" t="s">
        <v>341</v>
      </c>
      <c r="C7067" s="141" t="s">
        <v>45</v>
      </c>
    </row>
    <row r="7068" spans="1:3" x14ac:dyDescent="0.35">
      <c r="A7068" s="141" t="s">
        <v>1023</v>
      </c>
      <c r="B7068" s="141" t="s">
        <v>341</v>
      </c>
      <c r="C7068" s="141" t="s">
        <v>45</v>
      </c>
    </row>
    <row r="7069" spans="1:3" x14ac:dyDescent="0.35">
      <c r="A7069" s="141" t="s">
        <v>781</v>
      </c>
      <c r="B7069" s="141" t="s">
        <v>341</v>
      </c>
      <c r="C7069" s="141" t="s">
        <v>45</v>
      </c>
    </row>
    <row r="7070" spans="1:3" x14ac:dyDescent="0.35">
      <c r="A7070" s="141" t="s">
        <v>1024</v>
      </c>
      <c r="B7070" s="141" t="s">
        <v>341</v>
      </c>
      <c r="C7070" s="141" t="s">
        <v>21</v>
      </c>
    </row>
    <row r="7071" spans="1:3" x14ac:dyDescent="0.35">
      <c r="A7071" s="141" t="s">
        <v>276</v>
      </c>
      <c r="B7071" s="141" t="s">
        <v>341</v>
      </c>
      <c r="C7071" s="141" t="s">
        <v>24</v>
      </c>
    </row>
    <row r="7072" spans="1:3" x14ac:dyDescent="0.35">
      <c r="A7072" s="141" t="s">
        <v>277</v>
      </c>
      <c r="B7072" s="141" t="s">
        <v>341</v>
      </c>
      <c r="C7072" s="141" t="s">
        <v>21</v>
      </c>
    </row>
    <row r="7073" spans="1:3" x14ac:dyDescent="0.35">
      <c r="A7073" s="141" t="s">
        <v>278</v>
      </c>
      <c r="B7073" s="141" t="s">
        <v>341</v>
      </c>
      <c r="C7073" s="141" t="s">
        <v>21</v>
      </c>
    </row>
    <row r="7074" spans="1:3" x14ac:dyDescent="0.35">
      <c r="A7074" s="141" t="s">
        <v>283</v>
      </c>
      <c r="B7074" s="141" t="s">
        <v>341</v>
      </c>
      <c r="C7074" s="141" t="s">
        <v>21</v>
      </c>
    </row>
    <row r="7075" spans="1:3" x14ac:dyDescent="0.35">
      <c r="A7075" s="141" t="s">
        <v>284</v>
      </c>
      <c r="B7075" s="141" t="s">
        <v>341</v>
      </c>
      <c r="C7075" s="141" t="s">
        <v>21</v>
      </c>
    </row>
    <row r="7076" spans="1:3" x14ac:dyDescent="0.35">
      <c r="A7076" s="141" t="s">
        <v>882</v>
      </c>
      <c r="B7076" s="141" t="s">
        <v>341</v>
      </c>
      <c r="C7076" s="141" t="s">
        <v>27</v>
      </c>
    </row>
    <row r="7077" spans="1:3" x14ac:dyDescent="0.35">
      <c r="A7077" s="141" t="s">
        <v>883</v>
      </c>
      <c r="B7077" s="141" t="s">
        <v>341</v>
      </c>
      <c r="C7077" s="141" t="s">
        <v>27</v>
      </c>
    </row>
    <row r="7078" spans="1:3" x14ac:dyDescent="0.35">
      <c r="A7078" s="141" t="s">
        <v>884</v>
      </c>
      <c r="B7078" s="141" t="s">
        <v>341</v>
      </c>
      <c r="C7078" s="141" t="s">
        <v>27</v>
      </c>
    </row>
    <row r="7079" spans="1:3" x14ac:dyDescent="0.35">
      <c r="A7079" s="141" t="s">
        <v>262</v>
      </c>
      <c r="B7079" s="141" t="s">
        <v>341</v>
      </c>
      <c r="C7079" s="141" t="s">
        <v>27</v>
      </c>
    </row>
    <row r="7080" spans="1:3" x14ac:dyDescent="0.35">
      <c r="A7080" s="141" t="s">
        <v>1025</v>
      </c>
      <c r="B7080" s="141" t="s">
        <v>341</v>
      </c>
      <c r="C7080" s="141" t="s">
        <v>27</v>
      </c>
    </row>
    <row r="7081" spans="1:3" x14ac:dyDescent="0.35">
      <c r="A7081" s="141" t="s">
        <v>1026</v>
      </c>
      <c r="B7081" s="141" t="s">
        <v>341</v>
      </c>
      <c r="C7081" s="141" t="s">
        <v>27</v>
      </c>
    </row>
    <row r="7082" spans="1:3" x14ac:dyDescent="0.35">
      <c r="A7082" s="141" t="s">
        <v>1027</v>
      </c>
      <c r="B7082" s="141" t="s">
        <v>341</v>
      </c>
      <c r="C7082" s="141" t="s">
        <v>32</v>
      </c>
    </row>
    <row r="7083" spans="1:3" x14ac:dyDescent="0.35">
      <c r="A7083" s="141" t="s">
        <v>1028</v>
      </c>
      <c r="B7083" s="141" t="s">
        <v>341</v>
      </c>
      <c r="C7083" s="141" t="s">
        <v>27</v>
      </c>
    </row>
    <row r="7084" spans="1:3" x14ac:dyDescent="0.35">
      <c r="A7084" s="141" t="s">
        <v>296</v>
      </c>
      <c r="B7084" s="141" t="s">
        <v>341</v>
      </c>
      <c r="C7084" s="141" t="s">
        <v>32</v>
      </c>
    </row>
    <row r="7085" spans="1:3" x14ac:dyDescent="0.35">
      <c r="A7085" s="141" t="s">
        <v>819</v>
      </c>
      <c r="B7085" s="141" t="s">
        <v>341</v>
      </c>
      <c r="C7085" s="141" t="s">
        <v>45</v>
      </c>
    </row>
    <row r="7086" spans="1:3" x14ac:dyDescent="0.35">
      <c r="A7086" s="141" t="s">
        <v>820</v>
      </c>
      <c r="B7086" s="141" t="s">
        <v>341</v>
      </c>
      <c r="C7086" s="141" t="s">
        <v>45</v>
      </c>
    </row>
    <row r="7087" spans="1:3" x14ac:dyDescent="0.35">
      <c r="A7087" s="141" t="s">
        <v>821</v>
      </c>
      <c r="B7087" s="141" t="s">
        <v>341</v>
      </c>
      <c r="C7087" s="141" t="s">
        <v>45</v>
      </c>
    </row>
    <row r="7088" spans="1:3" x14ac:dyDescent="0.35">
      <c r="A7088" s="141" t="s">
        <v>1041</v>
      </c>
      <c r="B7088" s="141" t="s">
        <v>341</v>
      </c>
      <c r="C7088" s="141" t="s">
        <v>45</v>
      </c>
    </row>
    <row r="7089" spans="1:3" x14ac:dyDescent="0.35">
      <c r="A7089" s="141" t="s">
        <v>822</v>
      </c>
      <c r="B7089" s="141" t="s">
        <v>341</v>
      </c>
      <c r="C7089" s="141" t="s">
        <v>45</v>
      </c>
    </row>
    <row r="7090" spans="1:3" x14ac:dyDescent="0.35">
      <c r="A7090" s="141" t="s">
        <v>823</v>
      </c>
      <c r="B7090" s="141" t="s">
        <v>341</v>
      </c>
      <c r="C7090" s="141" t="s">
        <v>45</v>
      </c>
    </row>
    <row r="7091" spans="1:3" x14ac:dyDescent="0.35">
      <c r="A7091" s="141" t="s">
        <v>824</v>
      </c>
      <c r="B7091" s="141" t="s">
        <v>341</v>
      </c>
      <c r="C7091" s="141" t="s">
        <v>45</v>
      </c>
    </row>
    <row r="7092" spans="1:3" x14ac:dyDescent="0.35">
      <c r="A7092" s="141" t="s">
        <v>827</v>
      </c>
      <c r="B7092" s="141" t="s">
        <v>341</v>
      </c>
      <c r="C7092" s="141" t="s">
        <v>45</v>
      </c>
    </row>
    <row r="7093" spans="1:3" x14ac:dyDescent="0.35">
      <c r="A7093" s="141" t="s">
        <v>828</v>
      </c>
      <c r="B7093" s="141" t="s">
        <v>341</v>
      </c>
      <c r="C7093" s="141" t="s">
        <v>45</v>
      </c>
    </row>
    <row r="7094" spans="1:3" x14ac:dyDescent="0.35">
      <c r="A7094" s="141" t="s">
        <v>829</v>
      </c>
      <c r="B7094" s="141" t="s">
        <v>341</v>
      </c>
      <c r="C7094" s="141" t="s">
        <v>45</v>
      </c>
    </row>
    <row r="7095" spans="1:3" x14ac:dyDescent="0.35">
      <c r="A7095" s="141" t="s">
        <v>830</v>
      </c>
      <c r="B7095" s="141" t="s">
        <v>341</v>
      </c>
      <c r="C7095" s="141" t="s">
        <v>45</v>
      </c>
    </row>
    <row r="7096" spans="1:3" x14ac:dyDescent="0.35">
      <c r="A7096" s="141" t="s">
        <v>831</v>
      </c>
      <c r="B7096" s="141" t="s">
        <v>341</v>
      </c>
      <c r="C7096" s="141" t="s">
        <v>45</v>
      </c>
    </row>
    <row r="7097" spans="1:3" x14ac:dyDescent="0.35">
      <c r="A7097" s="141" t="s">
        <v>1042</v>
      </c>
      <c r="B7097" s="141" t="s">
        <v>341</v>
      </c>
      <c r="C7097" s="141" t="s">
        <v>45</v>
      </c>
    </row>
    <row r="7098" spans="1:3" x14ac:dyDescent="0.35">
      <c r="A7098" s="141" t="s">
        <v>818</v>
      </c>
      <c r="B7098" s="141" t="s">
        <v>341</v>
      </c>
      <c r="C7098" s="141" t="s">
        <v>12</v>
      </c>
    </row>
    <row r="7099" spans="1:3" x14ac:dyDescent="0.35">
      <c r="A7099" s="141" t="s">
        <v>835</v>
      </c>
      <c r="B7099" s="141" t="s">
        <v>341</v>
      </c>
      <c r="C7099" s="141" t="s">
        <v>12</v>
      </c>
    </row>
    <row r="7100" spans="1:3" x14ac:dyDescent="0.35">
      <c r="A7100" s="141" t="s">
        <v>836</v>
      </c>
      <c r="B7100" s="141" t="s">
        <v>341</v>
      </c>
      <c r="C7100" s="141" t="s">
        <v>12</v>
      </c>
    </row>
    <row r="7101" spans="1:3" x14ac:dyDescent="0.35">
      <c r="A7101" s="141" t="s">
        <v>837</v>
      </c>
      <c r="B7101" s="141" t="s">
        <v>341</v>
      </c>
      <c r="C7101" s="141" t="s">
        <v>14</v>
      </c>
    </row>
    <row r="7102" spans="1:3" x14ac:dyDescent="0.35">
      <c r="A7102" s="141" t="s">
        <v>358</v>
      </c>
      <c r="B7102" s="141" t="s">
        <v>341</v>
      </c>
      <c r="C7102" s="141" t="s">
        <v>14</v>
      </c>
    </row>
    <row r="7103" spans="1:3" x14ac:dyDescent="0.35">
      <c r="A7103" s="141" t="s">
        <v>654</v>
      </c>
      <c r="B7103" s="141" t="s">
        <v>341</v>
      </c>
      <c r="C7103" s="141" t="s">
        <v>14</v>
      </c>
    </row>
    <row r="7104" spans="1:3" x14ac:dyDescent="0.35">
      <c r="A7104" s="141" t="s">
        <v>987</v>
      </c>
      <c r="B7104" s="141" t="s">
        <v>341</v>
      </c>
      <c r="C7104" s="141" t="s">
        <v>14</v>
      </c>
    </row>
    <row r="7105" spans="1:3" x14ac:dyDescent="0.35">
      <c r="A7105" s="141" t="s">
        <v>838</v>
      </c>
      <c r="B7105" s="141" t="s">
        <v>341</v>
      </c>
      <c r="C7105" s="141" t="s">
        <v>13</v>
      </c>
    </row>
    <row r="7106" spans="1:3" x14ac:dyDescent="0.35">
      <c r="A7106" s="141" t="s">
        <v>667</v>
      </c>
      <c r="B7106" s="141" t="s">
        <v>341</v>
      </c>
      <c r="C7106" s="141" t="s">
        <v>55</v>
      </c>
    </row>
    <row r="7107" spans="1:3" x14ac:dyDescent="0.35">
      <c r="A7107" s="141" t="s">
        <v>669</v>
      </c>
      <c r="B7107" s="141" t="s">
        <v>341</v>
      </c>
      <c r="C7107" s="141" t="s">
        <v>55</v>
      </c>
    </row>
    <row r="7108" spans="1:3" x14ac:dyDescent="0.35">
      <c r="A7108" s="141" t="s">
        <v>668</v>
      </c>
      <c r="B7108" s="141" t="s">
        <v>341</v>
      </c>
      <c r="C7108" s="141" t="s">
        <v>54</v>
      </c>
    </row>
    <row r="7109" spans="1:3" x14ac:dyDescent="0.35">
      <c r="A7109" s="141" t="s">
        <v>670</v>
      </c>
      <c r="B7109" s="141" t="s">
        <v>341</v>
      </c>
      <c r="C7109" s="141" t="s">
        <v>54</v>
      </c>
    </row>
    <row r="7110" spans="1:3" x14ac:dyDescent="0.35">
      <c r="A7110" s="141" t="s">
        <v>359</v>
      </c>
      <c r="B7110" s="141" t="s">
        <v>341</v>
      </c>
      <c r="C7110" s="141" t="s">
        <v>46</v>
      </c>
    </row>
    <row r="7111" spans="1:3" x14ac:dyDescent="0.35">
      <c r="A7111" s="141" t="s">
        <v>360</v>
      </c>
      <c r="B7111" s="141" t="s">
        <v>341</v>
      </c>
      <c r="C7111" s="141" t="s">
        <v>46</v>
      </c>
    </row>
    <row r="7112" spans="1:3" x14ac:dyDescent="0.35">
      <c r="A7112" s="141" t="s">
        <v>1043</v>
      </c>
      <c r="B7112" s="141" t="s">
        <v>341</v>
      </c>
      <c r="C7112" s="141" t="s">
        <v>4</v>
      </c>
    </row>
    <row r="7113" spans="1:3" x14ac:dyDescent="0.35">
      <c r="A7113" s="141" t="s">
        <v>365</v>
      </c>
      <c r="B7113" s="141" t="s">
        <v>341</v>
      </c>
      <c r="C7113" s="141" t="s">
        <v>7</v>
      </c>
    </row>
    <row r="7114" spans="1:3" x14ac:dyDescent="0.35">
      <c r="A7114" s="141" t="s">
        <v>589</v>
      </c>
      <c r="B7114" s="141" t="s">
        <v>341</v>
      </c>
      <c r="C7114" s="141" t="s">
        <v>4</v>
      </c>
    </row>
    <row r="7115" spans="1:3" x14ac:dyDescent="0.35">
      <c r="A7115" s="141" t="s">
        <v>366</v>
      </c>
      <c r="B7115" s="141" t="s">
        <v>341</v>
      </c>
      <c r="C7115" s="141" t="s">
        <v>8</v>
      </c>
    </row>
    <row r="7116" spans="1:3" x14ac:dyDescent="0.35">
      <c r="A7116" s="141" t="s">
        <v>367</v>
      </c>
      <c r="B7116" s="141" t="s">
        <v>341</v>
      </c>
      <c r="C7116" s="141" t="s">
        <v>8</v>
      </c>
    </row>
    <row r="7117" spans="1:3" x14ac:dyDescent="0.35">
      <c r="A7117" s="141" t="s">
        <v>1044</v>
      </c>
      <c r="B7117" s="141" t="s">
        <v>341</v>
      </c>
      <c r="C7117" s="141" t="s">
        <v>24</v>
      </c>
    </row>
    <row r="7118" spans="1:3" x14ac:dyDescent="0.35">
      <c r="A7118" s="141" t="s">
        <v>1045</v>
      </c>
      <c r="B7118" s="141" t="s">
        <v>341</v>
      </c>
      <c r="C7118" s="141" t="s">
        <v>24</v>
      </c>
    </row>
    <row r="7119" spans="1:3" x14ac:dyDescent="0.35">
      <c r="A7119" s="141" t="s">
        <v>271</v>
      </c>
      <c r="B7119" s="141" t="s">
        <v>341</v>
      </c>
      <c r="C7119" s="141" t="s">
        <v>24</v>
      </c>
    </row>
    <row r="7120" spans="1:3" x14ac:dyDescent="0.35">
      <c r="A7120" s="141" t="s">
        <v>774</v>
      </c>
      <c r="B7120" s="141" t="s">
        <v>341</v>
      </c>
      <c r="C7120" s="141" t="s">
        <v>38</v>
      </c>
    </row>
    <row r="7121" spans="1:3" x14ac:dyDescent="0.35">
      <c r="A7121" s="141" t="s">
        <v>306</v>
      </c>
      <c r="B7121" s="141" t="s">
        <v>341</v>
      </c>
      <c r="C7121" s="141" t="s">
        <v>35</v>
      </c>
    </row>
    <row r="7122" spans="1:3" x14ac:dyDescent="0.35">
      <c r="A7122" s="141" t="s">
        <v>1031</v>
      </c>
      <c r="B7122" s="141" t="s">
        <v>341</v>
      </c>
      <c r="C7122" s="141" t="s">
        <v>35</v>
      </c>
    </row>
    <row r="7123" spans="1:3" x14ac:dyDescent="0.35">
      <c r="A7123" s="141" t="s">
        <v>1046</v>
      </c>
      <c r="B7123" s="141" t="s">
        <v>341</v>
      </c>
      <c r="C7123" s="141" t="s">
        <v>33</v>
      </c>
    </row>
    <row r="7124" spans="1:3" x14ac:dyDescent="0.35">
      <c r="A7124" s="141" t="s">
        <v>1032</v>
      </c>
      <c r="B7124" s="141" t="s">
        <v>341</v>
      </c>
      <c r="C7124" s="141" t="s">
        <v>33</v>
      </c>
    </row>
    <row r="7125" spans="1:3" x14ac:dyDescent="0.35">
      <c r="A7125" s="141" t="s">
        <v>1033</v>
      </c>
      <c r="B7125" s="141" t="s">
        <v>341</v>
      </c>
      <c r="C7125" s="141" t="s">
        <v>33</v>
      </c>
    </row>
    <row r="7126" spans="1:3" x14ac:dyDescent="0.35">
      <c r="A7126" s="141" t="s">
        <v>1034</v>
      </c>
      <c r="B7126" s="141" t="s">
        <v>341</v>
      </c>
      <c r="C7126" s="141" t="s">
        <v>33</v>
      </c>
    </row>
    <row r="7127" spans="1:3" x14ac:dyDescent="0.35">
      <c r="A7127" s="141" t="s">
        <v>1047</v>
      </c>
      <c r="B7127" s="141" t="s">
        <v>341</v>
      </c>
      <c r="C7127" s="141" t="s">
        <v>49</v>
      </c>
    </row>
    <row r="7128" spans="1:3" x14ac:dyDescent="0.35">
      <c r="A7128" s="141" t="s">
        <v>1048</v>
      </c>
      <c r="B7128" s="141" t="s">
        <v>341</v>
      </c>
      <c r="C7128" s="141" t="s">
        <v>49</v>
      </c>
    </row>
    <row r="7129" spans="1:3" x14ac:dyDescent="0.35">
      <c r="A7129" s="141" t="s">
        <v>806</v>
      </c>
      <c r="B7129" s="141" t="s">
        <v>341</v>
      </c>
      <c r="C7129" s="141" t="s">
        <v>32</v>
      </c>
    </row>
    <row r="7130" spans="1:3" x14ac:dyDescent="0.35">
      <c r="A7130" s="141" t="s">
        <v>579</v>
      </c>
      <c r="B7130" s="141" t="s">
        <v>341</v>
      </c>
      <c r="C7130" s="141" t="s">
        <v>32</v>
      </c>
    </row>
    <row r="7131" spans="1:3" x14ac:dyDescent="0.35">
      <c r="A7131" s="141" t="s">
        <v>556</v>
      </c>
      <c r="B7131" s="141" t="s">
        <v>341</v>
      </c>
      <c r="C7131" s="141" t="s">
        <v>32</v>
      </c>
    </row>
    <row r="7132" spans="1:3" x14ac:dyDescent="0.35">
      <c r="A7132" s="141" t="s">
        <v>557</v>
      </c>
      <c r="B7132" s="141" t="s">
        <v>341</v>
      </c>
      <c r="C7132" s="141" t="s">
        <v>32</v>
      </c>
    </row>
    <row r="7133" spans="1:3" x14ac:dyDescent="0.35">
      <c r="A7133" s="141" t="s">
        <v>558</v>
      </c>
      <c r="B7133" s="141" t="s">
        <v>341</v>
      </c>
      <c r="C7133" s="141" t="s">
        <v>32</v>
      </c>
    </row>
    <row r="7134" spans="1:3" x14ac:dyDescent="0.35">
      <c r="A7134" s="141" t="s">
        <v>580</v>
      </c>
      <c r="B7134" s="141" t="s">
        <v>341</v>
      </c>
      <c r="C7134" s="141" t="s">
        <v>32</v>
      </c>
    </row>
    <row r="7135" spans="1:3" x14ac:dyDescent="0.35">
      <c r="A7135" s="141" t="s">
        <v>337</v>
      </c>
      <c r="B7135" s="141" t="s">
        <v>341</v>
      </c>
      <c r="C7135" s="141" t="s">
        <v>47</v>
      </c>
    </row>
    <row r="7136" spans="1:3" x14ac:dyDescent="0.35">
      <c r="A7136" s="141" t="s">
        <v>962</v>
      </c>
      <c r="B7136" s="141" t="s">
        <v>341</v>
      </c>
      <c r="C7136" s="141" t="s">
        <v>47</v>
      </c>
    </row>
    <row r="7137" spans="1:3" x14ac:dyDescent="0.35">
      <c r="A7137" s="141" t="s">
        <v>981</v>
      </c>
      <c r="B7137" s="141" t="s">
        <v>341</v>
      </c>
      <c r="C7137" s="141" t="s">
        <v>47</v>
      </c>
    </row>
    <row r="7138" spans="1:3" x14ac:dyDescent="0.35">
      <c r="A7138" s="141" t="s">
        <v>982</v>
      </c>
      <c r="B7138" s="141" t="s">
        <v>341</v>
      </c>
      <c r="C7138" s="141" t="s">
        <v>47</v>
      </c>
    </row>
    <row r="7139" spans="1:3" x14ac:dyDescent="0.35">
      <c r="A7139" s="141" t="s">
        <v>563</v>
      </c>
      <c r="B7139" s="141" t="s">
        <v>341</v>
      </c>
      <c r="C7139" s="141" t="s">
        <v>47</v>
      </c>
    </row>
    <row r="7140" spans="1:3" x14ac:dyDescent="0.35">
      <c r="A7140" s="141" t="s">
        <v>313</v>
      </c>
      <c r="B7140" s="141" t="s">
        <v>341</v>
      </c>
      <c r="C7140" s="141" t="s">
        <v>51</v>
      </c>
    </row>
    <row r="7141" spans="1:3" x14ac:dyDescent="0.35">
      <c r="A7141" s="141" t="s">
        <v>927</v>
      </c>
      <c r="B7141" s="141" t="s">
        <v>340</v>
      </c>
      <c r="C7141" s="141" t="s">
        <v>37</v>
      </c>
    </row>
    <row r="7142" spans="1:3" x14ac:dyDescent="0.35">
      <c r="A7142" s="141" t="s">
        <v>926</v>
      </c>
      <c r="B7142" s="141" t="s">
        <v>340</v>
      </c>
      <c r="C7142" s="141" t="s">
        <v>37</v>
      </c>
    </row>
    <row r="7143" spans="1:3" x14ac:dyDescent="0.35">
      <c r="A7143" s="141" t="s">
        <v>985</v>
      </c>
      <c r="B7143" s="141" t="s">
        <v>340</v>
      </c>
      <c r="C7143" s="141" t="s">
        <v>29</v>
      </c>
    </row>
    <row r="7144" spans="1:3" x14ac:dyDescent="0.35">
      <c r="A7144" s="141" t="s">
        <v>984</v>
      </c>
      <c r="B7144" s="141" t="s">
        <v>340</v>
      </c>
      <c r="C7144" s="141" t="s">
        <v>33</v>
      </c>
    </row>
    <row r="7145" spans="1:3" x14ac:dyDescent="0.35">
      <c r="A7145" s="141" t="s">
        <v>983</v>
      </c>
      <c r="B7145" s="141" t="s">
        <v>340</v>
      </c>
      <c r="C7145" s="141" t="s">
        <v>28</v>
      </c>
    </row>
    <row r="7146" spans="1:3" x14ac:dyDescent="0.35">
      <c r="A7146" s="141" t="s">
        <v>988</v>
      </c>
      <c r="B7146" s="141" t="s">
        <v>340</v>
      </c>
      <c r="C7146" s="141" t="s">
        <v>8</v>
      </c>
    </row>
    <row r="7147" spans="1:3" x14ac:dyDescent="0.35">
      <c r="A7147" s="141" t="s">
        <v>950</v>
      </c>
      <c r="B7147" s="141" t="s">
        <v>340</v>
      </c>
      <c r="C7147" s="141" t="s">
        <v>32</v>
      </c>
    </row>
    <row r="7148" spans="1:3" x14ac:dyDescent="0.35">
      <c r="A7148" s="141" t="s">
        <v>947</v>
      </c>
      <c r="B7148" s="141" t="s">
        <v>340</v>
      </c>
      <c r="C7148" s="141" t="s">
        <v>32</v>
      </c>
    </row>
    <row r="7149" spans="1:3" x14ac:dyDescent="0.35">
      <c r="A7149" s="141" t="s">
        <v>949</v>
      </c>
      <c r="B7149" s="141" t="s">
        <v>340</v>
      </c>
      <c r="C7149" s="141" t="s">
        <v>32</v>
      </c>
    </row>
    <row r="7150" spans="1:3" x14ac:dyDescent="0.35">
      <c r="A7150" s="141" t="s">
        <v>951</v>
      </c>
      <c r="B7150" s="141" t="s">
        <v>340</v>
      </c>
      <c r="C7150" s="141" t="s">
        <v>32</v>
      </c>
    </row>
    <row r="7151" spans="1:3" x14ac:dyDescent="0.35">
      <c r="A7151" s="141" t="s">
        <v>952</v>
      </c>
      <c r="B7151" s="141" t="s">
        <v>340</v>
      </c>
      <c r="C7151" s="141" t="s">
        <v>32</v>
      </c>
    </row>
    <row r="7152" spans="1:3" x14ac:dyDescent="0.35">
      <c r="A7152" s="141" t="s">
        <v>986</v>
      </c>
      <c r="B7152" s="141" t="s">
        <v>340</v>
      </c>
      <c r="C7152" s="141" t="s">
        <v>32</v>
      </c>
    </row>
    <row r="7153" spans="1:3" x14ac:dyDescent="0.35">
      <c r="A7153" s="141" t="s">
        <v>948</v>
      </c>
      <c r="B7153" s="141" t="s">
        <v>340</v>
      </c>
      <c r="C7153" s="141" t="s">
        <v>32</v>
      </c>
    </row>
    <row r="7154" spans="1:3" x14ac:dyDescent="0.35">
      <c r="A7154" s="141" t="s">
        <v>953</v>
      </c>
      <c r="B7154" s="141" t="s">
        <v>340</v>
      </c>
      <c r="C7154" s="141" t="s">
        <v>31</v>
      </c>
    </row>
    <row r="7155" spans="1:3" x14ac:dyDescent="0.35">
      <c r="A7155" s="141" t="s">
        <v>286</v>
      </c>
      <c r="B7155" s="141" t="s">
        <v>340</v>
      </c>
      <c r="C7155" s="141" t="s">
        <v>27</v>
      </c>
    </row>
    <row r="7156" spans="1:3" x14ac:dyDescent="0.35">
      <c r="A7156" s="141" t="s">
        <v>285</v>
      </c>
      <c r="B7156" s="141" t="s">
        <v>340</v>
      </c>
      <c r="C7156" s="141" t="s">
        <v>27</v>
      </c>
    </row>
    <row r="7157" spans="1:3" x14ac:dyDescent="0.35">
      <c r="A7157" s="141" t="s">
        <v>387</v>
      </c>
      <c r="B7157" s="141" t="s">
        <v>340</v>
      </c>
      <c r="C7157" s="141" t="s">
        <v>7</v>
      </c>
    </row>
    <row r="7158" spans="1:3" x14ac:dyDescent="0.35">
      <c r="A7158" s="141" t="s">
        <v>564</v>
      </c>
      <c r="B7158" s="141" t="s">
        <v>340</v>
      </c>
      <c r="C7158" s="141" t="s">
        <v>7</v>
      </c>
    </row>
    <row r="7159" spans="1:3" x14ac:dyDescent="0.35">
      <c r="A7159" s="141" t="s">
        <v>565</v>
      </c>
      <c r="B7159" s="141" t="s">
        <v>340</v>
      </c>
      <c r="C7159" s="141" t="s">
        <v>7</v>
      </c>
    </row>
    <row r="7160" spans="1:3" x14ac:dyDescent="0.35">
      <c r="A7160" s="141" t="s">
        <v>385</v>
      </c>
      <c r="B7160" s="141" t="s">
        <v>340</v>
      </c>
      <c r="C7160" s="141" t="s">
        <v>7</v>
      </c>
    </row>
    <row r="7161" spans="1:3" x14ac:dyDescent="0.35">
      <c r="A7161" s="141" t="s">
        <v>386</v>
      </c>
      <c r="B7161" s="141" t="s">
        <v>340</v>
      </c>
      <c r="C7161" s="141" t="s">
        <v>7</v>
      </c>
    </row>
    <row r="7162" spans="1:3" x14ac:dyDescent="0.35">
      <c r="A7162" s="141" t="s">
        <v>977</v>
      </c>
      <c r="B7162" s="141" t="s">
        <v>340</v>
      </c>
      <c r="C7162" s="141" t="s">
        <v>52</v>
      </c>
    </row>
    <row r="7163" spans="1:3" x14ac:dyDescent="0.35">
      <c r="A7163" s="141" t="s">
        <v>305</v>
      </c>
      <c r="B7163" s="141" t="s">
        <v>340</v>
      </c>
      <c r="C7163" s="141" t="s">
        <v>21</v>
      </c>
    </row>
    <row r="7164" spans="1:3" x14ac:dyDescent="0.35">
      <c r="A7164" s="141" t="s">
        <v>931</v>
      </c>
      <c r="B7164" s="141" t="s">
        <v>340</v>
      </c>
      <c r="C7164" s="141" t="s">
        <v>36</v>
      </c>
    </row>
    <row r="7165" spans="1:3" x14ac:dyDescent="0.35">
      <c r="A7165" s="141" t="s">
        <v>914</v>
      </c>
      <c r="B7165" s="141" t="s">
        <v>340</v>
      </c>
      <c r="C7165" s="141" t="s">
        <v>33</v>
      </c>
    </row>
    <row r="7166" spans="1:3" x14ac:dyDescent="0.35">
      <c r="A7166" s="141" t="s">
        <v>352</v>
      </c>
      <c r="B7166" s="141" t="s">
        <v>340</v>
      </c>
      <c r="C7166" s="141" t="s">
        <v>2</v>
      </c>
    </row>
    <row r="7167" spans="1:3" x14ac:dyDescent="0.35">
      <c r="A7167" s="141" t="s">
        <v>354</v>
      </c>
      <c r="B7167" s="141" t="s">
        <v>340</v>
      </c>
      <c r="C7167" s="141" t="s">
        <v>2</v>
      </c>
    </row>
    <row r="7168" spans="1:3" x14ac:dyDescent="0.35">
      <c r="A7168" s="141" t="s">
        <v>989</v>
      </c>
      <c r="B7168" s="141" t="s">
        <v>340</v>
      </c>
      <c r="C7168" s="141" t="s">
        <v>42</v>
      </c>
    </row>
    <row r="7169" spans="1:3" x14ac:dyDescent="0.35">
      <c r="A7169" s="141" t="s">
        <v>807</v>
      </c>
      <c r="B7169" s="141" t="s">
        <v>340</v>
      </c>
      <c r="C7169" s="141" t="s">
        <v>3</v>
      </c>
    </row>
    <row r="7170" spans="1:3" x14ac:dyDescent="0.35">
      <c r="A7170" s="141" t="s">
        <v>290</v>
      </c>
      <c r="B7170" s="141" t="s">
        <v>340</v>
      </c>
      <c r="C7170" s="141" t="s">
        <v>23</v>
      </c>
    </row>
    <row r="7171" spans="1:3" x14ac:dyDescent="0.35">
      <c r="A7171" s="141" t="s">
        <v>848</v>
      </c>
      <c r="B7171" s="141" t="s">
        <v>340</v>
      </c>
      <c r="C7171" s="141" t="s">
        <v>22</v>
      </c>
    </row>
    <row r="7172" spans="1:3" x14ac:dyDescent="0.35">
      <c r="A7172" s="141" t="s">
        <v>849</v>
      </c>
      <c r="B7172" s="141" t="s">
        <v>340</v>
      </c>
      <c r="C7172" s="141" t="s">
        <v>22</v>
      </c>
    </row>
    <row r="7173" spans="1:3" x14ac:dyDescent="0.35">
      <c r="A7173" s="141" t="s">
        <v>850</v>
      </c>
      <c r="B7173" s="141" t="s">
        <v>340</v>
      </c>
      <c r="C7173" s="141" t="s">
        <v>22</v>
      </c>
    </row>
    <row r="7174" spans="1:3" x14ac:dyDescent="0.35">
      <c r="A7174" s="141" t="s">
        <v>887</v>
      </c>
      <c r="B7174" s="141" t="s">
        <v>340</v>
      </c>
      <c r="C7174" s="141" t="s">
        <v>24</v>
      </c>
    </row>
    <row r="7175" spans="1:3" x14ac:dyDescent="0.35">
      <c r="A7175" s="141" t="s">
        <v>888</v>
      </c>
      <c r="B7175" s="141" t="s">
        <v>340</v>
      </c>
      <c r="C7175" s="141" t="s">
        <v>24</v>
      </c>
    </row>
    <row r="7176" spans="1:3" x14ac:dyDescent="0.35">
      <c r="A7176" s="141" t="s">
        <v>889</v>
      </c>
      <c r="B7176" s="141" t="s">
        <v>340</v>
      </c>
      <c r="C7176" s="141" t="s">
        <v>24</v>
      </c>
    </row>
    <row r="7177" spans="1:3" x14ac:dyDescent="0.35">
      <c r="A7177" s="141" t="s">
        <v>890</v>
      </c>
      <c r="B7177" s="141" t="s">
        <v>340</v>
      </c>
      <c r="C7177" s="141" t="s">
        <v>24</v>
      </c>
    </row>
    <row r="7178" spans="1:3" x14ac:dyDescent="0.35">
      <c r="A7178" s="141" t="s">
        <v>891</v>
      </c>
      <c r="B7178" s="141" t="s">
        <v>340</v>
      </c>
      <c r="C7178" s="141" t="s">
        <v>24</v>
      </c>
    </row>
    <row r="7179" spans="1:3" x14ac:dyDescent="0.35">
      <c r="A7179" s="141" t="s">
        <v>294</v>
      </c>
      <c r="B7179" s="141" t="s">
        <v>340</v>
      </c>
      <c r="C7179" s="141" t="s">
        <v>21</v>
      </c>
    </row>
    <row r="7180" spans="1:3" x14ac:dyDescent="0.35">
      <c r="A7180" s="141" t="s">
        <v>1035</v>
      </c>
      <c r="B7180" s="141" t="s">
        <v>340</v>
      </c>
      <c r="C7180" s="141" t="s">
        <v>21</v>
      </c>
    </row>
    <row r="7181" spans="1:3" x14ac:dyDescent="0.35">
      <c r="A7181" s="141" t="s">
        <v>1036</v>
      </c>
      <c r="B7181" s="141" t="s">
        <v>340</v>
      </c>
      <c r="C7181" s="141" t="s">
        <v>24</v>
      </c>
    </row>
    <row r="7182" spans="1:3" x14ac:dyDescent="0.35">
      <c r="A7182" s="141" t="s">
        <v>1037</v>
      </c>
      <c r="B7182" s="141" t="s">
        <v>340</v>
      </c>
      <c r="C7182" s="141" t="s">
        <v>24</v>
      </c>
    </row>
    <row r="7183" spans="1:3" x14ac:dyDescent="0.35">
      <c r="A7183" s="141" t="s">
        <v>990</v>
      </c>
      <c r="B7183" s="141" t="s">
        <v>340</v>
      </c>
      <c r="C7183" s="141" t="s">
        <v>21</v>
      </c>
    </row>
    <row r="7184" spans="1:3" x14ac:dyDescent="0.35">
      <c r="A7184" s="141" t="s">
        <v>991</v>
      </c>
      <c r="B7184" s="141" t="s">
        <v>340</v>
      </c>
      <c r="C7184" s="141" t="s">
        <v>21</v>
      </c>
    </row>
    <row r="7185" spans="1:3" x14ac:dyDescent="0.35">
      <c r="A7185" s="141" t="s">
        <v>992</v>
      </c>
      <c r="B7185" s="141" t="s">
        <v>340</v>
      </c>
      <c r="C7185" s="141" t="s">
        <v>21</v>
      </c>
    </row>
    <row r="7186" spans="1:3" x14ac:dyDescent="0.35">
      <c r="A7186" s="141" t="s">
        <v>993</v>
      </c>
      <c r="B7186" s="141" t="s">
        <v>340</v>
      </c>
      <c r="C7186" s="141" t="s">
        <v>21</v>
      </c>
    </row>
    <row r="7187" spans="1:3" x14ac:dyDescent="0.35">
      <c r="A7187" s="141" t="s">
        <v>994</v>
      </c>
      <c r="B7187" s="141" t="s">
        <v>340</v>
      </c>
      <c r="C7187" s="141" t="s">
        <v>21</v>
      </c>
    </row>
    <row r="7188" spans="1:3" x14ac:dyDescent="0.35">
      <c r="A7188" s="141" t="s">
        <v>995</v>
      </c>
      <c r="B7188" s="141" t="s">
        <v>340</v>
      </c>
      <c r="C7188" s="141" t="s">
        <v>21</v>
      </c>
    </row>
    <row r="7189" spans="1:3" x14ac:dyDescent="0.35">
      <c r="A7189" s="141" t="s">
        <v>892</v>
      </c>
      <c r="B7189" s="141" t="s">
        <v>340</v>
      </c>
      <c r="C7189" s="141" t="s">
        <v>33</v>
      </c>
    </row>
    <row r="7190" spans="1:3" x14ac:dyDescent="0.35">
      <c r="A7190" s="141" t="s">
        <v>893</v>
      </c>
      <c r="B7190" s="141" t="s">
        <v>340</v>
      </c>
      <c r="C7190" s="141" t="s">
        <v>33</v>
      </c>
    </row>
    <row r="7191" spans="1:3" x14ac:dyDescent="0.35">
      <c r="A7191" s="141" t="s">
        <v>894</v>
      </c>
      <c r="B7191" s="141" t="s">
        <v>340</v>
      </c>
      <c r="C7191" s="141" t="s">
        <v>33</v>
      </c>
    </row>
    <row r="7192" spans="1:3" x14ac:dyDescent="0.35">
      <c r="A7192" s="141" t="s">
        <v>672</v>
      </c>
      <c r="B7192" s="141" t="s">
        <v>340</v>
      </c>
      <c r="C7192" s="141" t="s">
        <v>25</v>
      </c>
    </row>
    <row r="7193" spans="1:3" x14ac:dyDescent="0.35">
      <c r="A7193" s="141" t="s">
        <v>897</v>
      </c>
      <c r="B7193" s="141" t="s">
        <v>340</v>
      </c>
      <c r="C7193" s="141" t="s">
        <v>26</v>
      </c>
    </row>
    <row r="7194" spans="1:3" x14ac:dyDescent="0.35">
      <c r="A7194" s="141" t="s">
        <v>996</v>
      </c>
      <c r="B7194" s="141" t="s">
        <v>340</v>
      </c>
      <c r="C7194" s="141" t="s">
        <v>25</v>
      </c>
    </row>
    <row r="7195" spans="1:3" x14ac:dyDescent="0.35">
      <c r="A7195" s="141" t="s">
        <v>898</v>
      </c>
      <c r="B7195" s="141" t="s">
        <v>340</v>
      </c>
      <c r="C7195" s="141" t="s">
        <v>25</v>
      </c>
    </row>
    <row r="7196" spans="1:3" x14ac:dyDescent="0.35">
      <c r="A7196" s="141" t="s">
        <v>895</v>
      </c>
      <c r="B7196" s="141" t="s">
        <v>340</v>
      </c>
      <c r="C7196" s="141" t="s">
        <v>25</v>
      </c>
    </row>
    <row r="7197" spans="1:3" x14ac:dyDescent="0.35">
      <c r="A7197" s="141" t="s">
        <v>896</v>
      </c>
      <c r="B7197" s="141" t="s">
        <v>340</v>
      </c>
      <c r="C7197" s="141" t="s">
        <v>25</v>
      </c>
    </row>
    <row r="7198" spans="1:3" x14ac:dyDescent="0.35">
      <c r="A7198" s="141" t="s">
        <v>957</v>
      </c>
      <c r="B7198" s="141" t="s">
        <v>340</v>
      </c>
      <c r="C7198" s="141" t="s">
        <v>25</v>
      </c>
    </row>
    <row r="7199" spans="1:3" x14ac:dyDescent="0.35">
      <c r="A7199" s="141" t="s">
        <v>963</v>
      </c>
      <c r="B7199" s="141" t="s">
        <v>340</v>
      </c>
      <c r="C7199" s="141" t="s">
        <v>25</v>
      </c>
    </row>
    <row r="7200" spans="1:3" x14ac:dyDescent="0.35">
      <c r="A7200" s="141" t="s">
        <v>964</v>
      </c>
      <c r="B7200" s="141" t="s">
        <v>340</v>
      </c>
      <c r="C7200" s="141" t="s">
        <v>25</v>
      </c>
    </row>
    <row r="7201" spans="1:3" x14ac:dyDescent="0.35">
      <c r="A7201" s="141" t="s">
        <v>946</v>
      </c>
      <c r="B7201" s="141" t="s">
        <v>340</v>
      </c>
      <c r="C7201" s="141" t="s">
        <v>25</v>
      </c>
    </row>
    <row r="7202" spans="1:3" x14ac:dyDescent="0.35">
      <c r="A7202" s="141" t="s">
        <v>855</v>
      </c>
      <c r="B7202" s="141" t="s">
        <v>340</v>
      </c>
      <c r="C7202" s="141" t="s">
        <v>52</v>
      </c>
    </row>
    <row r="7203" spans="1:3" x14ac:dyDescent="0.35">
      <c r="A7203" s="141" t="s">
        <v>570</v>
      </c>
      <c r="B7203" s="141" t="s">
        <v>340</v>
      </c>
      <c r="C7203" s="141" t="s">
        <v>52</v>
      </c>
    </row>
    <row r="7204" spans="1:3" x14ac:dyDescent="0.35">
      <c r="A7204" s="141" t="s">
        <v>706</v>
      </c>
      <c r="B7204" s="141" t="s">
        <v>340</v>
      </c>
      <c r="C7204" s="141" t="s">
        <v>31</v>
      </c>
    </row>
    <row r="7205" spans="1:3" x14ac:dyDescent="0.35">
      <c r="A7205" s="141" t="s">
        <v>707</v>
      </c>
      <c r="B7205" s="141" t="s">
        <v>340</v>
      </c>
      <c r="C7205" s="141" t="s">
        <v>31</v>
      </c>
    </row>
    <row r="7206" spans="1:3" x14ac:dyDescent="0.35">
      <c r="A7206" s="141" t="s">
        <v>708</v>
      </c>
      <c r="B7206" s="141" t="s">
        <v>340</v>
      </c>
      <c r="C7206" s="141" t="s">
        <v>31</v>
      </c>
    </row>
    <row r="7207" spans="1:3" x14ac:dyDescent="0.35">
      <c r="A7207" s="141" t="s">
        <v>709</v>
      </c>
      <c r="B7207" s="141" t="s">
        <v>340</v>
      </c>
      <c r="C7207" s="141" t="s">
        <v>31</v>
      </c>
    </row>
    <row r="7208" spans="1:3" x14ac:dyDescent="0.35">
      <c r="A7208" s="141" t="s">
        <v>710</v>
      </c>
      <c r="B7208" s="141" t="s">
        <v>340</v>
      </c>
      <c r="C7208" s="141" t="s">
        <v>31</v>
      </c>
    </row>
    <row r="7209" spans="1:3" x14ac:dyDescent="0.35">
      <c r="A7209" s="141" t="s">
        <v>456</v>
      </c>
      <c r="B7209" s="141" t="s">
        <v>340</v>
      </c>
      <c r="C7209" s="141" t="s">
        <v>31</v>
      </c>
    </row>
    <row r="7210" spans="1:3" x14ac:dyDescent="0.35">
      <c r="A7210" s="141" t="s">
        <v>902</v>
      </c>
      <c r="B7210" s="141" t="s">
        <v>340</v>
      </c>
      <c r="C7210" s="141" t="s">
        <v>31</v>
      </c>
    </row>
    <row r="7211" spans="1:3" x14ac:dyDescent="0.35">
      <c r="A7211" s="141" t="s">
        <v>903</v>
      </c>
      <c r="B7211" s="141" t="s">
        <v>340</v>
      </c>
      <c r="C7211" s="141" t="s">
        <v>31</v>
      </c>
    </row>
    <row r="7212" spans="1:3" x14ac:dyDescent="0.35">
      <c r="A7212" s="141" t="s">
        <v>904</v>
      </c>
      <c r="B7212" s="141" t="s">
        <v>340</v>
      </c>
      <c r="C7212" s="141" t="s">
        <v>31</v>
      </c>
    </row>
    <row r="7213" spans="1:3" x14ac:dyDescent="0.35">
      <c r="A7213" s="141" t="s">
        <v>905</v>
      </c>
      <c r="B7213" s="141" t="s">
        <v>340</v>
      </c>
      <c r="C7213" s="141" t="s">
        <v>31</v>
      </c>
    </row>
    <row r="7214" spans="1:3" x14ac:dyDescent="0.35">
      <c r="A7214" s="141" t="s">
        <v>906</v>
      </c>
      <c r="B7214" s="141" t="s">
        <v>340</v>
      </c>
      <c r="C7214" s="141" t="s">
        <v>31</v>
      </c>
    </row>
    <row r="7215" spans="1:3" x14ac:dyDescent="0.35">
      <c r="A7215" s="141" t="s">
        <v>907</v>
      </c>
      <c r="B7215" s="141" t="s">
        <v>340</v>
      </c>
      <c r="C7215" s="141" t="s">
        <v>31</v>
      </c>
    </row>
    <row r="7216" spans="1:3" x14ac:dyDescent="0.35">
      <c r="A7216" s="141" t="s">
        <v>908</v>
      </c>
      <c r="B7216" s="141" t="s">
        <v>340</v>
      </c>
      <c r="C7216" s="141" t="s">
        <v>31</v>
      </c>
    </row>
    <row r="7217" spans="1:3" x14ac:dyDescent="0.35">
      <c r="A7217" s="141" t="s">
        <v>909</v>
      </c>
      <c r="B7217" s="141" t="s">
        <v>340</v>
      </c>
      <c r="C7217" s="141" t="s">
        <v>31</v>
      </c>
    </row>
    <row r="7218" spans="1:3" x14ac:dyDescent="0.35">
      <c r="A7218" s="141" t="s">
        <v>297</v>
      </c>
      <c r="B7218" s="141" t="s">
        <v>340</v>
      </c>
      <c r="C7218" s="141" t="s">
        <v>32</v>
      </c>
    </row>
    <row r="7219" spans="1:3" x14ac:dyDescent="0.35">
      <c r="A7219" s="141" t="s">
        <v>298</v>
      </c>
      <c r="B7219" s="141" t="s">
        <v>340</v>
      </c>
      <c r="C7219" s="141" t="s">
        <v>32</v>
      </c>
    </row>
    <row r="7220" spans="1:3" x14ac:dyDescent="0.35">
      <c r="A7220" s="141" t="s">
        <v>299</v>
      </c>
      <c r="B7220" s="141" t="s">
        <v>340</v>
      </c>
      <c r="C7220" s="141" t="s">
        <v>32</v>
      </c>
    </row>
    <row r="7221" spans="1:3" x14ac:dyDescent="0.35">
      <c r="A7221" s="141" t="s">
        <v>300</v>
      </c>
      <c r="B7221" s="141" t="s">
        <v>340</v>
      </c>
      <c r="C7221" s="141" t="s">
        <v>32</v>
      </c>
    </row>
    <row r="7222" spans="1:3" x14ac:dyDescent="0.35">
      <c r="A7222" s="141" t="s">
        <v>301</v>
      </c>
      <c r="B7222" s="141" t="s">
        <v>340</v>
      </c>
      <c r="C7222" s="141" t="s">
        <v>32</v>
      </c>
    </row>
    <row r="7223" spans="1:3" x14ac:dyDescent="0.35">
      <c r="A7223" s="141" t="s">
        <v>302</v>
      </c>
      <c r="B7223" s="141" t="s">
        <v>340</v>
      </c>
      <c r="C7223" s="141" t="s">
        <v>32</v>
      </c>
    </row>
    <row r="7224" spans="1:3" x14ac:dyDescent="0.35">
      <c r="A7224" s="141" t="s">
        <v>997</v>
      </c>
      <c r="B7224" s="141" t="s">
        <v>340</v>
      </c>
      <c r="C7224" s="141" t="s">
        <v>32</v>
      </c>
    </row>
    <row r="7225" spans="1:3" x14ac:dyDescent="0.35">
      <c r="A7225" s="141" t="s">
        <v>932</v>
      </c>
      <c r="B7225" s="141" t="s">
        <v>340</v>
      </c>
      <c r="C7225" s="141" t="s">
        <v>49</v>
      </c>
    </row>
    <row r="7226" spans="1:3" x14ac:dyDescent="0.35">
      <c r="A7226" s="141" t="s">
        <v>940</v>
      </c>
      <c r="B7226" s="141" t="s">
        <v>340</v>
      </c>
      <c r="C7226" s="141" t="s">
        <v>49</v>
      </c>
    </row>
    <row r="7227" spans="1:3" x14ac:dyDescent="0.35">
      <c r="A7227" s="141" t="s">
        <v>941</v>
      </c>
      <c r="B7227" s="141" t="s">
        <v>340</v>
      </c>
      <c r="C7227" s="141" t="s">
        <v>49</v>
      </c>
    </row>
    <row r="7228" spans="1:3" x14ac:dyDescent="0.35">
      <c r="A7228" s="141" t="s">
        <v>933</v>
      </c>
      <c r="B7228" s="141" t="s">
        <v>340</v>
      </c>
      <c r="C7228" s="141" t="s">
        <v>32</v>
      </c>
    </row>
    <row r="7229" spans="1:3" x14ac:dyDescent="0.35">
      <c r="A7229" s="141" t="s">
        <v>935</v>
      </c>
      <c r="B7229" s="141" t="s">
        <v>340</v>
      </c>
      <c r="C7229" s="141" t="s">
        <v>32</v>
      </c>
    </row>
    <row r="7230" spans="1:3" x14ac:dyDescent="0.35">
      <c r="A7230" s="141" t="s">
        <v>937</v>
      </c>
      <c r="B7230" s="141" t="s">
        <v>340</v>
      </c>
      <c r="C7230" s="141" t="s">
        <v>32</v>
      </c>
    </row>
    <row r="7231" spans="1:3" x14ac:dyDescent="0.35">
      <c r="A7231" s="141" t="s">
        <v>938</v>
      </c>
      <c r="B7231" s="141" t="s">
        <v>340</v>
      </c>
      <c r="C7231" s="141" t="s">
        <v>32</v>
      </c>
    </row>
    <row r="7232" spans="1:3" x14ac:dyDescent="0.35">
      <c r="A7232" s="141" t="s">
        <v>939</v>
      </c>
      <c r="B7232" s="141" t="s">
        <v>340</v>
      </c>
      <c r="C7232" s="141" t="s">
        <v>32</v>
      </c>
    </row>
    <row r="7233" spans="1:3" x14ac:dyDescent="0.35">
      <c r="A7233" s="141" t="s">
        <v>942</v>
      </c>
      <c r="B7233" s="141" t="s">
        <v>340</v>
      </c>
      <c r="C7233" s="141" t="s">
        <v>32</v>
      </c>
    </row>
    <row r="7234" spans="1:3" x14ac:dyDescent="0.35">
      <c r="A7234" s="141" t="s">
        <v>943</v>
      </c>
      <c r="B7234" s="141" t="s">
        <v>340</v>
      </c>
      <c r="C7234" s="141" t="s">
        <v>32</v>
      </c>
    </row>
    <row r="7235" spans="1:3" x14ac:dyDescent="0.35">
      <c r="A7235" s="141" t="s">
        <v>944</v>
      </c>
      <c r="B7235" s="141" t="s">
        <v>340</v>
      </c>
      <c r="C7235" s="141" t="s">
        <v>32</v>
      </c>
    </row>
    <row r="7236" spans="1:3" x14ac:dyDescent="0.35">
      <c r="A7236" s="141" t="s">
        <v>934</v>
      </c>
      <c r="B7236" s="141" t="s">
        <v>340</v>
      </c>
      <c r="C7236" s="141" t="s">
        <v>32</v>
      </c>
    </row>
    <row r="7237" spans="1:3" x14ac:dyDescent="0.35">
      <c r="A7237" s="141" t="s">
        <v>936</v>
      </c>
      <c r="B7237" s="141" t="s">
        <v>340</v>
      </c>
      <c r="C7237" s="141" t="s">
        <v>32</v>
      </c>
    </row>
    <row r="7238" spans="1:3" x14ac:dyDescent="0.35">
      <c r="A7238" s="141" t="s">
        <v>945</v>
      </c>
      <c r="B7238" s="141" t="s">
        <v>340</v>
      </c>
      <c r="C7238" s="141" t="s">
        <v>32</v>
      </c>
    </row>
    <row r="7239" spans="1:3" x14ac:dyDescent="0.35">
      <c r="A7239" s="141" t="s">
        <v>861</v>
      </c>
      <c r="B7239" s="141" t="s">
        <v>340</v>
      </c>
      <c r="C7239" s="141" t="s">
        <v>33</v>
      </c>
    </row>
    <row r="7240" spans="1:3" x14ac:dyDescent="0.35">
      <c r="A7240" s="141" t="s">
        <v>862</v>
      </c>
      <c r="B7240" s="141" t="s">
        <v>340</v>
      </c>
      <c r="C7240" s="141" t="s">
        <v>33</v>
      </c>
    </row>
    <row r="7241" spans="1:3" x14ac:dyDescent="0.35">
      <c r="A7241" s="141" t="s">
        <v>516</v>
      </c>
      <c r="B7241" s="141" t="s">
        <v>340</v>
      </c>
      <c r="C7241" s="141" t="s">
        <v>33</v>
      </c>
    </row>
    <row r="7242" spans="1:3" x14ac:dyDescent="0.35">
      <c r="A7242" s="141" t="s">
        <v>955</v>
      </c>
      <c r="B7242" s="141" t="s">
        <v>340</v>
      </c>
      <c r="C7242" s="141" t="s">
        <v>33</v>
      </c>
    </row>
    <row r="7243" spans="1:3" x14ac:dyDescent="0.35">
      <c r="A7243" s="141" t="s">
        <v>956</v>
      </c>
      <c r="B7243" s="141" t="s">
        <v>340</v>
      </c>
      <c r="C7243" s="141" t="s">
        <v>33</v>
      </c>
    </row>
    <row r="7244" spans="1:3" x14ac:dyDescent="0.35">
      <c r="A7244" s="141" t="s">
        <v>910</v>
      </c>
      <c r="B7244" s="141" t="s">
        <v>340</v>
      </c>
      <c r="C7244" s="141" t="s">
        <v>33</v>
      </c>
    </row>
    <row r="7245" spans="1:3" x14ac:dyDescent="0.35">
      <c r="A7245" s="141" t="s">
        <v>911</v>
      </c>
      <c r="B7245" s="141" t="s">
        <v>340</v>
      </c>
      <c r="C7245" s="141" t="s">
        <v>33</v>
      </c>
    </row>
    <row r="7246" spans="1:3" x14ac:dyDescent="0.35">
      <c r="A7246" s="141" t="s">
        <v>912</v>
      </c>
      <c r="B7246" s="141" t="s">
        <v>340</v>
      </c>
      <c r="C7246" s="141" t="s">
        <v>33</v>
      </c>
    </row>
    <row r="7247" spans="1:3" x14ac:dyDescent="0.35">
      <c r="A7247" s="141" t="s">
        <v>998</v>
      </c>
      <c r="B7247" s="141" t="s">
        <v>340</v>
      </c>
      <c r="C7247" s="141" t="s">
        <v>28</v>
      </c>
    </row>
    <row r="7248" spans="1:3" x14ac:dyDescent="0.35">
      <c r="A7248" s="141" t="s">
        <v>929</v>
      </c>
      <c r="B7248" s="141" t="s">
        <v>340</v>
      </c>
      <c r="C7248" s="141" t="s">
        <v>28</v>
      </c>
    </row>
    <row r="7249" spans="1:3" x14ac:dyDescent="0.35">
      <c r="A7249" s="141" t="s">
        <v>863</v>
      </c>
      <c r="B7249" s="141" t="s">
        <v>340</v>
      </c>
      <c r="C7249" s="141" t="s">
        <v>30</v>
      </c>
    </row>
    <row r="7250" spans="1:3" x14ac:dyDescent="0.35">
      <c r="A7250" s="141" t="s">
        <v>864</v>
      </c>
      <c r="B7250" s="141" t="s">
        <v>340</v>
      </c>
      <c r="C7250" s="141" t="s">
        <v>30</v>
      </c>
    </row>
    <row r="7251" spans="1:3" x14ac:dyDescent="0.35">
      <c r="A7251" s="141" t="s">
        <v>865</v>
      </c>
      <c r="B7251" s="141" t="s">
        <v>340</v>
      </c>
      <c r="C7251" s="141" t="s">
        <v>34</v>
      </c>
    </row>
    <row r="7252" spans="1:3" x14ac:dyDescent="0.35">
      <c r="A7252" s="141" t="s">
        <v>866</v>
      </c>
      <c r="B7252" s="141" t="s">
        <v>340</v>
      </c>
      <c r="C7252" s="141" t="s">
        <v>34</v>
      </c>
    </row>
    <row r="7253" spans="1:3" x14ac:dyDescent="0.35">
      <c r="A7253" s="141" t="s">
        <v>784</v>
      </c>
      <c r="B7253" s="141" t="s">
        <v>340</v>
      </c>
      <c r="C7253" s="141" t="s">
        <v>30</v>
      </c>
    </row>
    <row r="7254" spans="1:3" x14ac:dyDescent="0.35">
      <c r="A7254" s="141" t="s">
        <v>867</v>
      </c>
      <c r="B7254" s="141" t="s">
        <v>340</v>
      </c>
      <c r="C7254" s="141" t="s">
        <v>30</v>
      </c>
    </row>
    <row r="7255" spans="1:3" x14ac:dyDescent="0.35">
      <c r="A7255" s="141" t="s">
        <v>525</v>
      </c>
      <c r="B7255" s="141" t="s">
        <v>340</v>
      </c>
      <c r="C7255" s="141" t="s">
        <v>46</v>
      </c>
    </row>
    <row r="7256" spans="1:3" x14ac:dyDescent="0.35">
      <c r="A7256" s="141" t="s">
        <v>1001</v>
      </c>
      <c r="B7256" s="141" t="s">
        <v>340</v>
      </c>
      <c r="C7256" s="141" t="s">
        <v>32</v>
      </c>
    </row>
    <row r="7257" spans="1:3" x14ac:dyDescent="0.35">
      <c r="A7257" s="141" t="s">
        <v>870</v>
      </c>
      <c r="B7257" s="141" t="s">
        <v>340</v>
      </c>
      <c r="C7257" s="141" t="s">
        <v>32</v>
      </c>
    </row>
    <row r="7258" spans="1:3" x14ac:dyDescent="0.35">
      <c r="A7258" s="141" t="s">
        <v>958</v>
      </c>
      <c r="B7258" s="141" t="s">
        <v>340</v>
      </c>
      <c r="C7258" s="141" t="s">
        <v>25</v>
      </c>
    </row>
    <row r="7259" spans="1:3" x14ac:dyDescent="0.35">
      <c r="A7259" s="141" t="s">
        <v>1038</v>
      </c>
      <c r="B7259" s="141" t="s">
        <v>340</v>
      </c>
      <c r="C7259" s="141" t="s">
        <v>48</v>
      </c>
    </row>
    <row r="7260" spans="1:3" x14ac:dyDescent="0.35">
      <c r="A7260" s="141" t="s">
        <v>308</v>
      </c>
      <c r="B7260" s="141" t="s">
        <v>340</v>
      </c>
      <c r="C7260" s="141" t="s">
        <v>53</v>
      </c>
    </row>
    <row r="7261" spans="1:3" x14ac:dyDescent="0.35">
      <c r="A7261" s="141" t="s">
        <v>309</v>
      </c>
      <c r="B7261" s="141" t="s">
        <v>340</v>
      </c>
      <c r="C7261" s="141" t="s">
        <v>53</v>
      </c>
    </row>
    <row r="7262" spans="1:3" x14ac:dyDescent="0.35">
      <c r="A7262" s="141" t="s">
        <v>311</v>
      </c>
      <c r="B7262" s="141" t="s">
        <v>340</v>
      </c>
      <c r="C7262" s="141" t="s">
        <v>53</v>
      </c>
    </row>
    <row r="7263" spans="1:3" x14ac:dyDescent="0.35">
      <c r="A7263" s="141" t="s">
        <v>534</v>
      </c>
      <c r="B7263" s="141" t="s">
        <v>340</v>
      </c>
      <c r="C7263" s="141" t="s">
        <v>53</v>
      </c>
    </row>
    <row r="7264" spans="1:3" x14ac:dyDescent="0.35">
      <c r="A7264" s="141" t="s">
        <v>312</v>
      </c>
      <c r="B7264" s="141" t="s">
        <v>340</v>
      </c>
      <c r="C7264" s="141" t="s">
        <v>53</v>
      </c>
    </row>
    <row r="7265" spans="1:3" x14ac:dyDescent="0.35">
      <c r="A7265" s="141" t="s">
        <v>965</v>
      </c>
      <c r="B7265" s="141" t="s">
        <v>340</v>
      </c>
      <c r="C7265" s="141" t="s">
        <v>52</v>
      </c>
    </row>
    <row r="7266" spans="1:3" x14ac:dyDescent="0.35">
      <c r="A7266" s="141" t="s">
        <v>1002</v>
      </c>
      <c r="B7266" s="141" t="s">
        <v>340</v>
      </c>
      <c r="C7266" s="141" t="s">
        <v>25</v>
      </c>
    </row>
    <row r="7267" spans="1:3" x14ac:dyDescent="0.35">
      <c r="A7267" s="141" t="s">
        <v>959</v>
      </c>
      <c r="B7267" s="141" t="s">
        <v>340</v>
      </c>
      <c r="C7267" s="141" t="s">
        <v>53</v>
      </c>
    </row>
    <row r="7268" spans="1:3" x14ac:dyDescent="0.35">
      <c r="A7268" s="141" t="s">
        <v>960</v>
      </c>
      <c r="B7268" s="141" t="s">
        <v>340</v>
      </c>
      <c r="C7268" s="141" t="s">
        <v>52</v>
      </c>
    </row>
    <row r="7269" spans="1:3" x14ac:dyDescent="0.35">
      <c r="A7269" s="141" t="s">
        <v>873</v>
      </c>
      <c r="B7269" s="141" t="s">
        <v>340</v>
      </c>
      <c r="C7269" s="141" t="s">
        <v>52</v>
      </c>
    </row>
    <row r="7270" spans="1:3" x14ac:dyDescent="0.35">
      <c r="A7270" s="141" t="s">
        <v>874</v>
      </c>
      <c r="B7270" s="141" t="s">
        <v>340</v>
      </c>
      <c r="C7270" s="141" t="s">
        <v>52</v>
      </c>
    </row>
    <row r="7271" spans="1:3" x14ac:dyDescent="0.35">
      <c r="A7271" s="141" t="s">
        <v>1003</v>
      </c>
      <c r="B7271" s="141" t="s">
        <v>340</v>
      </c>
      <c r="C7271" s="141" t="s">
        <v>52</v>
      </c>
    </row>
    <row r="7272" spans="1:3" x14ac:dyDescent="0.35">
      <c r="A7272" s="141" t="s">
        <v>875</v>
      </c>
      <c r="B7272" s="141" t="s">
        <v>340</v>
      </c>
      <c r="C7272" s="141" t="s">
        <v>52</v>
      </c>
    </row>
    <row r="7273" spans="1:3" x14ac:dyDescent="0.35">
      <c r="A7273" s="141" t="s">
        <v>876</v>
      </c>
      <c r="B7273" s="141" t="s">
        <v>340</v>
      </c>
      <c r="C7273" s="141" t="s">
        <v>52</v>
      </c>
    </row>
    <row r="7274" spans="1:3" x14ac:dyDescent="0.35">
      <c r="A7274" s="141" t="s">
        <v>877</v>
      </c>
      <c r="B7274" s="141" t="s">
        <v>340</v>
      </c>
      <c r="C7274" s="141" t="s">
        <v>52</v>
      </c>
    </row>
    <row r="7275" spans="1:3" x14ac:dyDescent="0.35">
      <c r="A7275" s="141" t="s">
        <v>878</v>
      </c>
      <c r="B7275" s="141" t="s">
        <v>340</v>
      </c>
      <c r="C7275" s="141" t="s">
        <v>52</v>
      </c>
    </row>
    <row r="7276" spans="1:3" x14ac:dyDescent="0.35">
      <c r="A7276" s="141" t="s">
        <v>539</v>
      </c>
      <c r="B7276" s="141" t="s">
        <v>340</v>
      </c>
      <c r="C7276" s="141" t="s">
        <v>52</v>
      </c>
    </row>
    <row r="7277" spans="1:3" x14ac:dyDescent="0.35">
      <c r="A7277" s="141" t="s">
        <v>540</v>
      </c>
      <c r="B7277" s="141" t="s">
        <v>340</v>
      </c>
      <c r="C7277" s="141" t="s">
        <v>52</v>
      </c>
    </row>
    <row r="7278" spans="1:3" x14ac:dyDescent="0.35">
      <c r="A7278" s="141" t="s">
        <v>812</v>
      </c>
      <c r="B7278" s="141" t="s">
        <v>340</v>
      </c>
      <c r="C7278" s="141" t="s">
        <v>52</v>
      </c>
    </row>
    <row r="7279" spans="1:3" x14ac:dyDescent="0.35">
      <c r="A7279" s="141" t="s">
        <v>803</v>
      </c>
      <c r="B7279" s="141" t="s">
        <v>340</v>
      </c>
      <c r="C7279" s="141" t="s">
        <v>52</v>
      </c>
    </row>
    <row r="7280" spans="1:3" x14ac:dyDescent="0.35">
      <c r="A7280" s="141" t="s">
        <v>966</v>
      </c>
      <c r="B7280" s="141" t="s">
        <v>340</v>
      </c>
      <c r="C7280" s="141" t="s">
        <v>53</v>
      </c>
    </row>
    <row r="7281" spans="1:3" x14ac:dyDescent="0.35">
      <c r="A7281" s="141" t="s">
        <v>967</v>
      </c>
      <c r="B7281" s="141" t="s">
        <v>340</v>
      </c>
      <c r="C7281" s="141" t="s">
        <v>53</v>
      </c>
    </row>
    <row r="7282" spans="1:3" x14ac:dyDescent="0.35">
      <c r="A7282" s="141" t="s">
        <v>968</v>
      </c>
      <c r="B7282" s="141" t="s">
        <v>340</v>
      </c>
      <c r="C7282" s="141" t="s">
        <v>53</v>
      </c>
    </row>
    <row r="7283" spans="1:3" x14ac:dyDescent="0.35">
      <c r="A7283" s="141" t="s">
        <v>969</v>
      </c>
      <c r="B7283" s="141" t="s">
        <v>340</v>
      </c>
      <c r="C7283" s="141" t="s">
        <v>53</v>
      </c>
    </row>
    <row r="7284" spans="1:3" x14ac:dyDescent="0.35">
      <c r="A7284" s="141" t="s">
        <v>970</v>
      </c>
      <c r="B7284" s="141" t="s">
        <v>340</v>
      </c>
      <c r="C7284" s="141" t="s">
        <v>53</v>
      </c>
    </row>
    <row r="7285" spans="1:3" x14ac:dyDescent="0.35">
      <c r="A7285" s="141" t="s">
        <v>804</v>
      </c>
      <c r="B7285" s="141" t="s">
        <v>340</v>
      </c>
      <c r="C7285" s="141" t="s">
        <v>53</v>
      </c>
    </row>
    <row r="7286" spans="1:3" x14ac:dyDescent="0.35">
      <c r="A7286" s="141" t="s">
        <v>805</v>
      </c>
      <c r="B7286" s="141" t="s">
        <v>340</v>
      </c>
      <c r="C7286" s="141" t="s">
        <v>52</v>
      </c>
    </row>
    <row r="7287" spans="1:3" x14ac:dyDescent="0.35">
      <c r="A7287" s="141" t="s">
        <v>879</v>
      </c>
      <c r="B7287" s="141" t="s">
        <v>340</v>
      </c>
      <c r="C7287" s="141" t="s">
        <v>52</v>
      </c>
    </row>
    <row r="7288" spans="1:3" x14ac:dyDescent="0.35">
      <c r="A7288" s="141" t="s">
        <v>880</v>
      </c>
      <c r="B7288" s="141" t="s">
        <v>340</v>
      </c>
      <c r="C7288" s="141" t="s">
        <v>52</v>
      </c>
    </row>
    <row r="7289" spans="1:3" x14ac:dyDescent="0.35">
      <c r="A7289" s="141" t="s">
        <v>314</v>
      </c>
      <c r="B7289" s="141" t="s">
        <v>340</v>
      </c>
      <c r="C7289" s="141" t="s">
        <v>16</v>
      </c>
    </row>
    <row r="7290" spans="1:3" x14ac:dyDescent="0.35">
      <c r="A7290" s="141" t="s">
        <v>316</v>
      </c>
      <c r="B7290" s="141" t="s">
        <v>340</v>
      </c>
      <c r="C7290" s="141" t="s">
        <v>16</v>
      </c>
    </row>
    <row r="7291" spans="1:3" x14ac:dyDescent="0.35">
      <c r="A7291" s="141" t="s">
        <v>317</v>
      </c>
      <c r="B7291" s="141" t="s">
        <v>340</v>
      </c>
      <c r="C7291" s="141" t="s">
        <v>16</v>
      </c>
    </row>
    <row r="7292" spans="1:3" x14ac:dyDescent="0.35">
      <c r="A7292" s="141" t="s">
        <v>318</v>
      </c>
      <c r="B7292" s="141" t="s">
        <v>340</v>
      </c>
      <c r="C7292" s="141" t="s">
        <v>16</v>
      </c>
    </row>
    <row r="7293" spans="1:3" x14ac:dyDescent="0.35">
      <c r="A7293" s="141" t="s">
        <v>319</v>
      </c>
      <c r="B7293" s="141" t="s">
        <v>340</v>
      </c>
      <c r="C7293" s="141" t="s">
        <v>16</v>
      </c>
    </row>
    <row r="7294" spans="1:3" x14ac:dyDescent="0.35">
      <c r="A7294" s="141" t="s">
        <v>320</v>
      </c>
      <c r="B7294" s="141" t="s">
        <v>340</v>
      </c>
      <c r="C7294" s="141" t="s">
        <v>16</v>
      </c>
    </row>
    <row r="7295" spans="1:3" x14ac:dyDescent="0.35">
      <c r="A7295" s="141" t="s">
        <v>321</v>
      </c>
      <c r="B7295" s="141" t="s">
        <v>340</v>
      </c>
      <c r="C7295" s="141" t="s">
        <v>16</v>
      </c>
    </row>
    <row r="7296" spans="1:3" x14ac:dyDescent="0.35">
      <c r="A7296" s="141" t="s">
        <v>322</v>
      </c>
      <c r="B7296" s="141" t="s">
        <v>340</v>
      </c>
      <c r="C7296" s="141" t="s">
        <v>16</v>
      </c>
    </row>
    <row r="7297" spans="1:3" x14ac:dyDescent="0.35">
      <c r="A7297" s="141" t="s">
        <v>323</v>
      </c>
      <c r="B7297" s="141" t="s">
        <v>340</v>
      </c>
      <c r="C7297" s="141" t="s">
        <v>16</v>
      </c>
    </row>
    <row r="7298" spans="1:3" x14ac:dyDescent="0.35">
      <c r="A7298" s="141" t="s">
        <v>324</v>
      </c>
      <c r="B7298" s="141" t="s">
        <v>340</v>
      </c>
      <c r="C7298" s="141" t="s">
        <v>16</v>
      </c>
    </row>
    <row r="7299" spans="1:3" x14ac:dyDescent="0.35">
      <c r="A7299" s="141" t="s">
        <v>325</v>
      </c>
      <c r="B7299" s="141" t="s">
        <v>340</v>
      </c>
      <c r="C7299" s="141" t="s">
        <v>16</v>
      </c>
    </row>
    <row r="7300" spans="1:3" x14ac:dyDescent="0.35">
      <c r="A7300" s="141" t="s">
        <v>326</v>
      </c>
      <c r="B7300" s="141" t="s">
        <v>340</v>
      </c>
      <c r="C7300" s="141" t="s">
        <v>16</v>
      </c>
    </row>
    <row r="7301" spans="1:3" x14ac:dyDescent="0.35">
      <c r="A7301" s="141" t="s">
        <v>971</v>
      </c>
      <c r="B7301" s="141" t="s">
        <v>340</v>
      </c>
      <c r="C7301" s="141" t="s">
        <v>16</v>
      </c>
    </row>
    <row r="7302" spans="1:3" x14ac:dyDescent="0.35">
      <c r="A7302" s="141" t="s">
        <v>327</v>
      </c>
      <c r="B7302" s="141" t="s">
        <v>340</v>
      </c>
      <c r="C7302" s="141" t="s">
        <v>16</v>
      </c>
    </row>
    <row r="7303" spans="1:3" x14ac:dyDescent="0.35">
      <c r="A7303" s="141" t="s">
        <v>972</v>
      </c>
      <c r="B7303" s="141" t="s">
        <v>340</v>
      </c>
      <c r="C7303" s="141" t="s">
        <v>16</v>
      </c>
    </row>
    <row r="7304" spans="1:3" x14ac:dyDescent="0.35">
      <c r="A7304" s="141" t="s">
        <v>328</v>
      </c>
      <c r="B7304" s="141" t="s">
        <v>340</v>
      </c>
      <c r="C7304" s="141" t="s">
        <v>16</v>
      </c>
    </row>
    <row r="7305" spans="1:3" x14ac:dyDescent="0.35">
      <c r="A7305" s="141" t="s">
        <v>1004</v>
      </c>
      <c r="B7305" s="141" t="s">
        <v>340</v>
      </c>
      <c r="C7305" s="141" t="s">
        <v>16</v>
      </c>
    </row>
    <row r="7306" spans="1:3" x14ac:dyDescent="0.35">
      <c r="A7306" s="141" t="s">
        <v>331</v>
      </c>
      <c r="B7306" s="141" t="s">
        <v>340</v>
      </c>
      <c r="C7306" s="141" t="s">
        <v>16</v>
      </c>
    </row>
    <row r="7307" spans="1:3" x14ac:dyDescent="0.35">
      <c r="A7307" s="141" t="s">
        <v>332</v>
      </c>
      <c r="B7307" s="141" t="s">
        <v>340</v>
      </c>
      <c r="C7307" s="141" t="s">
        <v>16</v>
      </c>
    </row>
    <row r="7308" spans="1:3" x14ac:dyDescent="0.35">
      <c r="A7308" s="141" t="s">
        <v>333</v>
      </c>
      <c r="B7308" s="141" t="s">
        <v>340</v>
      </c>
      <c r="C7308" s="141" t="s">
        <v>16</v>
      </c>
    </row>
    <row r="7309" spans="1:3" x14ac:dyDescent="0.35">
      <c r="A7309" s="141" t="s">
        <v>1005</v>
      </c>
      <c r="B7309" s="141" t="s">
        <v>340</v>
      </c>
      <c r="C7309" s="141" t="s">
        <v>16</v>
      </c>
    </row>
    <row r="7310" spans="1:3" x14ac:dyDescent="0.35">
      <c r="A7310" s="141" t="s">
        <v>1039</v>
      </c>
      <c r="B7310" s="141" t="s">
        <v>340</v>
      </c>
      <c r="C7310" s="141" t="s">
        <v>16</v>
      </c>
    </row>
    <row r="7311" spans="1:3" x14ac:dyDescent="0.35">
      <c r="A7311" s="141" t="s">
        <v>974</v>
      </c>
      <c r="B7311" s="141" t="s">
        <v>340</v>
      </c>
      <c r="C7311" s="141" t="s">
        <v>16</v>
      </c>
    </row>
    <row r="7312" spans="1:3" x14ac:dyDescent="0.35">
      <c r="A7312" s="141" t="s">
        <v>330</v>
      </c>
      <c r="B7312" s="141" t="s">
        <v>340</v>
      </c>
      <c r="C7312" s="141" t="s">
        <v>16</v>
      </c>
    </row>
    <row r="7313" spans="1:3" x14ac:dyDescent="0.35">
      <c r="A7313" s="141" t="s">
        <v>531</v>
      </c>
      <c r="B7313" s="141" t="s">
        <v>340</v>
      </c>
      <c r="C7313" s="141" t="s">
        <v>51</v>
      </c>
    </row>
    <row r="7314" spans="1:3" x14ac:dyDescent="0.35">
      <c r="A7314" s="141" t="s">
        <v>741</v>
      </c>
      <c r="B7314" s="141" t="s">
        <v>340</v>
      </c>
      <c r="C7314" s="141" t="s">
        <v>51</v>
      </c>
    </row>
    <row r="7315" spans="1:3" x14ac:dyDescent="0.35">
      <c r="A7315" s="141" t="s">
        <v>742</v>
      </c>
      <c r="B7315" s="141" t="s">
        <v>340</v>
      </c>
      <c r="C7315" s="141" t="s">
        <v>51</v>
      </c>
    </row>
    <row r="7316" spans="1:3" x14ac:dyDescent="0.35">
      <c r="A7316" s="141" t="s">
        <v>743</v>
      </c>
      <c r="B7316" s="141" t="s">
        <v>340</v>
      </c>
      <c r="C7316" s="141" t="s">
        <v>51</v>
      </c>
    </row>
    <row r="7317" spans="1:3" x14ac:dyDescent="0.35">
      <c r="A7317" s="141" t="s">
        <v>747</v>
      </c>
      <c r="B7317" s="141" t="s">
        <v>340</v>
      </c>
      <c r="C7317" s="141" t="s">
        <v>51</v>
      </c>
    </row>
    <row r="7318" spans="1:3" x14ac:dyDescent="0.35">
      <c r="A7318" s="141" t="s">
        <v>748</v>
      </c>
      <c r="B7318" s="141" t="s">
        <v>340</v>
      </c>
      <c r="C7318" s="141" t="s">
        <v>51</v>
      </c>
    </row>
    <row r="7319" spans="1:3" x14ac:dyDescent="0.35">
      <c r="A7319" s="141" t="s">
        <v>533</v>
      </c>
      <c r="B7319" s="141" t="s">
        <v>340</v>
      </c>
      <c r="C7319" s="141" t="s">
        <v>50</v>
      </c>
    </row>
    <row r="7320" spans="1:3" x14ac:dyDescent="0.35">
      <c r="A7320" s="141" t="s">
        <v>954</v>
      </c>
      <c r="B7320" s="141" t="s">
        <v>340</v>
      </c>
      <c r="C7320" s="141" t="s">
        <v>35</v>
      </c>
    </row>
    <row r="7321" spans="1:3" x14ac:dyDescent="0.35">
      <c r="A7321" s="141" t="s">
        <v>1040</v>
      </c>
      <c r="B7321" s="141" t="s">
        <v>340</v>
      </c>
      <c r="C7321" s="141" t="s">
        <v>35</v>
      </c>
    </row>
    <row r="7322" spans="1:3" x14ac:dyDescent="0.35">
      <c r="A7322" s="141" t="s">
        <v>740</v>
      </c>
      <c r="B7322" s="141" t="s">
        <v>340</v>
      </c>
      <c r="C7322" s="141" t="s">
        <v>33</v>
      </c>
    </row>
    <row r="7323" spans="1:3" x14ac:dyDescent="0.35">
      <c r="A7323" s="141" t="s">
        <v>1029</v>
      </c>
      <c r="B7323" s="141" t="s">
        <v>340</v>
      </c>
      <c r="C7323" s="141" t="s">
        <v>21</v>
      </c>
    </row>
    <row r="7324" spans="1:3" x14ac:dyDescent="0.35">
      <c r="A7324" s="141" t="s">
        <v>1030</v>
      </c>
      <c r="B7324" s="141" t="s">
        <v>340</v>
      </c>
      <c r="C7324" s="141" t="s">
        <v>21</v>
      </c>
    </row>
    <row r="7325" spans="1:3" x14ac:dyDescent="0.35">
      <c r="A7325" s="141" t="s">
        <v>601</v>
      </c>
      <c r="B7325" s="141" t="s">
        <v>340</v>
      </c>
      <c r="C7325" s="141" t="s">
        <v>40</v>
      </c>
    </row>
    <row r="7326" spans="1:3" x14ac:dyDescent="0.35">
      <c r="A7326" s="141" t="s">
        <v>602</v>
      </c>
      <c r="B7326" s="141" t="s">
        <v>340</v>
      </c>
      <c r="C7326" s="141" t="s">
        <v>39</v>
      </c>
    </row>
    <row r="7327" spans="1:3" x14ac:dyDescent="0.35">
      <c r="A7327" s="141" t="s">
        <v>1006</v>
      </c>
      <c r="B7327" s="141" t="s">
        <v>340</v>
      </c>
      <c r="C7327" s="141" t="s">
        <v>41</v>
      </c>
    </row>
    <row r="7328" spans="1:3" x14ac:dyDescent="0.35">
      <c r="A7328" s="141" t="s">
        <v>737</v>
      </c>
      <c r="B7328" s="141" t="s">
        <v>340</v>
      </c>
      <c r="C7328" s="141" t="s">
        <v>41</v>
      </c>
    </row>
    <row r="7329" spans="1:3" x14ac:dyDescent="0.35">
      <c r="A7329" s="141" t="s">
        <v>738</v>
      </c>
      <c r="B7329" s="141" t="s">
        <v>340</v>
      </c>
      <c r="C7329" s="141" t="s">
        <v>41</v>
      </c>
    </row>
    <row r="7330" spans="1:3" x14ac:dyDescent="0.35">
      <c r="A7330" s="141" t="s">
        <v>797</v>
      </c>
      <c r="B7330" s="141" t="s">
        <v>340</v>
      </c>
      <c r="C7330" s="141" t="s">
        <v>41</v>
      </c>
    </row>
    <row r="7331" spans="1:3" x14ac:dyDescent="0.35">
      <c r="A7331" s="141" t="s">
        <v>1007</v>
      </c>
      <c r="B7331" s="141" t="s">
        <v>340</v>
      </c>
      <c r="C7331" s="141" t="s">
        <v>40</v>
      </c>
    </row>
    <row r="7332" spans="1:3" x14ac:dyDescent="0.35">
      <c r="A7332" s="141" t="s">
        <v>775</v>
      </c>
      <c r="B7332" s="141" t="s">
        <v>340</v>
      </c>
      <c r="C7332" s="141" t="s">
        <v>38</v>
      </c>
    </row>
    <row r="7333" spans="1:3" x14ac:dyDescent="0.35">
      <c r="A7333" s="141" t="s">
        <v>605</v>
      </c>
      <c r="B7333" s="141" t="s">
        <v>340</v>
      </c>
      <c r="C7333" s="141" t="s">
        <v>43</v>
      </c>
    </row>
    <row r="7334" spans="1:3" x14ac:dyDescent="0.35">
      <c r="A7334" s="141" t="s">
        <v>1008</v>
      </c>
      <c r="B7334" s="141" t="s">
        <v>340</v>
      </c>
      <c r="C7334" s="141" t="s">
        <v>43</v>
      </c>
    </row>
    <row r="7335" spans="1:3" x14ac:dyDescent="0.35">
      <c r="A7335" s="141" t="s">
        <v>608</v>
      </c>
      <c r="B7335" s="141" t="s">
        <v>340</v>
      </c>
      <c r="C7335" s="141" t="s">
        <v>43</v>
      </c>
    </row>
    <row r="7336" spans="1:3" x14ac:dyDescent="0.35">
      <c r="A7336" s="141" t="s">
        <v>609</v>
      </c>
      <c r="B7336" s="141" t="s">
        <v>340</v>
      </c>
      <c r="C7336" s="141" t="s">
        <v>43</v>
      </c>
    </row>
    <row r="7337" spans="1:3" x14ac:dyDescent="0.35">
      <c r="A7337" s="141" t="s">
        <v>610</v>
      </c>
      <c r="B7337" s="141" t="s">
        <v>340</v>
      </c>
      <c r="C7337" s="141" t="s">
        <v>43</v>
      </c>
    </row>
    <row r="7338" spans="1:3" x14ac:dyDescent="0.35">
      <c r="A7338" s="141" t="s">
        <v>612</v>
      </c>
      <c r="B7338" s="141" t="s">
        <v>340</v>
      </c>
      <c r="C7338" s="141" t="s">
        <v>43</v>
      </c>
    </row>
    <row r="7339" spans="1:3" x14ac:dyDescent="0.35">
      <c r="A7339" s="141" t="s">
        <v>1009</v>
      </c>
      <c r="B7339" s="141" t="s">
        <v>340</v>
      </c>
      <c r="C7339" s="141" t="s">
        <v>43</v>
      </c>
    </row>
    <row r="7340" spans="1:3" x14ac:dyDescent="0.35">
      <c r="A7340" s="141" t="s">
        <v>615</v>
      </c>
      <c r="B7340" s="141" t="s">
        <v>340</v>
      </c>
      <c r="C7340" s="141" t="s">
        <v>43</v>
      </c>
    </row>
    <row r="7341" spans="1:3" x14ac:dyDescent="0.35">
      <c r="A7341" s="141" t="s">
        <v>616</v>
      </c>
      <c r="B7341" s="141" t="s">
        <v>340</v>
      </c>
      <c r="C7341" s="141" t="s">
        <v>43</v>
      </c>
    </row>
    <row r="7342" spans="1:3" x14ac:dyDescent="0.35">
      <c r="A7342" s="141" t="s">
        <v>854</v>
      </c>
      <c r="B7342" s="141" t="s">
        <v>340</v>
      </c>
      <c r="C7342" s="141" t="s">
        <v>43</v>
      </c>
    </row>
    <row r="7343" spans="1:3" x14ac:dyDescent="0.35">
      <c r="A7343" s="141" t="s">
        <v>618</v>
      </c>
      <c r="B7343" s="141" t="s">
        <v>340</v>
      </c>
      <c r="C7343" s="141" t="s">
        <v>43</v>
      </c>
    </row>
    <row r="7344" spans="1:3" x14ac:dyDescent="0.35">
      <c r="A7344" s="141" t="s">
        <v>619</v>
      </c>
      <c r="B7344" s="141" t="s">
        <v>340</v>
      </c>
      <c r="C7344" s="141" t="s">
        <v>44</v>
      </c>
    </row>
    <row r="7345" spans="1:3" x14ac:dyDescent="0.35">
      <c r="A7345" s="141" t="s">
        <v>1010</v>
      </c>
      <c r="B7345" s="141" t="s">
        <v>340</v>
      </c>
      <c r="C7345" s="141" t="s">
        <v>43</v>
      </c>
    </row>
    <row r="7346" spans="1:3" x14ac:dyDescent="0.35">
      <c r="A7346" s="141" t="s">
        <v>1011</v>
      </c>
      <c r="B7346" s="141" t="s">
        <v>340</v>
      </c>
      <c r="C7346" s="141" t="s">
        <v>43</v>
      </c>
    </row>
    <row r="7347" spans="1:3" x14ac:dyDescent="0.35">
      <c r="A7347" s="141" t="s">
        <v>1012</v>
      </c>
      <c r="B7347" s="141" t="s">
        <v>340</v>
      </c>
      <c r="C7347" s="141" t="s">
        <v>43</v>
      </c>
    </row>
    <row r="7348" spans="1:3" x14ac:dyDescent="0.35">
      <c r="A7348" s="141" t="s">
        <v>1013</v>
      </c>
      <c r="B7348" s="141" t="s">
        <v>340</v>
      </c>
      <c r="C7348" s="141" t="s">
        <v>43</v>
      </c>
    </row>
    <row r="7349" spans="1:3" x14ac:dyDescent="0.35">
      <c r="A7349" s="141" t="s">
        <v>1014</v>
      </c>
      <c r="B7349" s="141" t="s">
        <v>340</v>
      </c>
      <c r="C7349" s="141" t="s">
        <v>43</v>
      </c>
    </row>
    <row r="7350" spans="1:3" x14ac:dyDescent="0.35">
      <c r="A7350" s="141" t="s">
        <v>1015</v>
      </c>
      <c r="B7350" s="141" t="s">
        <v>340</v>
      </c>
      <c r="C7350" s="141" t="s">
        <v>43</v>
      </c>
    </row>
    <row r="7351" spans="1:3" x14ac:dyDescent="0.35">
      <c r="A7351" s="141" t="s">
        <v>840</v>
      </c>
      <c r="B7351" s="141" t="s">
        <v>340</v>
      </c>
      <c r="C7351" s="141" t="s">
        <v>10</v>
      </c>
    </row>
    <row r="7352" spans="1:3" x14ac:dyDescent="0.35">
      <c r="A7352" s="141" t="s">
        <v>841</v>
      </c>
      <c r="B7352" s="141" t="s">
        <v>340</v>
      </c>
      <c r="C7352" s="141" t="s">
        <v>10</v>
      </c>
    </row>
    <row r="7353" spans="1:3" x14ac:dyDescent="0.35">
      <c r="A7353" s="141" t="s">
        <v>370</v>
      </c>
      <c r="B7353" s="141" t="s">
        <v>340</v>
      </c>
      <c r="C7353" s="141" t="s">
        <v>10</v>
      </c>
    </row>
    <row r="7354" spans="1:3" x14ac:dyDescent="0.35">
      <c r="A7354" s="141" t="s">
        <v>371</v>
      </c>
      <c r="B7354" s="141" t="s">
        <v>340</v>
      </c>
      <c r="C7354" s="141" t="s">
        <v>10</v>
      </c>
    </row>
    <row r="7355" spans="1:3" x14ac:dyDescent="0.35">
      <c r="A7355" s="141" t="s">
        <v>372</v>
      </c>
      <c r="B7355" s="141" t="s">
        <v>340</v>
      </c>
      <c r="C7355" s="141" t="s">
        <v>10</v>
      </c>
    </row>
    <row r="7356" spans="1:3" x14ac:dyDescent="0.35">
      <c r="A7356" s="141" t="s">
        <v>373</v>
      </c>
      <c r="B7356" s="141" t="s">
        <v>340</v>
      </c>
      <c r="C7356" s="141" t="s">
        <v>10</v>
      </c>
    </row>
    <row r="7357" spans="1:3" x14ac:dyDescent="0.35">
      <c r="A7357" s="141" t="s">
        <v>375</v>
      </c>
      <c r="B7357" s="141" t="s">
        <v>340</v>
      </c>
      <c r="C7357" s="141" t="s">
        <v>10</v>
      </c>
    </row>
    <row r="7358" spans="1:3" x14ac:dyDescent="0.35">
      <c r="A7358" s="141" t="s">
        <v>376</v>
      </c>
      <c r="B7358" s="141" t="s">
        <v>340</v>
      </c>
      <c r="C7358" s="141" t="s">
        <v>10</v>
      </c>
    </row>
    <row r="7359" spans="1:3" x14ac:dyDescent="0.35">
      <c r="A7359" s="141" t="s">
        <v>842</v>
      </c>
      <c r="B7359" s="141" t="s">
        <v>340</v>
      </c>
      <c r="C7359" s="141" t="s">
        <v>11</v>
      </c>
    </row>
    <row r="7360" spans="1:3" x14ac:dyDescent="0.35">
      <c r="A7360" s="141" t="s">
        <v>843</v>
      </c>
      <c r="B7360" s="141" t="s">
        <v>340</v>
      </c>
      <c r="C7360" s="141" t="s">
        <v>11</v>
      </c>
    </row>
    <row r="7361" spans="1:3" x14ac:dyDescent="0.35">
      <c r="A7361" s="141" t="s">
        <v>844</v>
      </c>
      <c r="B7361" s="141" t="s">
        <v>340</v>
      </c>
      <c r="C7361" s="141" t="s">
        <v>11</v>
      </c>
    </row>
    <row r="7362" spans="1:3" x14ac:dyDescent="0.35">
      <c r="A7362" s="141" t="s">
        <v>845</v>
      </c>
      <c r="B7362" s="141" t="s">
        <v>340</v>
      </c>
      <c r="C7362" s="141" t="s">
        <v>11</v>
      </c>
    </row>
    <row r="7363" spans="1:3" x14ac:dyDescent="0.35">
      <c r="A7363" s="141" t="s">
        <v>383</v>
      </c>
      <c r="B7363" s="141" t="s">
        <v>340</v>
      </c>
      <c r="C7363" s="141" t="s">
        <v>5</v>
      </c>
    </row>
    <row r="7364" spans="1:3" x14ac:dyDescent="0.35">
      <c r="A7364" s="141" t="s">
        <v>390</v>
      </c>
      <c r="B7364" s="141" t="s">
        <v>340</v>
      </c>
      <c r="C7364" s="141" t="s">
        <v>16</v>
      </c>
    </row>
    <row r="7365" spans="1:3" x14ac:dyDescent="0.35">
      <c r="A7365" s="141" t="s">
        <v>846</v>
      </c>
      <c r="B7365" s="141" t="s">
        <v>340</v>
      </c>
      <c r="C7365" s="141" t="s">
        <v>16</v>
      </c>
    </row>
    <row r="7366" spans="1:3" x14ac:dyDescent="0.35">
      <c r="A7366" s="141" t="s">
        <v>393</v>
      </c>
      <c r="B7366" s="141" t="s">
        <v>340</v>
      </c>
      <c r="C7366" s="141" t="s">
        <v>9</v>
      </c>
    </row>
    <row r="7367" spans="1:3" x14ac:dyDescent="0.35">
      <c r="A7367" s="141" t="s">
        <v>885</v>
      </c>
      <c r="B7367" s="141" t="s">
        <v>340</v>
      </c>
      <c r="C7367" s="141" t="s">
        <v>19</v>
      </c>
    </row>
    <row r="7368" spans="1:3" x14ac:dyDescent="0.35">
      <c r="A7368" s="141" t="s">
        <v>886</v>
      </c>
      <c r="B7368" s="141" t="s">
        <v>340</v>
      </c>
      <c r="C7368" s="141" t="s">
        <v>19</v>
      </c>
    </row>
    <row r="7369" spans="1:3" x14ac:dyDescent="0.35">
      <c r="A7369" s="141" t="s">
        <v>398</v>
      </c>
      <c r="B7369" s="141" t="s">
        <v>340</v>
      </c>
      <c r="C7369" s="141" t="s">
        <v>17</v>
      </c>
    </row>
    <row r="7370" spans="1:3" x14ac:dyDescent="0.35">
      <c r="A7370" s="141" t="s">
        <v>399</v>
      </c>
      <c r="B7370" s="141" t="s">
        <v>340</v>
      </c>
      <c r="C7370" s="141" t="s">
        <v>16</v>
      </c>
    </row>
    <row r="7371" spans="1:3" x14ac:dyDescent="0.35">
      <c r="A7371" s="141" t="s">
        <v>400</v>
      </c>
      <c r="B7371" s="141" t="s">
        <v>340</v>
      </c>
      <c r="C7371" s="141" t="s">
        <v>20</v>
      </c>
    </row>
    <row r="7372" spans="1:3" x14ac:dyDescent="0.35">
      <c r="A7372" s="141" t="s">
        <v>401</v>
      </c>
      <c r="B7372" s="141" t="s">
        <v>340</v>
      </c>
      <c r="C7372" s="141" t="s">
        <v>20</v>
      </c>
    </row>
    <row r="7373" spans="1:3" x14ac:dyDescent="0.35">
      <c r="A7373" s="141" t="s">
        <v>671</v>
      </c>
      <c r="B7373" s="141" t="s">
        <v>340</v>
      </c>
      <c r="C7373" s="141" t="s">
        <v>20</v>
      </c>
    </row>
    <row r="7374" spans="1:3" x14ac:dyDescent="0.35">
      <c r="A7374" s="141" t="s">
        <v>1016</v>
      </c>
      <c r="B7374" s="141" t="s">
        <v>340</v>
      </c>
      <c r="C7374" s="141" t="s">
        <v>20</v>
      </c>
    </row>
    <row r="7375" spans="1:3" x14ac:dyDescent="0.35">
      <c r="A7375" s="141" t="s">
        <v>593</v>
      </c>
      <c r="B7375" s="141" t="s">
        <v>340</v>
      </c>
      <c r="C7375" s="141" t="s">
        <v>20</v>
      </c>
    </row>
    <row r="7376" spans="1:3" x14ac:dyDescent="0.35">
      <c r="A7376" s="141" t="s">
        <v>403</v>
      </c>
      <c r="B7376" s="141" t="s">
        <v>340</v>
      </c>
      <c r="C7376" s="141" t="s">
        <v>20</v>
      </c>
    </row>
    <row r="7377" spans="1:3" x14ac:dyDescent="0.35">
      <c r="A7377" s="141" t="s">
        <v>1017</v>
      </c>
      <c r="B7377" s="141" t="s">
        <v>340</v>
      </c>
      <c r="C7377" s="141" t="s">
        <v>16</v>
      </c>
    </row>
    <row r="7378" spans="1:3" x14ac:dyDescent="0.35">
      <c r="A7378" s="141" t="s">
        <v>406</v>
      </c>
      <c r="B7378" s="141" t="s">
        <v>340</v>
      </c>
      <c r="C7378" s="141" t="s">
        <v>18</v>
      </c>
    </row>
    <row r="7379" spans="1:3" x14ac:dyDescent="0.35">
      <c r="A7379" s="141" t="s">
        <v>407</v>
      </c>
      <c r="B7379" s="141" t="s">
        <v>340</v>
      </c>
      <c r="C7379" s="141" t="s">
        <v>17</v>
      </c>
    </row>
    <row r="7380" spans="1:3" x14ac:dyDescent="0.35">
      <c r="A7380" s="141" t="s">
        <v>566</v>
      </c>
      <c r="B7380" s="141" t="s">
        <v>340</v>
      </c>
      <c r="C7380" s="141" t="s">
        <v>17</v>
      </c>
    </row>
    <row r="7381" spans="1:3" x14ac:dyDescent="0.35">
      <c r="A7381" s="141" t="s">
        <v>833</v>
      </c>
      <c r="B7381" s="141" t="s">
        <v>340</v>
      </c>
      <c r="C7381" s="141" t="s">
        <v>17</v>
      </c>
    </row>
    <row r="7382" spans="1:3" x14ac:dyDescent="0.35">
      <c r="A7382" s="141" t="s">
        <v>409</v>
      </c>
      <c r="B7382" s="141" t="s">
        <v>340</v>
      </c>
      <c r="C7382" s="141" t="s">
        <v>18</v>
      </c>
    </row>
    <row r="7383" spans="1:3" x14ac:dyDescent="0.35">
      <c r="A7383" s="141" t="s">
        <v>1018</v>
      </c>
      <c r="B7383" s="141" t="s">
        <v>340</v>
      </c>
      <c r="C7383" s="141" t="s">
        <v>18</v>
      </c>
    </row>
    <row r="7384" spans="1:3" x14ac:dyDescent="0.35">
      <c r="A7384" s="141" t="s">
        <v>411</v>
      </c>
      <c r="B7384" s="141" t="s">
        <v>340</v>
      </c>
      <c r="C7384" s="141" t="s">
        <v>9</v>
      </c>
    </row>
    <row r="7385" spans="1:3" x14ac:dyDescent="0.35">
      <c r="A7385" s="141" t="s">
        <v>412</v>
      </c>
      <c r="B7385" s="141" t="s">
        <v>340</v>
      </c>
      <c r="C7385" s="141" t="s">
        <v>9</v>
      </c>
    </row>
    <row r="7386" spans="1:3" x14ac:dyDescent="0.35">
      <c r="A7386" s="141" t="s">
        <v>413</v>
      </c>
      <c r="B7386" s="141" t="s">
        <v>340</v>
      </c>
      <c r="C7386" s="141" t="s">
        <v>9</v>
      </c>
    </row>
    <row r="7387" spans="1:3" x14ac:dyDescent="0.35">
      <c r="A7387" s="141" t="s">
        <v>414</v>
      </c>
      <c r="B7387" s="141" t="s">
        <v>340</v>
      </c>
      <c r="C7387" s="141" t="s">
        <v>9</v>
      </c>
    </row>
    <row r="7388" spans="1:3" x14ac:dyDescent="0.35">
      <c r="A7388" s="141" t="s">
        <v>415</v>
      </c>
      <c r="B7388" s="141" t="s">
        <v>340</v>
      </c>
      <c r="C7388" s="141" t="s">
        <v>9</v>
      </c>
    </row>
    <row r="7389" spans="1:3" x14ac:dyDescent="0.35">
      <c r="A7389" s="141" t="s">
        <v>416</v>
      </c>
      <c r="B7389" s="141" t="s">
        <v>340</v>
      </c>
      <c r="C7389" s="141" t="s">
        <v>15</v>
      </c>
    </row>
    <row r="7390" spans="1:3" x14ac:dyDescent="0.35">
      <c r="A7390" s="141" t="s">
        <v>417</v>
      </c>
      <c r="B7390" s="141" t="s">
        <v>340</v>
      </c>
      <c r="C7390" s="141" t="s">
        <v>6</v>
      </c>
    </row>
    <row r="7391" spans="1:3" x14ac:dyDescent="0.35">
      <c r="A7391" s="141" t="s">
        <v>1019</v>
      </c>
      <c r="B7391" s="141" t="s">
        <v>340</v>
      </c>
      <c r="C7391" s="141" t="s">
        <v>17</v>
      </c>
    </row>
    <row r="7392" spans="1:3" x14ac:dyDescent="0.35">
      <c r="A7392" s="141" t="s">
        <v>420</v>
      </c>
      <c r="B7392" s="141" t="s">
        <v>340</v>
      </c>
      <c r="C7392" s="141" t="s">
        <v>17</v>
      </c>
    </row>
    <row r="7393" spans="1:3" x14ac:dyDescent="0.35">
      <c r="A7393" s="141" t="s">
        <v>421</v>
      </c>
      <c r="B7393" s="141" t="s">
        <v>340</v>
      </c>
      <c r="C7393" s="141" t="s">
        <v>6</v>
      </c>
    </row>
    <row r="7394" spans="1:3" x14ac:dyDescent="0.35">
      <c r="A7394" s="141" t="s">
        <v>422</v>
      </c>
      <c r="B7394" s="141" t="s">
        <v>340</v>
      </c>
      <c r="C7394" s="141" t="s">
        <v>17</v>
      </c>
    </row>
    <row r="7395" spans="1:3" x14ac:dyDescent="0.35">
      <c r="A7395" s="141" t="s">
        <v>1020</v>
      </c>
      <c r="B7395" s="141" t="s">
        <v>340</v>
      </c>
      <c r="C7395" s="141" t="s">
        <v>29</v>
      </c>
    </row>
    <row r="7396" spans="1:3" x14ac:dyDescent="0.35">
      <c r="A7396" s="141" t="s">
        <v>1021</v>
      </c>
      <c r="B7396" s="141" t="s">
        <v>340</v>
      </c>
      <c r="C7396" s="141" t="s">
        <v>29</v>
      </c>
    </row>
    <row r="7397" spans="1:3" x14ac:dyDescent="0.35">
      <c r="A7397" s="141" t="s">
        <v>1022</v>
      </c>
      <c r="B7397" s="141" t="s">
        <v>340</v>
      </c>
      <c r="C7397" s="141" t="s">
        <v>29</v>
      </c>
    </row>
    <row r="7398" spans="1:3" x14ac:dyDescent="0.35">
      <c r="A7398" s="141" t="s">
        <v>856</v>
      </c>
      <c r="B7398" s="141" t="s">
        <v>340</v>
      </c>
      <c r="C7398" s="141" t="s">
        <v>52</v>
      </c>
    </row>
    <row r="7399" spans="1:3" x14ac:dyDescent="0.35">
      <c r="A7399" s="141" t="s">
        <v>857</v>
      </c>
      <c r="B7399" s="141" t="s">
        <v>340</v>
      </c>
      <c r="C7399" s="141" t="s">
        <v>52</v>
      </c>
    </row>
    <row r="7400" spans="1:3" x14ac:dyDescent="0.35">
      <c r="A7400" s="141" t="s">
        <v>776</v>
      </c>
      <c r="B7400" s="141" t="s">
        <v>340</v>
      </c>
      <c r="C7400" s="141" t="s">
        <v>45</v>
      </c>
    </row>
    <row r="7401" spans="1:3" x14ac:dyDescent="0.35">
      <c r="A7401" s="141" t="s">
        <v>777</v>
      </c>
      <c r="B7401" s="141" t="s">
        <v>340</v>
      </c>
      <c r="C7401" s="141" t="s">
        <v>46</v>
      </c>
    </row>
    <row r="7402" spans="1:3" x14ac:dyDescent="0.35">
      <c r="A7402" s="141" t="s">
        <v>778</v>
      </c>
      <c r="B7402" s="141" t="s">
        <v>340</v>
      </c>
      <c r="C7402" s="141" t="s">
        <v>45</v>
      </c>
    </row>
    <row r="7403" spans="1:3" x14ac:dyDescent="0.35">
      <c r="A7403" s="141" t="s">
        <v>1023</v>
      </c>
      <c r="B7403" s="141" t="s">
        <v>340</v>
      </c>
      <c r="C7403" s="141" t="s">
        <v>45</v>
      </c>
    </row>
    <row r="7404" spans="1:3" x14ac:dyDescent="0.35">
      <c r="A7404" s="141" t="s">
        <v>781</v>
      </c>
      <c r="B7404" s="141" t="s">
        <v>340</v>
      </c>
      <c r="C7404" s="141" t="s">
        <v>45</v>
      </c>
    </row>
    <row r="7405" spans="1:3" x14ac:dyDescent="0.35">
      <c r="A7405" s="141" t="s">
        <v>1024</v>
      </c>
      <c r="B7405" s="141" t="s">
        <v>340</v>
      </c>
      <c r="C7405" s="141" t="s">
        <v>21</v>
      </c>
    </row>
    <row r="7406" spans="1:3" x14ac:dyDescent="0.35">
      <c r="A7406" s="141" t="s">
        <v>276</v>
      </c>
      <c r="B7406" s="141" t="s">
        <v>340</v>
      </c>
      <c r="C7406" s="141" t="s">
        <v>24</v>
      </c>
    </row>
    <row r="7407" spans="1:3" x14ac:dyDescent="0.35">
      <c r="A7407" s="141" t="s">
        <v>277</v>
      </c>
      <c r="B7407" s="141" t="s">
        <v>340</v>
      </c>
      <c r="C7407" s="141" t="s">
        <v>21</v>
      </c>
    </row>
    <row r="7408" spans="1:3" x14ac:dyDescent="0.35">
      <c r="A7408" s="141" t="s">
        <v>278</v>
      </c>
      <c r="B7408" s="141" t="s">
        <v>340</v>
      </c>
      <c r="C7408" s="141" t="s">
        <v>21</v>
      </c>
    </row>
    <row r="7409" spans="1:3" x14ac:dyDescent="0.35">
      <c r="A7409" s="141" t="s">
        <v>283</v>
      </c>
      <c r="B7409" s="141" t="s">
        <v>340</v>
      </c>
      <c r="C7409" s="141" t="s">
        <v>21</v>
      </c>
    </row>
    <row r="7410" spans="1:3" x14ac:dyDescent="0.35">
      <c r="A7410" s="141" t="s">
        <v>284</v>
      </c>
      <c r="B7410" s="141" t="s">
        <v>340</v>
      </c>
      <c r="C7410" s="141" t="s">
        <v>21</v>
      </c>
    </row>
    <row r="7411" spans="1:3" x14ac:dyDescent="0.35">
      <c r="A7411" s="141" t="s">
        <v>882</v>
      </c>
      <c r="B7411" s="141" t="s">
        <v>340</v>
      </c>
      <c r="C7411" s="141" t="s">
        <v>27</v>
      </c>
    </row>
    <row r="7412" spans="1:3" x14ac:dyDescent="0.35">
      <c r="A7412" s="141" t="s">
        <v>883</v>
      </c>
      <c r="B7412" s="141" t="s">
        <v>340</v>
      </c>
      <c r="C7412" s="141" t="s">
        <v>27</v>
      </c>
    </row>
    <row r="7413" spans="1:3" x14ac:dyDescent="0.35">
      <c r="A7413" s="141" t="s">
        <v>884</v>
      </c>
      <c r="B7413" s="141" t="s">
        <v>340</v>
      </c>
      <c r="C7413" s="141" t="s">
        <v>27</v>
      </c>
    </row>
    <row r="7414" spans="1:3" x14ac:dyDescent="0.35">
      <c r="A7414" s="141" t="s">
        <v>262</v>
      </c>
      <c r="B7414" s="141" t="s">
        <v>340</v>
      </c>
      <c r="C7414" s="141" t="s">
        <v>27</v>
      </c>
    </row>
    <row r="7415" spans="1:3" x14ac:dyDescent="0.35">
      <c r="A7415" s="141" t="s">
        <v>1025</v>
      </c>
      <c r="B7415" s="141" t="s">
        <v>340</v>
      </c>
      <c r="C7415" s="141" t="s">
        <v>27</v>
      </c>
    </row>
    <row r="7416" spans="1:3" x14ac:dyDescent="0.35">
      <c r="A7416" s="141" t="s">
        <v>1026</v>
      </c>
      <c r="B7416" s="141" t="s">
        <v>340</v>
      </c>
      <c r="C7416" s="141" t="s">
        <v>27</v>
      </c>
    </row>
    <row r="7417" spans="1:3" x14ac:dyDescent="0.35">
      <c r="A7417" s="141" t="s">
        <v>1027</v>
      </c>
      <c r="B7417" s="141" t="s">
        <v>340</v>
      </c>
      <c r="C7417" s="141" t="s">
        <v>32</v>
      </c>
    </row>
    <row r="7418" spans="1:3" x14ac:dyDescent="0.35">
      <c r="A7418" s="141" t="s">
        <v>1028</v>
      </c>
      <c r="B7418" s="141" t="s">
        <v>340</v>
      </c>
      <c r="C7418" s="141" t="s">
        <v>27</v>
      </c>
    </row>
    <row r="7419" spans="1:3" x14ac:dyDescent="0.35">
      <c r="A7419" s="141" t="s">
        <v>296</v>
      </c>
      <c r="B7419" s="141" t="s">
        <v>340</v>
      </c>
      <c r="C7419" s="141" t="s">
        <v>32</v>
      </c>
    </row>
    <row r="7420" spans="1:3" x14ac:dyDescent="0.35">
      <c r="A7420" s="141" t="s">
        <v>819</v>
      </c>
      <c r="B7420" s="141" t="s">
        <v>340</v>
      </c>
      <c r="C7420" s="141" t="s">
        <v>45</v>
      </c>
    </row>
    <row r="7421" spans="1:3" x14ac:dyDescent="0.35">
      <c r="A7421" s="141" t="s">
        <v>820</v>
      </c>
      <c r="B7421" s="141" t="s">
        <v>340</v>
      </c>
      <c r="C7421" s="141" t="s">
        <v>45</v>
      </c>
    </row>
    <row r="7422" spans="1:3" x14ac:dyDescent="0.35">
      <c r="A7422" s="141" t="s">
        <v>821</v>
      </c>
      <c r="B7422" s="141" t="s">
        <v>340</v>
      </c>
      <c r="C7422" s="141" t="s">
        <v>45</v>
      </c>
    </row>
    <row r="7423" spans="1:3" x14ac:dyDescent="0.35">
      <c r="A7423" s="141" t="s">
        <v>1041</v>
      </c>
      <c r="B7423" s="141" t="s">
        <v>340</v>
      </c>
      <c r="C7423" s="141" t="s">
        <v>45</v>
      </c>
    </row>
    <row r="7424" spans="1:3" x14ac:dyDescent="0.35">
      <c r="A7424" s="141" t="s">
        <v>822</v>
      </c>
      <c r="B7424" s="141" t="s">
        <v>340</v>
      </c>
      <c r="C7424" s="141" t="s">
        <v>45</v>
      </c>
    </row>
    <row r="7425" spans="1:3" x14ac:dyDescent="0.35">
      <c r="A7425" s="141" t="s">
        <v>823</v>
      </c>
      <c r="B7425" s="141" t="s">
        <v>340</v>
      </c>
      <c r="C7425" s="141" t="s">
        <v>45</v>
      </c>
    </row>
    <row r="7426" spans="1:3" x14ac:dyDescent="0.35">
      <c r="A7426" s="141" t="s">
        <v>824</v>
      </c>
      <c r="B7426" s="141" t="s">
        <v>340</v>
      </c>
      <c r="C7426" s="141" t="s">
        <v>45</v>
      </c>
    </row>
    <row r="7427" spans="1:3" x14ac:dyDescent="0.35">
      <c r="A7427" s="141" t="s">
        <v>827</v>
      </c>
      <c r="B7427" s="141" t="s">
        <v>340</v>
      </c>
      <c r="C7427" s="141" t="s">
        <v>45</v>
      </c>
    </row>
    <row r="7428" spans="1:3" x14ac:dyDescent="0.35">
      <c r="A7428" s="141" t="s">
        <v>828</v>
      </c>
      <c r="B7428" s="141" t="s">
        <v>340</v>
      </c>
      <c r="C7428" s="141" t="s">
        <v>45</v>
      </c>
    </row>
    <row r="7429" spans="1:3" x14ac:dyDescent="0.35">
      <c r="A7429" s="141" t="s">
        <v>829</v>
      </c>
      <c r="B7429" s="141" t="s">
        <v>340</v>
      </c>
      <c r="C7429" s="141" t="s">
        <v>45</v>
      </c>
    </row>
    <row r="7430" spans="1:3" x14ac:dyDescent="0.35">
      <c r="A7430" s="141" t="s">
        <v>830</v>
      </c>
      <c r="B7430" s="141" t="s">
        <v>340</v>
      </c>
      <c r="C7430" s="141" t="s">
        <v>45</v>
      </c>
    </row>
    <row r="7431" spans="1:3" x14ac:dyDescent="0.35">
      <c r="A7431" s="141" t="s">
        <v>831</v>
      </c>
      <c r="B7431" s="141" t="s">
        <v>340</v>
      </c>
      <c r="C7431" s="141" t="s">
        <v>45</v>
      </c>
    </row>
    <row r="7432" spans="1:3" x14ac:dyDescent="0.35">
      <c r="A7432" s="141" t="s">
        <v>1042</v>
      </c>
      <c r="B7432" s="141" t="s">
        <v>340</v>
      </c>
      <c r="C7432" s="141" t="s">
        <v>45</v>
      </c>
    </row>
    <row r="7433" spans="1:3" x14ac:dyDescent="0.35">
      <c r="A7433" s="141" t="s">
        <v>818</v>
      </c>
      <c r="B7433" s="141" t="s">
        <v>340</v>
      </c>
      <c r="C7433" s="141" t="s">
        <v>12</v>
      </c>
    </row>
    <row r="7434" spans="1:3" x14ac:dyDescent="0.35">
      <c r="A7434" s="141" t="s">
        <v>835</v>
      </c>
      <c r="B7434" s="141" t="s">
        <v>340</v>
      </c>
      <c r="C7434" s="141" t="s">
        <v>12</v>
      </c>
    </row>
    <row r="7435" spans="1:3" x14ac:dyDescent="0.35">
      <c r="A7435" s="141" t="s">
        <v>836</v>
      </c>
      <c r="B7435" s="141" t="s">
        <v>340</v>
      </c>
      <c r="C7435" s="141" t="s">
        <v>12</v>
      </c>
    </row>
    <row r="7436" spans="1:3" x14ac:dyDescent="0.35">
      <c r="A7436" s="141" t="s">
        <v>837</v>
      </c>
      <c r="B7436" s="141" t="s">
        <v>340</v>
      </c>
      <c r="C7436" s="141" t="s">
        <v>14</v>
      </c>
    </row>
    <row r="7437" spans="1:3" x14ac:dyDescent="0.35">
      <c r="A7437" s="141" t="s">
        <v>358</v>
      </c>
      <c r="B7437" s="141" t="s">
        <v>340</v>
      </c>
      <c r="C7437" s="141" t="s">
        <v>14</v>
      </c>
    </row>
    <row r="7438" spans="1:3" x14ac:dyDescent="0.35">
      <c r="A7438" s="141" t="s">
        <v>654</v>
      </c>
      <c r="B7438" s="141" t="s">
        <v>340</v>
      </c>
      <c r="C7438" s="141" t="s">
        <v>14</v>
      </c>
    </row>
    <row r="7439" spans="1:3" x14ac:dyDescent="0.35">
      <c r="A7439" s="141" t="s">
        <v>987</v>
      </c>
      <c r="B7439" s="141" t="s">
        <v>340</v>
      </c>
      <c r="C7439" s="141" t="s">
        <v>14</v>
      </c>
    </row>
    <row r="7440" spans="1:3" x14ac:dyDescent="0.35">
      <c r="A7440" s="141" t="s">
        <v>838</v>
      </c>
      <c r="B7440" s="141" t="s">
        <v>340</v>
      </c>
      <c r="C7440" s="141" t="s">
        <v>13</v>
      </c>
    </row>
    <row r="7441" spans="1:3" x14ac:dyDescent="0.35">
      <c r="A7441" s="141" t="s">
        <v>667</v>
      </c>
      <c r="B7441" s="141" t="s">
        <v>340</v>
      </c>
      <c r="C7441" s="141" t="s">
        <v>55</v>
      </c>
    </row>
    <row r="7442" spans="1:3" x14ac:dyDescent="0.35">
      <c r="A7442" s="141" t="s">
        <v>669</v>
      </c>
      <c r="B7442" s="141" t="s">
        <v>340</v>
      </c>
      <c r="C7442" s="141" t="s">
        <v>55</v>
      </c>
    </row>
    <row r="7443" spans="1:3" x14ac:dyDescent="0.35">
      <c r="A7443" s="141" t="s">
        <v>668</v>
      </c>
      <c r="B7443" s="141" t="s">
        <v>340</v>
      </c>
      <c r="C7443" s="141" t="s">
        <v>54</v>
      </c>
    </row>
    <row r="7444" spans="1:3" x14ac:dyDescent="0.35">
      <c r="A7444" s="141" t="s">
        <v>670</v>
      </c>
      <c r="B7444" s="141" t="s">
        <v>340</v>
      </c>
      <c r="C7444" s="141" t="s">
        <v>54</v>
      </c>
    </row>
    <row r="7445" spans="1:3" x14ac:dyDescent="0.35">
      <c r="A7445" s="141" t="s">
        <v>359</v>
      </c>
      <c r="B7445" s="141" t="s">
        <v>340</v>
      </c>
      <c r="C7445" s="141" t="s">
        <v>46</v>
      </c>
    </row>
    <row r="7446" spans="1:3" x14ac:dyDescent="0.35">
      <c r="A7446" s="141" t="s">
        <v>360</v>
      </c>
      <c r="B7446" s="141" t="s">
        <v>340</v>
      </c>
      <c r="C7446" s="141" t="s">
        <v>46</v>
      </c>
    </row>
    <row r="7447" spans="1:3" x14ac:dyDescent="0.35">
      <c r="A7447" s="141" t="s">
        <v>1043</v>
      </c>
      <c r="B7447" s="141" t="s">
        <v>340</v>
      </c>
      <c r="C7447" s="141" t="s">
        <v>4</v>
      </c>
    </row>
    <row r="7448" spans="1:3" x14ac:dyDescent="0.35">
      <c r="A7448" s="141" t="s">
        <v>365</v>
      </c>
      <c r="B7448" s="141" t="s">
        <v>340</v>
      </c>
      <c r="C7448" s="141" t="s">
        <v>7</v>
      </c>
    </row>
    <row r="7449" spans="1:3" x14ac:dyDescent="0.35">
      <c r="A7449" s="141" t="s">
        <v>589</v>
      </c>
      <c r="B7449" s="141" t="s">
        <v>340</v>
      </c>
      <c r="C7449" s="141" t="s">
        <v>4</v>
      </c>
    </row>
    <row r="7450" spans="1:3" x14ac:dyDescent="0.35">
      <c r="A7450" s="141" t="s">
        <v>366</v>
      </c>
      <c r="B7450" s="141" t="s">
        <v>340</v>
      </c>
      <c r="C7450" s="141" t="s">
        <v>8</v>
      </c>
    </row>
    <row r="7451" spans="1:3" x14ac:dyDescent="0.35">
      <c r="A7451" s="141" t="s">
        <v>367</v>
      </c>
      <c r="B7451" s="141" t="s">
        <v>340</v>
      </c>
      <c r="C7451" s="141" t="s">
        <v>8</v>
      </c>
    </row>
    <row r="7452" spans="1:3" x14ac:dyDescent="0.35">
      <c r="A7452" s="141" t="s">
        <v>1044</v>
      </c>
      <c r="B7452" s="141" t="s">
        <v>340</v>
      </c>
      <c r="C7452" s="141" t="s">
        <v>24</v>
      </c>
    </row>
    <row r="7453" spans="1:3" x14ac:dyDescent="0.35">
      <c r="A7453" s="141" t="s">
        <v>1045</v>
      </c>
      <c r="B7453" s="141" t="s">
        <v>340</v>
      </c>
      <c r="C7453" s="141" t="s">
        <v>24</v>
      </c>
    </row>
    <row r="7454" spans="1:3" x14ac:dyDescent="0.35">
      <c r="A7454" s="141" t="s">
        <v>271</v>
      </c>
      <c r="B7454" s="141" t="s">
        <v>340</v>
      </c>
      <c r="C7454" s="141" t="s">
        <v>24</v>
      </c>
    </row>
    <row r="7455" spans="1:3" x14ac:dyDescent="0.35">
      <c r="A7455" s="141" t="s">
        <v>774</v>
      </c>
      <c r="B7455" s="141" t="s">
        <v>340</v>
      </c>
      <c r="C7455" s="141" t="s">
        <v>38</v>
      </c>
    </row>
    <row r="7456" spans="1:3" x14ac:dyDescent="0.35">
      <c r="A7456" s="141" t="s">
        <v>306</v>
      </c>
      <c r="B7456" s="141" t="s">
        <v>340</v>
      </c>
      <c r="C7456" s="141" t="s">
        <v>35</v>
      </c>
    </row>
    <row r="7457" spans="1:3" x14ac:dyDescent="0.35">
      <c r="A7457" s="141" t="s">
        <v>1031</v>
      </c>
      <c r="B7457" s="141" t="s">
        <v>340</v>
      </c>
      <c r="C7457" s="141" t="s">
        <v>35</v>
      </c>
    </row>
    <row r="7458" spans="1:3" x14ac:dyDescent="0.35">
      <c r="A7458" s="141" t="s">
        <v>1046</v>
      </c>
      <c r="B7458" s="141" t="s">
        <v>340</v>
      </c>
      <c r="C7458" s="141" t="s">
        <v>33</v>
      </c>
    </row>
    <row r="7459" spans="1:3" x14ac:dyDescent="0.35">
      <c r="A7459" s="141" t="s">
        <v>1032</v>
      </c>
      <c r="B7459" s="141" t="s">
        <v>340</v>
      </c>
      <c r="C7459" s="141" t="s">
        <v>33</v>
      </c>
    </row>
    <row r="7460" spans="1:3" x14ac:dyDescent="0.35">
      <c r="A7460" s="141" t="s">
        <v>1033</v>
      </c>
      <c r="B7460" s="141" t="s">
        <v>340</v>
      </c>
      <c r="C7460" s="141" t="s">
        <v>33</v>
      </c>
    </row>
    <row r="7461" spans="1:3" x14ac:dyDescent="0.35">
      <c r="A7461" s="141" t="s">
        <v>1034</v>
      </c>
      <c r="B7461" s="141" t="s">
        <v>340</v>
      </c>
      <c r="C7461" s="141" t="s">
        <v>33</v>
      </c>
    </row>
    <row r="7462" spans="1:3" x14ac:dyDescent="0.35">
      <c r="A7462" s="141" t="s">
        <v>1047</v>
      </c>
      <c r="B7462" s="141" t="s">
        <v>340</v>
      </c>
      <c r="C7462" s="141" t="s">
        <v>49</v>
      </c>
    </row>
    <row r="7463" spans="1:3" x14ac:dyDescent="0.35">
      <c r="A7463" s="141" t="s">
        <v>1048</v>
      </c>
      <c r="B7463" s="141" t="s">
        <v>340</v>
      </c>
      <c r="C7463" s="141" t="s">
        <v>49</v>
      </c>
    </row>
    <row r="7464" spans="1:3" x14ac:dyDescent="0.35">
      <c r="A7464" s="141" t="s">
        <v>806</v>
      </c>
      <c r="B7464" s="141" t="s">
        <v>340</v>
      </c>
      <c r="C7464" s="141" t="s">
        <v>32</v>
      </c>
    </row>
    <row r="7465" spans="1:3" x14ac:dyDescent="0.35">
      <c r="A7465" s="141" t="s">
        <v>579</v>
      </c>
      <c r="B7465" s="141" t="s">
        <v>340</v>
      </c>
      <c r="C7465" s="141" t="s">
        <v>32</v>
      </c>
    </row>
    <row r="7466" spans="1:3" x14ac:dyDescent="0.35">
      <c r="A7466" s="141" t="s">
        <v>556</v>
      </c>
      <c r="B7466" s="141" t="s">
        <v>340</v>
      </c>
      <c r="C7466" s="141" t="s">
        <v>32</v>
      </c>
    </row>
    <row r="7467" spans="1:3" x14ac:dyDescent="0.35">
      <c r="A7467" s="141" t="s">
        <v>557</v>
      </c>
      <c r="B7467" s="141" t="s">
        <v>340</v>
      </c>
      <c r="C7467" s="141" t="s">
        <v>32</v>
      </c>
    </row>
    <row r="7468" spans="1:3" x14ac:dyDescent="0.35">
      <c r="A7468" s="141" t="s">
        <v>558</v>
      </c>
      <c r="B7468" s="141" t="s">
        <v>340</v>
      </c>
      <c r="C7468" s="141" t="s">
        <v>32</v>
      </c>
    </row>
    <row r="7469" spans="1:3" x14ac:dyDescent="0.35">
      <c r="A7469" s="141" t="s">
        <v>580</v>
      </c>
      <c r="B7469" s="141" t="s">
        <v>340</v>
      </c>
      <c r="C7469" s="141" t="s">
        <v>32</v>
      </c>
    </row>
    <row r="7470" spans="1:3" x14ac:dyDescent="0.35">
      <c r="A7470" s="141" t="s">
        <v>337</v>
      </c>
      <c r="B7470" s="141" t="s">
        <v>340</v>
      </c>
      <c r="C7470" s="141" t="s">
        <v>47</v>
      </c>
    </row>
    <row r="7471" spans="1:3" x14ac:dyDescent="0.35">
      <c r="A7471" s="141" t="s">
        <v>962</v>
      </c>
      <c r="B7471" s="141" t="s">
        <v>340</v>
      </c>
      <c r="C7471" s="141" t="s">
        <v>47</v>
      </c>
    </row>
    <row r="7472" spans="1:3" x14ac:dyDescent="0.35">
      <c r="A7472" s="141" t="s">
        <v>981</v>
      </c>
      <c r="B7472" s="141" t="s">
        <v>340</v>
      </c>
      <c r="C7472" s="141" t="s">
        <v>47</v>
      </c>
    </row>
    <row r="7473" spans="1:3" x14ac:dyDescent="0.35">
      <c r="A7473" s="141" t="s">
        <v>982</v>
      </c>
      <c r="B7473" s="141" t="s">
        <v>340</v>
      </c>
      <c r="C7473" s="141" t="s">
        <v>47</v>
      </c>
    </row>
    <row r="7474" spans="1:3" x14ac:dyDescent="0.35">
      <c r="A7474" s="141" t="s">
        <v>563</v>
      </c>
      <c r="B7474" s="141" t="s">
        <v>340</v>
      </c>
      <c r="C7474" s="141" t="s">
        <v>47</v>
      </c>
    </row>
    <row r="7475" spans="1:3" x14ac:dyDescent="0.35">
      <c r="A7475" s="141" t="s">
        <v>313</v>
      </c>
      <c r="B7475" s="141" t="s">
        <v>340</v>
      </c>
      <c r="C7475" s="141" t="s">
        <v>51</v>
      </c>
    </row>
    <row r="7476" spans="1:3" x14ac:dyDescent="0.35">
      <c r="A7476" s="141" t="s">
        <v>1049</v>
      </c>
      <c r="B7476" s="141" t="s">
        <v>340</v>
      </c>
      <c r="C7476" s="141" t="s">
        <v>29</v>
      </c>
    </row>
    <row r="7477" spans="1:3" x14ac:dyDescent="0.35">
      <c r="A7477" s="141" t="s">
        <v>1050</v>
      </c>
      <c r="B7477" s="141" t="s">
        <v>340</v>
      </c>
      <c r="C7477" s="141" t="s">
        <v>29</v>
      </c>
    </row>
    <row r="7478" spans="1:3" x14ac:dyDescent="0.35">
      <c r="A7478" s="141" t="s">
        <v>390</v>
      </c>
      <c r="B7478" s="141" t="s">
        <v>339</v>
      </c>
      <c r="C7478" s="141" t="s">
        <v>16</v>
      </c>
    </row>
    <row r="7479" spans="1:3" x14ac:dyDescent="0.35">
      <c r="A7479" s="141" t="s">
        <v>352</v>
      </c>
      <c r="B7479" s="141" t="s">
        <v>339</v>
      </c>
      <c r="C7479" s="141" t="s">
        <v>2</v>
      </c>
    </row>
    <row r="7480" spans="1:3" x14ac:dyDescent="0.35">
      <c r="A7480" s="141" t="s">
        <v>354</v>
      </c>
      <c r="B7480" s="141" t="s">
        <v>339</v>
      </c>
      <c r="C7480" s="141" t="s">
        <v>2</v>
      </c>
    </row>
    <row r="7481" spans="1:3" x14ac:dyDescent="0.35">
      <c r="A7481" s="141" t="s">
        <v>846</v>
      </c>
      <c r="B7481" s="141" t="s">
        <v>339</v>
      </c>
      <c r="C7481" s="141" t="s">
        <v>16</v>
      </c>
    </row>
    <row r="7482" spans="1:3" x14ac:dyDescent="0.35">
      <c r="A7482" s="141" t="s">
        <v>393</v>
      </c>
      <c r="B7482" s="141" t="s">
        <v>339</v>
      </c>
      <c r="C7482" s="141" t="s">
        <v>9</v>
      </c>
    </row>
    <row r="7483" spans="1:3" x14ac:dyDescent="0.35">
      <c r="A7483" s="141" t="s">
        <v>818</v>
      </c>
      <c r="B7483" s="141" t="s">
        <v>339</v>
      </c>
      <c r="C7483" s="141" t="s">
        <v>12</v>
      </c>
    </row>
    <row r="7484" spans="1:3" x14ac:dyDescent="0.35">
      <c r="A7484" s="141" t="s">
        <v>835</v>
      </c>
      <c r="B7484" s="141" t="s">
        <v>339</v>
      </c>
      <c r="C7484" s="141" t="s">
        <v>12</v>
      </c>
    </row>
    <row r="7485" spans="1:3" x14ac:dyDescent="0.35">
      <c r="A7485" s="141" t="s">
        <v>836</v>
      </c>
      <c r="B7485" s="141" t="s">
        <v>339</v>
      </c>
      <c r="C7485" s="141" t="s">
        <v>12</v>
      </c>
    </row>
    <row r="7486" spans="1:3" x14ac:dyDescent="0.35">
      <c r="A7486" s="141" t="s">
        <v>837</v>
      </c>
      <c r="B7486" s="141" t="s">
        <v>339</v>
      </c>
      <c r="C7486" s="141" t="s">
        <v>14</v>
      </c>
    </row>
    <row r="7487" spans="1:3" x14ac:dyDescent="0.35">
      <c r="A7487" s="141" t="s">
        <v>840</v>
      </c>
      <c r="B7487" s="141" t="s">
        <v>339</v>
      </c>
      <c r="C7487" s="141" t="s">
        <v>10</v>
      </c>
    </row>
    <row r="7488" spans="1:3" x14ac:dyDescent="0.35">
      <c r="A7488" s="141" t="s">
        <v>841</v>
      </c>
      <c r="B7488" s="141" t="s">
        <v>339</v>
      </c>
      <c r="C7488" s="141" t="s">
        <v>10</v>
      </c>
    </row>
    <row r="7489" spans="1:3" x14ac:dyDescent="0.35">
      <c r="A7489" s="141" t="s">
        <v>370</v>
      </c>
      <c r="B7489" s="141" t="s">
        <v>339</v>
      </c>
      <c r="C7489" s="141" t="s">
        <v>10</v>
      </c>
    </row>
    <row r="7490" spans="1:3" x14ac:dyDescent="0.35">
      <c r="A7490" s="141" t="s">
        <v>371</v>
      </c>
      <c r="B7490" s="141" t="s">
        <v>339</v>
      </c>
      <c r="C7490" s="141" t="s">
        <v>10</v>
      </c>
    </row>
    <row r="7491" spans="1:3" x14ac:dyDescent="0.35">
      <c r="A7491" s="141" t="s">
        <v>376</v>
      </c>
      <c r="B7491" s="141" t="s">
        <v>339</v>
      </c>
      <c r="C7491" s="141" t="s">
        <v>10</v>
      </c>
    </row>
    <row r="7492" spans="1:3" x14ac:dyDescent="0.35">
      <c r="A7492" s="141" t="s">
        <v>372</v>
      </c>
      <c r="B7492" s="141" t="s">
        <v>339</v>
      </c>
      <c r="C7492" s="141" t="s">
        <v>10</v>
      </c>
    </row>
    <row r="7493" spans="1:3" x14ac:dyDescent="0.35">
      <c r="A7493" s="141" t="s">
        <v>373</v>
      </c>
      <c r="B7493" s="141" t="s">
        <v>339</v>
      </c>
      <c r="C7493" s="141" t="s">
        <v>10</v>
      </c>
    </row>
    <row r="7494" spans="1:3" x14ac:dyDescent="0.35">
      <c r="A7494" s="141" t="s">
        <v>375</v>
      </c>
      <c r="B7494" s="141" t="s">
        <v>339</v>
      </c>
      <c r="C7494" s="141" t="s">
        <v>10</v>
      </c>
    </row>
    <row r="7495" spans="1:3" x14ac:dyDescent="0.35">
      <c r="A7495" s="141" t="s">
        <v>842</v>
      </c>
      <c r="B7495" s="141" t="s">
        <v>339</v>
      </c>
      <c r="C7495" s="141" t="s">
        <v>11</v>
      </c>
    </row>
    <row r="7496" spans="1:3" x14ac:dyDescent="0.35">
      <c r="A7496" s="141" t="s">
        <v>843</v>
      </c>
      <c r="B7496" s="141" t="s">
        <v>339</v>
      </c>
      <c r="C7496" s="141" t="s">
        <v>11</v>
      </c>
    </row>
    <row r="7497" spans="1:3" x14ac:dyDescent="0.35">
      <c r="A7497" s="141" t="s">
        <v>844</v>
      </c>
      <c r="B7497" s="141" t="s">
        <v>339</v>
      </c>
      <c r="C7497" s="141" t="s">
        <v>11</v>
      </c>
    </row>
    <row r="7498" spans="1:3" x14ac:dyDescent="0.35">
      <c r="A7498" s="141" t="s">
        <v>845</v>
      </c>
      <c r="B7498" s="141" t="s">
        <v>339</v>
      </c>
      <c r="C7498" s="141" t="s">
        <v>11</v>
      </c>
    </row>
    <row r="7499" spans="1:3" x14ac:dyDescent="0.35">
      <c r="A7499" s="141" t="s">
        <v>358</v>
      </c>
      <c r="B7499" s="141" t="s">
        <v>339</v>
      </c>
      <c r="C7499" s="141" t="s">
        <v>14</v>
      </c>
    </row>
    <row r="7500" spans="1:3" x14ac:dyDescent="0.35">
      <c r="A7500" s="141" t="s">
        <v>654</v>
      </c>
      <c r="B7500" s="141" t="s">
        <v>339</v>
      </c>
      <c r="C7500" s="141" t="s">
        <v>14</v>
      </c>
    </row>
    <row r="7501" spans="1:3" x14ac:dyDescent="0.35">
      <c r="A7501" s="141" t="s">
        <v>987</v>
      </c>
      <c r="B7501" s="141" t="s">
        <v>339</v>
      </c>
      <c r="C7501" s="141" t="s">
        <v>14</v>
      </c>
    </row>
    <row r="7502" spans="1:3" x14ac:dyDescent="0.35">
      <c r="A7502" s="141" t="s">
        <v>838</v>
      </c>
      <c r="B7502" s="141" t="s">
        <v>339</v>
      </c>
      <c r="C7502" s="141" t="s">
        <v>13</v>
      </c>
    </row>
    <row r="7503" spans="1:3" x14ac:dyDescent="0.35">
      <c r="A7503" s="141" t="s">
        <v>367</v>
      </c>
      <c r="B7503" s="141" t="s">
        <v>339</v>
      </c>
      <c r="C7503" s="141" t="s">
        <v>8</v>
      </c>
    </row>
    <row r="7504" spans="1:3" x14ac:dyDescent="0.35">
      <c r="A7504" s="141" t="s">
        <v>383</v>
      </c>
      <c r="B7504" s="141" t="s">
        <v>339</v>
      </c>
      <c r="C7504" s="141" t="s">
        <v>5</v>
      </c>
    </row>
    <row r="7505" spans="1:3" x14ac:dyDescent="0.35">
      <c r="A7505" s="141" t="s">
        <v>359</v>
      </c>
      <c r="B7505" s="141" t="s">
        <v>339</v>
      </c>
      <c r="C7505" s="141" t="s">
        <v>46</v>
      </c>
    </row>
    <row r="7506" spans="1:3" x14ac:dyDescent="0.35">
      <c r="A7506" s="141" t="s">
        <v>360</v>
      </c>
      <c r="B7506" s="141" t="s">
        <v>339</v>
      </c>
      <c r="C7506" s="141" t="s">
        <v>46</v>
      </c>
    </row>
    <row r="7507" spans="1:3" x14ac:dyDescent="0.35">
      <c r="A7507" s="141" t="s">
        <v>262</v>
      </c>
      <c r="B7507" s="141" t="s">
        <v>339</v>
      </c>
      <c r="C7507" s="141" t="s">
        <v>27</v>
      </c>
    </row>
    <row r="7508" spans="1:3" x14ac:dyDescent="0.35">
      <c r="A7508" s="141" t="s">
        <v>1044</v>
      </c>
      <c r="B7508" s="141" t="s">
        <v>339</v>
      </c>
      <c r="C7508" s="141" t="s">
        <v>24</v>
      </c>
    </row>
    <row r="7509" spans="1:3" x14ac:dyDescent="0.35">
      <c r="A7509" s="141" t="s">
        <v>1045</v>
      </c>
      <c r="B7509" s="141" t="s">
        <v>339</v>
      </c>
      <c r="C7509" s="141" t="s">
        <v>24</v>
      </c>
    </row>
    <row r="7510" spans="1:3" x14ac:dyDescent="0.35">
      <c r="A7510" s="141" t="s">
        <v>1036</v>
      </c>
      <c r="B7510" s="141" t="s">
        <v>339</v>
      </c>
      <c r="C7510" s="141" t="s">
        <v>24</v>
      </c>
    </row>
    <row r="7511" spans="1:3" x14ac:dyDescent="0.35">
      <c r="A7511" s="141" t="s">
        <v>1037</v>
      </c>
      <c r="B7511" s="141" t="s">
        <v>339</v>
      </c>
      <c r="C7511" s="141" t="s">
        <v>24</v>
      </c>
    </row>
    <row r="7512" spans="1:3" x14ac:dyDescent="0.35">
      <c r="A7512" s="141" t="s">
        <v>887</v>
      </c>
      <c r="B7512" s="141" t="s">
        <v>339</v>
      </c>
      <c r="C7512" s="141" t="s">
        <v>24</v>
      </c>
    </row>
    <row r="7513" spans="1:3" x14ac:dyDescent="0.35">
      <c r="A7513" s="141" t="s">
        <v>888</v>
      </c>
      <c r="B7513" s="141" t="s">
        <v>339</v>
      </c>
      <c r="C7513" s="141" t="s">
        <v>24</v>
      </c>
    </row>
    <row r="7514" spans="1:3" x14ac:dyDescent="0.35">
      <c r="A7514" s="141" t="s">
        <v>889</v>
      </c>
      <c r="B7514" s="141" t="s">
        <v>339</v>
      </c>
      <c r="C7514" s="141" t="s">
        <v>24</v>
      </c>
    </row>
    <row r="7515" spans="1:3" x14ac:dyDescent="0.35">
      <c r="A7515" s="141" t="s">
        <v>890</v>
      </c>
      <c r="B7515" s="141" t="s">
        <v>339</v>
      </c>
      <c r="C7515" s="141" t="s">
        <v>24</v>
      </c>
    </row>
    <row r="7516" spans="1:3" x14ac:dyDescent="0.35">
      <c r="A7516" s="141" t="s">
        <v>891</v>
      </c>
      <c r="B7516" s="141" t="s">
        <v>339</v>
      </c>
      <c r="C7516" s="141" t="s">
        <v>24</v>
      </c>
    </row>
    <row r="7517" spans="1:3" x14ac:dyDescent="0.35">
      <c r="A7517" s="141" t="s">
        <v>882</v>
      </c>
      <c r="B7517" s="141" t="s">
        <v>339</v>
      </c>
      <c r="C7517" s="141" t="s">
        <v>27</v>
      </c>
    </row>
    <row r="7518" spans="1:3" x14ac:dyDescent="0.35">
      <c r="A7518" s="141" t="s">
        <v>883</v>
      </c>
      <c r="B7518" s="141" t="s">
        <v>339</v>
      </c>
      <c r="C7518" s="141" t="s">
        <v>27</v>
      </c>
    </row>
    <row r="7519" spans="1:3" x14ac:dyDescent="0.35">
      <c r="A7519" s="141" t="s">
        <v>884</v>
      </c>
      <c r="B7519" s="141" t="s">
        <v>339</v>
      </c>
      <c r="C7519" s="141" t="s">
        <v>27</v>
      </c>
    </row>
    <row r="7520" spans="1:3" x14ac:dyDescent="0.35">
      <c r="A7520" s="141" t="s">
        <v>271</v>
      </c>
      <c r="B7520" s="141" t="s">
        <v>339</v>
      </c>
      <c r="C7520" s="141" t="s">
        <v>24</v>
      </c>
    </row>
    <row r="7521" spans="1:3" x14ac:dyDescent="0.35">
      <c r="A7521" s="141" t="s">
        <v>564</v>
      </c>
      <c r="B7521" s="141" t="s">
        <v>339</v>
      </c>
      <c r="C7521" s="141" t="s">
        <v>7</v>
      </c>
    </row>
    <row r="7522" spans="1:3" x14ac:dyDescent="0.35">
      <c r="A7522" s="141" t="s">
        <v>565</v>
      </c>
      <c r="B7522" s="141" t="s">
        <v>339</v>
      </c>
      <c r="C7522" s="141" t="s">
        <v>7</v>
      </c>
    </row>
    <row r="7523" spans="1:3" x14ac:dyDescent="0.35">
      <c r="A7523" s="141" t="s">
        <v>385</v>
      </c>
      <c r="B7523" s="141" t="s">
        <v>339</v>
      </c>
      <c r="C7523" s="141" t="s">
        <v>7</v>
      </c>
    </row>
    <row r="7524" spans="1:3" x14ac:dyDescent="0.35">
      <c r="A7524" s="141" t="s">
        <v>386</v>
      </c>
      <c r="B7524" s="141" t="s">
        <v>339</v>
      </c>
      <c r="C7524" s="141" t="s">
        <v>7</v>
      </c>
    </row>
    <row r="7525" spans="1:3" x14ac:dyDescent="0.35">
      <c r="A7525" s="141" t="s">
        <v>387</v>
      </c>
      <c r="B7525" s="141" t="s">
        <v>339</v>
      </c>
      <c r="C7525" s="141" t="s">
        <v>7</v>
      </c>
    </row>
    <row r="7526" spans="1:3" x14ac:dyDescent="0.35">
      <c r="A7526" s="141" t="s">
        <v>365</v>
      </c>
      <c r="B7526" s="141" t="s">
        <v>339</v>
      </c>
      <c r="C7526" s="141" t="s">
        <v>7</v>
      </c>
    </row>
    <row r="7527" spans="1:3" x14ac:dyDescent="0.35">
      <c r="A7527" s="141" t="s">
        <v>589</v>
      </c>
      <c r="B7527" s="141" t="s">
        <v>339</v>
      </c>
      <c r="C7527" s="141" t="s">
        <v>4</v>
      </c>
    </row>
    <row r="7528" spans="1:3" x14ac:dyDescent="0.35">
      <c r="A7528" s="141" t="s">
        <v>988</v>
      </c>
      <c r="B7528" s="141" t="s">
        <v>339</v>
      </c>
      <c r="C7528" s="141" t="s">
        <v>8</v>
      </c>
    </row>
    <row r="7529" spans="1:3" x14ac:dyDescent="0.35">
      <c r="A7529" s="141" t="s">
        <v>366</v>
      </c>
      <c r="B7529" s="141" t="s">
        <v>339</v>
      </c>
      <c r="C7529" s="141" t="s">
        <v>8</v>
      </c>
    </row>
    <row r="7530" spans="1:3" x14ac:dyDescent="0.35">
      <c r="A7530" s="141" t="s">
        <v>1043</v>
      </c>
      <c r="B7530" s="141" t="s">
        <v>339</v>
      </c>
      <c r="C7530" s="141" t="s">
        <v>4</v>
      </c>
    </row>
    <row r="7531" spans="1:3" x14ac:dyDescent="0.35">
      <c r="A7531" s="141" t="s">
        <v>819</v>
      </c>
      <c r="B7531" s="141" t="s">
        <v>339</v>
      </c>
      <c r="C7531" s="141" t="s">
        <v>45</v>
      </c>
    </row>
    <row r="7532" spans="1:3" x14ac:dyDescent="0.35">
      <c r="A7532" s="141" t="s">
        <v>820</v>
      </c>
      <c r="B7532" s="141" t="s">
        <v>339</v>
      </c>
      <c r="C7532" s="141" t="s">
        <v>45</v>
      </c>
    </row>
    <row r="7533" spans="1:3" x14ac:dyDescent="0.35">
      <c r="A7533" s="141" t="s">
        <v>821</v>
      </c>
      <c r="B7533" s="141" t="s">
        <v>339</v>
      </c>
      <c r="C7533" s="141" t="s">
        <v>45</v>
      </c>
    </row>
    <row r="7534" spans="1:3" x14ac:dyDescent="0.35">
      <c r="A7534" s="141" t="s">
        <v>822</v>
      </c>
      <c r="B7534" s="141" t="s">
        <v>339</v>
      </c>
      <c r="C7534" s="141" t="s">
        <v>45</v>
      </c>
    </row>
    <row r="7535" spans="1:3" x14ac:dyDescent="0.35">
      <c r="A7535" s="141" t="s">
        <v>823</v>
      </c>
      <c r="B7535" s="141" t="s">
        <v>339</v>
      </c>
      <c r="C7535" s="141" t="s">
        <v>45</v>
      </c>
    </row>
    <row r="7536" spans="1:3" x14ac:dyDescent="0.35">
      <c r="A7536" s="141" t="s">
        <v>824</v>
      </c>
      <c r="B7536" s="141" t="s">
        <v>339</v>
      </c>
      <c r="C7536" s="141" t="s">
        <v>45</v>
      </c>
    </row>
    <row r="7537" spans="1:3" x14ac:dyDescent="0.35">
      <c r="A7537" s="141" t="s">
        <v>1041</v>
      </c>
      <c r="B7537" s="141" t="s">
        <v>339</v>
      </c>
      <c r="C7537" s="141" t="s">
        <v>45</v>
      </c>
    </row>
    <row r="7538" spans="1:3" x14ac:dyDescent="0.35">
      <c r="A7538" s="141" t="s">
        <v>827</v>
      </c>
      <c r="B7538" s="141" t="s">
        <v>339</v>
      </c>
      <c r="C7538" s="141" t="s">
        <v>45</v>
      </c>
    </row>
    <row r="7539" spans="1:3" x14ac:dyDescent="0.35">
      <c r="A7539" s="141" t="s">
        <v>828</v>
      </c>
      <c r="B7539" s="141" t="s">
        <v>339</v>
      </c>
      <c r="C7539" s="141" t="s">
        <v>45</v>
      </c>
    </row>
    <row r="7540" spans="1:3" x14ac:dyDescent="0.35">
      <c r="A7540" s="141" t="s">
        <v>829</v>
      </c>
      <c r="B7540" s="141" t="s">
        <v>339</v>
      </c>
      <c r="C7540" s="141" t="s">
        <v>45</v>
      </c>
    </row>
    <row r="7541" spans="1:3" x14ac:dyDescent="0.35">
      <c r="A7541" s="141" t="s">
        <v>830</v>
      </c>
      <c r="B7541" s="141" t="s">
        <v>339</v>
      </c>
      <c r="C7541" s="141" t="s">
        <v>45</v>
      </c>
    </row>
    <row r="7542" spans="1:3" x14ac:dyDescent="0.35">
      <c r="A7542" s="141" t="s">
        <v>831</v>
      </c>
      <c r="B7542" s="141" t="s">
        <v>339</v>
      </c>
      <c r="C7542" s="141" t="s">
        <v>45</v>
      </c>
    </row>
    <row r="7543" spans="1:3" x14ac:dyDescent="0.35">
      <c r="A7543" s="141" t="s">
        <v>1042</v>
      </c>
      <c r="B7543" s="141" t="s">
        <v>339</v>
      </c>
      <c r="C7543" s="141" t="s">
        <v>45</v>
      </c>
    </row>
    <row r="7544" spans="1:3" x14ac:dyDescent="0.35">
      <c r="A7544" s="141" t="s">
        <v>1024</v>
      </c>
      <c r="B7544" s="141" t="s">
        <v>339</v>
      </c>
      <c r="C7544" s="141" t="s">
        <v>21</v>
      </c>
    </row>
    <row r="7545" spans="1:3" x14ac:dyDescent="0.35">
      <c r="A7545" s="141" t="s">
        <v>276</v>
      </c>
      <c r="B7545" s="141" t="s">
        <v>339</v>
      </c>
      <c r="C7545" s="141" t="s">
        <v>24</v>
      </c>
    </row>
    <row r="7546" spans="1:3" x14ac:dyDescent="0.35">
      <c r="A7546" s="141" t="s">
        <v>277</v>
      </c>
      <c r="B7546" s="141" t="s">
        <v>339</v>
      </c>
      <c r="C7546" s="141" t="s">
        <v>21</v>
      </c>
    </row>
    <row r="7547" spans="1:3" x14ac:dyDescent="0.35">
      <c r="A7547" s="141" t="s">
        <v>278</v>
      </c>
      <c r="B7547" s="141" t="s">
        <v>339</v>
      </c>
      <c r="C7547" s="141" t="s">
        <v>21</v>
      </c>
    </row>
    <row r="7548" spans="1:3" x14ac:dyDescent="0.35">
      <c r="A7548" s="141" t="s">
        <v>283</v>
      </c>
      <c r="B7548" s="141" t="s">
        <v>339</v>
      </c>
      <c r="C7548" s="141" t="s">
        <v>21</v>
      </c>
    </row>
    <row r="7549" spans="1:3" x14ac:dyDescent="0.35">
      <c r="A7549" s="141" t="s">
        <v>284</v>
      </c>
      <c r="B7549" s="141" t="s">
        <v>339</v>
      </c>
      <c r="C7549" s="141" t="s">
        <v>21</v>
      </c>
    </row>
    <row r="7550" spans="1:3" x14ac:dyDescent="0.35">
      <c r="A7550" s="141" t="s">
        <v>285</v>
      </c>
      <c r="B7550" s="141" t="s">
        <v>339</v>
      </c>
      <c r="C7550" s="141" t="s">
        <v>27</v>
      </c>
    </row>
    <row r="7551" spans="1:3" x14ac:dyDescent="0.35">
      <c r="A7551" s="141" t="s">
        <v>286</v>
      </c>
      <c r="B7551" s="141" t="s">
        <v>339</v>
      </c>
      <c r="C7551" s="141" t="s">
        <v>27</v>
      </c>
    </row>
    <row r="7552" spans="1:3" x14ac:dyDescent="0.35">
      <c r="A7552" s="141" t="s">
        <v>290</v>
      </c>
      <c r="B7552" s="141" t="s">
        <v>339</v>
      </c>
      <c r="C7552" s="141" t="s">
        <v>23</v>
      </c>
    </row>
    <row r="7553" spans="1:3" x14ac:dyDescent="0.35">
      <c r="A7553" s="141" t="s">
        <v>848</v>
      </c>
      <c r="B7553" s="141" t="s">
        <v>339</v>
      </c>
      <c r="C7553" s="141" t="s">
        <v>22</v>
      </c>
    </row>
    <row r="7554" spans="1:3" x14ac:dyDescent="0.35">
      <c r="A7554" s="141" t="s">
        <v>849</v>
      </c>
      <c r="B7554" s="141" t="s">
        <v>339</v>
      </c>
      <c r="C7554" s="141" t="s">
        <v>22</v>
      </c>
    </row>
    <row r="7555" spans="1:3" x14ac:dyDescent="0.35">
      <c r="A7555" s="141" t="s">
        <v>850</v>
      </c>
      <c r="B7555" s="141" t="s">
        <v>339</v>
      </c>
      <c r="C7555" s="141" t="s">
        <v>22</v>
      </c>
    </row>
    <row r="7556" spans="1:3" x14ac:dyDescent="0.35">
      <c r="A7556" s="141" t="s">
        <v>294</v>
      </c>
      <c r="B7556" s="141" t="s">
        <v>339</v>
      </c>
      <c r="C7556" s="141" t="s">
        <v>21</v>
      </c>
    </row>
    <row r="7557" spans="1:3" x14ac:dyDescent="0.35">
      <c r="A7557" s="141" t="s">
        <v>1035</v>
      </c>
      <c r="B7557" s="141" t="s">
        <v>339</v>
      </c>
      <c r="C7557" s="141" t="s">
        <v>21</v>
      </c>
    </row>
    <row r="7558" spans="1:3" x14ac:dyDescent="0.35">
      <c r="A7558" s="141" t="s">
        <v>990</v>
      </c>
      <c r="B7558" s="141" t="s">
        <v>339</v>
      </c>
      <c r="C7558" s="141" t="s">
        <v>21</v>
      </c>
    </row>
    <row r="7559" spans="1:3" x14ac:dyDescent="0.35">
      <c r="A7559" s="141" t="s">
        <v>991</v>
      </c>
      <c r="B7559" s="141" t="s">
        <v>339</v>
      </c>
      <c r="C7559" s="141" t="s">
        <v>21</v>
      </c>
    </row>
    <row r="7560" spans="1:3" x14ac:dyDescent="0.35">
      <c r="A7560" s="141" t="s">
        <v>992</v>
      </c>
      <c r="B7560" s="141" t="s">
        <v>339</v>
      </c>
      <c r="C7560" s="141" t="s">
        <v>21</v>
      </c>
    </row>
    <row r="7561" spans="1:3" x14ac:dyDescent="0.35">
      <c r="A7561" s="141" t="s">
        <v>993</v>
      </c>
      <c r="B7561" s="141" t="s">
        <v>339</v>
      </c>
      <c r="C7561" s="141" t="s">
        <v>21</v>
      </c>
    </row>
    <row r="7562" spans="1:3" x14ac:dyDescent="0.35">
      <c r="A7562" s="141" t="s">
        <v>994</v>
      </c>
      <c r="B7562" s="141" t="s">
        <v>339</v>
      </c>
      <c r="C7562" s="141" t="s">
        <v>21</v>
      </c>
    </row>
    <row r="7563" spans="1:3" x14ac:dyDescent="0.35">
      <c r="A7563" s="141" t="s">
        <v>995</v>
      </c>
      <c r="B7563" s="141" t="s">
        <v>339</v>
      </c>
      <c r="C7563" s="141" t="s">
        <v>21</v>
      </c>
    </row>
    <row r="7564" spans="1:3" x14ac:dyDescent="0.35">
      <c r="A7564" s="141" t="s">
        <v>1029</v>
      </c>
      <c r="B7564" s="141" t="s">
        <v>339</v>
      </c>
      <c r="C7564" s="141" t="s">
        <v>21</v>
      </c>
    </row>
    <row r="7565" spans="1:3" x14ac:dyDescent="0.35">
      <c r="A7565" s="141" t="s">
        <v>1030</v>
      </c>
      <c r="B7565" s="141" t="s">
        <v>339</v>
      </c>
      <c r="C7565" s="141" t="s">
        <v>21</v>
      </c>
    </row>
    <row r="7566" spans="1:3" x14ac:dyDescent="0.35">
      <c r="A7566" s="141" t="s">
        <v>1025</v>
      </c>
      <c r="B7566" s="141" t="s">
        <v>339</v>
      </c>
      <c r="C7566" s="141" t="s">
        <v>27</v>
      </c>
    </row>
    <row r="7567" spans="1:3" x14ac:dyDescent="0.35">
      <c r="A7567" s="141" t="s">
        <v>1026</v>
      </c>
      <c r="B7567" s="141" t="s">
        <v>339</v>
      </c>
      <c r="C7567" s="141" t="s">
        <v>27</v>
      </c>
    </row>
    <row r="7568" spans="1:3" x14ac:dyDescent="0.35">
      <c r="A7568" s="141" t="s">
        <v>1027</v>
      </c>
      <c r="B7568" s="141" t="s">
        <v>339</v>
      </c>
      <c r="C7568" s="141" t="s">
        <v>32</v>
      </c>
    </row>
    <row r="7569" spans="1:3" x14ac:dyDescent="0.35">
      <c r="A7569" s="141" t="s">
        <v>1028</v>
      </c>
      <c r="B7569" s="141" t="s">
        <v>339</v>
      </c>
      <c r="C7569" s="141" t="s">
        <v>27</v>
      </c>
    </row>
    <row r="7570" spans="1:3" x14ac:dyDescent="0.35">
      <c r="A7570" s="141" t="s">
        <v>667</v>
      </c>
      <c r="B7570" s="141" t="s">
        <v>339</v>
      </c>
      <c r="C7570" s="141" t="s">
        <v>55</v>
      </c>
    </row>
    <row r="7571" spans="1:3" x14ac:dyDescent="0.35">
      <c r="A7571" s="141" t="s">
        <v>668</v>
      </c>
      <c r="B7571" s="141" t="s">
        <v>339</v>
      </c>
      <c r="C7571" s="141" t="s">
        <v>54</v>
      </c>
    </row>
    <row r="7572" spans="1:3" x14ac:dyDescent="0.35">
      <c r="A7572" s="141" t="s">
        <v>669</v>
      </c>
      <c r="B7572" s="141" t="s">
        <v>339</v>
      </c>
      <c r="C7572" s="141" t="s">
        <v>55</v>
      </c>
    </row>
    <row r="7573" spans="1:3" x14ac:dyDescent="0.35">
      <c r="A7573" s="141" t="s">
        <v>670</v>
      </c>
      <c r="B7573" s="141" t="s">
        <v>339</v>
      </c>
      <c r="C7573" s="141" t="s">
        <v>54</v>
      </c>
    </row>
    <row r="7574" spans="1:3" x14ac:dyDescent="0.35">
      <c r="A7574" s="141" t="s">
        <v>885</v>
      </c>
      <c r="B7574" s="141" t="s">
        <v>339</v>
      </c>
      <c r="C7574" s="141" t="s">
        <v>19</v>
      </c>
    </row>
    <row r="7575" spans="1:3" x14ac:dyDescent="0.35">
      <c r="A7575" s="141" t="s">
        <v>886</v>
      </c>
      <c r="B7575" s="141" t="s">
        <v>339</v>
      </c>
      <c r="C7575" s="141" t="s">
        <v>19</v>
      </c>
    </row>
    <row r="7576" spans="1:3" x14ac:dyDescent="0.35">
      <c r="A7576" s="141" t="s">
        <v>398</v>
      </c>
      <c r="B7576" s="141" t="s">
        <v>339</v>
      </c>
      <c r="C7576" s="141" t="s">
        <v>17</v>
      </c>
    </row>
    <row r="7577" spans="1:3" x14ac:dyDescent="0.35">
      <c r="A7577" s="141" t="s">
        <v>399</v>
      </c>
      <c r="B7577" s="141" t="s">
        <v>339</v>
      </c>
      <c r="C7577" s="141" t="s">
        <v>16</v>
      </c>
    </row>
    <row r="7578" spans="1:3" x14ac:dyDescent="0.35">
      <c r="A7578" s="141" t="s">
        <v>400</v>
      </c>
      <c r="B7578" s="141" t="s">
        <v>339</v>
      </c>
      <c r="C7578" s="141" t="s">
        <v>20</v>
      </c>
    </row>
    <row r="7579" spans="1:3" x14ac:dyDescent="0.35">
      <c r="A7579" s="141" t="s">
        <v>401</v>
      </c>
      <c r="B7579" s="141" t="s">
        <v>339</v>
      </c>
      <c r="C7579" s="141" t="s">
        <v>20</v>
      </c>
    </row>
    <row r="7580" spans="1:3" x14ac:dyDescent="0.35">
      <c r="A7580" s="141" t="s">
        <v>671</v>
      </c>
      <c r="B7580" s="141" t="s">
        <v>339</v>
      </c>
      <c r="C7580" s="141" t="s">
        <v>20</v>
      </c>
    </row>
    <row r="7581" spans="1:3" x14ac:dyDescent="0.35">
      <c r="A7581" s="141" t="s">
        <v>774</v>
      </c>
      <c r="B7581" s="141" t="s">
        <v>339</v>
      </c>
      <c r="C7581" s="141" t="s">
        <v>38</v>
      </c>
    </row>
    <row r="7582" spans="1:3" x14ac:dyDescent="0.35">
      <c r="A7582" s="141" t="s">
        <v>775</v>
      </c>
      <c r="B7582" s="141" t="s">
        <v>339</v>
      </c>
      <c r="C7582" s="141" t="s">
        <v>38</v>
      </c>
    </row>
    <row r="7583" spans="1:3" x14ac:dyDescent="0.35">
      <c r="A7583" s="141" t="s">
        <v>776</v>
      </c>
      <c r="B7583" s="141" t="s">
        <v>339</v>
      </c>
      <c r="C7583" s="141" t="s">
        <v>45</v>
      </c>
    </row>
    <row r="7584" spans="1:3" x14ac:dyDescent="0.35">
      <c r="A7584" s="141" t="s">
        <v>777</v>
      </c>
      <c r="B7584" s="141" t="s">
        <v>339</v>
      </c>
      <c r="C7584" s="141" t="s">
        <v>46</v>
      </c>
    </row>
    <row r="7585" spans="1:3" x14ac:dyDescent="0.35">
      <c r="A7585" s="141" t="s">
        <v>778</v>
      </c>
      <c r="B7585" s="141" t="s">
        <v>339</v>
      </c>
      <c r="C7585" s="141" t="s">
        <v>45</v>
      </c>
    </row>
    <row r="7586" spans="1:3" x14ac:dyDescent="0.35">
      <c r="A7586" s="141" t="s">
        <v>1023</v>
      </c>
      <c r="B7586" s="141" t="s">
        <v>339</v>
      </c>
      <c r="C7586" s="141" t="s">
        <v>45</v>
      </c>
    </row>
    <row r="7587" spans="1:3" x14ac:dyDescent="0.35">
      <c r="A7587" s="141" t="s">
        <v>781</v>
      </c>
      <c r="B7587" s="141" t="s">
        <v>339</v>
      </c>
      <c r="C7587" s="141" t="s">
        <v>45</v>
      </c>
    </row>
    <row r="7588" spans="1:3" x14ac:dyDescent="0.35">
      <c r="A7588" s="141" t="s">
        <v>409</v>
      </c>
      <c r="B7588" s="141" t="s">
        <v>339</v>
      </c>
      <c r="C7588" s="141" t="s">
        <v>18</v>
      </c>
    </row>
    <row r="7589" spans="1:3" x14ac:dyDescent="0.35">
      <c r="A7589" s="141" t="s">
        <v>1018</v>
      </c>
      <c r="B7589" s="141" t="s">
        <v>339</v>
      </c>
      <c r="C7589" s="141" t="s">
        <v>18</v>
      </c>
    </row>
    <row r="7590" spans="1:3" x14ac:dyDescent="0.35">
      <c r="A7590" s="141" t="s">
        <v>411</v>
      </c>
      <c r="B7590" s="141" t="s">
        <v>339</v>
      </c>
      <c r="C7590" s="141" t="s">
        <v>9</v>
      </c>
    </row>
    <row r="7591" spans="1:3" x14ac:dyDescent="0.35">
      <c r="A7591" s="141" t="s">
        <v>412</v>
      </c>
      <c r="B7591" s="141" t="s">
        <v>339</v>
      </c>
      <c r="C7591" s="141" t="s">
        <v>9</v>
      </c>
    </row>
    <row r="7592" spans="1:3" x14ac:dyDescent="0.35">
      <c r="A7592" s="141" t="s">
        <v>413</v>
      </c>
      <c r="B7592" s="141" t="s">
        <v>339</v>
      </c>
      <c r="C7592" s="141" t="s">
        <v>9</v>
      </c>
    </row>
    <row r="7593" spans="1:3" x14ac:dyDescent="0.35">
      <c r="A7593" s="141" t="s">
        <v>414</v>
      </c>
      <c r="B7593" s="141" t="s">
        <v>339</v>
      </c>
      <c r="C7593" s="141" t="s">
        <v>9</v>
      </c>
    </row>
    <row r="7594" spans="1:3" x14ac:dyDescent="0.35">
      <c r="A7594" s="141" t="s">
        <v>415</v>
      </c>
      <c r="B7594" s="141" t="s">
        <v>339</v>
      </c>
      <c r="C7594" s="141" t="s">
        <v>9</v>
      </c>
    </row>
    <row r="7595" spans="1:3" x14ac:dyDescent="0.35">
      <c r="A7595" s="141" t="s">
        <v>1016</v>
      </c>
      <c r="B7595" s="141" t="s">
        <v>339</v>
      </c>
      <c r="C7595" s="141" t="s">
        <v>20</v>
      </c>
    </row>
    <row r="7596" spans="1:3" x14ac:dyDescent="0.35">
      <c r="A7596" s="141" t="s">
        <v>593</v>
      </c>
      <c r="B7596" s="141" t="s">
        <v>339</v>
      </c>
      <c r="C7596" s="141" t="s">
        <v>20</v>
      </c>
    </row>
    <row r="7597" spans="1:3" x14ac:dyDescent="0.35">
      <c r="A7597" s="141" t="s">
        <v>403</v>
      </c>
      <c r="B7597" s="141" t="s">
        <v>339</v>
      </c>
      <c r="C7597" s="141" t="s">
        <v>20</v>
      </c>
    </row>
    <row r="7598" spans="1:3" x14ac:dyDescent="0.35">
      <c r="A7598" s="141" t="s">
        <v>1017</v>
      </c>
      <c r="B7598" s="141" t="s">
        <v>339</v>
      </c>
      <c r="C7598" s="141" t="s">
        <v>16</v>
      </c>
    </row>
    <row r="7599" spans="1:3" x14ac:dyDescent="0.35">
      <c r="A7599" s="141" t="s">
        <v>416</v>
      </c>
      <c r="B7599" s="141" t="s">
        <v>339</v>
      </c>
      <c r="C7599" s="141" t="s">
        <v>15</v>
      </c>
    </row>
    <row r="7600" spans="1:3" x14ac:dyDescent="0.35">
      <c r="A7600" s="141" t="s">
        <v>417</v>
      </c>
      <c r="B7600" s="141" t="s">
        <v>339</v>
      </c>
      <c r="C7600" s="141" t="s">
        <v>6</v>
      </c>
    </row>
    <row r="7601" spans="1:3" x14ac:dyDescent="0.35">
      <c r="A7601" s="141" t="s">
        <v>1019</v>
      </c>
      <c r="B7601" s="141" t="s">
        <v>339</v>
      </c>
      <c r="C7601" s="141" t="s">
        <v>17</v>
      </c>
    </row>
    <row r="7602" spans="1:3" x14ac:dyDescent="0.35">
      <c r="A7602" s="141" t="s">
        <v>420</v>
      </c>
      <c r="B7602" s="141" t="s">
        <v>339</v>
      </c>
      <c r="C7602" s="141" t="s">
        <v>17</v>
      </c>
    </row>
    <row r="7603" spans="1:3" x14ac:dyDescent="0.35">
      <c r="A7603" s="141" t="s">
        <v>421</v>
      </c>
      <c r="B7603" s="141" t="s">
        <v>339</v>
      </c>
      <c r="C7603" s="141" t="s">
        <v>6</v>
      </c>
    </row>
    <row r="7604" spans="1:3" x14ac:dyDescent="0.35">
      <c r="A7604" s="141" t="s">
        <v>422</v>
      </c>
      <c r="B7604" s="141" t="s">
        <v>339</v>
      </c>
      <c r="C7604" s="141" t="s">
        <v>17</v>
      </c>
    </row>
    <row r="7605" spans="1:3" x14ac:dyDescent="0.35">
      <c r="A7605" s="141" t="s">
        <v>406</v>
      </c>
      <c r="B7605" s="141" t="s">
        <v>339</v>
      </c>
      <c r="C7605" s="141" t="s">
        <v>18</v>
      </c>
    </row>
    <row r="7606" spans="1:3" x14ac:dyDescent="0.35">
      <c r="A7606" s="141" t="s">
        <v>407</v>
      </c>
      <c r="B7606" s="141" t="s">
        <v>339</v>
      </c>
      <c r="C7606" s="141" t="s">
        <v>17</v>
      </c>
    </row>
    <row r="7607" spans="1:3" x14ac:dyDescent="0.35">
      <c r="A7607" s="141" t="s">
        <v>566</v>
      </c>
      <c r="B7607" s="141" t="s">
        <v>339</v>
      </c>
      <c r="C7607" s="141" t="s">
        <v>17</v>
      </c>
    </row>
    <row r="7608" spans="1:3" x14ac:dyDescent="0.35">
      <c r="A7608" s="141" t="s">
        <v>833</v>
      </c>
      <c r="B7608" s="141" t="s">
        <v>339</v>
      </c>
      <c r="C7608" s="141" t="s">
        <v>17</v>
      </c>
    </row>
    <row r="7609" spans="1:3" x14ac:dyDescent="0.35">
      <c r="A7609" s="141" t="s">
        <v>672</v>
      </c>
      <c r="B7609" s="141" t="s">
        <v>339</v>
      </c>
      <c r="C7609" s="141" t="s">
        <v>25</v>
      </c>
    </row>
    <row r="7610" spans="1:3" x14ac:dyDescent="0.35">
      <c r="A7610" s="141" t="s">
        <v>897</v>
      </c>
      <c r="B7610" s="141" t="s">
        <v>339</v>
      </c>
      <c r="C7610" s="141" t="s">
        <v>26</v>
      </c>
    </row>
    <row r="7611" spans="1:3" x14ac:dyDescent="0.35">
      <c r="A7611" s="141" t="s">
        <v>895</v>
      </c>
      <c r="B7611" s="141" t="s">
        <v>339</v>
      </c>
      <c r="C7611" s="141" t="s">
        <v>25</v>
      </c>
    </row>
    <row r="7612" spans="1:3" x14ac:dyDescent="0.35">
      <c r="A7612" s="141" t="s">
        <v>996</v>
      </c>
      <c r="B7612" s="141" t="s">
        <v>339</v>
      </c>
      <c r="C7612" s="141" t="s">
        <v>25</v>
      </c>
    </row>
    <row r="7613" spans="1:3" x14ac:dyDescent="0.35">
      <c r="A7613" s="141" t="s">
        <v>898</v>
      </c>
      <c r="B7613" s="141" t="s">
        <v>339</v>
      </c>
      <c r="C7613" s="141" t="s">
        <v>25</v>
      </c>
    </row>
    <row r="7614" spans="1:3" x14ac:dyDescent="0.35">
      <c r="A7614" s="141" t="s">
        <v>896</v>
      </c>
      <c r="B7614" s="141" t="s">
        <v>339</v>
      </c>
      <c r="C7614" s="141" t="s">
        <v>25</v>
      </c>
    </row>
    <row r="7615" spans="1:3" x14ac:dyDescent="0.35">
      <c r="A7615" s="141" t="s">
        <v>963</v>
      </c>
      <c r="B7615" s="141" t="s">
        <v>339</v>
      </c>
      <c r="C7615" s="141" t="s">
        <v>25</v>
      </c>
    </row>
    <row r="7616" spans="1:3" x14ac:dyDescent="0.35">
      <c r="A7616" s="141" t="s">
        <v>957</v>
      </c>
      <c r="B7616" s="141" t="s">
        <v>339</v>
      </c>
      <c r="C7616" s="141" t="s">
        <v>25</v>
      </c>
    </row>
    <row r="7617" spans="1:3" x14ac:dyDescent="0.35">
      <c r="A7617" s="141" t="s">
        <v>958</v>
      </c>
      <c r="B7617" s="141" t="s">
        <v>339</v>
      </c>
      <c r="C7617" s="141" t="s">
        <v>25</v>
      </c>
    </row>
    <row r="7618" spans="1:3" x14ac:dyDescent="0.35">
      <c r="A7618" s="141" t="s">
        <v>964</v>
      </c>
      <c r="B7618" s="141" t="s">
        <v>339</v>
      </c>
      <c r="C7618" s="141" t="s">
        <v>25</v>
      </c>
    </row>
    <row r="7619" spans="1:3" x14ac:dyDescent="0.35">
      <c r="A7619" s="141" t="s">
        <v>863</v>
      </c>
      <c r="B7619" s="141" t="s">
        <v>339</v>
      </c>
      <c r="C7619" s="141" t="s">
        <v>30</v>
      </c>
    </row>
    <row r="7620" spans="1:3" x14ac:dyDescent="0.35">
      <c r="A7620" s="141" t="s">
        <v>864</v>
      </c>
      <c r="B7620" s="141" t="s">
        <v>339</v>
      </c>
      <c r="C7620" s="141" t="s">
        <v>30</v>
      </c>
    </row>
    <row r="7621" spans="1:3" x14ac:dyDescent="0.35">
      <c r="A7621" s="141" t="s">
        <v>865</v>
      </c>
      <c r="B7621" s="141" t="s">
        <v>339</v>
      </c>
      <c r="C7621" s="141" t="s">
        <v>34</v>
      </c>
    </row>
    <row r="7622" spans="1:3" x14ac:dyDescent="0.35">
      <c r="A7622" s="141" t="s">
        <v>866</v>
      </c>
      <c r="B7622" s="141" t="s">
        <v>339</v>
      </c>
      <c r="C7622" s="141" t="s">
        <v>34</v>
      </c>
    </row>
    <row r="7623" spans="1:3" x14ac:dyDescent="0.35">
      <c r="A7623" s="141" t="s">
        <v>784</v>
      </c>
      <c r="B7623" s="141" t="s">
        <v>339</v>
      </c>
      <c r="C7623" s="141" t="s">
        <v>30</v>
      </c>
    </row>
    <row r="7624" spans="1:3" x14ac:dyDescent="0.35">
      <c r="A7624" s="141" t="s">
        <v>867</v>
      </c>
      <c r="B7624" s="141" t="s">
        <v>339</v>
      </c>
      <c r="C7624" s="141" t="s">
        <v>30</v>
      </c>
    </row>
    <row r="7625" spans="1:3" x14ac:dyDescent="0.35">
      <c r="A7625" s="141" t="s">
        <v>525</v>
      </c>
      <c r="B7625" s="141" t="s">
        <v>339</v>
      </c>
      <c r="C7625" s="141" t="s">
        <v>46</v>
      </c>
    </row>
    <row r="7626" spans="1:3" x14ac:dyDescent="0.35">
      <c r="A7626" s="141" t="s">
        <v>1001</v>
      </c>
      <c r="B7626" s="141" t="s">
        <v>339</v>
      </c>
      <c r="C7626" s="141" t="s">
        <v>32</v>
      </c>
    </row>
    <row r="7627" spans="1:3" x14ac:dyDescent="0.35">
      <c r="A7627" s="141" t="s">
        <v>870</v>
      </c>
      <c r="B7627" s="141" t="s">
        <v>339</v>
      </c>
      <c r="C7627" s="141" t="s">
        <v>32</v>
      </c>
    </row>
    <row r="7628" spans="1:3" x14ac:dyDescent="0.35">
      <c r="A7628" s="141" t="s">
        <v>932</v>
      </c>
      <c r="B7628" s="141" t="s">
        <v>339</v>
      </c>
      <c r="C7628" s="141" t="s">
        <v>49</v>
      </c>
    </row>
    <row r="7629" spans="1:3" x14ac:dyDescent="0.35">
      <c r="A7629" s="141" t="s">
        <v>940</v>
      </c>
      <c r="B7629" s="141" t="s">
        <v>339</v>
      </c>
      <c r="C7629" s="141" t="s">
        <v>49</v>
      </c>
    </row>
    <row r="7630" spans="1:3" x14ac:dyDescent="0.35">
      <c r="A7630" s="141" t="s">
        <v>941</v>
      </c>
      <c r="B7630" s="141" t="s">
        <v>339</v>
      </c>
      <c r="C7630" s="141" t="s">
        <v>49</v>
      </c>
    </row>
    <row r="7631" spans="1:3" x14ac:dyDescent="0.35">
      <c r="A7631" s="141" t="s">
        <v>933</v>
      </c>
      <c r="B7631" s="141" t="s">
        <v>339</v>
      </c>
      <c r="C7631" s="141" t="s">
        <v>32</v>
      </c>
    </row>
    <row r="7632" spans="1:3" x14ac:dyDescent="0.35">
      <c r="A7632" s="141" t="s">
        <v>946</v>
      </c>
      <c r="B7632" s="141" t="s">
        <v>339</v>
      </c>
      <c r="C7632" s="141" t="s">
        <v>25</v>
      </c>
    </row>
    <row r="7633" spans="1:3" x14ac:dyDescent="0.35">
      <c r="A7633" s="141" t="s">
        <v>935</v>
      </c>
      <c r="B7633" s="141" t="s">
        <v>339</v>
      </c>
      <c r="C7633" s="141" t="s">
        <v>32</v>
      </c>
    </row>
    <row r="7634" spans="1:3" x14ac:dyDescent="0.35">
      <c r="A7634" s="141" t="s">
        <v>937</v>
      </c>
      <c r="B7634" s="141" t="s">
        <v>339</v>
      </c>
      <c r="C7634" s="141" t="s">
        <v>32</v>
      </c>
    </row>
    <row r="7635" spans="1:3" x14ac:dyDescent="0.35">
      <c r="A7635" s="141" t="s">
        <v>938</v>
      </c>
      <c r="B7635" s="141" t="s">
        <v>339</v>
      </c>
      <c r="C7635" s="141" t="s">
        <v>32</v>
      </c>
    </row>
    <row r="7636" spans="1:3" x14ac:dyDescent="0.35">
      <c r="A7636" s="141" t="s">
        <v>939</v>
      </c>
      <c r="B7636" s="141" t="s">
        <v>339</v>
      </c>
      <c r="C7636" s="141" t="s">
        <v>32</v>
      </c>
    </row>
    <row r="7637" spans="1:3" x14ac:dyDescent="0.35">
      <c r="A7637" s="141" t="s">
        <v>942</v>
      </c>
      <c r="B7637" s="141" t="s">
        <v>339</v>
      </c>
      <c r="C7637" s="141" t="s">
        <v>32</v>
      </c>
    </row>
    <row r="7638" spans="1:3" x14ac:dyDescent="0.35">
      <c r="A7638" s="141" t="s">
        <v>943</v>
      </c>
      <c r="B7638" s="141" t="s">
        <v>339</v>
      </c>
      <c r="C7638" s="141" t="s">
        <v>32</v>
      </c>
    </row>
    <row r="7639" spans="1:3" x14ac:dyDescent="0.35">
      <c r="A7639" s="141" t="s">
        <v>944</v>
      </c>
      <c r="B7639" s="141" t="s">
        <v>339</v>
      </c>
      <c r="C7639" s="141" t="s">
        <v>32</v>
      </c>
    </row>
    <row r="7640" spans="1:3" x14ac:dyDescent="0.35">
      <c r="A7640" s="141" t="s">
        <v>296</v>
      </c>
      <c r="B7640" s="141" t="s">
        <v>339</v>
      </c>
      <c r="C7640" s="141" t="s">
        <v>32</v>
      </c>
    </row>
    <row r="7641" spans="1:3" x14ac:dyDescent="0.35">
      <c r="A7641" s="141" t="s">
        <v>947</v>
      </c>
      <c r="B7641" s="141" t="s">
        <v>339</v>
      </c>
      <c r="C7641" s="141" t="s">
        <v>32</v>
      </c>
    </row>
    <row r="7642" spans="1:3" x14ac:dyDescent="0.35">
      <c r="A7642" s="141" t="s">
        <v>948</v>
      </c>
      <c r="B7642" s="141" t="s">
        <v>339</v>
      </c>
      <c r="C7642" s="141" t="s">
        <v>32</v>
      </c>
    </row>
    <row r="7643" spans="1:3" x14ac:dyDescent="0.35">
      <c r="A7643" s="141" t="s">
        <v>949</v>
      </c>
      <c r="B7643" s="141" t="s">
        <v>339</v>
      </c>
      <c r="C7643" s="141" t="s">
        <v>32</v>
      </c>
    </row>
    <row r="7644" spans="1:3" x14ac:dyDescent="0.35">
      <c r="A7644" s="141" t="s">
        <v>950</v>
      </c>
      <c r="B7644" s="141" t="s">
        <v>339</v>
      </c>
      <c r="C7644" s="141" t="s">
        <v>32</v>
      </c>
    </row>
    <row r="7645" spans="1:3" x14ac:dyDescent="0.35">
      <c r="A7645" s="141" t="s">
        <v>951</v>
      </c>
      <c r="B7645" s="141" t="s">
        <v>339</v>
      </c>
      <c r="C7645" s="141" t="s">
        <v>32</v>
      </c>
    </row>
    <row r="7646" spans="1:3" x14ac:dyDescent="0.35">
      <c r="A7646" s="141" t="s">
        <v>952</v>
      </c>
      <c r="B7646" s="141" t="s">
        <v>339</v>
      </c>
      <c r="C7646" s="141" t="s">
        <v>32</v>
      </c>
    </row>
    <row r="7647" spans="1:3" x14ac:dyDescent="0.35">
      <c r="A7647" s="141" t="s">
        <v>953</v>
      </c>
      <c r="B7647" s="141" t="s">
        <v>339</v>
      </c>
      <c r="C7647" s="141" t="s">
        <v>31</v>
      </c>
    </row>
    <row r="7648" spans="1:3" x14ac:dyDescent="0.35">
      <c r="A7648" s="141" t="s">
        <v>934</v>
      </c>
      <c r="B7648" s="141" t="s">
        <v>339</v>
      </c>
      <c r="C7648" s="141" t="s">
        <v>32</v>
      </c>
    </row>
    <row r="7649" spans="1:3" x14ac:dyDescent="0.35">
      <c r="A7649" s="141" t="s">
        <v>936</v>
      </c>
      <c r="B7649" s="141" t="s">
        <v>339</v>
      </c>
      <c r="C7649" s="141" t="s">
        <v>32</v>
      </c>
    </row>
    <row r="7650" spans="1:3" x14ac:dyDescent="0.35">
      <c r="A7650" s="141" t="s">
        <v>945</v>
      </c>
      <c r="B7650" s="141" t="s">
        <v>339</v>
      </c>
      <c r="C7650" s="141" t="s">
        <v>32</v>
      </c>
    </row>
    <row r="7651" spans="1:3" x14ac:dyDescent="0.35">
      <c r="A7651" s="141" t="s">
        <v>986</v>
      </c>
      <c r="B7651" s="141" t="s">
        <v>339</v>
      </c>
      <c r="C7651" s="141" t="s">
        <v>32</v>
      </c>
    </row>
    <row r="7652" spans="1:3" x14ac:dyDescent="0.35">
      <c r="A7652" s="141" t="s">
        <v>861</v>
      </c>
      <c r="B7652" s="141" t="s">
        <v>339</v>
      </c>
      <c r="C7652" s="141" t="s">
        <v>33</v>
      </c>
    </row>
    <row r="7653" spans="1:3" x14ac:dyDescent="0.35">
      <c r="A7653" s="141" t="s">
        <v>862</v>
      </c>
      <c r="B7653" s="141" t="s">
        <v>339</v>
      </c>
      <c r="C7653" s="141" t="s">
        <v>33</v>
      </c>
    </row>
    <row r="7654" spans="1:3" x14ac:dyDescent="0.35">
      <c r="A7654" s="141" t="s">
        <v>516</v>
      </c>
      <c r="B7654" s="141" t="s">
        <v>339</v>
      </c>
      <c r="C7654" s="141" t="s">
        <v>33</v>
      </c>
    </row>
    <row r="7655" spans="1:3" x14ac:dyDescent="0.35">
      <c r="A7655" s="141" t="s">
        <v>892</v>
      </c>
      <c r="B7655" s="141" t="s">
        <v>339</v>
      </c>
      <c r="C7655" s="141" t="s">
        <v>33</v>
      </c>
    </row>
    <row r="7656" spans="1:3" x14ac:dyDescent="0.35">
      <c r="A7656" s="141" t="s">
        <v>893</v>
      </c>
      <c r="B7656" s="141" t="s">
        <v>339</v>
      </c>
      <c r="C7656" s="141" t="s">
        <v>33</v>
      </c>
    </row>
    <row r="7657" spans="1:3" x14ac:dyDescent="0.35">
      <c r="A7657" s="141" t="s">
        <v>894</v>
      </c>
      <c r="B7657" s="141" t="s">
        <v>339</v>
      </c>
      <c r="C7657" s="141" t="s">
        <v>33</v>
      </c>
    </row>
    <row r="7658" spans="1:3" x14ac:dyDescent="0.35">
      <c r="A7658" s="141" t="s">
        <v>954</v>
      </c>
      <c r="B7658" s="141" t="s">
        <v>339</v>
      </c>
      <c r="C7658" s="141" t="s">
        <v>35</v>
      </c>
    </row>
    <row r="7659" spans="1:3" x14ac:dyDescent="0.35">
      <c r="A7659" s="141" t="s">
        <v>955</v>
      </c>
      <c r="B7659" s="141" t="s">
        <v>339</v>
      </c>
      <c r="C7659" s="141" t="s">
        <v>33</v>
      </c>
    </row>
    <row r="7660" spans="1:3" x14ac:dyDescent="0.35">
      <c r="A7660" s="141" t="s">
        <v>956</v>
      </c>
      <c r="B7660" s="141" t="s">
        <v>339</v>
      </c>
      <c r="C7660" s="141" t="s">
        <v>33</v>
      </c>
    </row>
    <row r="7661" spans="1:3" x14ac:dyDescent="0.35">
      <c r="A7661" s="141" t="s">
        <v>706</v>
      </c>
      <c r="B7661" s="141" t="s">
        <v>339</v>
      </c>
      <c r="C7661" s="141" t="s">
        <v>31</v>
      </c>
    </row>
    <row r="7662" spans="1:3" x14ac:dyDescent="0.35">
      <c r="A7662" s="141" t="s">
        <v>707</v>
      </c>
      <c r="B7662" s="141" t="s">
        <v>339</v>
      </c>
      <c r="C7662" s="141" t="s">
        <v>31</v>
      </c>
    </row>
    <row r="7663" spans="1:3" x14ac:dyDescent="0.35">
      <c r="A7663" s="141" t="s">
        <v>708</v>
      </c>
      <c r="B7663" s="141" t="s">
        <v>339</v>
      </c>
      <c r="C7663" s="141" t="s">
        <v>31</v>
      </c>
    </row>
    <row r="7664" spans="1:3" x14ac:dyDescent="0.35">
      <c r="A7664" s="141" t="s">
        <v>709</v>
      </c>
      <c r="B7664" s="141" t="s">
        <v>339</v>
      </c>
      <c r="C7664" s="141" t="s">
        <v>31</v>
      </c>
    </row>
    <row r="7665" spans="1:3" x14ac:dyDescent="0.35">
      <c r="A7665" s="141" t="s">
        <v>710</v>
      </c>
      <c r="B7665" s="141" t="s">
        <v>339</v>
      </c>
      <c r="C7665" s="141" t="s">
        <v>31</v>
      </c>
    </row>
    <row r="7666" spans="1:3" x14ac:dyDescent="0.35">
      <c r="A7666" s="141" t="s">
        <v>456</v>
      </c>
      <c r="B7666" s="141" t="s">
        <v>339</v>
      </c>
      <c r="C7666" s="141" t="s">
        <v>31</v>
      </c>
    </row>
    <row r="7667" spans="1:3" x14ac:dyDescent="0.35">
      <c r="A7667" s="141" t="s">
        <v>297</v>
      </c>
      <c r="B7667" s="141" t="s">
        <v>339</v>
      </c>
      <c r="C7667" s="141" t="s">
        <v>32</v>
      </c>
    </row>
    <row r="7668" spans="1:3" x14ac:dyDescent="0.35">
      <c r="A7668" s="141" t="s">
        <v>298</v>
      </c>
      <c r="B7668" s="141" t="s">
        <v>339</v>
      </c>
      <c r="C7668" s="141" t="s">
        <v>32</v>
      </c>
    </row>
    <row r="7669" spans="1:3" x14ac:dyDescent="0.35">
      <c r="A7669" s="141" t="s">
        <v>299</v>
      </c>
      <c r="B7669" s="141" t="s">
        <v>339</v>
      </c>
      <c r="C7669" s="141" t="s">
        <v>32</v>
      </c>
    </row>
    <row r="7670" spans="1:3" x14ac:dyDescent="0.35">
      <c r="A7670" s="141" t="s">
        <v>300</v>
      </c>
      <c r="B7670" s="141" t="s">
        <v>339</v>
      </c>
      <c r="C7670" s="141" t="s">
        <v>32</v>
      </c>
    </row>
    <row r="7671" spans="1:3" x14ac:dyDescent="0.35">
      <c r="A7671" s="141" t="s">
        <v>301</v>
      </c>
      <c r="B7671" s="141" t="s">
        <v>339</v>
      </c>
      <c r="C7671" s="141" t="s">
        <v>32</v>
      </c>
    </row>
    <row r="7672" spans="1:3" x14ac:dyDescent="0.35">
      <c r="A7672" s="141" t="s">
        <v>302</v>
      </c>
      <c r="B7672" s="141" t="s">
        <v>339</v>
      </c>
      <c r="C7672" s="141" t="s">
        <v>32</v>
      </c>
    </row>
    <row r="7673" spans="1:3" x14ac:dyDescent="0.35">
      <c r="A7673" s="141" t="s">
        <v>997</v>
      </c>
      <c r="B7673" s="141" t="s">
        <v>339</v>
      </c>
      <c r="C7673" s="141" t="s">
        <v>32</v>
      </c>
    </row>
    <row r="7674" spans="1:3" x14ac:dyDescent="0.35">
      <c r="A7674" s="141" t="s">
        <v>902</v>
      </c>
      <c r="B7674" s="141" t="s">
        <v>339</v>
      </c>
      <c r="C7674" s="141" t="s">
        <v>31</v>
      </c>
    </row>
    <row r="7675" spans="1:3" x14ac:dyDescent="0.35">
      <c r="A7675" s="141" t="s">
        <v>903</v>
      </c>
      <c r="B7675" s="141" t="s">
        <v>339</v>
      </c>
      <c r="C7675" s="141" t="s">
        <v>31</v>
      </c>
    </row>
    <row r="7676" spans="1:3" x14ac:dyDescent="0.35">
      <c r="A7676" s="141" t="s">
        <v>904</v>
      </c>
      <c r="B7676" s="141" t="s">
        <v>339</v>
      </c>
      <c r="C7676" s="141" t="s">
        <v>31</v>
      </c>
    </row>
    <row r="7677" spans="1:3" x14ac:dyDescent="0.35">
      <c r="A7677" s="141" t="s">
        <v>905</v>
      </c>
      <c r="B7677" s="141" t="s">
        <v>339</v>
      </c>
      <c r="C7677" s="141" t="s">
        <v>31</v>
      </c>
    </row>
    <row r="7678" spans="1:3" x14ac:dyDescent="0.35">
      <c r="A7678" s="141" t="s">
        <v>906</v>
      </c>
      <c r="B7678" s="141" t="s">
        <v>339</v>
      </c>
      <c r="C7678" s="141" t="s">
        <v>31</v>
      </c>
    </row>
    <row r="7679" spans="1:3" x14ac:dyDescent="0.35">
      <c r="A7679" s="141" t="s">
        <v>907</v>
      </c>
      <c r="B7679" s="141" t="s">
        <v>339</v>
      </c>
      <c r="C7679" s="141" t="s">
        <v>31</v>
      </c>
    </row>
    <row r="7680" spans="1:3" x14ac:dyDescent="0.35">
      <c r="A7680" s="141" t="s">
        <v>908</v>
      </c>
      <c r="B7680" s="141" t="s">
        <v>339</v>
      </c>
      <c r="C7680" s="141" t="s">
        <v>31</v>
      </c>
    </row>
    <row r="7681" spans="1:3" x14ac:dyDescent="0.35">
      <c r="A7681" s="141" t="s">
        <v>909</v>
      </c>
      <c r="B7681" s="141" t="s">
        <v>339</v>
      </c>
      <c r="C7681" s="141" t="s">
        <v>31</v>
      </c>
    </row>
    <row r="7682" spans="1:3" x14ac:dyDescent="0.35">
      <c r="A7682" s="141" t="s">
        <v>983</v>
      </c>
      <c r="B7682" s="141" t="s">
        <v>339</v>
      </c>
      <c r="C7682" s="141" t="s">
        <v>28</v>
      </c>
    </row>
    <row r="7683" spans="1:3" x14ac:dyDescent="0.35">
      <c r="A7683" s="141" t="s">
        <v>929</v>
      </c>
      <c r="B7683" s="141" t="s">
        <v>339</v>
      </c>
      <c r="C7683" s="141" t="s">
        <v>28</v>
      </c>
    </row>
    <row r="7684" spans="1:3" x14ac:dyDescent="0.35">
      <c r="A7684" s="141" t="s">
        <v>998</v>
      </c>
      <c r="B7684" s="141" t="s">
        <v>339</v>
      </c>
      <c r="C7684" s="141" t="s">
        <v>28</v>
      </c>
    </row>
    <row r="7685" spans="1:3" x14ac:dyDescent="0.35">
      <c r="A7685" s="141" t="s">
        <v>985</v>
      </c>
      <c r="B7685" s="141" t="s">
        <v>339</v>
      </c>
      <c r="C7685" s="141" t="s">
        <v>29</v>
      </c>
    </row>
    <row r="7686" spans="1:3" x14ac:dyDescent="0.35">
      <c r="A7686" s="141" t="s">
        <v>1050</v>
      </c>
      <c r="B7686" s="141" t="s">
        <v>339</v>
      </c>
      <c r="C7686" s="141" t="s">
        <v>29</v>
      </c>
    </row>
    <row r="7687" spans="1:3" x14ac:dyDescent="0.35">
      <c r="A7687" s="141" t="s">
        <v>1049</v>
      </c>
      <c r="B7687" s="141" t="s">
        <v>339</v>
      </c>
      <c r="C7687" s="141" t="s">
        <v>29</v>
      </c>
    </row>
    <row r="7688" spans="1:3" x14ac:dyDescent="0.35">
      <c r="A7688" s="141" t="s">
        <v>984</v>
      </c>
      <c r="B7688" s="141" t="s">
        <v>339</v>
      </c>
      <c r="C7688" s="141" t="s">
        <v>33</v>
      </c>
    </row>
    <row r="7689" spans="1:3" x14ac:dyDescent="0.35">
      <c r="A7689" s="141" t="s">
        <v>910</v>
      </c>
      <c r="B7689" s="141" t="s">
        <v>339</v>
      </c>
      <c r="C7689" s="141" t="s">
        <v>33</v>
      </c>
    </row>
    <row r="7690" spans="1:3" x14ac:dyDescent="0.35">
      <c r="A7690" s="141" t="s">
        <v>911</v>
      </c>
      <c r="B7690" s="141" t="s">
        <v>339</v>
      </c>
      <c r="C7690" s="141" t="s">
        <v>33</v>
      </c>
    </row>
    <row r="7691" spans="1:3" x14ac:dyDescent="0.35">
      <c r="A7691" s="141" t="s">
        <v>912</v>
      </c>
      <c r="B7691" s="141" t="s">
        <v>339</v>
      </c>
      <c r="C7691" s="141" t="s">
        <v>33</v>
      </c>
    </row>
    <row r="7692" spans="1:3" x14ac:dyDescent="0.35">
      <c r="A7692" s="141" t="s">
        <v>914</v>
      </c>
      <c r="B7692" s="141" t="s">
        <v>339</v>
      </c>
      <c r="C7692" s="141" t="s">
        <v>33</v>
      </c>
    </row>
    <row r="7693" spans="1:3" x14ac:dyDescent="0.35">
      <c r="A7693" s="141" t="s">
        <v>926</v>
      </c>
      <c r="B7693" s="141" t="s">
        <v>339</v>
      </c>
      <c r="C7693" s="141" t="s">
        <v>37</v>
      </c>
    </row>
    <row r="7694" spans="1:3" x14ac:dyDescent="0.35">
      <c r="A7694" s="141" t="s">
        <v>927</v>
      </c>
      <c r="B7694" s="141" t="s">
        <v>339</v>
      </c>
      <c r="C7694" s="141" t="s">
        <v>37</v>
      </c>
    </row>
    <row r="7695" spans="1:3" x14ac:dyDescent="0.35">
      <c r="A7695" s="141" t="s">
        <v>931</v>
      </c>
      <c r="B7695" s="141" t="s">
        <v>339</v>
      </c>
      <c r="C7695" s="141" t="s">
        <v>36</v>
      </c>
    </row>
    <row r="7696" spans="1:3" x14ac:dyDescent="0.35">
      <c r="A7696" s="141" t="s">
        <v>570</v>
      </c>
      <c r="B7696" s="141" t="s">
        <v>339</v>
      </c>
      <c r="C7696" s="141" t="s">
        <v>52</v>
      </c>
    </row>
    <row r="7697" spans="1:3" x14ac:dyDescent="0.35">
      <c r="A7697" s="141" t="s">
        <v>855</v>
      </c>
      <c r="B7697" s="141" t="s">
        <v>339</v>
      </c>
      <c r="C7697" s="141" t="s">
        <v>52</v>
      </c>
    </row>
    <row r="7698" spans="1:3" x14ac:dyDescent="0.35">
      <c r="A7698" s="141" t="s">
        <v>1022</v>
      </c>
      <c r="B7698" s="141" t="s">
        <v>339</v>
      </c>
      <c r="C7698" s="141" t="s">
        <v>29</v>
      </c>
    </row>
    <row r="7699" spans="1:3" x14ac:dyDescent="0.35">
      <c r="A7699" s="141" t="s">
        <v>1020</v>
      </c>
      <c r="B7699" s="141" t="s">
        <v>339</v>
      </c>
      <c r="C7699" s="141" t="s">
        <v>29</v>
      </c>
    </row>
    <row r="7700" spans="1:3" x14ac:dyDescent="0.35">
      <c r="A7700" s="141" t="s">
        <v>1021</v>
      </c>
      <c r="B7700" s="141" t="s">
        <v>339</v>
      </c>
      <c r="C7700" s="141" t="s">
        <v>29</v>
      </c>
    </row>
    <row r="7701" spans="1:3" x14ac:dyDescent="0.35">
      <c r="A7701" s="141" t="s">
        <v>856</v>
      </c>
      <c r="B7701" s="141" t="s">
        <v>339</v>
      </c>
      <c r="C7701" s="141" t="s">
        <v>52</v>
      </c>
    </row>
    <row r="7702" spans="1:3" x14ac:dyDescent="0.35">
      <c r="A7702" s="141" t="s">
        <v>857</v>
      </c>
      <c r="B7702" s="141" t="s">
        <v>339</v>
      </c>
      <c r="C7702" s="141" t="s">
        <v>52</v>
      </c>
    </row>
    <row r="7703" spans="1:3" x14ac:dyDescent="0.35">
      <c r="A7703" s="141" t="s">
        <v>601</v>
      </c>
      <c r="B7703" s="141" t="s">
        <v>339</v>
      </c>
      <c r="C7703" s="141" t="s">
        <v>40</v>
      </c>
    </row>
    <row r="7704" spans="1:3" x14ac:dyDescent="0.35">
      <c r="A7704" s="141" t="s">
        <v>602</v>
      </c>
      <c r="B7704" s="141" t="s">
        <v>339</v>
      </c>
      <c r="C7704" s="141" t="s">
        <v>39</v>
      </c>
    </row>
    <row r="7705" spans="1:3" x14ac:dyDescent="0.35">
      <c r="A7705" s="141" t="s">
        <v>1006</v>
      </c>
      <c r="B7705" s="141" t="s">
        <v>339</v>
      </c>
      <c r="C7705" s="141" t="s">
        <v>41</v>
      </c>
    </row>
    <row r="7706" spans="1:3" x14ac:dyDescent="0.35">
      <c r="A7706" s="141" t="s">
        <v>737</v>
      </c>
      <c r="B7706" s="141" t="s">
        <v>339</v>
      </c>
      <c r="C7706" s="141" t="s">
        <v>41</v>
      </c>
    </row>
    <row r="7707" spans="1:3" x14ac:dyDescent="0.35">
      <c r="A7707" s="141" t="s">
        <v>738</v>
      </c>
      <c r="B7707" s="141" t="s">
        <v>339</v>
      </c>
      <c r="C7707" s="141" t="s">
        <v>41</v>
      </c>
    </row>
    <row r="7708" spans="1:3" x14ac:dyDescent="0.35">
      <c r="A7708" s="141" t="s">
        <v>797</v>
      </c>
      <c r="B7708" s="141" t="s">
        <v>339</v>
      </c>
      <c r="C7708" s="141" t="s">
        <v>41</v>
      </c>
    </row>
    <row r="7709" spans="1:3" x14ac:dyDescent="0.35">
      <c r="A7709" s="141" t="s">
        <v>1007</v>
      </c>
      <c r="B7709" s="141" t="s">
        <v>339</v>
      </c>
      <c r="C7709" s="141" t="s">
        <v>40</v>
      </c>
    </row>
    <row r="7710" spans="1:3" x14ac:dyDescent="0.35">
      <c r="A7710" s="141" t="s">
        <v>989</v>
      </c>
      <c r="B7710" s="141" t="s">
        <v>339</v>
      </c>
      <c r="C7710" s="141" t="s">
        <v>42</v>
      </c>
    </row>
    <row r="7711" spans="1:3" x14ac:dyDescent="0.35">
      <c r="A7711" s="141" t="s">
        <v>807</v>
      </c>
      <c r="B7711" s="141" t="s">
        <v>339</v>
      </c>
      <c r="C7711" s="141" t="s">
        <v>3</v>
      </c>
    </row>
    <row r="7712" spans="1:3" x14ac:dyDescent="0.35">
      <c r="A7712" s="141" t="s">
        <v>305</v>
      </c>
      <c r="B7712" s="141" t="s">
        <v>339</v>
      </c>
      <c r="C7712" s="141" t="s">
        <v>21</v>
      </c>
    </row>
    <row r="7713" spans="1:3" x14ac:dyDescent="0.35">
      <c r="A7713" s="141" t="s">
        <v>977</v>
      </c>
      <c r="B7713" s="141" t="s">
        <v>339</v>
      </c>
      <c r="C7713" s="141" t="s">
        <v>52</v>
      </c>
    </row>
    <row r="7714" spans="1:3" x14ac:dyDescent="0.35">
      <c r="A7714" s="141" t="s">
        <v>1047</v>
      </c>
      <c r="B7714" s="141" t="s">
        <v>339</v>
      </c>
      <c r="C7714" s="141" t="s">
        <v>49</v>
      </c>
    </row>
    <row r="7715" spans="1:3" x14ac:dyDescent="0.35">
      <c r="A7715" s="141" t="s">
        <v>1048</v>
      </c>
      <c r="B7715" s="141" t="s">
        <v>339</v>
      </c>
      <c r="C7715" s="141" t="s">
        <v>49</v>
      </c>
    </row>
    <row r="7716" spans="1:3" x14ac:dyDescent="0.35">
      <c r="A7716" s="141" t="s">
        <v>306</v>
      </c>
      <c r="B7716" s="141" t="s">
        <v>339</v>
      </c>
      <c r="C7716" s="141" t="s">
        <v>35</v>
      </c>
    </row>
    <row r="7717" spans="1:3" x14ac:dyDescent="0.35">
      <c r="A7717" s="141" t="s">
        <v>1031</v>
      </c>
      <c r="B7717" s="141" t="s">
        <v>339</v>
      </c>
      <c r="C7717" s="141" t="s">
        <v>35</v>
      </c>
    </row>
    <row r="7718" spans="1:3" x14ac:dyDescent="0.35">
      <c r="A7718" s="141" t="s">
        <v>1040</v>
      </c>
      <c r="B7718" s="141" t="s">
        <v>339</v>
      </c>
      <c r="C7718" s="141" t="s">
        <v>35</v>
      </c>
    </row>
    <row r="7719" spans="1:3" x14ac:dyDescent="0.35">
      <c r="A7719" s="141" t="s">
        <v>740</v>
      </c>
      <c r="B7719" s="141" t="s">
        <v>339</v>
      </c>
      <c r="C7719" s="141" t="s">
        <v>33</v>
      </c>
    </row>
    <row r="7720" spans="1:3" x14ac:dyDescent="0.35">
      <c r="A7720" s="141" t="s">
        <v>1046</v>
      </c>
      <c r="B7720" s="141" t="s">
        <v>339</v>
      </c>
      <c r="C7720" s="141" t="s">
        <v>33</v>
      </c>
    </row>
    <row r="7721" spans="1:3" x14ac:dyDescent="0.35">
      <c r="A7721" s="141" t="s">
        <v>1032</v>
      </c>
      <c r="B7721" s="141" t="s">
        <v>339</v>
      </c>
      <c r="C7721" s="141" t="s">
        <v>33</v>
      </c>
    </row>
    <row r="7722" spans="1:3" x14ac:dyDescent="0.35">
      <c r="A7722" s="141" t="s">
        <v>1033</v>
      </c>
      <c r="B7722" s="141" t="s">
        <v>339</v>
      </c>
      <c r="C7722" s="141" t="s">
        <v>33</v>
      </c>
    </row>
    <row r="7723" spans="1:3" x14ac:dyDescent="0.35">
      <c r="A7723" s="141" t="s">
        <v>1034</v>
      </c>
      <c r="B7723" s="141" t="s">
        <v>339</v>
      </c>
      <c r="C7723" s="141" t="s">
        <v>33</v>
      </c>
    </row>
    <row r="7724" spans="1:3" x14ac:dyDescent="0.35">
      <c r="A7724" s="141" t="s">
        <v>308</v>
      </c>
      <c r="B7724" s="141" t="s">
        <v>339</v>
      </c>
      <c r="C7724" s="141" t="s">
        <v>53</v>
      </c>
    </row>
    <row r="7725" spans="1:3" x14ac:dyDescent="0.35">
      <c r="A7725" s="141" t="s">
        <v>309</v>
      </c>
      <c r="B7725" s="141" t="s">
        <v>339</v>
      </c>
      <c r="C7725" s="141" t="s">
        <v>53</v>
      </c>
    </row>
    <row r="7726" spans="1:3" x14ac:dyDescent="0.35">
      <c r="A7726" s="141" t="s">
        <v>311</v>
      </c>
      <c r="B7726" s="141" t="s">
        <v>339</v>
      </c>
      <c r="C7726" s="141" t="s">
        <v>53</v>
      </c>
    </row>
    <row r="7727" spans="1:3" x14ac:dyDescent="0.35">
      <c r="A7727" s="141" t="s">
        <v>534</v>
      </c>
      <c r="B7727" s="141" t="s">
        <v>339</v>
      </c>
      <c r="C7727" s="141" t="s">
        <v>53</v>
      </c>
    </row>
    <row r="7728" spans="1:3" x14ac:dyDescent="0.35">
      <c r="A7728" s="141" t="s">
        <v>312</v>
      </c>
      <c r="B7728" s="141" t="s">
        <v>339</v>
      </c>
      <c r="C7728" s="141" t="s">
        <v>53</v>
      </c>
    </row>
    <row r="7729" spans="1:3" x14ac:dyDescent="0.35">
      <c r="A7729" s="141" t="s">
        <v>531</v>
      </c>
      <c r="B7729" s="141" t="s">
        <v>339</v>
      </c>
      <c r="C7729" s="141" t="s">
        <v>51</v>
      </c>
    </row>
    <row r="7730" spans="1:3" x14ac:dyDescent="0.35">
      <c r="A7730" s="141" t="s">
        <v>741</v>
      </c>
      <c r="B7730" s="141" t="s">
        <v>339</v>
      </c>
      <c r="C7730" s="141" t="s">
        <v>51</v>
      </c>
    </row>
    <row r="7731" spans="1:3" x14ac:dyDescent="0.35">
      <c r="A7731" s="141" t="s">
        <v>742</v>
      </c>
      <c r="B7731" s="141" t="s">
        <v>339</v>
      </c>
      <c r="C7731" s="141" t="s">
        <v>51</v>
      </c>
    </row>
    <row r="7732" spans="1:3" x14ac:dyDescent="0.35">
      <c r="A7732" s="141" t="s">
        <v>743</v>
      </c>
      <c r="B7732" s="141" t="s">
        <v>339</v>
      </c>
      <c r="C7732" s="141" t="s">
        <v>51</v>
      </c>
    </row>
    <row r="7733" spans="1:3" x14ac:dyDescent="0.35">
      <c r="A7733" s="141" t="s">
        <v>747</v>
      </c>
      <c r="B7733" s="141" t="s">
        <v>339</v>
      </c>
      <c r="C7733" s="141" t="s">
        <v>51</v>
      </c>
    </row>
    <row r="7734" spans="1:3" x14ac:dyDescent="0.35">
      <c r="A7734" s="141" t="s">
        <v>748</v>
      </c>
      <c r="B7734" s="141" t="s">
        <v>339</v>
      </c>
      <c r="C7734" s="141" t="s">
        <v>51</v>
      </c>
    </row>
    <row r="7735" spans="1:3" x14ac:dyDescent="0.35">
      <c r="A7735" s="141" t="s">
        <v>313</v>
      </c>
      <c r="B7735" s="141" t="s">
        <v>339</v>
      </c>
      <c r="C7735" s="141" t="s">
        <v>51</v>
      </c>
    </row>
    <row r="7736" spans="1:3" x14ac:dyDescent="0.35">
      <c r="A7736" s="141" t="s">
        <v>533</v>
      </c>
      <c r="B7736" s="141" t="s">
        <v>339</v>
      </c>
      <c r="C7736" s="141" t="s">
        <v>50</v>
      </c>
    </row>
    <row r="7737" spans="1:3" x14ac:dyDescent="0.35">
      <c r="A7737" s="141" t="s">
        <v>966</v>
      </c>
      <c r="B7737" s="141" t="s">
        <v>339</v>
      </c>
      <c r="C7737" s="141" t="s">
        <v>53</v>
      </c>
    </row>
    <row r="7738" spans="1:3" x14ac:dyDescent="0.35">
      <c r="A7738" s="141" t="s">
        <v>967</v>
      </c>
      <c r="B7738" s="141" t="s">
        <v>339</v>
      </c>
      <c r="C7738" s="141" t="s">
        <v>53</v>
      </c>
    </row>
    <row r="7739" spans="1:3" x14ac:dyDescent="0.35">
      <c r="A7739" s="141" t="s">
        <v>968</v>
      </c>
      <c r="B7739" s="141" t="s">
        <v>339</v>
      </c>
      <c r="C7739" s="141" t="s">
        <v>53</v>
      </c>
    </row>
    <row r="7740" spans="1:3" x14ac:dyDescent="0.35">
      <c r="A7740" s="141" t="s">
        <v>969</v>
      </c>
      <c r="B7740" s="141" t="s">
        <v>339</v>
      </c>
      <c r="C7740" s="141" t="s">
        <v>53</v>
      </c>
    </row>
    <row r="7741" spans="1:3" x14ac:dyDescent="0.35">
      <c r="A7741" s="141" t="s">
        <v>970</v>
      </c>
      <c r="B7741" s="141" t="s">
        <v>339</v>
      </c>
      <c r="C7741" s="141" t="s">
        <v>53</v>
      </c>
    </row>
    <row r="7742" spans="1:3" x14ac:dyDescent="0.35">
      <c r="A7742" s="141" t="s">
        <v>873</v>
      </c>
      <c r="B7742" s="141" t="s">
        <v>339</v>
      </c>
      <c r="C7742" s="141" t="s">
        <v>52</v>
      </c>
    </row>
    <row r="7743" spans="1:3" x14ac:dyDescent="0.35">
      <c r="A7743" s="141" t="s">
        <v>874</v>
      </c>
      <c r="B7743" s="141" t="s">
        <v>339</v>
      </c>
      <c r="C7743" s="141" t="s">
        <v>52</v>
      </c>
    </row>
    <row r="7744" spans="1:3" x14ac:dyDescent="0.35">
      <c r="A7744" s="141" t="s">
        <v>1003</v>
      </c>
      <c r="B7744" s="141" t="s">
        <v>339</v>
      </c>
      <c r="C7744" s="141" t="s">
        <v>52</v>
      </c>
    </row>
    <row r="7745" spans="1:3" x14ac:dyDescent="0.35">
      <c r="A7745" s="141" t="s">
        <v>875</v>
      </c>
      <c r="B7745" s="141" t="s">
        <v>339</v>
      </c>
      <c r="C7745" s="141" t="s">
        <v>52</v>
      </c>
    </row>
    <row r="7746" spans="1:3" x14ac:dyDescent="0.35">
      <c r="A7746" s="141" t="s">
        <v>876</v>
      </c>
      <c r="B7746" s="141" t="s">
        <v>339</v>
      </c>
      <c r="C7746" s="141" t="s">
        <v>52</v>
      </c>
    </row>
    <row r="7747" spans="1:3" x14ac:dyDescent="0.35">
      <c r="A7747" s="141" t="s">
        <v>877</v>
      </c>
      <c r="B7747" s="141" t="s">
        <v>339</v>
      </c>
      <c r="C7747" s="141" t="s">
        <v>52</v>
      </c>
    </row>
    <row r="7748" spans="1:3" x14ac:dyDescent="0.35">
      <c r="A7748" s="141" t="s">
        <v>878</v>
      </c>
      <c r="B7748" s="141" t="s">
        <v>339</v>
      </c>
      <c r="C7748" s="141" t="s">
        <v>52</v>
      </c>
    </row>
    <row r="7749" spans="1:3" x14ac:dyDescent="0.35">
      <c r="A7749" s="141" t="s">
        <v>539</v>
      </c>
      <c r="B7749" s="141" t="s">
        <v>339</v>
      </c>
      <c r="C7749" s="141" t="s">
        <v>52</v>
      </c>
    </row>
    <row r="7750" spans="1:3" x14ac:dyDescent="0.35">
      <c r="A7750" s="141" t="s">
        <v>540</v>
      </c>
      <c r="B7750" s="141" t="s">
        <v>339</v>
      </c>
      <c r="C7750" s="141" t="s">
        <v>52</v>
      </c>
    </row>
    <row r="7751" spans="1:3" x14ac:dyDescent="0.35">
      <c r="A7751" s="141" t="s">
        <v>812</v>
      </c>
      <c r="B7751" s="141" t="s">
        <v>339</v>
      </c>
      <c r="C7751" s="141" t="s">
        <v>52</v>
      </c>
    </row>
    <row r="7752" spans="1:3" x14ac:dyDescent="0.35">
      <c r="A7752" s="141" t="s">
        <v>803</v>
      </c>
      <c r="B7752" s="141" t="s">
        <v>339</v>
      </c>
      <c r="C7752" s="141" t="s">
        <v>52</v>
      </c>
    </row>
    <row r="7753" spans="1:3" x14ac:dyDescent="0.35">
      <c r="A7753" s="141" t="s">
        <v>959</v>
      </c>
      <c r="B7753" s="141" t="s">
        <v>339</v>
      </c>
      <c r="C7753" s="141" t="s">
        <v>53</v>
      </c>
    </row>
    <row r="7754" spans="1:3" x14ac:dyDescent="0.35">
      <c r="A7754" s="141" t="s">
        <v>965</v>
      </c>
      <c r="B7754" s="141" t="s">
        <v>339</v>
      </c>
      <c r="C7754" s="141" t="s">
        <v>52</v>
      </c>
    </row>
    <row r="7755" spans="1:3" x14ac:dyDescent="0.35">
      <c r="A7755" s="141" t="s">
        <v>1002</v>
      </c>
      <c r="B7755" s="141" t="s">
        <v>339</v>
      </c>
      <c r="C7755" s="141" t="s">
        <v>25</v>
      </c>
    </row>
    <row r="7756" spans="1:3" x14ac:dyDescent="0.35">
      <c r="A7756" s="141" t="s">
        <v>960</v>
      </c>
      <c r="B7756" s="141" t="s">
        <v>339</v>
      </c>
      <c r="C7756" s="141" t="s">
        <v>52</v>
      </c>
    </row>
    <row r="7757" spans="1:3" x14ac:dyDescent="0.35">
      <c r="A7757" s="141" t="s">
        <v>804</v>
      </c>
      <c r="B7757" s="141" t="s">
        <v>339</v>
      </c>
      <c r="C7757" s="141" t="s">
        <v>53</v>
      </c>
    </row>
    <row r="7758" spans="1:3" x14ac:dyDescent="0.35">
      <c r="A7758" s="141" t="s">
        <v>805</v>
      </c>
      <c r="B7758" s="141" t="s">
        <v>339</v>
      </c>
      <c r="C7758" s="141" t="s">
        <v>52</v>
      </c>
    </row>
    <row r="7759" spans="1:3" x14ac:dyDescent="0.35">
      <c r="A7759" s="141" t="s">
        <v>879</v>
      </c>
      <c r="B7759" s="141" t="s">
        <v>339</v>
      </c>
      <c r="C7759" s="141" t="s">
        <v>52</v>
      </c>
    </row>
    <row r="7760" spans="1:3" x14ac:dyDescent="0.35">
      <c r="A7760" s="141" t="s">
        <v>880</v>
      </c>
      <c r="B7760" s="141" t="s">
        <v>339</v>
      </c>
      <c r="C7760" s="141" t="s">
        <v>52</v>
      </c>
    </row>
    <row r="7761" spans="1:3" x14ac:dyDescent="0.35">
      <c r="A7761" s="141" t="s">
        <v>314</v>
      </c>
      <c r="B7761" s="141" t="s">
        <v>339</v>
      </c>
      <c r="C7761" s="141" t="s">
        <v>16</v>
      </c>
    </row>
    <row r="7762" spans="1:3" x14ac:dyDescent="0.35">
      <c r="A7762" s="141" t="s">
        <v>316</v>
      </c>
      <c r="B7762" s="141" t="s">
        <v>339</v>
      </c>
      <c r="C7762" s="141" t="s">
        <v>16</v>
      </c>
    </row>
    <row r="7763" spans="1:3" x14ac:dyDescent="0.35">
      <c r="A7763" s="141" t="s">
        <v>317</v>
      </c>
      <c r="B7763" s="141" t="s">
        <v>339</v>
      </c>
      <c r="C7763" s="141" t="s">
        <v>16</v>
      </c>
    </row>
    <row r="7764" spans="1:3" x14ac:dyDescent="0.35">
      <c r="A7764" s="141" t="s">
        <v>318</v>
      </c>
      <c r="B7764" s="141" t="s">
        <v>339</v>
      </c>
      <c r="C7764" s="141" t="s">
        <v>16</v>
      </c>
    </row>
    <row r="7765" spans="1:3" x14ac:dyDescent="0.35">
      <c r="A7765" s="141" t="s">
        <v>319</v>
      </c>
      <c r="B7765" s="141" t="s">
        <v>339</v>
      </c>
      <c r="C7765" s="141" t="s">
        <v>16</v>
      </c>
    </row>
    <row r="7766" spans="1:3" x14ac:dyDescent="0.35">
      <c r="A7766" s="141" t="s">
        <v>320</v>
      </c>
      <c r="B7766" s="141" t="s">
        <v>339</v>
      </c>
      <c r="C7766" s="141" t="s">
        <v>16</v>
      </c>
    </row>
    <row r="7767" spans="1:3" x14ac:dyDescent="0.35">
      <c r="A7767" s="141" t="s">
        <v>321</v>
      </c>
      <c r="B7767" s="141" t="s">
        <v>339</v>
      </c>
      <c r="C7767" s="141" t="s">
        <v>16</v>
      </c>
    </row>
    <row r="7768" spans="1:3" x14ac:dyDescent="0.35">
      <c r="A7768" s="141" t="s">
        <v>322</v>
      </c>
      <c r="B7768" s="141" t="s">
        <v>339</v>
      </c>
      <c r="C7768" s="141" t="s">
        <v>16</v>
      </c>
    </row>
    <row r="7769" spans="1:3" x14ac:dyDescent="0.35">
      <c r="A7769" s="141" t="s">
        <v>323</v>
      </c>
      <c r="B7769" s="141" t="s">
        <v>339</v>
      </c>
      <c r="C7769" s="141" t="s">
        <v>16</v>
      </c>
    </row>
    <row r="7770" spans="1:3" x14ac:dyDescent="0.35">
      <c r="A7770" s="141" t="s">
        <v>324</v>
      </c>
      <c r="B7770" s="141" t="s">
        <v>339</v>
      </c>
      <c r="C7770" s="141" t="s">
        <v>16</v>
      </c>
    </row>
    <row r="7771" spans="1:3" x14ac:dyDescent="0.35">
      <c r="A7771" s="141" t="s">
        <v>325</v>
      </c>
      <c r="B7771" s="141" t="s">
        <v>339</v>
      </c>
      <c r="C7771" s="141" t="s">
        <v>16</v>
      </c>
    </row>
    <row r="7772" spans="1:3" x14ac:dyDescent="0.35">
      <c r="A7772" s="141" t="s">
        <v>326</v>
      </c>
      <c r="B7772" s="141" t="s">
        <v>339</v>
      </c>
      <c r="C7772" s="141" t="s">
        <v>16</v>
      </c>
    </row>
    <row r="7773" spans="1:3" x14ac:dyDescent="0.35">
      <c r="A7773" s="141" t="s">
        <v>971</v>
      </c>
      <c r="B7773" s="141" t="s">
        <v>339</v>
      </c>
      <c r="C7773" s="141" t="s">
        <v>16</v>
      </c>
    </row>
    <row r="7774" spans="1:3" x14ac:dyDescent="0.35">
      <c r="A7774" s="141" t="s">
        <v>327</v>
      </c>
      <c r="B7774" s="141" t="s">
        <v>339</v>
      </c>
      <c r="C7774" s="141" t="s">
        <v>16</v>
      </c>
    </row>
    <row r="7775" spans="1:3" x14ac:dyDescent="0.35">
      <c r="A7775" s="141" t="s">
        <v>972</v>
      </c>
      <c r="B7775" s="141" t="s">
        <v>339</v>
      </c>
      <c r="C7775" s="141" t="s">
        <v>16</v>
      </c>
    </row>
    <row r="7776" spans="1:3" x14ac:dyDescent="0.35">
      <c r="A7776" s="141" t="s">
        <v>328</v>
      </c>
      <c r="B7776" s="141" t="s">
        <v>339</v>
      </c>
      <c r="C7776" s="141" t="s">
        <v>16</v>
      </c>
    </row>
    <row r="7777" spans="1:3" x14ac:dyDescent="0.35">
      <c r="A7777" s="141" t="s">
        <v>1004</v>
      </c>
      <c r="B7777" s="141" t="s">
        <v>339</v>
      </c>
      <c r="C7777" s="141" t="s">
        <v>16</v>
      </c>
    </row>
    <row r="7778" spans="1:3" x14ac:dyDescent="0.35">
      <c r="A7778" s="141" t="s">
        <v>330</v>
      </c>
      <c r="B7778" s="141" t="s">
        <v>339</v>
      </c>
      <c r="C7778" s="141" t="s">
        <v>16</v>
      </c>
    </row>
    <row r="7779" spans="1:3" x14ac:dyDescent="0.35">
      <c r="A7779" s="141" t="s">
        <v>331</v>
      </c>
      <c r="B7779" s="141" t="s">
        <v>339</v>
      </c>
      <c r="C7779" s="141" t="s">
        <v>16</v>
      </c>
    </row>
    <row r="7780" spans="1:3" x14ac:dyDescent="0.35">
      <c r="A7780" s="141" t="s">
        <v>332</v>
      </c>
      <c r="B7780" s="141" t="s">
        <v>339</v>
      </c>
      <c r="C7780" s="141" t="s">
        <v>16</v>
      </c>
    </row>
    <row r="7781" spans="1:3" x14ac:dyDescent="0.35">
      <c r="A7781" s="141" t="s">
        <v>333</v>
      </c>
      <c r="B7781" s="141" t="s">
        <v>339</v>
      </c>
      <c r="C7781" s="141" t="s">
        <v>16</v>
      </c>
    </row>
    <row r="7782" spans="1:3" x14ac:dyDescent="0.35">
      <c r="A7782" s="141" t="s">
        <v>1005</v>
      </c>
      <c r="B7782" s="141" t="s">
        <v>339</v>
      </c>
      <c r="C7782" s="141" t="s">
        <v>16</v>
      </c>
    </row>
    <row r="7783" spans="1:3" x14ac:dyDescent="0.35">
      <c r="A7783" s="141" t="s">
        <v>1039</v>
      </c>
      <c r="B7783" s="141" t="s">
        <v>339</v>
      </c>
      <c r="C7783" s="141" t="s">
        <v>16</v>
      </c>
    </row>
    <row r="7784" spans="1:3" x14ac:dyDescent="0.35">
      <c r="A7784" s="141" t="s">
        <v>974</v>
      </c>
      <c r="B7784" s="141" t="s">
        <v>339</v>
      </c>
      <c r="C7784" s="141" t="s">
        <v>16</v>
      </c>
    </row>
    <row r="7785" spans="1:3" x14ac:dyDescent="0.35">
      <c r="A7785" s="141" t="s">
        <v>806</v>
      </c>
      <c r="B7785" s="141" t="s">
        <v>339</v>
      </c>
      <c r="C7785" s="141" t="s">
        <v>32</v>
      </c>
    </row>
    <row r="7786" spans="1:3" x14ac:dyDescent="0.35">
      <c r="A7786" s="141" t="s">
        <v>579</v>
      </c>
      <c r="B7786" s="141" t="s">
        <v>339</v>
      </c>
      <c r="C7786" s="141" t="s">
        <v>32</v>
      </c>
    </row>
    <row r="7787" spans="1:3" x14ac:dyDescent="0.35">
      <c r="A7787" s="141" t="s">
        <v>556</v>
      </c>
      <c r="B7787" s="141" t="s">
        <v>339</v>
      </c>
      <c r="C7787" s="141" t="s">
        <v>32</v>
      </c>
    </row>
    <row r="7788" spans="1:3" x14ac:dyDescent="0.35">
      <c r="A7788" s="141" t="s">
        <v>557</v>
      </c>
      <c r="B7788" s="141" t="s">
        <v>339</v>
      </c>
      <c r="C7788" s="141" t="s">
        <v>32</v>
      </c>
    </row>
    <row r="7789" spans="1:3" x14ac:dyDescent="0.35">
      <c r="A7789" s="141" t="s">
        <v>558</v>
      </c>
      <c r="B7789" s="141" t="s">
        <v>339</v>
      </c>
      <c r="C7789" s="141" t="s">
        <v>32</v>
      </c>
    </row>
    <row r="7790" spans="1:3" x14ac:dyDescent="0.35">
      <c r="A7790" s="141" t="s">
        <v>580</v>
      </c>
      <c r="B7790" s="141" t="s">
        <v>339</v>
      </c>
      <c r="C7790" s="141" t="s">
        <v>32</v>
      </c>
    </row>
    <row r="7791" spans="1:3" x14ac:dyDescent="0.35">
      <c r="A7791" s="141" t="s">
        <v>612</v>
      </c>
      <c r="B7791" s="141" t="s">
        <v>339</v>
      </c>
      <c r="C7791" s="141" t="s">
        <v>43</v>
      </c>
    </row>
    <row r="7792" spans="1:3" x14ac:dyDescent="0.35">
      <c r="A7792" s="141" t="s">
        <v>1009</v>
      </c>
      <c r="B7792" s="141" t="s">
        <v>339</v>
      </c>
      <c r="C7792" s="141" t="s">
        <v>43</v>
      </c>
    </row>
    <row r="7793" spans="1:3" x14ac:dyDescent="0.35">
      <c r="A7793" s="141" t="s">
        <v>615</v>
      </c>
      <c r="B7793" s="141" t="s">
        <v>339</v>
      </c>
      <c r="C7793" s="141" t="s">
        <v>43</v>
      </c>
    </row>
    <row r="7794" spans="1:3" x14ac:dyDescent="0.35">
      <c r="A7794" s="141" t="s">
        <v>616</v>
      </c>
      <c r="B7794" s="141" t="s">
        <v>339</v>
      </c>
      <c r="C7794" s="141" t="s">
        <v>43</v>
      </c>
    </row>
    <row r="7795" spans="1:3" x14ac:dyDescent="0.35">
      <c r="A7795" s="141" t="s">
        <v>854</v>
      </c>
      <c r="B7795" s="141" t="s">
        <v>339</v>
      </c>
      <c r="C7795" s="141" t="s">
        <v>43</v>
      </c>
    </row>
    <row r="7796" spans="1:3" x14ac:dyDescent="0.35">
      <c r="A7796" s="141" t="s">
        <v>605</v>
      </c>
      <c r="B7796" s="141" t="s">
        <v>339</v>
      </c>
      <c r="C7796" s="141" t="s">
        <v>43</v>
      </c>
    </row>
    <row r="7797" spans="1:3" x14ac:dyDescent="0.35">
      <c r="A7797" s="141" t="s">
        <v>1008</v>
      </c>
      <c r="B7797" s="141" t="s">
        <v>339</v>
      </c>
      <c r="C7797" s="141" t="s">
        <v>43</v>
      </c>
    </row>
    <row r="7798" spans="1:3" x14ac:dyDescent="0.35">
      <c r="A7798" s="141" t="s">
        <v>608</v>
      </c>
      <c r="B7798" s="141" t="s">
        <v>339</v>
      </c>
      <c r="C7798" s="141" t="s">
        <v>43</v>
      </c>
    </row>
    <row r="7799" spans="1:3" x14ac:dyDescent="0.35">
      <c r="A7799" s="141" t="s">
        <v>609</v>
      </c>
      <c r="B7799" s="141" t="s">
        <v>339</v>
      </c>
      <c r="C7799" s="141" t="s">
        <v>43</v>
      </c>
    </row>
    <row r="7800" spans="1:3" x14ac:dyDescent="0.35">
      <c r="A7800" s="141" t="s">
        <v>610</v>
      </c>
      <c r="B7800" s="141" t="s">
        <v>339</v>
      </c>
      <c r="C7800" s="141" t="s">
        <v>43</v>
      </c>
    </row>
    <row r="7801" spans="1:3" x14ac:dyDescent="0.35">
      <c r="A7801" s="141" t="s">
        <v>618</v>
      </c>
      <c r="B7801" s="141" t="s">
        <v>339</v>
      </c>
      <c r="C7801" s="141" t="s">
        <v>43</v>
      </c>
    </row>
    <row r="7802" spans="1:3" x14ac:dyDescent="0.35">
      <c r="A7802" s="141" t="s">
        <v>619</v>
      </c>
      <c r="B7802" s="141" t="s">
        <v>339</v>
      </c>
      <c r="C7802" s="141" t="s">
        <v>44</v>
      </c>
    </row>
    <row r="7803" spans="1:3" x14ac:dyDescent="0.35">
      <c r="A7803" s="141" t="s">
        <v>1010</v>
      </c>
      <c r="B7803" s="141" t="s">
        <v>339</v>
      </c>
      <c r="C7803" s="141" t="s">
        <v>43</v>
      </c>
    </row>
    <row r="7804" spans="1:3" x14ac:dyDescent="0.35">
      <c r="A7804" s="141" t="s">
        <v>1011</v>
      </c>
      <c r="B7804" s="141" t="s">
        <v>339</v>
      </c>
      <c r="C7804" s="141" t="s">
        <v>43</v>
      </c>
    </row>
    <row r="7805" spans="1:3" x14ac:dyDescent="0.35">
      <c r="A7805" s="141" t="s">
        <v>1012</v>
      </c>
      <c r="B7805" s="141" t="s">
        <v>339</v>
      </c>
      <c r="C7805" s="141" t="s">
        <v>43</v>
      </c>
    </row>
    <row r="7806" spans="1:3" x14ac:dyDescent="0.35">
      <c r="A7806" s="141" t="s">
        <v>1013</v>
      </c>
      <c r="B7806" s="141" t="s">
        <v>339</v>
      </c>
      <c r="C7806" s="141" t="s">
        <v>43</v>
      </c>
    </row>
    <row r="7807" spans="1:3" x14ac:dyDescent="0.35">
      <c r="A7807" s="141" t="s">
        <v>1014</v>
      </c>
      <c r="B7807" s="141" t="s">
        <v>339</v>
      </c>
      <c r="C7807" s="141" t="s">
        <v>43</v>
      </c>
    </row>
    <row r="7808" spans="1:3" x14ac:dyDescent="0.35">
      <c r="A7808" s="141" t="s">
        <v>1015</v>
      </c>
      <c r="B7808" s="141" t="s">
        <v>339</v>
      </c>
      <c r="C7808" s="141" t="s">
        <v>43</v>
      </c>
    </row>
    <row r="7809" spans="1:3" x14ac:dyDescent="0.35">
      <c r="A7809" s="141" t="s">
        <v>337</v>
      </c>
      <c r="B7809" s="141" t="s">
        <v>339</v>
      </c>
      <c r="C7809" s="141" t="s">
        <v>47</v>
      </c>
    </row>
    <row r="7810" spans="1:3" x14ac:dyDescent="0.35">
      <c r="A7810" s="141" t="s">
        <v>962</v>
      </c>
      <c r="B7810" s="141" t="s">
        <v>339</v>
      </c>
      <c r="C7810" s="141" t="s">
        <v>47</v>
      </c>
    </row>
    <row r="7811" spans="1:3" x14ac:dyDescent="0.35">
      <c r="A7811" s="141" t="s">
        <v>981</v>
      </c>
      <c r="B7811" s="141" t="s">
        <v>339</v>
      </c>
      <c r="C7811" s="141" t="s">
        <v>47</v>
      </c>
    </row>
    <row r="7812" spans="1:3" x14ac:dyDescent="0.35">
      <c r="A7812" s="141" t="s">
        <v>982</v>
      </c>
      <c r="B7812" s="141" t="s">
        <v>339</v>
      </c>
      <c r="C7812" s="141" t="s">
        <v>47</v>
      </c>
    </row>
    <row r="7813" spans="1:3" x14ac:dyDescent="0.35">
      <c r="A7813" s="141" t="s">
        <v>1038</v>
      </c>
      <c r="B7813" s="141" t="s">
        <v>339</v>
      </c>
      <c r="C7813" s="141" t="s">
        <v>48</v>
      </c>
    </row>
    <row r="7814" spans="1:3" x14ac:dyDescent="0.35">
      <c r="A7814" s="141" t="s">
        <v>563</v>
      </c>
      <c r="B7814" s="141" t="s">
        <v>339</v>
      </c>
      <c r="C7814" s="141" t="s">
        <v>47</v>
      </c>
    </row>
    <row r="7815" spans="1:3" x14ac:dyDescent="0.35">
      <c r="A7815" s="141" t="s">
        <v>619</v>
      </c>
      <c r="B7815" s="141" t="s">
        <v>264</v>
      </c>
      <c r="C7815" s="141" t="s">
        <v>44</v>
      </c>
    </row>
    <row r="7816" spans="1:3" x14ac:dyDescent="0.35">
      <c r="A7816" s="141" t="s">
        <v>619</v>
      </c>
      <c r="B7816" s="141" t="s">
        <v>265</v>
      </c>
      <c r="C7816" s="141" t="s">
        <v>44</v>
      </c>
    </row>
    <row r="7817" spans="1:3" x14ac:dyDescent="0.35">
      <c r="A7817" s="141" t="s">
        <v>619</v>
      </c>
      <c r="B7817" s="141" t="s">
        <v>266</v>
      </c>
      <c r="C7817" s="141" t="s">
        <v>44</v>
      </c>
    </row>
    <row r="7818" spans="1:3" x14ac:dyDescent="0.35">
      <c r="A7818" s="141" t="s">
        <v>619</v>
      </c>
      <c r="B7818" s="141" t="s">
        <v>267</v>
      </c>
      <c r="C7818" s="141" t="s">
        <v>44</v>
      </c>
    </row>
    <row r="7819" spans="1:3" x14ac:dyDescent="0.35">
      <c r="A7819" s="141" t="s">
        <v>619</v>
      </c>
      <c r="B7819" s="141" t="s">
        <v>268</v>
      </c>
      <c r="C7819" s="141" t="s">
        <v>44</v>
      </c>
    </row>
    <row r="7820" spans="1:3" x14ac:dyDescent="0.35">
      <c r="A7820" s="141" t="s">
        <v>619</v>
      </c>
      <c r="B7820" s="141" t="s">
        <v>269</v>
      </c>
      <c r="C7820" s="141" t="s">
        <v>44</v>
      </c>
    </row>
    <row r="7821" spans="1:3" x14ac:dyDescent="0.35">
      <c r="A7821" s="141" t="s">
        <v>619</v>
      </c>
      <c r="B7821" s="141" t="s">
        <v>270</v>
      </c>
      <c r="C7821" s="141" t="s">
        <v>44</v>
      </c>
    </row>
    <row r="7822" spans="1:3" x14ac:dyDescent="0.35">
      <c r="A7822" s="141" t="s">
        <v>356</v>
      </c>
      <c r="B7822" s="141" t="s">
        <v>288</v>
      </c>
      <c r="C7822" s="141" t="s">
        <v>14</v>
      </c>
    </row>
    <row r="7823" spans="1:3" x14ac:dyDescent="0.35">
      <c r="A7823" s="141" t="s">
        <v>357</v>
      </c>
      <c r="B7823" s="141" t="s">
        <v>288</v>
      </c>
      <c r="C7823" s="141" t="s">
        <v>14</v>
      </c>
    </row>
    <row r="7824" spans="1:3" x14ac:dyDescent="0.35">
      <c r="A7824" s="141" t="s">
        <v>654</v>
      </c>
      <c r="B7824" s="141" t="s">
        <v>280</v>
      </c>
      <c r="C7824" s="141" t="s">
        <v>14</v>
      </c>
    </row>
    <row r="7825" spans="1:3" x14ac:dyDescent="0.35">
      <c r="A7825" s="141" t="s">
        <v>654</v>
      </c>
      <c r="B7825" s="141" t="s">
        <v>289</v>
      </c>
      <c r="C7825" s="141" t="s">
        <v>14</v>
      </c>
    </row>
    <row r="7826" spans="1:3" x14ac:dyDescent="0.35">
      <c r="A7826" s="141" t="s">
        <v>262</v>
      </c>
      <c r="B7826" s="141" t="s">
        <v>281</v>
      </c>
      <c r="C7826" s="141" t="s">
        <v>27</v>
      </c>
    </row>
    <row r="7827" spans="1:3" x14ac:dyDescent="0.35">
      <c r="A7827" s="141" t="s">
        <v>262</v>
      </c>
      <c r="B7827" s="141" t="s">
        <v>282</v>
      </c>
      <c r="C7827" s="141" t="s">
        <v>27</v>
      </c>
    </row>
    <row r="7828" spans="1:3" x14ac:dyDescent="0.35">
      <c r="A7828" s="141" t="s">
        <v>390</v>
      </c>
      <c r="B7828" s="141" t="s">
        <v>1051</v>
      </c>
      <c r="C7828" s="141" t="s">
        <v>16</v>
      </c>
    </row>
    <row r="7829" spans="1:3" x14ac:dyDescent="0.35">
      <c r="A7829" s="141" t="s">
        <v>352</v>
      </c>
      <c r="B7829" s="141" t="s">
        <v>1051</v>
      </c>
      <c r="C7829" s="141" t="s">
        <v>2</v>
      </c>
    </row>
    <row r="7830" spans="1:3" x14ac:dyDescent="0.35">
      <c r="A7830" s="141" t="s">
        <v>354</v>
      </c>
      <c r="B7830" s="141" t="s">
        <v>1051</v>
      </c>
      <c r="C7830" s="141" t="s">
        <v>2</v>
      </c>
    </row>
    <row r="7831" spans="1:3" x14ac:dyDescent="0.35">
      <c r="A7831" s="141" t="s">
        <v>846</v>
      </c>
      <c r="B7831" s="141" t="s">
        <v>1051</v>
      </c>
      <c r="C7831" s="141" t="s">
        <v>16</v>
      </c>
    </row>
    <row r="7832" spans="1:3" x14ac:dyDescent="0.35">
      <c r="A7832" s="141" t="s">
        <v>393</v>
      </c>
      <c r="B7832" s="141" t="s">
        <v>1051</v>
      </c>
      <c r="C7832" s="141" t="s">
        <v>9</v>
      </c>
    </row>
    <row r="7833" spans="1:3" x14ac:dyDescent="0.35">
      <c r="A7833" s="141" t="s">
        <v>818</v>
      </c>
      <c r="B7833" s="141" t="s">
        <v>1051</v>
      </c>
      <c r="C7833" s="141" t="s">
        <v>12</v>
      </c>
    </row>
    <row r="7834" spans="1:3" x14ac:dyDescent="0.35">
      <c r="A7834" s="141" t="s">
        <v>835</v>
      </c>
      <c r="B7834" s="141" t="s">
        <v>1051</v>
      </c>
      <c r="C7834" s="141" t="s">
        <v>12</v>
      </c>
    </row>
    <row r="7835" spans="1:3" x14ac:dyDescent="0.35">
      <c r="A7835" s="141" t="s">
        <v>836</v>
      </c>
      <c r="B7835" s="141" t="s">
        <v>1051</v>
      </c>
      <c r="C7835" s="141" t="s">
        <v>12</v>
      </c>
    </row>
    <row r="7836" spans="1:3" x14ac:dyDescent="0.35">
      <c r="A7836" s="141" t="s">
        <v>837</v>
      </c>
      <c r="B7836" s="141" t="s">
        <v>1051</v>
      </c>
      <c r="C7836" s="141" t="s">
        <v>14</v>
      </c>
    </row>
    <row r="7837" spans="1:3" x14ac:dyDescent="0.35">
      <c r="A7837" s="141" t="s">
        <v>840</v>
      </c>
      <c r="B7837" s="141" t="s">
        <v>1051</v>
      </c>
      <c r="C7837" s="141" t="s">
        <v>10</v>
      </c>
    </row>
    <row r="7838" spans="1:3" x14ac:dyDescent="0.35">
      <c r="A7838" s="141" t="s">
        <v>841</v>
      </c>
      <c r="B7838" s="141" t="s">
        <v>1051</v>
      </c>
      <c r="C7838" s="141" t="s">
        <v>10</v>
      </c>
    </row>
    <row r="7839" spans="1:3" x14ac:dyDescent="0.35">
      <c r="A7839" s="141" t="s">
        <v>370</v>
      </c>
      <c r="B7839" s="141" t="s">
        <v>1051</v>
      </c>
      <c r="C7839" s="141" t="s">
        <v>10</v>
      </c>
    </row>
    <row r="7840" spans="1:3" x14ac:dyDescent="0.35">
      <c r="A7840" s="141" t="s">
        <v>371</v>
      </c>
      <c r="B7840" s="141" t="s">
        <v>1051</v>
      </c>
      <c r="C7840" s="141" t="s">
        <v>10</v>
      </c>
    </row>
    <row r="7841" spans="1:3" x14ac:dyDescent="0.35">
      <c r="A7841" s="141" t="s">
        <v>376</v>
      </c>
      <c r="B7841" s="141" t="s">
        <v>1051</v>
      </c>
      <c r="C7841" s="141" t="s">
        <v>10</v>
      </c>
    </row>
    <row r="7842" spans="1:3" x14ac:dyDescent="0.35">
      <c r="A7842" s="141" t="s">
        <v>372</v>
      </c>
      <c r="B7842" s="141" t="s">
        <v>1051</v>
      </c>
      <c r="C7842" s="141" t="s">
        <v>10</v>
      </c>
    </row>
    <row r="7843" spans="1:3" x14ac:dyDescent="0.35">
      <c r="A7843" s="141" t="s">
        <v>373</v>
      </c>
      <c r="B7843" s="141" t="s">
        <v>1051</v>
      </c>
      <c r="C7843" s="141" t="s">
        <v>10</v>
      </c>
    </row>
    <row r="7844" spans="1:3" x14ac:dyDescent="0.35">
      <c r="A7844" s="141" t="s">
        <v>375</v>
      </c>
      <c r="B7844" s="141" t="s">
        <v>1051</v>
      </c>
      <c r="C7844" s="141" t="s">
        <v>10</v>
      </c>
    </row>
    <row r="7845" spans="1:3" x14ac:dyDescent="0.35">
      <c r="A7845" s="141" t="s">
        <v>842</v>
      </c>
      <c r="B7845" s="141" t="s">
        <v>1051</v>
      </c>
      <c r="C7845" s="141" t="s">
        <v>11</v>
      </c>
    </row>
    <row r="7846" spans="1:3" x14ac:dyDescent="0.35">
      <c r="A7846" s="141" t="s">
        <v>843</v>
      </c>
      <c r="B7846" s="141" t="s">
        <v>1051</v>
      </c>
      <c r="C7846" s="141" t="s">
        <v>11</v>
      </c>
    </row>
    <row r="7847" spans="1:3" x14ac:dyDescent="0.35">
      <c r="A7847" s="141" t="s">
        <v>844</v>
      </c>
      <c r="B7847" s="141" t="s">
        <v>1051</v>
      </c>
      <c r="C7847" s="141" t="s">
        <v>11</v>
      </c>
    </row>
    <row r="7848" spans="1:3" x14ac:dyDescent="0.35">
      <c r="A7848" s="141" t="s">
        <v>845</v>
      </c>
      <c r="B7848" s="141" t="s">
        <v>1051</v>
      </c>
      <c r="C7848" s="141" t="s">
        <v>11</v>
      </c>
    </row>
    <row r="7849" spans="1:3" x14ac:dyDescent="0.35">
      <c r="A7849" s="141" t="s">
        <v>358</v>
      </c>
      <c r="B7849" s="141" t="s">
        <v>1051</v>
      </c>
      <c r="C7849" s="141" t="s">
        <v>14</v>
      </c>
    </row>
    <row r="7850" spans="1:3" x14ac:dyDescent="0.35">
      <c r="A7850" s="141" t="s">
        <v>654</v>
      </c>
      <c r="B7850" s="141" t="s">
        <v>1051</v>
      </c>
      <c r="C7850" s="141" t="s">
        <v>14</v>
      </c>
    </row>
    <row r="7851" spans="1:3" x14ac:dyDescent="0.35">
      <c r="A7851" s="141" t="s">
        <v>987</v>
      </c>
      <c r="B7851" s="141" t="s">
        <v>1051</v>
      </c>
      <c r="C7851" s="141" t="s">
        <v>14</v>
      </c>
    </row>
    <row r="7852" spans="1:3" x14ac:dyDescent="0.35">
      <c r="A7852" s="141" t="s">
        <v>838</v>
      </c>
      <c r="B7852" s="141" t="s">
        <v>1051</v>
      </c>
      <c r="C7852" s="141" t="s">
        <v>13</v>
      </c>
    </row>
    <row r="7853" spans="1:3" x14ac:dyDescent="0.35">
      <c r="A7853" s="141" t="s">
        <v>346</v>
      </c>
      <c r="B7853" s="141" t="s">
        <v>1051</v>
      </c>
      <c r="C7853" s="141" t="s">
        <v>13</v>
      </c>
    </row>
    <row r="7854" spans="1:3" x14ac:dyDescent="0.35">
      <c r="A7854" s="141" t="s">
        <v>367</v>
      </c>
      <c r="B7854" s="141" t="s">
        <v>1051</v>
      </c>
      <c r="C7854" s="141" t="s">
        <v>8</v>
      </c>
    </row>
    <row r="7855" spans="1:3" x14ac:dyDescent="0.35">
      <c r="A7855" s="141" t="s">
        <v>383</v>
      </c>
      <c r="B7855" s="141" t="s">
        <v>1051</v>
      </c>
      <c r="C7855" s="141" t="s">
        <v>5</v>
      </c>
    </row>
    <row r="7856" spans="1:3" x14ac:dyDescent="0.35">
      <c r="A7856" s="141" t="s">
        <v>345</v>
      </c>
      <c r="B7856" s="141" t="s">
        <v>1051</v>
      </c>
      <c r="C7856" s="141" t="s">
        <v>5</v>
      </c>
    </row>
    <row r="7857" spans="1:3" x14ac:dyDescent="0.35">
      <c r="A7857" s="141" t="s">
        <v>359</v>
      </c>
      <c r="B7857" s="141" t="s">
        <v>1051</v>
      </c>
      <c r="C7857" s="141" t="s">
        <v>46</v>
      </c>
    </row>
    <row r="7858" spans="1:3" x14ac:dyDescent="0.35">
      <c r="A7858" s="141" t="s">
        <v>360</v>
      </c>
      <c r="B7858" s="141" t="s">
        <v>1051</v>
      </c>
      <c r="C7858" s="141" t="s">
        <v>46</v>
      </c>
    </row>
    <row r="7859" spans="1:3" x14ac:dyDescent="0.35">
      <c r="A7859" s="141" t="s">
        <v>262</v>
      </c>
      <c r="B7859" s="141" t="s">
        <v>1051</v>
      </c>
      <c r="C7859" s="141" t="s">
        <v>27</v>
      </c>
    </row>
    <row r="7860" spans="1:3" x14ac:dyDescent="0.35">
      <c r="A7860" s="141" t="s">
        <v>1044</v>
      </c>
      <c r="B7860" s="141" t="s">
        <v>1051</v>
      </c>
      <c r="C7860" s="141" t="s">
        <v>24</v>
      </c>
    </row>
    <row r="7861" spans="1:3" x14ac:dyDescent="0.35">
      <c r="A7861" s="141" t="s">
        <v>1045</v>
      </c>
      <c r="B7861" s="141" t="s">
        <v>1051</v>
      </c>
      <c r="C7861" s="141" t="s">
        <v>24</v>
      </c>
    </row>
    <row r="7862" spans="1:3" x14ac:dyDescent="0.35">
      <c r="A7862" s="141" t="s">
        <v>1036</v>
      </c>
      <c r="B7862" s="141" t="s">
        <v>1051</v>
      </c>
      <c r="C7862" s="141" t="s">
        <v>24</v>
      </c>
    </row>
    <row r="7863" spans="1:3" x14ac:dyDescent="0.35">
      <c r="A7863" s="141" t="s">
        <v>1037</v>
      </c>
      <c r="B7863" s="141" t="s">
        <v>1051</v>
      </c>
      <c r="C7863" s="141" t="s">
        <v>24</v>
      </c>
    </row>
    <row r="7864" spans="1:3" x14ac:dyDescent="0.35">
      <c r="A7864" s="141" t="s">
        <v>887</v>
      </c>
      <c r="B7864" s="141" t="s">
        <v>1051</v>
      </c>
      <c r="C7864" s="141" t="s">
        <v>24</v>
      </c>
    </row>
    <row r="7865" spans="1:3" x14ac:dyDescent="0.35">
      <c r="A7865" s="141" t="s">
        <v>888</v>
      </c>
      <c r="B7865" s="141" t="s">
        <v>1051</v>
      </c>
      <c r="C7865" s="141" t="s">
        <v>24</v>
      </c>
    </row>
    <row r="7866" spans="1:3" x14ac:dyDescent="0.35">
      <c r="A7866" s="141" t="s">
        <v>889</v>
      </c>
      <c r="B7866" s="141" t="s">
        <v>1051</v>
      </c>
      <c r="C7866" s="141" t="s">
        <v>24</v>
      </c>
    </row>
    <row r="7867" spans="1:3" x14ac:dyDescent="0.35">
      <c r="A7867" s="141" t="s">
        <v>890</v>
      </c>
      <c r="B7867" s="141" t="s">
        <v>1051</v>
      </c>
      <c r="C7867" s="141" t="s">
        <v>24</v>
      </c>
    </row>
    <row r="7868" spans="1:3" x14ac:dyDescent="0.35">
      <c r="A7868" s="141" t="s">
        <v>891</v>
      </c>
      <c r="B7868" s="141" t="s">
        <v>1051</v>
      </c>
      <c r="C7868" s="141" t="s">
        <v>24</v>
      </c>
    </row>
    <row r="7869" spans="1:3" x14ac:dyDescent="0.35">
      <c r="A7869" s="141" t="s">
        <v>882</v>
      </c>
      <c r="B7869" s="141" t="s">
        <v>1051</v>
      </c>
      <c r="C7869" s="141" t="s">
        <v>27</v>
      </c>
    </row>
    <row r="7870" spans="1:3" x14ac:dyDescent="0.35">
      <c r="A7870" s="141" t="s">
        <v>883</v>
      </c>
      <c r="B7870" s="141" t="s">
        <v>1051</v>
      </c>
      <c r="C7870" s="141" t="s">
        <v>27</v>
      </c>
    </row>
    <row r="7871" spans="1:3" x14ac:dyDescent="0.35">
      <c r="A7871" s="141" t="s">
        <v>884</v>
      </c>
      <c r="B7871" s="141" t="s">
        <v>1051</v>
      </c>
      <c r="C7871" s="141" t="s">
        <v>27</v>
      </c>
    </row>
    <row r="7872" spans="1:3" x14ac:dyDescent="0.35">
      <c r="A7872" s="141" t="s">
        <v>271</v>
      </c>
      <c r="B7872" s="141" t="s">
        <v>1051</v>
      </c>
      <c r="C7872" s="141" t="s">
        <v>24</v>
      </c>
    </row>
    <row r="7873" spans="1:3" x14ac:dyDescent="0.35">
      <c r="A7873" s="141" t="s">
        <v>564</v>
      </c>
      <c r="B7873" s="141" t="s">
        <v>1051</v>
      </c>
      <c r="C7873" s="141" t="s">
        <v>7</v>
      </c>
    </row>
    <row r="7874" spans="1:3" x14ac:dyDescent="0.35">
      <c r="A7874" s="141" t="s">
        <v>565</v>
      </c>
      <c r="B7874" s="141" t="s">
        <v>1051</v>
      </c>
      <c r="C7874" s="141" t="s">
        <v>7</v>
      </c>
    </row>
    <row r="7875" spans="1:3" x14ac:dyDescent="0.35">
      <c r="A7875" s="141" t="s">
        <v>385</v>
      </c>
      <c r="B7875" s="141" t="s">
        <v>1051</v>
      </c>
      <c r="C7875" s="141" t="s">
        <v>7</v>
      </c>
    </row>
    <row r="7876" spans="1:3" x14ac:dyDescent="0.35">
      <c r="A7876" s="141" t="s">
        <v>386</v>
      </c>
      <c r="B7876" s="141" t="s">
        <v>1051</v>
      </c>
      <c r="C7876" s="141" t="s">
        <v>7</v>
      </c>
    </row>
    <row r="7877" spans="1:3" x14ac:dyDescent="0.35">
      <c r="A7877" s="141" t="s">
        <v>387</v>
      </c>
      <c r="B7877" s="141" t="s">
        <v>1051</v>
      </c>
      <c r="C7877" s="141" t="s">
        <v>7</v>
      </c>
    </row>
    <row r="7878" spans="1:3" x14ac:dyDescent="0.35">
      <c r="A7878" s="141" t="s">
        <v>365</v>
      </c>
      <c r="B7878" s="141" t="s">
        <v>1051</v>
      </c>
      <c r="C7878" s="141" t="s">
        <v>7</v>
      </c>
    </row>
    <row r="7879" spans="1:3" x14ac:dyDescent="0.35">
      <c r="A7879" s="141" t="s">
        <v>589</v>
      </c>
      <c r="B7879" s="141" t="s">
        <v>1051</v>
      </c>
      <c r="C7879" s="141" t="s">
        <v>4</v>
      </c>
    </row>
    <row r="7880" spans="1:3" x14ac:dyDescent="0.35">
      <c r="A7880" s="141" t="s">
        <v>988</v>
      </c>
      <c r="B7880" s="141" t="s">
        <v>1051</v>
      </c>
      <c r="C7880" s="141" t="s">
        <v>8</v>
      </c>
    </row>
    <row r="7881" spans="1:3" x14ac:dyDescent="0.35">
      <c r="A7881" s="141" t="s">
        <v>366</v>
      </c>
      <c r="B7881" s="141" t="s">
        <v>1051</v>
      </c>
      <c r="C7881" s="141" t="s">
        <v>8</v>
      </c>
    </row>
    <row r="7882" spans="1:3" x14ac:dyDescent="0.35">
      <c r="A7882" s="141" t="s">
        <v>1043</v>
      </c>
      <c r="B7882" s="141" t="s">
        <v>1051</v>
      </c>
      <c r="C7882" s="141" t="s">
        <v>4</v>
      </c>
    </row>
    <row r="7883" spans="1:3" x14ac:dyDescent="0.35">
      <c r="A7883" s="141" t="s">
        <v>819</v>
      </c>
      <c r="B7883" s="141" t="s">
        <v>1051</v>
      </c>
      <c r="C7883" s="141" t="s">
        <v>45</v>
      </c>
    </row>
    <row r="7884" spans="1:3" x14ac:dyDescent="0.35">
      <c r="A7884" s="141" t="s">
        <v>820</v>
      </c>
      <c r="B7884" s="141" t="s">
        <v>1051</v>
      </c>
      <c r="C7884" s="141" t="s">
        <v>45</v>
      </c>
    </row>
    <row r="7885" spans="1:3" x14ac:dyDescent="0.35">
      <c r="A7885" s="141" t="s">
        <v>821</v>
      </c>
      <c r="B7885" s="141" t="s">
        <v>1051</v>
      </c>
      <c r="C7885" s="141" t="s">
        <v>45</v>
      </c>
    </row>
    <row r="7886" spans="1:3" x14ac:dyDescent="0.35">
      <c r="A7886" s="141" t="s">
        <v>822</v>
      </c>
      <c r="B7886" s="141" t="s">
        <v>1051</v>
      </c>
      <c r="C7886" s="141" t="s">
        <v>45</v>
      </c>
    </row>
    <row r="7887" spans="1:3" x14ac:dyDescent="0.35">
      <c r="A7887" s="141" t="s">
        <v>823</v>
      </c>
      <c r="B7887" s="141" t="s">
        <v>1051</v>
      </c>
      <c r="C7887" s="141" t="s">
        <v>45</v>
      </c>
    </row>
    <row r="7888" spans="1:3" x14ac:dyDescent="0.35">
      <c r="A7888" s="141" t="s">
        <v>824</v>
      </c>
      <c r="B7888" s="141" t="s">
        <v>1051</v>
      </c>
      <c r="C7888" s="141" t="s">
        <v>45</v>
      </c>
    </row>
    <row r="7889" spans="1:3" x14ac:dyDescent="0.35">
      <c r="A7889" s="141" t="s">
        <v>1041</v>
      </c>
      <c r="B7889" s="141" t="s">
        <v>1051</v>
      </c>
      <c r="C7889" s="141" t="s">
        <v>45</v>
      </c>
    </row>
    <row r="7890" spans="1:3" x14ac:dyDescent="0.35">
      <c r="A7890" s="141" t="s">
        <v>827</v>
      </c>
      <c r="B7890" s="141" t="s">
        <v>1051</v>
      </c>
      <c r="C7890" s="141" t="s">
        <v>45</v>
      </c>
    </row>
    <row r="7891" spans="1:3" x14ac:dyDescent="0.35">
      <c r="A7891" s="141" t="s">
        <v>828</v>
      </c>
      <c r="B7891" s="141" t="s">
        <v>1051</v>
      </c>
      <c r="C7891" s="141" t="s">
        <v>45</v>
      </c>
    </row>
    <row r="7892" spans="1:3" x14ac:dyDescent="0.35">
      <c r="A7892" s="141" t="s">
        <v>829</v>
      </c>
      <c r="B7892" s="141" t="s">
        <v>1051</v>
      </c>
      <c r="C7892" s="141" t="s">
        <v>45</v>
      </c>
    </row>
    <row r="7893" spans="1:3" x14ac:dyDescent="0.35">
      <c r="A7893" s="141" t="s">
        <v>830</v>
      </c>
      <c r="B7893" s="141" t="s">
        <v>1051</v>
      </c>
      <c r="C7893" s="141" t="s">
        <v>45</v>
      </c>
    </row>
    <row r="7894" spans="1:3" x14ac:dyDescent="0.35">
      <c r="A7894" s="141" t="s">
        <v>831</v>
      </c>
      <c r="B7894" s="141" t="s">
        <v>1051</v>
      </c>
      <c r="C7894" s="141" t="s">
        <v>45</v>
      </c>
    </row>
    <row r="7895" spans="1:3" x14ac:dyDescent="0.35">
      <c r="A7895" s="141" t="s">
        <v>1042</v>
      </c>
      <c r="B7895" s="141" t="s">
        <v>1051</v>
      </c>
      <c r="C7895" s="141" t="s">
        <v>45</v>
      </c>
    </row>
    <row r="7896" spans="1:3" x14ac:dyDescent="0.35">
      <c r="A7896" s="141" t="s">
        <v>1024</v>
      </c>
      <c r="B7896" s="141" t="s">
        <v>1051</v>
      </c>
      <c r="C7896" s="141" t="s">
        <v>21</v>
      </c>
    </row>
    <row r="7897" spans="1:3" x14ac:dyDescent="0.35">
      <c r="A7897" s="141" t="s">
        <v>276</v>
      </c>
      <c r="B7897" s="141" t="s">
        <v>1051</v>
      </c>
      <c r="C7897" s="141" t="s">
        <v>21</v>
      </c>
    </row>
    <row r="7898" spans="1:3" x14ac:dyDescent="0.35">
      <c r="A7898" s="141" t="s">
        <v>277</v>
      </c>
      <c r="B7898" s="141" t="s">
        <v>1051</v>
      </c>
      <c r="C7898" s="141" t="s">
        <v>21</v>
      </c>
    </row>
    <row r="7899" spans="1:3" x14ac:dyDescent="0.35">
      <c r="A7899" s="141" t="s">
        <v>278</v>
      </c>
      <c r="B7899" s="141" t="s">
        <v>1051</v>
      </c>
      <c r="C7899" s="141" t="s">
        <v>21</v>
      </c>
    </row>
    <row r="7900" spans="1:3" x14ac:dyDescent="0.35">
      <c r="A7900" s="141" t="s">
        <v>283</v>
      </c>
      <c r="B7900" s="141" t="s">
        <v>1051</v>
      </c>
      <c r="C7900" s="141" t="s">
        <v>21</v>
      </c>
    </row>
    <row r="7901" spans="1:3" x14ac:dyDescent="0.35">
      <c r="A7901" s="141" t="s">
        <v>284</v>
      </c>
      <c r="B7901" s="141" t="s">
        <v>1051</v>
      </c>
      <c r="C7901" s="141" t="s">
        <v>21</v>
      </c>
    </row>
    <row r="7902" spans="1:3" x14ac:dyDescent="0.35">
      <c r="A7902" s="141" t="s">
        <v>285</v>
      </c>
      <c r="B7902" s="141" t="s">
        <v>1051</v>
      </c>
      <c r="C7902" s="141" t="s">
        <v>27</v>
      </c>
    </row>
    <row r="7903" spans="1:3" x14ac:dyDescent="0.35">
      <c r="A7903" s="141" t="s">
        <v>286</v>
      </c>
      <c r="B7903" s="141" t="s">
        <v>1051</v>
      </c>
      <c r="C7903" s="141" t="s">
        <v>27</v>
      </c>
    </row>
    <row r="7904" spans="1:3" x14ac:dyDescent="0.35">
      <c r="A7904" s="141" t="s">
        <v>290</v>
      </c>
      <c r="B7904" s="141" t="s">
        <v>1051</v>
      </c>
      <c r="C7904" s="141" t="s">
        <v>23</v>
      </c>
    </row>
    <row r="7905" spans="1:3" x14ac:dyDescent="0.35">
      <c r="A7905" s="141" t="s">
        <v>848</v>
      </c>
      <c r="B7905" s="141" t="s">
        <v>1051</v>
      </c>
      <c r="C7905" s="141" t="s">
        <v>22</v>
      </c>
    </row>
    <row r="7906" spans="1:3" x14ac:dyDescent="0.35">
      <c r="A7906" s="141" t="s">
        <v>849</v>
      </c>
      <c r="B7906" s="141" t="s">
        <v>1051</v>
      </c>
      <c r="C7906" s="141" t="s">
        <v>22</v>
      </c>
    </row>
    <row r="7907" spans="1:3" x14ac:dyDescent="0.35">
      <c r="A7907" s="141" t="s">
        <v>850</v>
      </c>
      <c r="B7907" s="141" t="s">
        <v>1051</v>
      </c>
      <c r="C7907" s="141" t="s">
        <v>22</v>
      </c>
    </row>
    <row r="7908" spans="1:3" x14ac:dyDescent="0.35">
      <c r="A7908" s="141" t="s">
        <v>294</v>
      </c>
      <c r="B7908" s="141" t="s">
        <v>1051</v>
      </c>
      <c r="C7908" s="141" t="s">
        <v>21</v>
      </c>
    </row>
    <row r="7909" spans="1:3" x14ac:dyDescent="0.35">
      <c r="A7909" s="141" t="s">
        <v>1035</v>
      </c>
      <c r="B7909" s="141" t="s">
        <v>1051</v>
      </c>
      <c r="C7909" s="141" t="s">
        <v>21</v>
      </c>
    </row>
    <row r="7910" spans="1:3" x14ac:dyDescent="0.35">
      <c r="A7910" s="141" t="s">
        <v>990</v>
      </c>
      <c r="B7910" s="141" t="s">
        <v>1051</v>
      </c>
      <c r="C7910" s="141" t="s">
        <v>21</v>
      </c>
    </row>
    <row r="7911" spans="1:3" x14ac:dyDescent="0.35">
      <c r="A7911" s="141" t="s">
        <v>991</v>
      </c>
      <c r="B7911" s="141" t="s">
        <v>1051</v>
      </c>
      <c r="C7911" s="141" t="s">
        <v>21</v>
      </c>
    </row>
    <row r="7912" spans="1:3" x14ac:dyDescent="0.35">
      <c r="A7912" s="141" t="s">
        <v>992</v>
      </c>
      <c r="B7912" s="141" t="s">
        <v>1051</v>
      </c>
      <c r="C7912" s="141" t="s">
        <v>21</v>
      </c>
    </row>
    <row r="7913" spans="1:3" x14ac:dyDescent="0.35">
      <c r="A7913" s="141" t="s">
        <v>993</v>
      </c>
      <c r="B7913" s="141" t="s">
        <v>1051</v>
      </c>
      <c r="C7913" s="141" t="s">
        <v>21</v>
      </c>
    </row>
    <row r="7914" spans="1:3" x14ac:dyDescent="0.35">
      <c r="A7914" s="141" t="s">
        <v>994</v>
      </c>
      <c r="B7914" s="141" t="s">
        <v>1051</v>
      </c>
      <c r="C7914" s="141" t="s">
        <v>21</v>
      </c>
    </row>
    <row r="7915" spans="1:3" x14ac:dyDescent="0.35">
      <c r="A7915" s="141" t="s">
        <v>995</v>
      </c>
      <c r="B7915" s="141" t="s">
        <v>1051</v>
      </c>
      <c r="C7915" s="141" t="s">
        <v>21</v>
      </c>
    </row>
    <row r="7916" spans="1:3" x14ac:dyDescent="0.35">
      <c r="A7916" s="141" t="s">
        <v>1029</v>
      </c>
      <c r="B7916" s="141" t="s">
        <v>1051</v>
      </c>
      <c r="C7916" s="141" t="s">
        <v>21</v>
      </c>
    </row>
    <row r="7917" spans="1:3" x14ac:dyDescent="0.35">
      <c r="A7917" s="141" t="s">
        <v>1030</v>
      </c>
      <c r="B7917" s="141" t="s">
        <v>1051</v>
      </c>
      <c r="C7917" s="141" t="s">
        <v>21</v>
      </c>
    </row>
    <row r="7918" spans="1:3" x14ac:dyDescent="0.35">
      <c r="A7918" s="141" t="s">
        <v>1025</v>
      </c>
      <c r="B7918" s="141" t="s">
        <v>1051</v>
      </c>
      <c r="C7918" s="141" t="s">
        <v>27</v>
      </c>
    </row>
    <row r="7919" spans="1:3" x14ac:dyDescent="0.35">
      <c r="A7919" s="141" t="s">
        <v>1026</v>
      </c>
      <c r="B7919" s="141" t="s">
        <v>1051</v>
      </c>
      <c r="C7919" s="141" t="s">
        <v>27</v>
      </c>
    </row>
    <row r="7920" spans="1:3" x14ac:dyDescent="0.35">
      <c r="A7920" s="141" t="s">
        <v>1027</v>
      </c>
      <c r="B7920" s="141" t="s">
        <v>1051</v>
      </c>
      <c r="C7920" s="141" t="s">
        <v>32</v>
      </c>
    </row>
    <row r="7921" spans="1:3" x14ac:dyDescent="0.35">
      <c r="A7921" s="141" t="s">
        <v>1028</v>
      </c>
      <c r="B7921" s="141" t="s">
        <v>1051</v>
      </c>
      <c r="C7921" s="141" t="s">
        <v>27</v>
      </c>
    </row>
    <row r="7922" spans="1:3" x14ac:dyDescent="0.35">
      <c r="A7922" s="141" t="s">
        <v>667</v>
      </c>
      <c r="B7922" s="141" t="s">
        <v>1051</v>
      </c>
      <c r="C7922" s="141" t="s">
        <v>55</v>
      </c>
    </row>
    <row r="7923" spans="1:3" x14ac:dyDescent="0.35">
      <c r="A7923" s="141" t="s">
        <v>668</v>
      </c>
      <c r="B7923" s="141" t="s">
        <v>1051</v>
      </c>
      <c r="C7923" s="141" t="s">
        <v>54</v>
      </c>
    </row>
    <row r="7924" spans="1:3" x14ac:dyDescent="0.35">
      <c r="A7924" s="141" t="s">
        <v>669</v>
      </c>
      <c r="B7924" s="141" t="s">
        <v>1051</v>
      </c>
      <c r="C7924" s="141" t="s">
        <v>55</v>
      </c>
    </row>
    <row r="7925" spans="1:3" x14ac:dyDescent="0.35">
      <c r="A7925" s="141" t="s">
        <v>670</v>
      </c>
      <c r="B7925" s="141" t="s">
        <v>1051</v>
      </c>
      <c r="C7925" s="141" t="s">
        <v>54</v>
      </c>
    </row>
    <row r="7926" spans="1:3" x14ac:dyDescent="0.35">
      <c r="A7926" s="141" t="s">
        <v>885</v>
      </c>
      <c r="B7926" s="141" t="s">
        <v>1051</v>
      </c>
      <c r="C7926" s="141" t="s">
        <v>19</v>
      </c>
    </row>
    <row r="7927" spans="1:3" x14ac:dyDescent="0.35">
      <c r="A7927" s="141" t="s">
        <v>886</v>
      </c>
      <c r="B7927" s="141" t="s">
        <v>1051</v>
      </c>
      <c r="C7927" s="141" t="s">
        <v>19</v>
      </c>
    </row>
    <row r="7928" spans="1:3" x14ac:dyDescent="0.35">
      <c r="A7928" s="141" t="s">
        <v>398</v>
      </c>
      <c r="B7928" s="141" t="s">
        <v>1051</v>
      </c>
      <c r="C7928" s="141" t="s">
        <v>17</v>
      </c>
    </row>
    <row r="7929" spans="1:3" x14ac:dyDescent="0.35">
      <c r="A7929" s="141" t="s">
        <v>399</v>
      </c>
      <c r="B7929" s="141" t="s">
        <v>1051</v>
      </c>
      <c r="C7929" s="141" t="s">
        <v>16</v>
      </c>
    </row>
    <row r="7930" spans="1:3" x14ac:dyDescent="0.35">
      <c r="A7930" s="141" t="s">
        <v>400</v>
      </c>
      <c r="B7930" s="141" t="s">
        <v>1051</v>
      </c>
      <c r="C7930" s="141" t="s">
        <v>20</v>
      </c>
    </row>
    <row r="7931" spans="1:3" x14ac:dyDescent="0.35">
      <c r="A7931" s="141" t="s">
        <v>401</v>
      </c>
      <c r="B7931" s="141" t="s">
        <v>1051</v>
      </c>
      <c r="C7931" s="141" t="s">
        <v>20</v>
      </c>
    </row>
    <row r="7932" spans="1:3" x14ac:dyDescent="0.35">
      <c r="A7932" s="141" t="s">
        <v>671</v>
      </c>
      <c r="B7932" s="141" t="s">
        <v>1051</v>
      </c>
      <c r="C7932" s="141" t="s">
        <v>20</v>
      </c>
    </row>
    <row r="7933" spans="1:3" x14ac:dyDescent="0.35">
      <c r="A7933" s="141" t="s">
        <v>774</v>
      </c>
      <c r="B7933" s="141" t="s">
        <v>1051</v>
      </c>
      <c r="C7933" s="141" t="s">
        <v>38</v>
      </c>
    </row>
    <row r="7934" spans="1:3" x14ac:dyDescent="0.35">
      <c r="A7934" s="141" t="s">
        <v>775</v>
      </c>
      <c r="B7934" s="141" t="s">
        <v>1051</v>
      </c>
      <c r="C7934" s="141" t="s">
        <v>38</v>
      </c>
    </row>
    <row r="7935" spans="1:3" x14ac:dyDescent="0.35">
      <c r="A7935" s="141" t="s">
        <v>776</v>
      </c>
      <c r="B7935" s="141" t="s">
        <v>1051</v>
      </c>
      <c r="C7935" s="141" t="s">
        <v>46</v>
      </c>
    </row>
    <row r="7936" spans="1:3" x14ac:dyDescent="0.35">
      <c r="A7936" s="141" t="s">
        <v>777</v>
      </c>
      <c r="B7936" s="141" t="s">
        <v>1051</v>
      </c>
      <c r="C7936" s="141" t="s">
        <v>46</v>
      </c>
    </row>
    <row r="7937" spans="1:3" x14ac:dyDescent="0.35">
      <c r="A7937" s="141" t="s">
        <v>778</v>
      </c>
      <c r="B7937" s="141" t="s">
        <v>1051</v>
      </c>
      <c r="C7937" s="141" t="s">
        <v>45</v>
      </c>
    </row>
    <row r="7938" spans="1:3" x14ac:dyDescent="0.35">
      <c r="A7938" s="141" t="s">
        <v>1023</v>
      </c>
      <c r="B7938" s="141" t="s">
        <v>1051</v>
      </c>
      <c r="C7938" s="141" t="s">
        <v>45</v>
      </c>
    </row>
    <row r="7939" spans="1:3" x14ac:dyDescent="0.35">
      <c r="A7939" s="141" t="s">
        <v>781</v>
      </c>
      <c r="B7939" s="141" t="s">
        <v>1051</v>
      </c>
      <c r="C7939" s="141" t="s">
        <v>45</v>
      </c>
    </row>
    <row r="7940" spans="1:3" x14ac:dyDescent="0.35">
      <c r="A7940" s="141" t="s">
        <v>409</v>
      </c>
      <c r="B7940" s="141" t="s">
        <v>1051</v>
      </c>
      <c r="C7940" s="141" t="s">
        <v>18</v>
      </c>
    </row>
    <row r="7941" spans="1:3" x14ac:dyDescent="0.35">
      <c r="A7941" s="141" t="s">
        <v>1018</v>
      </c>
      <c r="B7941" s="141" t="s">
        <v>1051</v>
      </c>
      <c r="C7941" s="141" t="s">
        <v>18</v>
      </c>
    </row>
    <row r="7942" spans="1:3" x14ac:dyDescent="0.35">
      <c r="A7942" s="141" t="s">
        <v>411</v>
      </c>
      <c r="B7942" s="141" t="s">
        <v>1051</v>
      </c>
      <c r="C7942" s="141" t="s">
        <v>9</v>
      </c>
    </row>
    <row r="7943" spans="1:3" x14ac:dyDescent="0.35">
      <c r="A7943" s="141" t="s">
        <v>412</v>
      </c>
      <c r="B7943" s="141" t="s">
        <v>1051</v>
      </c>
      <c r="C7943" s="141" t="s">
        <v>9</v>
      </c>
    </row>
    <row r="7944" spans="1:3" x14ac:dyDescent="0.35">
      <c r="A7944" s="141" t="s">
        <v>413</v>
      </c>
      <c r="B7944" s="141" t="s">
        <v>1051</v>
      </c>
      <c r="C7944" s="141" t="s">
        <v>9</v>
      </c>
    </row>
    <row r="7945" spans="1:3" x14ac:dyDescent="0.35">
      <c r="A7945" s="141" t="s">
        <v>414</v>
      </c>
      <c r="B7945" s="141" t="s">
        <v>1051</v>
      </c>
      <c r="C7945" s="141" t="s">
        <v>9</v>
      </c>
    </row>
    <row r="7946" spans="1:3" x14ac:dyDescent="0.35">
      <c r="A7946" s="141" t="s">
        <v>415</v>
      </c>
      <c r="B7946" s="141" t="s">
        <v>1051</v>
      </c>
      <c r="C7946" s="141" t="s">
        <v>9</v>
      </c>
    </row>
    <row r="7947" spans="1:3" x14ac:dyDescent="0.35">
      <c r="A7947" s="141" t="s">
        <v>1016</v>
      </c>
      <c r="B7947" s="141" t="s">
        <v>1051</v>
      </c>
      <c r="C7947" s="141" t="s">
        <v>20</v>
      </c>
    </row>
    <row r="7948" spans="1:3" x14ac:dyDescent="0.35">
      <c r="A7948" s="141" t="s">
        <v>593</v>
      </c>
      <c r="B7948" s="141" t="s">
        <v>1051</v>
      </c>
      <c r="C7948" s="141" t="s">
        <v>20</v>
      </c>
    </row>
    <row r="7949" spans="1:3" x14ac:dyDescent="0.35">
      <c r="A7949" s="141" t="s">
        <v>403</v>
      </c>
      <c r="B7949" s="141" t="s">
        <v>1051</v>
      </c>
      <c r="C7949" s="141" t="s">
        <v>20</v>
      </c>
    </row>
    <row r="7950" spans="1:3" x14ac:dyDescent="0.35">
      <c r="A7950" s="141" t="s">
        <v>1017</v>
      </c>
      <c r="B7950" s="141" t="s">
        <v>1051</v>
      </c>
      <c r="C7950" s="141" t="s">
        <v>16</v>
      </c>
    </row>
    <row r="7951" spans="1:3" x14ac:dyDescent="0.35">
      <c r="A7951" s="141" t="s">
        <v>416</v>
      </c>
      <c r="B7951" s="141" t="s">
        <v>1051</v>
      </c>
      <c r="C7951" s="141" t="s">
        <v>15</v>
      </c>
    </row>
    <row r="7952" spans="1:3" x14ac:dyDescent="0.35">
      <c r="A7952" s="141" t="s">
        <v>417</v>
      </c>
      <c r="B7952" s="141" t="s">
        <v>1051</v>
      </c>
      <c r="C7952" s="141" t="s">
        <v>6</v>
      </c>
    </row>
    <row r="7953" spans="1:3" x14ac:dyDescent="0.35">
      <c r="A7953" s="141" t="s">
        <v>1019</v>
      </c>
      <c r="B7953" s="141" t="s">
        <v>1051</v>
      </c>
      <c r="C7953" s="141" t="s">
        <v>17</v>
      </c>
    </row>
    <row r="7954" spans="1:3" x14ac:dyDescent="0.35">
      <c r="A7954" s="141" t="s">
        <v>420</v>
      </c>
      <c r="B7954" s="141" t="s">
        <v>1051</v>
      </c>
      <c r="C7954" s="141" t="s">
        <v>17</v>
      </c>
    </row>
    <row r="7955" spans="1:3" x14ac:dyDescent="0.35">
      <c r="A7955" s="141" t="s">
        <v>421</v>
      </c>
      <c r="B7955" s="141" t="s">
        <v>1051</v>
      </c>
      <c r="C7955" s="141" t="s">
        <v>6</v>
      </c>
    </row>
    <row r="7956" spans="1:3" x14ac:dyDescent="0.35">
      <c r="A7956" s="141" t="s">
        <v>422</v>
      </c>
      <c r="B7956" s="141" t="s">
        <v>1051</v>
      </c>
      <c r="C7956" s="141" t="s">
        <v>17</v>
      </c>
    </row>
    <row r="7957" spans="1:3" x14ac:dyDescent="0.35">
      <c r="A7957" s="141" t="s">
        <v>406</v>
      </c>
      <c r="B7957" s="141" t="s">
        <v>1051</v>
      </c>
      <c r="C7957" s="141" t="s">
        <v>18</v>
      </c>
    </row>
    <row r="7958" spans="1:3" x14ac:dyDescent="0.35">
      <c r="A7958" s="141" t="s">
        <v>407</v>
      </c>
      <c r="B7958" s="141" t="s">
        <v>1051</v>
      </c>
      <c r="C7958" s="141" t="s">
        <v>17</v>
      </c>
    </row>
    <row r="7959" spans="1:3" x14ac:dyDescent="0.35">
      <c r="A7959" s="141" t="s">
        <v>566</v>
      </c>
      <c r="B7959" s="141" t="s">
        <v>1051</v>
      </c>
      <c r="C7959" s="141" t="s">
        <v>17</v>
      </c>
    </row>
    <row r="7960" spans="1:3" x14ac:dyDescent="0.35">
      <c r="A7960" s="141" t="s">
        <v>833</v>
      </c>
      <c r="B7960" s="141" t="s">
        <v>1051</v>
      </c>
      <c r="C7960" s="141" t="s">
        <v>17</v>
      </c>
    </row>
    <row r="7961" spans="1:3" x14ac:dyDescent="0.35">
      <c r="A7961" s="141" t="s">
        <v>672</v>
      </c>
      <c r="B7961" s="141" t="s">
        <v>1051</v>
      </c>
      <c r="C7961" s="141" t="s">
        <v>25</v>
      </c>
    </row>
    <row r="7962" spans="1:3" x14ac:dyDescent="0.35">
      <c r="A7962" s="141" t="s">
        <v>897</v>
      </c>
      <c r="B7962" s="141" t="s">
        <v>1051</v>
      </c>
      <c r="C7962" s="141" t="s">
        <v>26</v>
      </c>
    </row>
    <row r="7963" spans="1:3" x14ac:dyDescent="0.35">
      <c r="A7963" s="141" t="s">
        <v>895</v>
      </c>
      <c r="B7963" s="141" t="s">
        <v>1051</v>
      </c>
      <c r="C7963" s="141" t="s">
        <v>25</v>
      </c>
    </row>
    <row r="7964" spans="1:3" x14ac:dyDescent="0.35">
      <c r="A7964" s="141" t="s">
        <v>996</v>
      </c>
      <c r="B7964" s="141" t="s">
        <v>1051</v>
      </c>
      <c r="C7964" s="141" t="s">
        <v>25</v>
      </c>
    </row>
    <row r="7965" spans="1:3" x14ac:dyDescent="0.35">
      <c r="A7965" s="141" t="s">
        <v>898</v>
      </c>
      <c r="B7965" s="141" t="s">
        <v>1051</v>
      </c>
      <c r="C7965" s="141" t="s">
        <v>25</v>
      </c>
    </row>
    <row r="7966" spans="1:3" x14ac:dyDescent="0.35">
      <c r="A7966" s="141" t="s">
        <v>896</v>
      </c>
      <c r="B7966" s="141" t="s">
        <v>1051</v>
      </c>
      <c r="C7966" s="141" t="s">
        <v>25</v>
      </c>
    </row>
    <row r="7967" spans="1:3" x14ac:dyDescent="0.35">
      <c r="A7967" s="141" t="s">
        <v>963</v>
      </c>
      <c r="B7967" s="141" t="s">
        <v>1051</v>
      </c>
      <c r="C7967" s="141" t="s">
        <v>25</v>
      </c>
    </row>
    <row r="7968" spans="1:3" x14ac:dyDescent="0.35">
      <c r="A7968" s="141" t="s">
        <v>957</v>
      </c>
      <c r="B7968" s="141" t="s">
        <v>1051</v>
      </c>
      <c r="C7968" s="141" t="s">
        <v>25</v>
      </c>
    </row>
    <row r="7969" spans="1:3" x14ac:dyDescent="0.35">
      <c r="A7969" s="141" t="s">
        <v>958</v>
      </c>
      <c r="B7969" s="141" t="s">
        <v>1051</v>
      </c>
      <c r="C7969" s="141" t="s">
        <v>25</v>
      </c>
    </row>
    <row r="7970" spans="1:3" x14ac:dyDescent="0.35">
      <c r="A7970" s="141" t="s">
        <v>964</v>
      </c>
      <c r="B7970" s="141" t="s">
        <v>1051</v>
      </c>
      <c r="C7970" s="141" t="s">
        <v>25</v>
      </c>
    </row>
    <row r="7971" spans="1:3" x14ac:dyDescent="0.35">
      <c r="A7971" s="141" t="s">
        <v>863</v>
      </c>
      <c r="B7971" s="141" t="s">
        <v>1051</v>
      </c>
      <c r="C7971" s="141" t="s">
        <v>30</v>
      </c>
    </row>
    <row r="7972" spans="1:3" x14ac:dyDescent="0.35">
      <c r="A7972" s="141" t="s">
        <v>864</v>
      </c>
      <c r="B7972" s="141" t="s">
        <v>1051</v>
      </c>
      <c r="C7972" s="141" t="s">
        <v>30</v>
      </c>
    </row>
    <row r="7973" spans="1:3" x14ac:dyDescent="0.35">
      <c r="A7973" s="141" t="s">
        <v>865</v>
      </c>
      <c r="B7973" s="141" t="s">
        <v>1051</v>
      </c>
      <c r="C7973" s="141" t="s">
        <v>34</v>
      </c>
    </row>
    <row r="7974" spans="1:3" x14ac:dyDescent="0.35">
      <c r="A7974" s="141" t="s">
        <v>866</v>
      </c>
      <c r="B7974" s="141" t="s">
        <v>1051</v>
      </c>
      <c r="C7974" s="141" t="s">
        <v>34</v>
      </c>
    </row>
    <row r="7975" spans="1:3" x14ac:dyDescent="0.35">
      <c r="A7975" s="141" t="s">
        <v>784</v>
      </c>
      <c r="B7975" s="141" t="s">
        <v>1051</v>
      </c>
      <c r="C7975" s="141" t="s">
        <v>30</v>
      </c>
    </row>
    <row r="7976" spans="1:3" x14ac:dyDescent="0.35">
      <c r="A7976" s="141" t="s">
        <v>867</v>
      </c>
      <c r="B7976" s="141" t="s">
        <v>1051</v>
      </c>
      <c r="C7976" s="141" t="s">
        <v>30</v>
      </c>
    </row>
    <row r="7977" spans="1:3" x14ac:dyDescent="0.35">
      <c r="A7977" s="141" t="s">
        <v>525</v>
      </c>
      <c r="B7977" s="141" t="s">
        <v>1051</v>
      </c>
      <c r="C7977" s="141" t="s">
        <v>46</v>
      </c>
    </row>
    <row r="7978" spans="1:3" x14ac:dyDescent="0.35">
      <c r="A7978" s="141" t="s">
        <v>1001</v>
      </c>
      <c r="B7978" s="141" t="s">
        <v>1051</v>
      </c>
      <c r="C7978" s="141" t="s">
        <v>32</v>
      </c>
    </row>
    <row r="7979" spans="1:3" x14ac:dyDescent="0.35">
      <c r="A7979" s="141" t="s">
        <v>870</v>
      </c>
      <c r="B7979" s="141" t="s">
        <v>1051</v>
      </c>
      <c r="C7979" s="141" t="s">
        <v>32</v>
      </c>
    </row>
    <row r="7980" spans="1:3" x14ac:dyDescent="0.35">
      <c r="A7980" s="141" t="s">
        <v>932</v>
      </c>
      <c r="B7980" s="141" t="s">
        <v>1051</v>
      </c>
      <c r="C7980" s="141" t="s">
        <v>49</v>
      </c>
    </row>
    <row r="7981" spans="1:3" x14ac:dyDescent="0.35">
      <c r="A7981" s="141" t="s">
        <v>940</v>
      </c>
      <c r="B7981" s="141" t="s">
        <v>1051</v>
      </c>
      <c r="C7981" s="141" t="s">
        <v>49</v>
      </c>
    </row>
    <row r="7982" spans="1:3" x14ac:dyDescent="0.35">
      <c r="A7982" s="141" t="s">
        <v>941</v>
      </c>
      <c r="B7982" s="141" t="s">
        <v>1051</v>
      </c>
      <c r="C7982" s="141" t="s">
        <v>49</v>
      </c>
    </row>
    <row r="7983" spans="1:3" x14ac:dyDescent="0.35">
      <c r="A7983" s="141" t="s">
        <v>933</v>
      </c>
      <c r="B7983" s="141" t="s">
        <v>1051</v>
      </c>
      <c r="C7983" s="141" t="s">
        <v>32</v>
      </c>
    </row>
    <row r="7984" spans="1:3" x14ac:dyDescent="0.35">
      <c r="A7984" s="141" t="s">
        <v>946</v>
      </c>
      <c r="B7984" s="141" t="s">
        <v>1051</v>
      </c>
      <c r="C7984" s="141" t="s">
        <v>25</v>
      </c>
    </row>
    <row r="7985" spans="1:3" x14ac:dyDescent="0.35">
      <c r="A7985" s="141" t="s">
        <v>935</v>
      </c>
      <c r="B7985" s="141" t="s">
        <v>1051</v>
      </c>
      <c r="C7985" s="141" t="s">
        <v>32</v>
      </c>
    </row>
    <row r="7986" spans="1:3" x14ac:dyDescent="0.35">
      <c r="A7986" s="141" t="s">
        <v>937</v>
      </c>
      <c r="B7986" s="141" t="s">
        <v>1051</v>
      </c>
      <c r="C7986" s="141" t="s">
        <v>32</v>
      </c>
    </row>
    <row r="7987" spans="1:3" x14ac:dyDescent="0.35">
      <c r="A7987" s="141" t="s">
        <v>938</v>
      </c>
      <c r="B7987" s="141" t="s">
        <v>1051</v>
      </c>
      <c r="C7987" s="141" t="s">
        <v>32</v>
      </c>
    </row>
    <row r="7988" spans="1:3" x14ac:dyDescent="0.35">
      <c r="A7988" s="141" t="s">
        <v>939</v>
      </c>
      <c r="B7988" s="141" t="s">
        <v>1051</v>
      </c>
      <c r="C7988" s="141" t="s">
        <v>32</v>
      </c>
    </row>
    <row r="7989" spans="1:3" x14ac:dyDescent="0.35">
      <c r="A7989" s="141" t="s">
        <v>942</v>
      </c>
      <c r="B7989" s="141" t="s">
        <v>1051</v>
      </c>
      <c r="C7989" s="141" t="s">
        <v>32</v>
      </c>
    </row>
    <row r="7990" spans="1:3" x14ac:dyDescent="0.35">
      <c r="A7990" s="141" t="s">
        <v>943</v>
      </c>
      <c r="B7990" s="141" t="s">
        <v>1051</v>
      </c>
      <c r="C7990" s="141" t="s">
        <v>32</v>
      </c>
    </row>
    <row r="7991" spans="1:3" x14ac:dyDescent="0.35">
      <c r="A7991" s="141" t="s">
        <v>944</v>
      </c>
      <c r="B7991" s="141" t="s">
        <v>1051</v>
      </c>
      <c r="C7991" s="141" t="s">
        <v>32</v>
      </c>
    </row>
    <row r="7992" spans="1:3" x14ac:dyDescent="0.35">
      <c r="A7992" s="141" t="s">
        <v>296</v>
      </c>
      <c r="B7992" s="141" t="s">
        <v>1051</v>
      </c>
      <c r="C7992" s="141" t="s">
        <v>32</v>
      </c>
    </row>
    <row r="7993" spans="1:3" x14ac:dyDescent="0.35">
      <c r="A7993" s="141" t="s">
        <v>947</v>
      </c>
      <c r="B7993" s="141" t="s">
        <v>1051</v>
      </c>
      <c r="C7993" s="141" t="s">
        <v>32</v>
      </c>
    </row>
    <row r="7994" spans="1:3" x14ac:dyDescent="0.35">
      <c r="A7994" s="141" t="s">
        <v>948</v>
      </c>
      <c r="B7994" s="141" t="s">
        <v>1051</v>
      </c>
      <c r="C7994" s="141" t="s">
        <v>32</v>
      </c>
    </row>
    <row r="7995" spans="1:3" x14ac:dyDescent="0.35">
      <c r="A7995" s="141" t="s">
        <v>949</v>
      </c>
      <c r="B7995" s="141" t="s">
        <v>1051</v>
      </c>
      <c r="C7995" s="141" t="s">
        <v>32</v>
      </c>
    </row>
    <row r="7996" spans="1:3" x14ac:dyDescent="0.35">
      <c r="A7996" s="141" t="s">
        <v>950</v>
      </c>
      <c r="B7996" s="141" t="s">
        <v>1051</v>
      </c>
      <c r="C7996" s="141" t="s">
        <v>32</v>
      </c>
    </row>
    <row r="7997" spans="1:3" x14ac:dyDescent="0.35">
      <c r="A7997" s="141" t="s">
        <v>951</v>
      </c>
      <c r="B7997" s="141" t="s">
        <v>1051</v>
      </c>
      <c r="C7997" s="141" t="s">
        <v>32</v>
      </c>
    </row>
    <row r="7998" spans="1:3" x14ac:dyDescent="0.35">
      <c r="A7998" s="141" t="s">
        <v>952</v>
      </c>
      <c r="B7998" s="141" t="s">
        <v>1051</v>
      </c>
      <c r="C7998" s="141" t="s">
        <v>32</v>
      </c>
    </row>
    <row r="7999" spans="1:3" x14ac:dyDescent="0.35">
      <c r="A7999" s="141" t="s">
        <v>953</v>
      </c>
      <c r="B7999" s="141" t="s">
        <v>1051</v>
      </c>
      <c r="C7999" s="141" t="s">
        <v>31</v>
      </c>
    </row>
    <row r="8000" spans="1:3" x14ac:dyDescent="0.35">
      <c r="A8000" s="141" t="s">
        <v>934</v>
      </c>
      <c r="B8000" s="141" t="s">
        <v>1051</v>
      </c>
      <c r="C8000" s="141" t="s">
        <v>32</v>
      </c>
    </row>
    <row r="8001" spans="1:3" x14ac:dyDescent="0.35">
      <c r="A8001" s="141" t="s">
        <v>936</v>
      </c>
      <c r="B8001" s="141" t="s">
        <v>1051</v>
      </c>
      <c r="C8001" s="141" t="s">
        <v>32</v>
      </c>
    </row>
    <row r="8002" spans="1:3" x14ac:dyDescent="0.35">
      <c r="A8002" s="141" t="s">
        <v>945</v>
      </c>
      <c r="B8002" s="141" t="s">
        <v>1051</v>
      </c>
      <c r="C8002" s="141" t="s">
        <v>32</v>
      </c>
    </row>
    <row r="8003" spans="1:3" x14ac:dyDescent="0.35">
      <c r="A8003" s="141" t="s">
        <v>986</v>
      </c>
      <c r="B8003" s="141" t="s">
        <v>1051</v>
      </c>
      <c r="C8003" s="141" t="s">
        <v>32</v>
      </c>
    </row>
    <row r="8004" spans="1:3" x14ac:dyDescent="0.35">
      <c r="A8004" s="141" t="s">
        <v>861</v>
      </c>
      <c r="B8004" s="141" t="s">
        <v>1051</v>
      </c>
      <c r="C8004" s="141" t="s">
        <v>33</v>
      </c>
    </row>
    <row r="8005" spans="1:3" x14ac:dyDescent="0.35">
      <c r="A8005" s="141" t="s">
        <v>862</v>
      </c>
      <c r="B8005" s="141" t="s">
        <v>1051</v>
      </c>
      <c r="C8005" s="141" t="s">
        <v>33</v>
      </c>
    </row>
    <row r="8006" spans="1:3" x14ac:dyDescent="0.35">
      <c r="A8006" s="141" t="s">
        <v>516</v>
      </c>
      <c r="B8006" s="141" t="s">
        <v>1051</v>
      </c>
      <c r="C8006" s="141" t="s">
        <v>33</v>
      </c>
    </row>
    <row r="8007" spans="1:3" x14ac:dyDescent="0.35">
      <c r="A8007" s="141" t="s">
        <v>892</v>
      </c>
      <c r="B8007" s="141" t="s">
        <v>1051</v>
      </c>
      <c r="C8007" s="141" t="s">
        <v>33</v>
      </c>
    </row>
    <row r="8008" spans="1:3" x14ac:dyDescent="0.35">
      <c r="A8008" s="141" t="s">
        <v>893</v>
      </c>
      <c r="B8008" s="141" t="s">
        <v>1051</v>
      </c>
      <c r="C8008" s="141" t="s">
        <v>33</v>
      </c>
    </row>
    <row r="8009" spans="1:3" x14ac:dyDescent="0.35">
      <c r="A8009" s="141" t="s">
        <v>894</v>
      </c>
      <c r="B8009" s="141" t="s">
        <v>1051</v>
      </c>
      <c r="C8009" s="141" t="s">
        <v>33</v>
      </c>
    </row>
    <row r="8010" spans="1:3" x14ac:dyDescent="0.35">
      <c r="A8010" s="141" t="s">
        <v>954</v>
      </c>
      <c r="B8010" s="141" t="s">
        <v>1051</v>
      </c>
      <c r="C8010" s="141" t="s">
        <v>35</v>
      </c>
    </row>
    <row r="8011" spans="1:3" x14ac:dyDescent="0.35">
      <c r="A8011" s="141" t="s">
        <v>955</v>
      </c>
      <c r="B8011" s="141" t="s">
        <v>1051</v>
      </c>
      <c r="C8011" s="141" t="s">
        <v>33</v>
      </c>
    </row>
    <row r="8012" spans="1:3" x14ac:dyDescent="0.35">
      <c r="A8012" s="141" t="s">
        <v>956</v>
      </c>
      <c r="B8012" s="141" t="s">
        <v>1051</v>
      </c>
      <c r="C8012" s="141" t="s">
        <v>33</v>
      </c>
    </row>
    <row r="8013" spans="1:3" x14ac:dyDescent="0.35">
      <c r="A8013" s="141" t="s">
        <v>706</v>
      </c>
      <c r="B8013" s="141" t="s">
        <v>1051</v>
      </c>
      <c r="C8013" s="141" t="s">
        <v>31</v>
      </c>
    </row>
    <row r="8014" spans="1:3" x14ac:dyDescent="0.35">
      <c r="A8014" s="141" t="s">
        <v>707</v>
      </c>
      <c r="B8014" s="141" t="s">
        <v>1051</v>
      </c>
      <c r="C8014" s="141" t="s">
        <v>31</v>
      </c>
    </row>
    <row r="8015" spans="1:3" x14ac:dyDescent="0.35">
      <c r="A8015" s="141" t="s">
        <v>708</v>
      </c>
      <c r="B8015" s="141" t="s">
        <v>1051</v>
      </c>
      <c r="C8015" s="141" t="s">
        <v>31</v>
      </c>
    </row>
    <row r="8016" spans="1:3" x14ac:dyDescent="0.35">
      <c r="A8016" s="141" t="s">
        <v>709</v>
      </c>
      <c r="B8016" s="141" t="s">
        <v>1051</v>
      </c>
      <c r="C8016" s="141" t="s">
        <v>31</v>
      </c>
    </row>
    <row r="8017" spans="1:3" x14ac:dyDescent="0.35">
      <c r="A8017" s="141" t="s">
        <v>710</v>
      </c>
      <c r="B8017" s="141" t="s">
        <v>1051</v>
      </c>
      <c r="C8017" s="141" t="s">
        <v>31</v>
      </c>
    </row>
    <row r="8018" spans="1:3" x14ac:dyDescent="0.35">
      <c r="A8018" s="141" t="s">
        <v>456</v>
      </c>
      <c r="B8018" s="141" t="s">
        <v>1051</v>
      </c>
      <c r="C8018" s="141" t="s">
        <v>31</v>
      </c>
    </row>
    <row r="8019" spans="1:3" x14ac:dyDescent="0.35">
      <c r="A8019" s="141" t="s">
        <v>297</v>
      </c>
      <c r="B8019" s="141" t="s">
        <v>1051</v>
      </c>
      <c r="C8019" s="141" t="s">
        <v>32</v>
      </c>
    </row>
    <row r="8020" spans="1:3" x14ac:dyDescent="0.35">
      <c r="A8020" s="141" t="s">
        <v>298</v>
      </c>
      <c r="B8020" s="141" t="s">
        <v>1051</v>
      </c>
      <c r="C8020" s="141" t="s">
        <v>32</v>
      </c>
    </row>
    <row r="8021" spans="1:3" x14ac:dyDescent="0.35">
      <c r="A8021" s="141" t="s">
        <v>299</v>
      </c>
      <c r="B8021" s="141" t="s">
        <v>1051</v>
      </c>
      <c r="C8021" s="141" t="s">
        <v>32</v>
      </c>
    </row>
    <row r="8022" spans="1:3" x14ac:dyDescent="0.35">
      <c r="A8022" s="141" t="s">
        <v>300</v>
      </c>
      <c r="B8022" s="141" t="s">
        <v>1051</v>
      </c>
      <c r="C8022" s="141" t="s">
        <v>32</v>
      </c>
    </row>
    <row r="8023" spans="1:3" x14ac:dyDescent="0.35">
      <c r="A8023" s="141" t="s">
        <v>301</v>
      </c>
      <c r="B8023" s="141" t="s">
        <v>1051</v>
      </c>
      <c r="C8023" s="141" t="s">
        <v>32</v>
      </c>
    </row>
    <row r="8024" spans="1:3" x14ac:dyDescent="0.35">
      <c r="A8024" s="141" t="s">
        <v>302</v>
      </c>
      <c r="B8024" s="141" t="s">
        <v>1051</v>
      </c>
      <c r="C8024" s="141" t="s">
        <v>32</v>
      </c>
    </row>
    <row r="8025" spans="1:3" x14ac:dyDescent="0.35">
      <c r="A8025" s="141" t="s">
        <v>997</v>
      </c>
      <c r="B8025" s="141" t="s">
        <v>1051</v>
      </c>
      <c r="C8025" s="141" t="s">
        <v>32</v>
      </c>
    </row>
    <row r="8026" spans="1:3" x14ac:dyDescent="0.35">
      <c r="A8026" s="141" t="s">
        <v>902</v>
      </c>
      <c r="B8026" s="141" t="s">
        <v>1051</v>
      </c>
      <c r="C8026" s="141" t="s">
        <v>31</v>
      </c>
    </row>
    <row r="8027" spans="1:3" x14ac:dyDescent="0.35">
      <c r="A8027" s="141" t="s">
        <v>903</v>
      </c>
      <c r="B8027" s="141" t="s">
        <v>1051</v>
      </c>
      <c r="C8027" s="141" t="s">
        <v>31</v>
      </c>
    </row>
    <row r="8028" spans="1:3" x14ac:dyDescent="0.35">
      <c r="A8028" s="141" t="s">
        <v>904</v>
      </c>
      <c r="B8028" s="141" t="s">
        <v>1051</v>
      </c>
      <c r="C8028" s="141" t="s">
        <v>31</v>
      </c>
    </row>
    <row r="8029" spans="1:3" x14ac:dyDescent="0.35">
      <c r="A8029" s="141" t="s">
        <v>905</v>
      </c>
      <c r="B8029" s="141" t="s">
        <v>1051</v>
      </c>
      <c r="C8029" s="141" t="s">
        <v>31</v>
      </c>
    </row>
    <row r="8030" spans="1:3" x14ac:dyDescent="0.35">
      <c r="A8030" s="141" t="s">
        <v>906</v>
      </c>
      <c r="B8030" s="141" t="s">
        <v>1051</v>
      </c>
      <c r="C8030" s="141" t="s">
        <v>31</v>
      </c>
    </row>
    <row r="8031" spans="1:3" x14ac:dyDescent="0.35">
      <c r="A8031" s="141" t="s">
        <v>907</v>
      </c>
      <c r="B8031" s="141" t="s">
        <v>1051</v>
      </c>
      <c r="C8031" s="141" t="s">
        <v>31</v>
      </c>
    </row>
    <row r="8032" spans="1:3" x14ac:dyDescent="0.35">
      <c r="A8032" s="141" t="s">
        <v>908</v>
      </c>
      <c r="B8032" s="141" t="s">
        <v>1051</v>
      </c>
      <c r="C8032" s="141" t="s">
        <v>31</v>
      </c>
    </row>
    <row r="8033" spans="1:3" x14ac:dyDescent="0.35">
      <c r="A8033" s="141" t="s">
        <v>909</v>
      </c>
      <c r="B8033" s="141" t="s">
        <v>1051</v>
      </c>
      <c r="C8033" s="141" t="s">
        <v>31</v>
      </c>
    </row>
    <row r="8034" spans="1:3" x14ac:dyDescent="0.35">
      <c r="A8034" s="141" t="s">
        <v>983</v>
      </c>
      <c r="B8034" s="141" t="s">
        <v>1051</v>
      </c>
      <c r="C8034" s="141" t="s">
        <v>28</v>
      </c>
    </row>
    <row r="8035" spans="1:3" x14ac:dyDescent="0.35">
      <c r="A8035" s="141" t="s">
        <v>929</v>
      </c>
      <c r="B8035" s="141" t="s">
        <v>1051</v>
      </c>
      <c r="C8035" s="141" t="s">
        <v>28</v>
      </c>
    </row>
    <row r="8036" spans="1:3" x14ac:dyDescent="0.35">
      <c r="A8036" s="141" t="s">
        <v>998</v>
      </c>
      <c r="B8036" s="141" t="s">
        <v>1051</v>
      </c>
      <c r="C8036" s="141" t="s">
        <v>28</v>
      </c>
    </row>
    <row r="8037" spans="1:3" x14ac:dyDescent="0.35">
      <c r="A8037" s="141" t="s">
        <v>985</v>
      </c>
      <c r="B8037" s="141" t="s">
        <v>1051</v>
      </c>
      <c r="C8037" s="141" t="s">
        <v>29</v>
      </c>
    </row>
    <row r="8038" spans="1:3" x14ac:dyDescent="0.35">
      <c r="A8038" s="141" t="s">
        <v>1050</v>
      </c>
      <c r="B8038" s="141" t="s">
        <v>1051</v>
      </c>
      <c r="C8038" s="141" t="s">
        <v>29</v>
      </c>
    </row>
    <row r="8039" spans="1:3" x14ac:dyDescent="0.35">
      <c r="A8039" s="141" t="s">
        <v>1049</v>
      </c>
      <c r="B8039" s="141" t="s">
        <v>1051</v>
      </c>
      <c r="C8039" s="141" t="s">
        <v>29</v>
      </c>
    </row>
    <row r="8040" spans="1:3" x14ac:dyDescent="0.35">
      <c r="A8040" s="141" t="s">
        <v>984</v>
      </c>
      <c r="B8040" s="141" t="s">
        <v>1051</v>
      </c>
      <c r="C8040" s="141" t="s">
        <v>33</v>
      </c>
    </row>
    <row r="8041" spans="1:3" x14ac:dyDescent="0.35">
      <c r="A8041" s="141" t="s">
        <v>910</v>
      </c>
      <c r="B8041" s="141" t="s">
        <v>1051</v>
      </c>
      <c r="C8041" s="141" t="s">
        <v>33</v>
      </c>
    </row>
    <row r="8042" spans="1:3" x14ac:dyDescent="0.35">
      <c r="A8042" s="141" t="s">
        <v>911</v>
      </c>
      <c r="B8042" s="141" t="s">
        <v>1051</v>
      </c>
      <c r="C8042" s="141" t="s">
        <v>33</v>
      </c>
    </row>
    <row r="8043" spans="1:3" x14ac:dyDescent="0.35">
      <c r="A8043" s="141" t="s">
        <v>912</v>
      </c>
      <c r="B8043" s="141" t="s">
        <v>1051</v>
      </c>
      <c r="C8043" s="141" t="s">
        <v>33</v>
      </c>
    </row>
    <row r="8044" spans="1:3" x14ac:dyDescent="0.35">
      <c r="A8044" s="141" t="s">
        <v>914</v>
      </c>
      <c r="B8044" s="141" t="s">
        <v>1051</v>
      </c>
      <c r="C8044" s="141" t="s">
        <v>33</v>
      </c>
    </row>
    <row r="8045" spans="1:3" x14ac:dyDescent="0.35">
      <c r="A8045" s="141" t="s">
        <v>347</v>
      </c>
      <c r="B8045" s="141" t="s">
        <v>1051</v>
      </c>
      <c r="C8045" s="141" t="s">
        <v>37</v>
      </c>
    </row>
    <row r="8046" spans="1:3" x14ac:dyDescent="0.35">
      <c r="A8046" s="141" t="s">
        <v>348</v>
      </c>
      <c r="B8046" s="141" t="s">
        <v>1051</v>
      </c>
      <c r="C8046" s="141" t="s">
        <v>37</v>
      </c>
    </row>
    <row r="8047" spans="1:3" x14ac:dyDescent="0.35">
      <c r="A8047" s="141" t="s">
        <v>349</v>
      </c>
      <c r="B8047" s="141" t="s">
        <v>1051</v>
      </c>
      <c r="C8047" s="141" t="s">
        <v>37</v>
      </c>
    </row>
    <row r="8048" spans="1:3" x14ac:dyDescent="0.35">
      <c r="A8048" s="141" t="s">
        <v>926</v>
      </c>
      <c r="B8048" s="141" t="s">
        <v>1051</v>
      </c>
      <c r="C8048" s="141" t="s">
        <v>37</v>
      </c>
    </row>
    <row r="8049" spans="1:3" x14ac:dyDescent="0.35">
      <c r="A8049" s="141" t="s">
        <v>927</v>
      </c>
      <c r="B8049" s="141" t="s">
        <v>1051</v>
      </c>
      <c r="C8049" s="141" t="s">
        <v>37</v>
      </c>
    </row>
    <row r="8050" spans="1:3" x14ac:dyDescent="0.35">
      <c r="A8050" s="141" t="s">
        <v>931</v>
      </c>
      <c r="B8050" s="141" t="s">
        <v>1051</v>
      </c>
      <c r="C8050" s="141" t="s">
        <v>36</v>
      </c>
    </row>
    <row r="8051" spans="1:3" x14ac:dyDescent="0.35">
      <c r="A8051" s="141" t="s">
        <v>570</v>
      </c>
      <c r="B8051" s="141" t="s">
        <v>1051</v>
      </c>
      <c r="C8051" s="141" t="s">
        <v>52</v>
      </c>
    </row>
    <row r="8052" spans="1:3" x14ac:dyDescent="0.35">
      <c r="A8052" s="141" t="s">
        <v>855</v>
      </c>
      <c r="B8052" s="141" t="s">
        <v>1051</v>
      </c>
      <c r="C8052" s="141" t="s">
        <v>52</v>
      </c>
    </row>
    <row r="8053" spans="1:3" x14ac:dyDescent="0.35">
      <c r="A8053" s="141" t="s">
        <v>1022</v>
      </c>
      <c r="B8053" s="141" t="s">
        <v>1051</v>
      </c>
      <c r="C8053" s="141" t="s">
        <v>29</v>
      </c>
    </row>
    <row r="8054" spans="1:3" x14ac:dyDescent="0.35">
      <c r="A8054" s="141" t="s">
        <v>1020</v>
      </c>
      <c r="B8054" s="141" t="s">
        <v>1051</v>
      </c>
      <c r="C8054" s="141" t="s">
        <v>29</v>
      </c>
    </row>
    <row r="8055" spans="1:3" x14ac:dyDescent="0.35">
      <c r="A8055" s="141" t="s">
        <v>1021</v>
      </c>
      <c r="B8055" s="141" t="s">
        <v>1051</v>
      </c>
      <c r="C8055" s="141" t="s">
        <v>29</v>
      </c>
    </row>
    <row r="8056" spans="1:3" x14ac:dyDescent="0.35">
      <c r="A8056" s="141" t="s">
        <v>856</v>
      </c>
      <c r="B8056" s="141" t="s">
        <v>1051</v>
      </c>
      <c r="C8056" s="141" t="s">
        <v>52</v>
      </c>
    </row>
    <row r="8057" spans="1:3" x14ac:dyDescent="0.35">
      <c r="A8057" s="141" t="s">
        <v>857</v>
      </c>
      <c r="B8057" s="141" t="s">
        <v>1051</v>
      </c>
      <c r="C8057" s="141" t="s">
        <v>52</v>
      </c>
    </row>
    <row r="8058" spans="1:3" x14ac:dyDescent="0.35">
      <c r="A8058" s="141" t="s">
        <v>601</v>
      </c>
      <c r="B8058" s="141" t="s">
        <v>1051</v>
      </c>
      <c r="C8058" s="141" t="s">
        <v>40</v>
      </c>
    </row>
    <row r="8059" spans="1:3" x14ac:dyDescent="0.35">
      <c r="A8059" s="141" t="s">
        <v>602</v>
      </c>
      <c r="B8059" s="141" t="s">
        <v>1051</v>
      </c>
      <c r="C8059" s="141" t="s">
        <v>39</v>
      </c>
    </row>
    <row r="8060" spans="1:3" x14ac:dyDescent="0.35">
      <c r="A8060" s="141" t="s">
        <v>1006</v>
      </c>
      <c r="B8060" s="141" t="s">
        <v>1051</v>
      </c>
      <c r="C8060" s="141" t="s">
        <v>41</v>
      </c>
    </row>
    <row r="8061" spans="1:3" x14ac:dyDescent="0.35">
      <c r="A8061" s="141" t="s">
        <v>737</v>
      </c>
      <c r="B8061" s="141" t="s">
        <v>1051</v>
      </c>
      <c r="C8061" s="141" t="s">
        <v>41</v>
      </c>
    </row>
    <row r="8062" spans="1:3" x14ac:dyDescent="0.35">
      <c r="A8062" s="141" t="s">
        <v>738</v>
      </c>
      <c r="B8062" s="141" t="s">
        <v>1051</v>
      </c>
      <c r="C8062" s="141" t="s">
        <v>41</v>
      </c>
    </row>
    <row r="8063" spans="1:3" x14ac:dyDescent="0.35">
      <c r="A8063" s="141" t="s">
        <v>797</v>
      </c>
      <c r="B8063" s="141" t="s">
        <v>1051</v>
      </c>
      <c r="C8063" s="141" t="s">
        <v>41</v>
      </c>
    </row>
    <row r="8064" spans="1:3" x14ac:dyDescent="0.35">
      <c r="A8064" s="141" t="s">
        <v>1007</v>
      </c>
      <c r="B8064" s="141" t="s">
        <v>1051</v>
      </c>
      <c r="C8064" s="141" t="s">
        <v>40</v>
      </c>
    </row>
    <row r="8065" spans="1:3" x14ac:dyDescent="0.35">
      <c r="A8065" s="141" t="s">
        <v>989</v>
      </c>
      <c r="B8065" s="141" t="s">
        <v>1051</v>
      </c>
      <c r="C8065" s="141" t="s">
        <v>42</v>
      </c>
    </row>
    <row r="8066" spans="1:3" x14ac:dyDescent="0.35">
      <c r="A8066" s="141" t="s">
        <v>807</v>
      </c>
      <c r="B8066" s="141" t="s">
        <v>1051</v>
      </c>
      <c r="C8066" s="141" t="s">
        <v>3</v>
      </c>
    </row>
    <row r="8067" spans="1:3" x14ac:dyDescent="0.35">
      <c r="A8067" s="141" t="s">
        <v>305</v>
      </c>
      <c r="B8067" s="141" t="s">
        <v>1051</v>
      </c>
      <c r="C8067" s="141" t="s">
        <v>21</v>
      </c>
    </row>
    <row r="8068" spans="1:3" x14ac:dyDescent="0.35">
      <c r="A8068" s="141" t="s">
        <v>977</v>
      </c>
      <c r="B8068" s="141" t="s">
        <v>1051</v>
      </c>
      <c r="C8068" s="141" t="s">
        <v>52</v>
      </c>
    </row>
    <row r="8069" spans="1:3" x14ac:dyDescent="0.35">
      <c r="A8069" s="141" t="s">
        <v>343</v>
      </c>
      <c r="B8069" s="141" t="s">
        <v>1051</v>
      </c>
      <c r="C8069" s="141" t="s">
        <v>30</v>
      </c>
    </row>
    <row r="8070" spans="1:3" x14ac:dyDescent="0.35">
      <c r="A8070" s="141" t="s">
        <v>1047</v>
      </c>
      <c r="B8070" s="141" t="s">
        <v>1051</v>
      </c>
      <c r="C8070" s="141" t="s">
        <v>49</v>
      </c>
    </row>
    <row r="8071" spans="1:3" x14ac:dyDescent="0.35">
      <c r="A8071" s="141" t="s">
        <v>1048</v>
      </c>
      <c r="B8071" s="141" t="s">
        <v>1051</v>
      </c>
      <c r="C8071" s="141" t="s">
        <v>49</v>
      </c>
    </row>
    <row r="8072" spans="1:3" x14ac:dyDescent="0.35">
      <c r="A8072" s="141" t="s">
        <v>306</v>
      </c>
      <c r="B8072" s="141" t="s">
        <v>1051</v>
      </c>
      <c r="C8072" s="141" t="s">
        <v>35</v>
      </c>
    </row>
    <row r="8073" spans="1:3" x14ac:dyDescent="0.35">
      <c r="A8073" s="141" t="s">
        <v>1031</v>
      </c>
      <c r="B8073" s="141" t="s">
        <v>1051</v>
      </c>
      <c r="C8073" s="141" t="s">
        <v>35</v>
      </c>
    </row>
    <row r="8074" spans="1:3" x14ac:dyDescent="0.35">
      <c r="A8074" s="141" t="s">
        <v>1040</v>
      </c>
      <c r="B8074" s="141" t="s">
        <v>1051</v>
      </c>
      <c r="C8074" s="141" t="s">
        <v>35</v>
      </c>
    </row>
    <row r="8075" spans="1:3" x14ac:dyDescent="0.35">
      <c r="A8075" s="141" t="s">
        <v>740</v>
      </c>
      <c r="B8075" s="141" t="s">
        <v>1051</v>
      </c>
      <c r="C8075" s="141" t="s">
        <v>33</v>
      </c>
    </row>
    <row r="8076" spans="1:3" x14ac:dyDescent="0.35">
      <c r="A8076" s="141" t="s">
        <v>1046</v>
      </c>
      <c r="B8076" s="141" t="s">
        <v>1051</v>
      </c>
      <c r="C8076" s="141" t="s">
        <v>33</v>
      </c>
    </row>
    <row r="8077" spans="1:3" x14ac:dyDescent="0.35">
      <c r="A8077" s="141" t="s">
        <v>1032</v>
      </c>
      <c r="B8077" s="141" t="s">
        <v>1051</v>
      </c>
      <c r="C8077" s="141" t="s">
        <v>33</v>
      </c>
    </row>
    <row r="8078" spans="1:3" x14ac:dyDescent="0.35">
      <c r="A8078" s="141" t="s">
        <v>1033</v>
      </c>
      <c r="B8078" s="141" t="s">
        <v>1051</v>
      </c>
      <c r="C8078" s="141" t="s">
        <v>33</v>
      </c>
    </row>
    <row r="8079" spans="1:3" x14ac:dyDescent="0.35">
      <c r="A8079" s="141" t="s">
        <v>1034</v>
      </c>
      <c r="B8079" s="141" t="s">
        <v>1051</v>
      </c>
      <c r="C8079" s="141" t="s">
        <v>33</v>
      </c>
    </row>
    <row r="8080" spans="1:3" x14ac:dyDescent="0.35">
      <c r="A8080" s="141" t="s">
        <v>308</v>
      </c>
      <c r="B8080" s="141" t="s">
        <v>1051</v>
      </c>
      <c r="C8080" s="141" t="s">
        <v>53</v>
      </c>
    </row>
    <row r="8081" spans="1:3" x14ac:dyDescent="0.35">
      <c r="A8081" s="141" t="s">
        <v>309</v>
      </c>
      <c r="B8081" s="141" t="s">
        <v>1051</v>
      </c>
      <c r="C8081" s="141" t="s">
        <v>53</v>
      </c>
    </row>
    <row r="8082" spans="1:3" x14ac:dyDescent="0.35">
      <c r="A8082" s="141" t="s">
        <v>311</v>
      </c>
      <c r="B8082" s="141" t="s">
        <v>1051</v>
      </c>
      <c r="C8082" s="141" t="s">
        <v>53</v>
      </c>
    </row>
    <row r="8083" spans="1:3" x14ac:dyDescent="0.35">
      <c r="A8083" s="141" t="s">
        <v>534</v>
      </c>
      <c r="B8083" s="141" t="s">
        <v>1051</v>
      </c>
      <c r="C8083" s="141" t="s">
        <v>53</v>
      </c>
    </row>
    <row r="8084" spans="1:3" x14ac:dyDescent="0.35">
      <c r="A8084" s="141" t="s">
        <v>312</v>
      </c>
      <c r="B8084" s="141" t="s">
        <v>1051</v>
      </c>
      <c r="C8084" s="141" t="s">
        <v>53</v>
      </c>
    </row>
    <row r="8085" spans="1:3" x14ac:dyDescent="0.35">
      <c r="A8085" s="141" t="s">
        <v>531</v>
      </c>
      <c r="B8085" s="141" t="s">
        <v>1051</v>
      </c>
      <c r="C8085" s="141" t="s">
        <v>51</v>
      </c>
    </row>
    <row r="8086" spans="1:3" x14ac:dyDescent="0.35">
      <c r="A8086" s="141" t="s">
        <v>741</v>
      </c>
      <c r="B8086" s="141" t="s">
        <v>1051</v>
      </c>
      <c r="C8086" s="141" t="s">
        <v>51</v>
      </c>
    </row>
    <row r="8087" spans="1:3" x14ac:dyDescent="0.35">
      <c r="A8087" s="141" t="s">
        <v>742</v>
      </c>
      <c r="B8087" s="141" t="s">
        <v>1051</v>
      </c>
      <c r="C8087" s="141" t="s">
        <v>51</v>
      </c>
    </row>
    <row r="8088" spans="1:3" x14ac:dyDescent="0.35">
      <c r="A8088" s="141" t="s">
        <v>743</v>
      </c>
      <c r="B8088" s="141" t="s">
        <v>1051</v>
      </c>
      <c r="C8088" s="141" t="s">
        <v>51</v>
      </c>
    </row>
    <row r="8089" spans="1:3" x14ac:dyDescent="0.35">
      <c r="A8089" s="141" t="s">
        <v>747</v>
      </c>
      <c r="B8089" s="141" t="s">
        <v>1051</v>
      </c>
      <c r="C8089" s="141" t="s">
        <v>51</v>
      </c>
    </row>
    <row r="8090" spans="1:3" x14ac:dyDescent="0.35">
      <c r="A8090" s="141" t="s">
        <v>748</v>
      </c>
      <c r="B8090" s="141" t="s">
        <v>1051</v>
      </c>
      <c r="C8090" s="141" t="s">
        <v>51</v>
      </c>
    </row>
    <row r="8091" spans="1:3" x14ac:dyDescent="0.35">
      <c r="A8091" s="141" t="s">
        <v>313</v>
      </c>
      <c r="B8091" s="141" t="s">
        <v>1051</v>
      </c>
      <c r="C8091" s="141" t="s">
        <v>51</v>
      </c>
    </row>
    <row r="8092" spans="1:3" x14ac:dyDescent="0.35">
      <c r="A8092" s="141" t="s">
        <v>338</v>
      </c>
      <c r="B8092" s="141" t="s">
        <v>1051</v>
      </c>
      <c r="C8092" s="141" t="s">
        <v>20</v>
      </c>
    </row>
    <row r="8093" spans="1:3" x14ac:dyDescent="0.35">
      <c r="A8093" s="141" t="s">
        <v>533</v>
      </c>
      <c r="B8093" s="141" t="s">
        <v>1051</v>
      </c>
      <c r="C8093" s="141" t="s">
        <v>50</v>
      </c>
    </row>
    <row r="8094" spans="1:3" x14ac:dyDescent="0.35">
      <c r="A8094" s="141" t="s">
        <v>966</v>
      </c>
      <c r="B8094" s="141" t="s">
        <v>1051</v>
      </c>
      <c r="C8094" s="141" t="s">
        <v>53</v>
      </c>
    </row>
    <row r="8095" spans="1:3" x14ac:dyDescent="0.35">
      <c r="A8095" s="141" t="s">
        <v>967</v>
      </c>
      <c r="B8095" s="141" t="s">
        <v>1051</v>
      </c>
      <c r="C8095" s="141" t="s">
        <v>53</v>
      </c>
    </row>
    <row r="8096" spans="1:3" x14ac:dyDescent="0.35">
      <c r="A8096" s="141" t="s">
        <v>968</v>
      </c>
      <c r="B8096" s="141" t="s">
        <v>1051</v>
      </c>
      <c r="C8096" s="141" t="s">
        <v>53</v>
      </c>
    </row>
    <row r="8097" spans="1:3" x14ac:dyDescent="0.35">
      <c r="A8097" s="141" t="s">
        <v>969</v>
      </c>
      <c r="B8097" s="141" t="s">
        <v>1051</v>
      </c>
      <c r="C8097" s="141" t="s">
        <v>53</v>
      </c>
    </row>
    <row r="8098" spans="1:3" x14ac:dyDescent="0.35">
      <c r="A8098" s="141" t="s">
        <v>970</v>
      </c>
      <c r="B8098" s="141" t="s">
        <v>1051</v>
      </c>
      <c r="C8098" s="141" t="s">
        <v>53</v>
      </c>
    </row>
    <row r="8099" spans="1:3" x14ac:dyDescent="0.35">
      <c r="A8099" s="141" t="s">
        <v>873</v>
      </c>
      <c r="B8099" s="141" t="s">
        <v>1051</v>
      </c>
      <c r="C8099" s="141" t="s">
        <v>52</v>
      </c>
    </row>
    <row r="8100" spans="1:3" x14ac:dyDescent="0.35">
      <c r="A8100" s="141" t="s">
        <v>874</v>
      </c>
      <c r="B8100" s="141" t="s">
        <v>1051</v>
      </c>
      <c r="C8100" s="141" t="s">
        <v>52</v>
      </c>
    </row>
    <row r="8101" spans="1:3" x14ac:dyDescent="0.35">
      <c r="A8101" s="141" t="s">
        <v>1003</v>
      </c>
      <c r="B8101" s="141" t="s">
        <v>1051</v>
      </c>
      <c r="C8101" s="141" t="s">
        <v>52</v>
      </c>
    </row>
    <row r="8102" spans="1:3" x14ac:dyDescent="0.35">
      <c r="A8102" s="141" t="s">
        <v>875</v>
      </c>
      <c r="B8102" s="141" t="s">
        <v>1051</v>
      </c>
      <c r="C8102" s="141" t="s">
        <v>52</v>
      </c>
    </row>
    <row r="8103" spans="1:3" x14ac:dyDescent="0.35">
      <c r="A8103" s="141" t="s">
        <v>876</v>
      </c>
      <c r="B8103" s="141" t="s">
        <v>1051</v>
      </c>
      <c r="C8103" s="141" t="s">
        <v>52</v>
      </c>
    </row>
    <row r="8104" spans="1:3" x14ac:dyDescent="0.35">
      <c r="A8104" s="141" t="s">
        <v>877</v>
      </c>
      <c r="B8104" s="141" t="s">
        <v>1051</v>
      </c>
      <c r="C8104" s="141" t="s">
        <v>52</v>
      </c>
    </row>
    <row r="8105" spans="1:3" x14ac:dyDescent="0.35">
      <c r="A8105" s="141" t="s">
        <v>878</v>
      </c>
      <c r="B8105" s="141" t="s">
        <v>1051</v>
      </c>
      <c r="C8105" s="141" t="s">
        <v>52</v>
      </c>
    </row>
    <row r="8106" spans="1:3" x14ac:dyDescent="0.35">
      <c r="A8106" s="141" t="s">
        <v>539</v>
      </c>
      <c r="B8106" s="141" t="s">
        <v>1051</v>
      </c>
      <c r="C8106" s="141" t="s">
        <v>52</v>
      </c>
    </row>
    <row r="8107" spans="1:3" x14ac:dyDescent="0.35">
      <c r="A8107" s="141" t="s">
        <v>540</v>
      </c>
      <c r="B8107" s="141" t="s">
        <v>1051</v>
      </c>
      <c r="C8107" s="141" t="s">
        <v>52</v>
      </c>
    </row>
    <row r="8108" spans="1:3" x14ac:dyDescent="0.35">
      <c r="A8108" s="141" t="s">
        <v>812</v>
      </c>
      <c r="B8108" s="141" t="s">
        <v>1051</v>
      </c>
      <c r="C8108" s="141" t="s">
        <v>52</v>
      </c>
    </row>
    <row r="8109" spans="1:3" x14ac:dyDescent="0.35">
      <c r="A8109" s="141" t="s">
        <v>803</v>
      </c>
      <c r="B8109" s="141" t="s">
        <v>1051</v>
      </c>
      <c r="C8109" s="141" t="s">
        <v>52</v>
      </c>
    </row>
    <row r="8110" spans="1:3" x14ac:dyDescent="0.35">
      <c r="A8110" s="141" t="s">
        <v>350</v>
      </c>
      <c r="B8110" s="141" t="s">
        <v>1051</v>
      </c>
      <c r="C8110" s="141" t="s">
        <v>53</v>
      </c>
    </row>
    <row r="8111" spans="1:3" x14ac:dyDescent="0.35">
      <c r="A8111" s="141" t="s">
        <v>351</v>
      </c>
      <c r="B8111" s="141" t="s">
        <v>1051</v>
      </c>
      <c r="C8111" s="141" t="s">
        <v>53</v>
      </c>
    </row>
    <row r="8112" spans="1:3" x14ac:dyDescent="0.35">
      <c r="A8112" s="141" t="s">
        <v>344</v>
      </c>
      <c r="B8112" s="141" t="s">
        <v>1051</v>
      </c>
      <c r="C8112" s="141" t="s">
        <v>53</v>
      </c>
    </row>
    <row r="8113" spans="1:3" x14ac:dyDescent="0.35">
      <c r="A8113" s="141" t="s">
        <v>959</v>
      </c>
      <c r="B8113" s="141" t="s">
        <v>1051</v>
      </c>
      <c r="C8113" s="141" t="s">
        <v>53</v>
      </c>
    </row>
    <row r="8114" spans="1:3" x14ac:dyDescent="0.35">
      <c r="A8114" s="141" t="s">
        <v>965</v>
      </c>
      <c r="B8114" s="141" t="s">
        <v>1051</v>
      </c>
      <c r="C8114" s="141" t="s">
        <v>52</v>
      </c>
    </row>
    <row r="8115" spans="1:3" x14ac:dyDescent="0.35">
      <c r="A8115" s="141" t="s">
        <v>1002</v>
      </c>
      <c r="B8115" s="141" t="s">
        <v>1051</v>
      </c>
      <c r="C8115" s="141" t="s">
        <v>25</v>
      </c>
    </row>
    <row r="8116" spans="1:3" x14ac:dyDescent="0.35">
      <c r="A8116" s="141" t="s">
        <v>960</v>
      </c>
      <c r="B8116" s="141" t="s">
        <v>1051</v>
      </c>
      <c r="C8116" s="141" t="s">
        <v>52</v>
      </c>
    </row>
    <row r="8117" spans="1:3" x14ac:dyDescent="0.35">
      <c r="A8117" s="141" t="s">
        <v>804</v>
      </c>
      <c r="B8117" s="141" t="s">
        <v>1051</v>
      </c>
      <c r="C8117" s="141" t="s">
        <v>53</v>
      </c>
    </row>
    <row r="8118" spans="1:3" x14ac:dyDescent="0.35">
      <c r="A8118" s="141" t="s">
        <v>805</v>
      </c>
      <c r="B8118" s="141" t="s">
        <v>1051</v>
      </c>
      <c r="C8118" s="141" t="s">
        <v>52</v>
      </c>
    </row>
    <row r="8119" spans="1:3" x14ac:dyDescent="0.35">
      <c r="A8119" s="141" t="s">
        <v>879</v>
      </c>
      <c r="B8119" s="141" t="s">
        <v>1051</v>
      </c>
      <c r="C8119" s="141" t="s">
        <v>52</v>
      </c>
    </row>
    <row r="8120" spans="1:3" x14ac:dyDescent="0.35">
      <c r="A8120" s="141" t="s">
        <v>880</v>
      </c>
      <c r="B8120" s="141" t="s">
        <v>1051</v>
      </c>
      <c r="C8120" s="141" t="s">
        <v>52</v>
      </c>
    </row>
    <row r="8121" spans="1:3" x14ac:dyDescent="0.35">
      <c r="A8121" s="141" t="s">
        <v>314</v>
      </c>
      <c r="B8121" s="141" t="s">
        <v>1051</v>
      </c>
      <c r="C8121" s="141" t="s">
        <v>16</v>
      </c>
    </row>
    <row r="8122" spans="1:3" x14ac:dyDescent="0.35">
      <c r="A8122" s="141" t="s">
        <v>316</v>
      </c>
      <c r="B8122" s="141" t="s">
        <v>1051</v>
      </c>
      <c r="C8122" s="141" t="s">
        <v>16</v>
      </c>
    </row>
    <row r="8123" spans="1:3" x14ac:dyDescent="0.35">
      <c r="A8123" s="141" t="s">
        <v>317</v>
      </c>
      <c r="B8123" s="141" t="s">
        <v>1051</v>
      </c>
      <c r="C8123" s="141" t="s">
        <v>16</v>
      </c>
    </row>
    <row r="8124" spans="1:3" x14ac:dyDescent="0.35">
      <c r="A8124" s="141" t="s">
        <v>318</v>
      </c>
      <c r="B8124" s="141" t="s">
        <v>1051</v>
      </c>
      <c r="C8124" s="141" t="s">
        <v>16</v>
      </c>
    </row>
    <row r="8125" spans="1:3" x14ac:dyDescent="0.35">
      <c r="A8125" s="141" t="s">
        <v>319</v>
      </c>
      <c r="B8125" s="141" t="s">
        <v>1051</v>
      </c>
      <c r="C8125" s="141" t="s">
        <v>16</v>
      </c>
    </row>
    <row r="8126" spans="1:3" x14ac:dyDescent="0.35">
      <c r="A8126" s="141" t="s">
        <v>320</v>
      </c>
      <c r="B8126" s="141" t="s">
        <v>1051</v>
      </c>
      <c r="C8126" s="141" t="s">
        <v>16</v>
      </c>
    </row>
    <row r="8127" spans="1:3" x14ac:dyDescent="0.35">
      <c r="A8127" s="141" t="s">
        <v>321</v>
      </c>
      <c r="B8127" s="141" t="s">
        <v>1051</v>
      </c>
      <c r="C8127" s="141" t="s">
        <v>16</v>
      </c>
    </row>
    <row r="8128" spans="1:3" x14ac:dyDescent="0.35">
      <c r="A8128" s="141" t="s">
        <v>322</v>
      </c>
      <c r="B8128" s="141" t="s">
        <v>1051</v>
      </c>
      <c r="C8128" s="141" t="s">
        <v>16</v>
      </c>
    </row>
    <row r="8129" spans="1:3" x14ac:dyDescent="0.35">
      <c r="A8129" s="141" t="s">
        <v>323</v>
      </c>
      <c r="B8129" s="141" t="s">
        <v>1051</v>
      </c>
      <c r="C8129" s="141" t="s">
        <v>16</v>
      </c>
    </row>
    <row r="8130" spans="1:3" x14ac:dyDescent="0.35">
      <c r="A8130" s="141" t="s">
        <v>324</v>
      </c>
      <c r="B8130" s="141" t="s">
        <v>1051</v>
      </c>
      <c r="C8130" s="141" t="s">
        <v>16</v>
      </c>
    </row>
    <row r="8131" spans="1:3" x14ac:dyDescent="0.35">
      <c r="A8131" s="141" t="s">
        <v>325</v>
      </c>
      <c r="B8131" s="141" t="s">
        <v>1051</v>
      </c>
      <c r="C8131" s="141" t="s">
        <v>16</v>
      </c>
    </row>
    <row r="8132" spans="1:3" x14ac:dyDescent="0.35">
      <c r="A8132" s="141" t="s">
        <v>326</v>
      </c>
      <c r="B8132" s="141" t="s">
        <v>1051</v>
      </c>
      <c r="C8132" s="141" t="s">
        <v>16</v>
      </c>
    </row>
    <row r="8133" spans="1:3" x14ac:dyDescent="0.35">
      <c r="A8133" s="141" t="s">
        <v>971</v>
      </c>
      <c r="B8133" s="141" t="s">
        <v>1051</v>
      </c>
      <c r="C8133" s="141" t="s">
        <v>16</v>
      </c>
    </row>
    <row r="8134" spans="1:3" x14ac:dyDescent="0.35">
      <c r="A8134" s="141" t="s">
        <v>327</v>
      </c>
      <c r="B8134" s="141" t="s">
        <v>1051</v>
      </c>
      <c r="C8134" s="141" t="s">
        <v>16</v>
      </c>
    </row>
    <row r="8135" spans="1:3" x14ac:dyDescent="0.35">
      <c r="A8135" s="141" t="s">
        <v>972</v>
      </c>
      <c r="B8135" s="141" t="s">
        <v>1051</v>
      </c>
      <c r="C8135" s="141" t="s">
        <v>16</v>
      </c>
    </row>
    <row r="8136" spans="1:3" x14ac:dyDescent="0.35">
      <c r="A8136" s="141" t="s">
        <v>328</v>
      </c>
      <c r="B8136" s="141" t="s">
        <v>1051</v>
      </c>
      <c r="C8136" s="141" t="s">
        <v>16</v>
      </c>
    </row>
    <row r="8137" spans="1:3" x14ac:dyDescent="0.35">
      <c r="A8137" s="141" t="s">
        <v>1004</v>
      </c>
      <c r="B8137" s="141" t="s">
        <v>1051</v>
      </c>
      <c r="C8137" s="141" t="s">
        <v>16</v>
      </c>
    </row>
    <row r="8138" spans="1:3" x14ac:dyDescent="0.35">
      <c r="A8138" s="141" t="s">
        <v>330</v>
      </c>
      <c r="B8138" s="141" t="s">
        <v>1051</v>
      </c>
      <c r="C8138" s="141" t="s">
        <v>16</v>
      </c>
    </row>
    <row r="8139" spans="1:3" x14ac:dyDescent="0.35">
      <c r="A8139" s="141" t="s">
        <v>331</v>
      </c>
      <c r="B8139" s="141" t="s">
        <v>1051</v>
      </c>
      <c r="C8139" s="141" t="s">
        <v>16</v>
      </c>
    </row>
    <row r="8140" spans="1:3" x14ac:dyDescent="0.35">
      <c r="A8140" s="141" t="s">
        <v>332</v>
      </c>
      <c r="B8140" s="141" t="s">
        <v>1051</v>
      </c>
      <c r="C8140" s="141" t="s">
        <v>16</v>
      </c>
    </row>
    <row r="8141" spans="1:3" x14ac:dyDescent="0.35">
      <c r="A8141" s="141" t="s">
        <v>333</v>
      </c>
      <c r="B8141" s="141" t="s">
        <v>1051</v>
      </c>
      <c r="C8141" s="141" t="s">
        <v>16</v>
      </c>
    </row>
    <row r="8142" spans="1:3" x14ac:dyDescent="0.35">
      <c r="A8142" s="141" t="s">
        <v>1005</v>
      </c>
      <c r="B8142" s="141" t="s">
        <v>1051</v>
      </c>
      <c r="C8142" s="141" t="s">
        <v>16</v>
      </c>
    </row>
    <row r="8143" spans="1:3" x14ac:dyDescent="0.35">
      <c r="A8143" s="141" t="s">
        <v>1039</v>
      </c>
      <c r="B8143" s="141" t="s">
        <v>1051</v>
      </c>
      <c r="C8143" s="141" t="s">
        <v>16</v>
      </c>
    </row>
    <row r="8144" spans="1:3" x14ac:dyDescent="0.35">
      <c r="A8144" s="141" t="s">
        <v>974</v>
      </c>
      <c r="B8144" s="141" t="s">
        <v>1051</v>
      </c>
      <c r="C8144" s="141" t="s">
        <v>16</v>
      </c>
    </row>
    <row r="8145" spans="1:3" x14ac:dyDescent="0.35">
      <c r="A8145" s="141" t="s">
        <v>806</v>
      </c>
      <c r="B8145" s="141" t="s">
        <v>1051</v>
      </c>
      <c r="C8145" s="141" t="s">
        <v>32</v>
      </c>
    </row>
    <row r="8146" spans="1:3" x14ac:dyDescent="0.35">
      <c r="A8146" s="141" t="s">
        <v>579</v>
      </c>
      <c r="B8146" s="141" t="s">
        <v>1051</v>
      </c>
      <c r="C8146" s="141" t="s">
        <v>32</v>
      </c>
    </row>
    <row r="8147" spans="1:3" x14ac:dyDescent="0.35">
      <c r="A8147" s="141" t="s">
        <v>556</v>
      </c>
      <c r="B8147" s="141" t="s">
        <v>1051</v>
      </c>
      <c r="C8147" s="141" t="s">
        <v>32</v>
      </c>
    </row>
    <row r="8148" spans="1:3" x14ac:dyDescent="0.35">
      <c r="A8148" s="141" t="s">
        <v>557</v>
      </c>
      <c r="B8148" s="141" t="s">
        <v>1051</v>
      </c>
      <c r="C8148" s="141" t="s">
        <v>32</v>
      </c>
    </row>
    <row r="8149" spans="1:3" x14ac:dyDescent="0.35">
      <c r="A8149" s="141" t="s">
        <v>558</v>
      </c>
      <c r="B8149" s="141" t="s">
        <v>1051</v>
      </c>
      <c r="C8149" s="141" t="s">
        <v>32</v>
      </c>
    </row>
    <row r="8150" spans="1:3" x14ac:dyDescent="0.35">
      <c r="A8150" s="141" t="s">
        <v>580</v>
      </c>
      <c r="B8150" s="141" t="s">
        <v>1051</v>
      </c>
      <c r="C8150" s="141" t="s">
        <v>32</v>
      </c>
    </row>
    <row r="8151" spans="1:3" x14ac:dyDescent="0.35">
      <c r="A8151" s="141" t="s">
        <v>612</v>
      </c>
      <c r="B8151" s="141" t="s">
        <v>1051</v>
      </c>
      <c r="C8151" s="141" t="s">
        <v>43</v>
      </c>
    </row>
    <row r="8152" spans="1:3" x14ac:dyDescent="0.35">
      <c r="A8152" s="141" t="s">
        <v>1009</v>
      </c>
      <c r="B8152" s="141" t="s">
        <v>1051</v>
      </c>
      <c r="C8152" s="141" t="s">
        <v>43</v>
      </c>
    </row>
    <row r="8153" spans="1:3" x14ac:dyDescent="0.35">
      <c r="A8153" s="141" t="s">
        <v>615</v>
      </c>
      <c r="B8153" s="141" t="s">
        <v>1051</v>
      </c>
      <c r="C8153" s="141" t="s">
        <v>43</v>
      </c>
    </row>
    <row r="8154" spans="1:3" x14ac:dyDescent="0.35">
      <c r="A8154" s="141" t="s">
        <v>616</v>
      </c>
      <c r="B8154" s="141" t="s">
        <v>1051</v>
      </c>
      <c r="C8154" s="141" t="s">
        <v>43</v>
      </c>
    </row>
    <row r="8155" spans="1:3" x14ac:dyDescent="0.35">
      <c r="A8155" s="141" t="s">
        <v>854</v>
      </c>
      <c r="B8155" s="141" t="s">
        <v>1051</v>
      </c>
      <c r="C8155" s="141" t="s">
        <v>43</v>
      </c>
    </row>
    <row r="8156" spans="1:3" x14ac:dyDescent="0.35">
      <c r="A8156" s="141" t="s">
        <v>605</v>
      </c>
      <c r="B8156" s="141" t="s">
        <v>1051</v>
      </c>
      <c r="C8156" s="141" t="s">
        <v>43</v>
      </c>
    </row>
    <row r="8157" spans="1:3" x14ac:dyDescent="0.35">
      <c r="A8157" s="141" t="s">
        <v>1008</v>
      </c>
      <c r="B8157" s="141" t="s">
        <v>1051</v>
      </c>
      <c r="C8157" s="141" t="s">
        <v>43</v>
      </c>
    </row>
    <row r="8158" spans="1:3" x14ac:dyDescent="0.35">
      <c r="A8158" s="141" t="s">
        <v>608</v>
      </c>
      <c r="B8158" s="141" t="s">
        <v>1051</v>
      </c>
      <c r="C8158" s="141" t="s">
        <v>43</v>
      </c>
    </row>
    <row r="8159" spans="1:3" x14ac:dyDescent="0.35">
      <c r="A8159" s="141" t="s">
        <v>609</v>
      </c>
      <c r="B8159" s="141" t="s">
        <v>1051</v>
      </c>
      <c r="C8159" s="141" t="s">
        <v>43</v>
      </c>
    </row>
    <row r="8160" spans="1:3" x14ac:dyDescent="0.35">
      <c r="A8160" s="141" t="s">
        <v>610</v>
      </c>
      <c r="B8160" s="141" t="s">
        <v>1051</v>
      </c>
      <c r="C8160" s="141" t="s">
        <v>43</v>
      </c>
    </row>
    <row r="8161" spans="1:3" x14ac:dyDescent="0.35">
      <c r="A8161" s="141" t="s">
        <v>618</v>
      </c>
      <c r="B8161" s="141" t="s">
        <v>1051</v>
      </c>
      <c r="C8161" s="141" t="s">
        <v>43</v>
      </c>
    </row>
    <row r="8162" spans="1:3" x14ac:dyDescent="0.35">
      <c r="A8162" s="141" t="s">
        <v>619</v>
      </c>
      <c r="B8162" s="141" t="s">
        <v>1051</v>
      </c>
      <c r="C8162" s="141" t="s">
        <v>44</v>
      </c>
    </row>
    <row r="8163" spans="1:3" x14ac:dyDescent="0.35">
      <c r="A8163" s="141" t="s">
        <v>1010</v>
      </c>
      <c r="B8163" s="141" t="s">
        <v>1051</v>
      </c>
      <c r="C8163" s="141" t="s">
        <v>43</v>
      </c>
    </row>
    <row r="8164" spans="1:3" x14ac:dyDescent="0.35">
      <c r="A8164" s="141" t="s">
        <v>1011</v>
      </c>
      <c r="B8164" s="141" t="s">
        <v>1051</v>
      </c>
      <c r="C8164" s="141" t="s">
        <v>43</v>
      </c>
    </row>
    <row r="8165" spans="1:3" x14ac:dyDescent="0.35">
      <c r="A8165" s="141" t="s">
        <v>1012</v>
      </c>
      <c r="B8165" s="141" t="s">
        <v>1051</v>
      </c>
      <c r="C8165" s="141" t="s">
        <v>43</v>
      </c>
    </row>
    <row r="8166" spans="1:3" x14ac:dyDescent="0.35">
      <c r="A8166" s="141" t="s">
        <v>1013</v>
      </c>
      <c r="B8166" s="141" t="s">
        <v>1051</v>
      </c>
      <c r="C8166" s="141" t="s">
        <v>43</v>
      </c>
    </row>
    <row r="8167" spans="1:3" x14ac:dyDescent="0.35">
      <c r="A8167" s="141" t="s">
        <v>1052</v>
      </c>
      <c r="B8167" s="141" t="s">
        <v>279</v>
      </c>
      <c r="C8167" s="141" t="s">
        <v>53</v>
      </c>
    </row>
    <row r="8168" spans="1:3" x14ac:dyDescent="0.35">
      <c r="A8168" s="141" t="s">
        <v>1052</v>
      </c>
      <c r="B8168" s="141" t="s">
        <v>280</v>
      </c>
      <c r="C8168" s="141" t="s">
        <v>53</v>
      </c>
    </row>
    <row r="8169" spans="1:3" x14ac:dyDescent="0.35">
      <c r="A8169" s="141" t="s">
        <v>1052</v>
      </c>
      <c r="B8169" s="141" t="s">
        <v>281</v>
      </c>
      <c r="C8169" s="141" t="s">
        <v>53</v>
      </c>
    </row>
    <row r="8170" spans="1:3" x14ac:dyDescent="0.35">
      <c r="A8170" s="141" t="s">
        <v>1052</v>
      </c>
      <c r="B8170" s="141" t="s">
        <v>282</v>
      </c>
      <c r="C8170" s="141" t="s">
        <v>53</v>
      </c>
    </row>
    <row r="8171" spans="1:3" x14ac:dyDescent="0.35">
      <c r="A8171" s="141" t="s">
        <v>1052</v>
      </c>
      <c r="B8171" s="141" t="s">
        <v>263</v>
      </c>
      <c r="C8171" s="141" t="s">
        <v>53</v>
      </c>
    </row>
    <row r="8172" spans="1:3" x14ac:dyDescent="0.35">
      <c r="A8172" s="141" t="s">
        <v>1052</v>
      </c>
      <c r="B8172" s="141" t="s">
        <v>264</v>
      </c>
      <c r="C8172" s="141" t="s">
        <v>53</v>
      </c>
    </row>
    <row r="8173" spans="1:3" x14ac:dyDescent="0.35">
      <c r="A8173" s="141" t="s">
        <v>1052</v>
      </c>
      <c r="B8173" s="141" t="s">
        <v>265</v>
      </c>
      <c r="C8173" s="141" t="s">
        <v>53</v>
      </c>
    </row>
    <row r="8174" spans="1:3" x14ac:dyDescent="0.35">
      <c r="A8174" s="141" t="s">
        <v>1052</v>
      </c>
      <c r="B8174" s="141" t="s">
        <v>266</v>
      </c>
      <c r="C8174" s="141" t="s">
        <v>53</v>
      </c>
    </row>
    <row r="8175" spans="1:3" x14ac:dyDescent="0.35">
      <c r="A8175" s="141" t="s">
        <v>1052</v>
      </c>
      <c r="B8175" s="141" t="s">
        <v>267</v>
      </c>
      <c r="C8175" s="141" t="s">
        <v>53</v>
      </c>
    </row>
    <row r="8176" spans="1:3" x14ac:dyDescent="0.35">
      <c r="A8176" s="141" t="s">
        <v>1052</v>
      </c>
      <c r="B8176" s="141" t="s">
        <v>268</v>
      </c>
      <c r="C8176" s="141" t="s">
        <v>53</v>
      </c>
    </row>
    <row r="8177" spans="1:3" x14ac:dyDescent="0.35">
      <c r="A8177" s="141" t="s">
        <v>1052</v>
      </c>
      <c r="B8177" s="141" t="s">
        <v>269</v>
      </c>
      <c r="C8177" s="141" t="s">
        <v>53</v>
      </c>
    </row>
    <row r="8178" spans="1:3" x14ac:dyDescent="0.35">
      <c r="A8178" s="141" t="s">
        <v>1052</v>
      </c>
      <c r="B8178" s="141" t="s">
        <v>270</v>
      </c>
      <c r="C8178" s="141" t="s">
        <v>53</v>
      </c>
    </row>
    <row r="8179" spans="1:3" x14ac:dyDescent="0.35">
      <c r="A8179" s="141" t="s">
        <v>1052</v>
      </c>
      <c r="B8179" s="141" t="s">
        <v>272</v>
      </c>
      <c r="C8179" s="141" t="s">
        <v>53</v>
      </c>
    </row>
    <row r="8180" spans="1:3" x14ac:dyDescent="0.35">
      <c r="A8180" s="141" t="s">
        <v>1052</v>
      </c>
      <c r="B8180" s="141" t="s">
        <v>273</v>
      </c>
      <c r="C8180" s="141" t="s">
        <v>53</v>
      </c>
    </row>
    <row r="8181" spans="1:3" x14ac:dyDescent="0.35">
      <c r="A8181" s="141" t="s">
        <v>1052</v>
      </c>
      <c r="B8181" s="141" t="s">
        <v>274</v>
      </c>
      <c r="C8181" s="141" t="s">
        <v>53</v>
      </c>
    </row>
    <row r="8182" spans="1:3" x14ac:dyDescent="0.35">
      <c r="A8182" s="141" t="s">
        <v>1052</v>
      </c>
      <c r="B8182" s="141" t="s">
        <v>275</v>
      </c>
      <c r="C8182" s="141" t="s">
        <v>53</v>
      </c>
    </row>
    <row r="8183" spans="1:3" x14ac:dyDescent="0.35">
      <c r="A8183" s="141" t="s">
        <v>1052</v>
      </c>
      <c r="B8183" s="141" t="s">
        <v>342</v>
      </c>
      <c r="C8183" s="141" t="s">
        <v>53</v>
      </c>
    </row>
    <row r="8184" spans="1:3" x14ac:dyDescent="0.35">
      <c r="A8184" s="141" t="s">
        <v>1052</v>
      </c>
      <c r="B8184" s="141" t="s">
        <v>341</v>
      </c>
      <c r="C8184" s="141" t="s">
        <v>53</v>
      </c>
    </row>
    <row r="8185" spans="1:3" x14ac:dyDescent="0.35">
      <c r="A8185" s="141" t="s">
        <v>1052</v>
      </c>
      <c r="B8185" s="141" t="s">
        <v>340</v>
      </c>
      <c r="C8185" s="141" t="s">
        <v>53</v>
      </c>
    </row>
    <row r="8186" spans="1:3" x14ac:dyDescent="0.35">
      <c r="A8186" s="141" t="s">
        <v>1052</v>
      </c>
      <c r="B8186" s="141" t="s">
        <v>339</v>
      </c>
      <c r="C8186" s="141" t="s">
        <v>53</v>
      </c>
    </row>
    <row r="8187" spans="1:3" x14ac:dyDescent="0.35">
      <c r="A8187" s="141" t="s">
        <v>1053</v>
      </c>
      <c r="B8187" s="141" t="s">
        <v>279</v>
      </c>
      <c r="C8187" s="141" t="s">
        <v>53</v>
      </c>
    </row>
    <row r="8188" spans="1:3" x14ac:dyDescent="0.35">
      <c r="A8188" s="141" t="s">
        <v>1053</v>
      </c>
      <c r="B8188" s="141" t="s">
        <v>280</v>
      </c>
      <c r="C8188" s="141" t="s">
        <v>53</v>
      </c>
    </row>
    <row r="8189" spans="1:3" x14ac:dyDescent="0.35">
      <c r="A8189" s="141" t="s">
        <v>1053</v>
      </c>
      <c r="B8189" s="141" t="s">
        <v>281</v>
      </c>
      <c r="C8189" s="141" t="s">
        <v>53</v>
      </c>
    </row>
    <row r="8190" spans="1:3" x14ac:dyDescent="0.35">
      <c r="A8190" s="141" t="s">
        <v>1053</v>
      </c>
      <c r="B8190" s="141" t="s">
        <v>282</v>
      </c>
      <c r="C8190" s="141" t="s">
        <v>53</v>
      </c>
    </row>
    <row r="8191" spans="1:3" x14ac:dyDescent="0.35">
      <c r="A8191" s="141" t="s">
        <v>1053</v>
      </c>
      <c r="B8191" s="141" t="s">
        <v>263</v>
      </c>
      <c r="C8191" s="141" t="s">
        <v>53</v>
      </c>
    </row>
    <row r="8192" spans="1:3" x14ac:dyDescent="0.35">
      <c r="A8192" s="141" t="s">
        <v>1053</v>
      </c>
      <c r="B8192" s="141" t="s">
        <v>264</v>
      </c>
      <c r="C8192" s="141" t="s">
        <v>53</v>
      </c>
    </row>
    <row r="8193" spans="1:3" x14ac:dyDescent="0.35">
      <c r="A8193" s="141" t="s">
        <v>1053</v>
      </c>
      <c r="B8193" s="141" t="s">
        <v>265</v>
      </c>
      <c r="C8193" s="141" t="s">
        <v>53</v>
      </c>
    </row>
    <row r="8194" spans="1:3" x14ac:dyDescent="0.35">
      <c r="A8194" s="141" t="s">
        <v>1053</v>
      </c>
      <c r="B8194" s="141" t="s">
        <v>266</v>
      </c>
      <c r="C8194" s="141" t="s">
        <v>53</v>
      </c>
    </row>
    <row r="8195" spans="1:3" x14ac:dyDescent="0.35">
      <c r="A8195" s="141" t="s">
        <v>1053</v>
      </c>
      <c r="B8195" s="141" t="s">
        <v>267</v>
      </c>
      <c r="C8195" s="141" t="s">
        <v>53</v>
      </c>
    </row>
    <row r="8196" spans="1:3" x14ac:dyDescent="0.35">
      <c r="A8196" s="141" t="s">
        <v>1053</v>
      </c>
      <c r="B8196" s="141" t="s">
        <v>268</v>
      </c>
      <c r="C8196" s="141" t="s">
        <v>53</v>
      </c>
    </row>
    <row r="8197" spans="1:3" x14ac:dyDescent="0.35">
      <c r="A8197" s="141" t="s">
        <v>1053</v>
      </c>
      <c r="B8197" s="141" t="s">
        <v>269</v>
      </c>
      <c r="C8197" s="141" t="s">
        <v>53</v>
      </c>
    </row>
    <row r="8198" spans="1:3" x14ac:dyDescent="0.35">
      <c r="A8198" s="141" t="s">
        <v>1053</v>
      </c>
      <c r="B8198" s="141" t="s">
        <v>270</v>
      </c>
      <c r="C8198" s="141" t="s">
        <v>53</v>
      </c>
    </row>
    <row r="8199" spans="1:3" x14ac:dyDescent="0.35">
      <c r="A8199" s="141" t="s">
        <v>1053</v>
      </c>
      <c r="B8199" s="141" t="s">
        <v>272</v>
      </c>
      <c r="C8199" s="141" t="s">
        <v>53</v>
      </c>
    </row>
    <row r="8200" spans="1:3" x14ac:dyDescent="0.35">
      <c r="A8200" s="141" t="s">
        <v>1053</v>
      </c>
      <c r="B8200" s="141" t="s">
        <v>273</v>
      </c>
      <c r="C8200" s="141" t="s">
        <v>53</v>
      </c>
    </row>
    <row r="8201" spans="1:3" x14ac:dyDescent="0.35">
      <c r="A8201" s="141" t="s">
        <v>1053</v>
      </c>
      <c r="B8201" s="141" t="s">
        <v>274</v>
      </c>
      <c r="C8201" s="141" t="s">
        <v>53</v>
      </c>
    </row>
    <row r="8202" spans="1:3" x14ac:dyDescent="0.35">
      <c r="A8202" s="141" t="s">
        <v>1053</v>
      </c>
      <c r="B8202" s="141" t="s">
        <v>275</v>
      </c>
      <c r="C8202" s="141" t="s">
        <v>53</v>
      </c>
    </row>
    <row r="8203" spans="1:3" x14ac:dyDescent="0.35">
      <c r="A8203" s="141" t="s">
        <v>1053</v>
      </c>
      <c r="B8203" s="141" t="s">
        <v>342</v>
      </c>
      <c r="C8203" s="141" t="s">
        <v>53</v>
      </c>
    </row>
    <row r="8204" spans="1:3" x14ac:dyDescent="0.35">
      <c r="A8204" s="141" t="s">
        <v>1053</v>
      </c>
      <c r="B8204" s="141" t="s">
        <v>341</v>
      </c>
      <c r="C8204" s="141" t="s">
        <v>53</v>
      </c>
    </row>
    <row r="8205" spans="1:3" x14ac:dyDescent="0.35">
      <c r="A8205" s="141" t="s">
        <v>1053</v>
      </c>
      <c r="B8205" s="141" t="s">
        <v>340</v>
      </c>
      <c r="C8205" s="141" t="s">
        <v>53</v>
      </c>
    </row>
    <row r="8206" spans="1:3" x14ac:dyDescent="0.35">
      <c r="A8206" s="141" t="s">
        <v>1053</v>
      </c>
      <c r="B8206" s="141" t="s">
        <v>339</v>
      </c>
      <c r="C8206" s="141" t="s">
        <v>53</v>
      </c>
    </row>
    <row r="8207" spans="1:3" x14ac:dyDescent="0.35">
      <c r="A8207" s="141" t="s">
        <v>961</v>
      </c>
      <c r="B8207" s="141" t="s">
        <v>279</v>
      </c>
      <c r="C8207" s="141" t="s">
        <v>53</v>
      </c>
    </row>
    <row r="8208" spans="1:3" x14ac:dyDescent="0.35">
      <c r="A8208" s="141" t="s">
        <v>961</v>
      </c>
      <c r="B8208" s="141" t="s">
        <v>280</v>
      </c>
      <c r="C8208" s="141" t="s">
        <v>53</v>
      </c>
    </row>
    <row r="8209" spans="1:3" x14ac:dyDescent="0.35">
      <c r="A8209" s="141" t="s">
        <v>961</v>
      </c>
      <c r="B8209" s="141" t="s">
        <v>281</v>
      </c>
      <c r="C8209" s="141" t="s">
        <v>53</v>
      </c>
    </row>
    <row r="8210" spans="1:3" x14ac:dyDescent="0.35">
      <c r="A8210" s="141" t="s">
        <v>961</v>
      </c>
      <c r="B8210" s="141" t="s">
        <v>282</v>
      </c>
      <c r="C8210" s="141" t="s">
        <v>53</v>
      </c>
    </row>
    <row r="8211" spans="1:3" x14ac:dyDescent="0.35">
      <c r="A8211" s="141" t="s">
        <v>961</v>
      </c>
      <c r="B8211" s="141" t="s">
        <v>263</v>
      </c>
      <c r="C8211" s="141" t="s">
        <v>53</v>
      </c>
    </row>
    <row r="8212" spans="1:3" x14ac:dyDescent="0.35">
      <c r="A8212" s="141" t="s">
        <v>961</v>
      </c>
      <c r="B8212" s="141" t="s">
        <v>264</v>
      </c>
      <c r="C8212" s="141" t="s">
        <v>53</v>
      </c>
    </row>
    <row r="8213" spans="1:3" x14ac:dyDescent="0.35">
      <c r="A8213" s="141" t="s">
        <v>961</v>
      </c>
      <c r="B8213" s="141" t="s">
        <v>265</v>
      </c>
      <c r="C8213" s="141" t="s">
        <v>53</v>
      </c>
    </row>
    <row r="8214" spans="1:3" x14ac:dyDescent="0.35">
      <c r="A8214" s="141" t="s">
        <v>961</v>
      </c>
      <c r="B8214" s="141" t="s">
        <v>266</v>
      </c>
      <c r="C8214" s="141" t="s">
        <v>53</v>
      </c>
    </row>
    <row r="8215" spans="1:3" x14ac:dyDescent="0.35">
      <c r="A8215" s="141" t="s">
        <v>961</v>
      </c>
      <c r="B8215" s="141" t="s">
        <v>267</v>
      </c>
      <c r="C8215" s="141" t="s">
        <v>53</v>
      </c>
    </row>
    <row r="8216" spans="1:3" x14ac:dyDescent="0.35">
      <c r="A8216" s="141" t="s">
        <v>961</v>
      </c>
      <c r="B8216" s="141" t="s">
        <v>268</v>
      </c>
      <c r="C8216" s="141" t="s">
        <v>53</v>
      </c>
    </row>
    <row r="8217" spans="1:3" x14ac:dyDescent="0.35">
      <c r="A8217" s="141" t="s">
        <v>961</v>
      </c>
      <c r="B8217" s="141" t="s">
        <v>269</v>
      </c>
      <c r="C8217" s="141" t="s">
        <v>53</v>
      </c>
    </row>
    <row r="8218" spans="1:3" x14ac:dyDescent="0.35">
      <c r="A8218" s="141" t="s">
        <v>961</v>
      </c>
      <c r="B8218" s="141" t="s">
        <v>270</v>
      </c>
      <c r="C8218" s="141" t="s">
        <v>53</v>
      </c>
    </row>
    <row r="8219" spans="1:3" x14ac:dyDescent="0.35">
      <c r="A8219" s="141" t="s">
        <v>961</v>
      </c>
      <c r="B8219" s="141" t="s">
        <v>272</v>
      </c>
      <c r="C8219" s="141" t="s">
        <v>53</v>
      </c>
    </row>
    <row r="8220" spans="1:3" x14ac:dyDescent="0.35">
      <c r="A8220" s="141" t="s">
        <v>961</v>
      </c>
      <c r="B8220" s="141" t="s">
        <v>273</v>
      </c>
      <c r="C8220" s="141" t="s">
        <v>53</v>
      </c>
    </row>
    <row r="8221" spans="1:3" x14ac:dyDescent="0.35">
      <c r="A8221" s="141" t="s">
        <v>961</v>
      </c>
      <c r="B8221" s="141" t="s">
        <v>274</v>
      </c>
      <c r="C8221" s="141" t="s">
        <v>53</v>
      </c>
    </row>
    <row r="8222" spans="1:3" x14ac:dyDescent="0.35">
      <c r="A8222" s="141" t="s">
        <v>961</v>
      </c>
      <c r="B8222" s="141" t="s">
        <v>275</v>
      </c>
      <c r="C8222" s="141" t="s">
        <v>53</v>
      </c>
    </row>
    <row r="8223" spans="1:3" x14ac:dyDescent="0.35">
      <c r="A8223" s="141" t="s">
        <v>961</v>
      </c>
      <c r="B8223" s="141" t="s">
        <v>342</v>
      </c>
      <c r="C8223" s="141" t="s">
        <v>53</v>
      </c>
    </row>
    <row r="8224" spans="1:3" x14ac:dyDescent="0.35">
      <c r="A8224" s="141" t="s">
        <v>961</v>
      </c>
      <c r="B8224" s="141" t="s">
        <v>341</v>
      </c>
      <c r="C8224" s="141" t="s">
        <v>53</v>
      </c>
    </row>
    <row r="8225" spans="1:3" x14ac:dyDescent="0.35">
      <c r="A8225" s="141" t="s">
        <v>961</v>
      </c>
      <c r="B8225" s="141" t="s">
        <v>340</v>
      </c>
      <c r="C8225" s="141" t="s">
        <v>53</v>
      </c>
    </row>
    <row r="8226" spans="1:3" x14ac:dyDescent="0.35">
      <c r="A8226" s="141" t="s">
        <v>961</v>
      </c>
      <c r="B8226" s="141" t="s">
        <v>339</v>
      </c>
      <c r="C8226" s="141" t="s">
        <v>53</v>
      </c>
    </row>
    <row r="8227" spans="1:3" x14ac:dyDescent="0.35">
      <c r="A8227" s="141" t="s">
        <v>1054</v>
      </c>
      <c r="B8227" s="141" t="s">
        <v>279</v>
      </c>
      <c r="C8227" s="141" t="s">
        <v>53</v>
      </c>
    </row>
    <row r="8228" spans="1:3" x14ac:dyDescent="0.35">
      <c r="A8228" s="141" t="s">
        <v>1054</v>
      </c>
      <c r="B8228" s="141" t="s">
        <v>280</v>
      </c>
      <c r="C8228" s="141" t="s">
        <v>53</v>
      </c>
    </row>
    <row r="8229" spans="1:3" x14ac:dyDescent="0.35">
      <c r="A8229" s="141" t="s">
        <v>1054</v>
      </c>
      <c r="B8229" s="141" t="s">
        <v>281</v>
      </c>
      <c r="C8229" s="141" t="s">
        <v>53</v>
      </c>
    </row>
    <row r="8230" spans="1:3" x14ac:dyDescent="0.35">
      <c r="A8230" s="141" t="s">
        <v>1054</v>
      </c>
      <c r="B8230" s="141" t="s">
        <v>282</v>
      </c>
      <c r="C8230" s="141" t="s">
        <v>53</v>
      </c>
    </row>
    <row r="8231" spans="1:3" x14ac:dyDescent="0.35">
      <c r="A8231" s="141" t="s">
        <v>1054</v>
      </c>
      <c r="B8231" s="141" t="s">
        <v>263</v>
      </c>
      <c r="C8231" s="141" t="s">
        <v>53</v>
      </c>
    </row>
    <row r="8232" spans="1:3" x14ac:dyDescent="0.35">
      <c r="A8232" s="141" t="s">
        <v>1054</v>
      </c>
      <c r="B8232" s="141" t="s">
        <v>264</v>
      </c>
      <c r="C8232" s="141" t="s">
        <v>53</v>
      </c>
    </row>
    <row r="8233" spans="1:3" x14ac:dyDescent="0.35">
      <c r="A8233" s="141" t="s">
        <v>1054</v>
      </c>
      <c r="B8233" s="141" t="s">
        <v>265</v>
      </c>
      <c r="C8233" s="141" t="s">
        <v>53</v>
      </c>
    </row>
    <row r="8234" spans="1:3" x14ac:dyDescent="0.35">
      <c r="A8234" s="141" t="s">
        <v>1054</v>
      </c>
      <c r="B8234" s="141" t="s">
        <v>266</v>
      </c>
      <c r="C8234" s="141" t="s">
        <v>53</v>
      </c>
    </row>
    <row r="8235" spans="1:3" x14ac:dyDescent="0.35">
      <c r="A8235" s="141" t="s">
        <v>1054</v>
      </c>
      <c r="B8235" s="141" t="s">
        <v>267</v>
      </c>
      <c r="C8235" s="141" t="s">
        <v>53</v>
      </c>
    </row>
    <row r="8236" spans="1:3" x14ac:dyDescent="0.35">
      <c r="A8236" s="141" t="s">
        <v>1054</v>
      </c>
      <c r="B8236" s="141" t="s">
        <v>268</v>
      </c>
      <c r="C8236" s="141" t="s">
        <v>53</v>
      </c>
    </row>
    <row r="8237" spans="1:3" x14ac:dyDescent="0.35">
      <c r="A8237" s="141" t="s">
        <v>1054</v>
      </c>
      <c r="B8237" s="141" t="s">
        <v>269</v>
      </c>
      <c r="C8237" s="141" t="s">
        <v>53</v>
      </c>
    </row>
    <row r="8238" spans="1:3" x14ac:dyDescent="0.35">
      <c r="A8238" s="141" t="s">
        <v>1054</v>
      </c>
      <c r="B8238" s="141" t="s">
        <v>270</v>
      </c>
      <c r="C8238" s="141" t="s">
        <v>53</v>
      </c>
    </row>
    <row r="8239" spans="1:3" x14ac:dyDescent="0.35">
      <c r="A8239" s="141" t="s">
        <v>1054</v>
      </c>
      <c r="B8239" s="141" t="s">
        <v>272</v>
      </c>
      <c r="C8239" s="141" t="s">
        <v>53</v>
      </c>
    </row>
    <row r="8240" spans="1:3" x14ac:dyDescent="0.35">
      <c r="A8240" s="141" t="s">
        <v>1054</v>
      </c>
      <c r="B8240" s="141" t="s">
        <v>273</v>
      </c>
      <c r="C8240" s="141" t="s">
        <v>53</v>
      </c>
    </row>
    <row r="8241" spans="1:3" x14ac:dyDescent="0.35">
      <c r="A8241" s="141" t="s">
        <v>1054</v>
      </c>
      <c r="B8241" s="141" t="s">
        <v>274</v>
      </c>
      <c r="C8241" s="141" t="s">
        <v>53</v>
      </c>
    </row>
    <row r="8242" spans="1:3" x14ac:dyDescent="0.35">
      <c r="A8242" s="141" t="s">
        <v>1054</v>
      </c>
      <c r="B8242" s="141" t="s">
        <v>275</v>
      </c>
      <c r="C8242" s="141" t="s">
        <v>53</v>
      </c>
    </row>
    <row r="8243" spans="1:3" x14ac:dyDescent="0.35">
      <c r="A8243" s="141" t="s">
        <v>1054</v>
      </c>
      <c r="B8243" s="141" t="s">
        <v>342</v>
      </c>
      <c r="C8243" s="141" t="s">
        <v>53</v>
      </c>
    </row>
    <row r="8244" spans="1:3" x14ac:dyDescent="0.35">
      <c r="A8244" s="141" t="s">
        <v>1054</v>
      </c>
      <c r="B8244" s="141" t="s">
        <v>341</v>
      </c>
      <c r="C8244" s="141" t="s">
        <v>53</v>
      </c>
    </row>
    <row r="8245" spans="1:3" x14ac:dyDescent="0.35">
      <c r="A8245" s="141" t="s">
        <v>1054</v>
      </c>
      <c r="B8245" s="141" t="s">
        <v>340</v>
      </c>
      <c r="C8245" s="141" t="s">
        <v>53</v>
      </c>
    </row>
    <row r="8246" spans="1:3" x14ac:dyDescent="0.35">
      <c r="A8246" s="141" t="s">
        <v>1054</v>
      </c>
      <c r="B8246" s="141" t="s">
        <v>339</v>
      </c>
      <c r="C8246" s="141" t="s">
        <v>53</v>
      </c>
    </row>
    <row r="8247" spans="1:3" x14ac:dyDescent="0.35">
      <c r="A8247" s="141" t="s">
        <v>1055</v>
      </c>
      <c r="B8247" s="141" t="s">
        <v>270</v>
      </c>
      <c r="C8247" s="141" t="s">
        <v>53</v>
      </c>
    </row>
    <row r="8248" spans="1:3" x14ac:dyDescent="0.35">
      <c r="A8248" s="141" t="s">
        <v>1055</v>
      </c>
      <c r="B8248" s="141" t="s">
        <v>272</v>
      </c>
      <c r="C8248" s="141" t="s">
        <v>53</v>
      </c>
    </row>
    <row r="8249" spans="1:3" x14ac:dyDescent="0.35">
      <c r="A8249" s="141" t="s">
        <v>1055</v>
      </c>
      <c r="B8249" s="141" t="s">
        <v>273</v>
      </c>
      <c r="C8249" s="141" t="s">
        <v>53</v>
      </c>
    </row>
    <row r="8250" spans="1:3" x14ac:dyDescent="0.35">
      <c r="A8250" s="141" t="s">
        <v>1055</v>
      </c>
      <c r="B8250" s="141" t="s">
        <v>274</v>
      </c>
      <c r="C8250" s="141" t="s">
        <v>53</v>
      </c>
    </row>
    <row r="8251" spans="1:3" x14ac:dyDescent="0.35">
      <c r="A8251" s="141" t="s">
        <v>1055</v>
      </c>
      <c r="B8251" s="141" t="s">
        <v>275</v>
      </c>
      <c r="C8251" s="141" t="s">
        <v>53</v>
      </c>
    </row>
    <row r="8252" spans="1:3" x14ac:dyDescent="0.35">
      <c r="A8252" s="141" t="s">
        <v>1055</v>
      </c>
      <c r="B8252" s="141" t="s">
        <v>342</v>
      </c>
      <c r="C8252" s="141" t="s">
        <v>53</v>
      </c>
    </row>
    <row r="8253" spans="1:3" x14ac:dyDescent="0.35">
      <c r="A8253" s="141" t="s">
        <v>1055</v>
      </c>
      <c r="B8253" s="141" t="s">
        <v>341</v>
      </c>
      <c r="C8253" s="141" t="s">
        <v>53</v>
      </c>
    </row>
    <row r="8254" spans="1:3" x14ac:dyDescent="0.35">
      <c r="A8254" s="141" t="s">
        <v>1055</v>
      </c>
      <c r="B8254" s="141" t="s">
        <v>340</v>
      </c>
      <c r="C8254" s="141" t="s">
        <v>53</v>
      </c>
    </row>
    <row r="8255" spans="1:3" x14ac:dyDescent="0.35">
      <c r="A8255" s="141" t="s">
        <v>1055</v>
      </c>
      <c r="B8255" s="141" t="s">
        <v>339</v>
      </c>
      <c r="C8255" s="141" t="s">
        <v>53</v>
      </c>
    </row>
    <row r="8256" spans="1:3" x14ac:dyDescent="0.35">
      <c r="A8256" s="141" t="s">
        <v>1056</v>
      </c>
      <c r="B8256" s="141" t="s">
        <v>275</v>
      </c>
      <c r="C8256" s="141" t="s">
        <v>36</v>
      </c>
    </row>
    <row r="8257" spans="1:3" x14ac:dyDescent="0.35">
      <c r="A8257" s="141" t="s">
        <v>1056</v>
      </c>
      <c r="B8257" s="141" t="s">
        <v>342</v>
      </c>
      <c r="C8257" s="141" t="s">
        <v>36</v>
      </c>
    </row>
    <row r="8258" spans="1:3" x14ac:dyDescent="0.35">
      <c r="A8258" s="141" t="s">
        <v>1056</v>
      </c>
      <c r="B8258" s="141" t="s">
        <v>341</v>
      </c>
      <c r="C8258" s="141" t="s">
        <v>36</v>
      </c>
    </row>
    <row r="8259" spans="1:3" x14ac:dyDescent="0.35">
      <c r="A8259" s="141" t="s">
        <v>1056</v>
      </c>
      <c r="B8259" s="141" t="s">
        <v>340</v>
      </c>
      <c r="C8259" s="141" t="s">
        <v>36</v>
      </c>
    </row>
    <row r="8260" spans="1:3" x14ac:dyDescent="0.35">
      <c r="A8260" s="141" t="s">
        <v>1056</v>
      </c>
      <c r="B8260" s="141" t="s">
        <v>339</v>
      </c>
      <c r="C8260" s="141" t="s">
        <v>36</v>
      </c>
    </row>
    <row r="8261" spans="1:3" x14ac:dyDescent="0.35">
      <c r="A8261" s="141" t="s">
        <v>1056</v>
      </c>
      <c r="B8261" s="141" t="s">
        <v>1051</v>
      </c>
      <c r="C8261" s="141" t="s">
        <v>36</v>
      </c>
    </row>
    <row r="8262" spans="1:3" x14ac:dyDescent="0.35">
      <c r="A8262" s="141" t="s">
        <v>1057</v>
      </c>
      <c r="B8262" s="141" t="s">
        <v>342</v>
      </c>
      <c r="C8262" s="141" t="s">
        <v>33</v>
      </c>
    </row>
    <row r="8263" spans="1:3" x14ac:dyDescent="0.35">
      <c r="A8263" s="141" t="s">
        <v>1057</v>
      </c>
      <c r="B8263" s="141" t="s">
        <v>341</v>
      </c>
      <c r="C8263" s="141" t="s">
        <v>33</v>
      </c>
    </row>
    <row r="8264" spans="1:3" x14ac:dyDescent="0.35">
      <c r="A8264" s="141" t="s">
        <v>1057</v>
      </c>
      <c r="B8264" s="141" t="s">
        <v>340</v>
      </c>
      <c r="C8264" s="141" t="s">
        <v>33</v>
      </c>
    </row>
    <row r="8265" spans="1:3" x14ac:dyDescent="0.35">
      <c r="A8265" s="141" t="s">
        <v>1057</v>
      </c>
      <c r="B8265" s="141" t="s">
        <v>339</v>
      </c>
      <c r="C8265" s="141" t="s">
        <v>33</v>
      </c>
    </row>
    <row r="8266" spans="1:3" x14ac:dyDescent="0.35">
      <c r="A8266" s="141" t="s">
        <v>1057</v>
      </c>
      <c r="B8266" s="141" t="s">
        <v>1051</v>
      </c>
      <c r="C8266" s="141" t="s">
        <v>33</v>
      </c>
    </row>
    <row r="8267" spans="1:3" x14ac:dyDescent="0.35">
      <c r="A8267" s="141" t="s">
        <v>1058</v>
      </c>
      <c r="B8267" s="141" t="s">
        <v>342</v>
      </c>
      <c r="C8267" s="141" t="s">
        <v>33</v>
      </c>
    </row>
    <row r="8268" spans="1:3" x14ac:dyDescent="0.35">
      <c r="A8268" s="141" t="s">
        <v>1058</v>
      </c>
      <c r="B8268" s="141" t="s">
        <v>341</v>
      </c>
      <c r="C8268" s="141" t="s">
        <v>33</v>
      </c>
    </row>
    <row r="8269" spans="1:3" x14ac:dyDescent="0.35">
      <c r="A8269" s="141" t="s">
        <v>1058</v>
      </c>
      <c r="B8269" s="141" t="s">
        <v>340</v>
      </c>
      <c r="C8269" s="141" t="s">
        <v>33</v>
      </c>
    </row>
    <row r="8270" spans="1:3" x14ac:dyDescent="0.35">
      <c r="A8270" s="141" t="s">
        <v>1058</v>
      </c>
      <c r="B8270" s="141" t="s">
        <v>339</v>
      </c>
      <c r="C8270" s="141" t="s">
        <v>33</v>
      </c>
    </row>
    <row r="8271" spans="1:3" x14ac:dyDescent="0.35">
      <c r="A8271" s="141" t="s">
        <v>1058</v>
      </c>
      <c r="B8271" s="141" t="s">
        <v>1051</v>
      </c>
      <c r="C8271" s="141" t="s">
        <v>33</v>
      </c>
    </row>
    <row r="8272" spans="1:3" x14ac:dyDescent="0.35">
      <c r="A8272" s="141" t="s">
        <v>390</v>
      </c>
      <c r="B8272" s="141" t="s">
        <v>1059</v>
      </c>
      <c r="C8272" s="141" t="s">
        <v>16</v>
      </c>
    </row>
    <row r="8273" spans="1:3" x14ac:dyDescent="0.35">
      <c r="A8273" s="141" t="s">
        <v>352</v>
      </c>
      <c r="B8273" s="141" t="s">
        <v>1059</v>
      </c>
      <c r="C8273" s="141" t="s">
        <v>2</v>
      </c>
    </row>
    <row r="8274" spans="1:3" x14ac:dyDescent="0.35">
      <c r="A8274" s="141" t="s">
        <v>354</v>
      </c>
      <c r="B8274" s="141" t="s">
        <v>1059</v>
      </c>
      <c r="C8274" s="141" t="s">
        <v>2</v>
      </c>
    </row>
    <row r="8275" spans="1:3" x14ac:dyDescent="0.35">
      <c r="A8275" s="141" t="s">
        <v>846</v>
      </c>
      <c r="B8275" s="141" t="s">
        <v>1059</v>
      </c>
      <c r="C8275" s="141" t="s">
        <v>16</v>
      </c>
    </row>
    <row r="8276" spans="1:3" x14ac:dyDescent="0.35">
      <c r="A8276" s="141" t="s">
        <v>393</v>
      </c>
      <c r="B8276" s="141" t="s">
        <v>1059</v>
      </c>
      <c r="C8276" s="141" t="s">
        <v>9</v>
      </c>
    </row>
    <row r="8277" spans="1:3" x14ac:dyDescent="0.35">
      <c r="A8277" s="141" t="s">
        <v>818</v>
      </c>
      <c r="B8277" s="141" t="s">
        <v>1059</v>
      </c>
      <c r="C8277" s="141" t="s">
        <v>12</v>
      </c>
    </row>
    <row r="8278" spans="1:3" x14ac:dyDescent="0.35">
      <c r="A8278" s="141" t="s">
        <v>835</v>
      </c>
      <c r="B8278" s="141" t="s">
        <v>1059</v>
      </c>
      <c r="C8278" s="141" t="s">
        <v>12</v>
      </c>
    </row>
    <row r="8279" spans="1:3" x14ac:dyDescent="0.35">
      <c r="A8279" s="141" t="s">
        <v>836</v>
      </c>
      <c r="B8279" s="141" t="s">
        <v>1059</v>
      </c>
      <c r="C8279" s="141" t="s">
        <v>12</v>
      </c>
    </row>
    <row r="8280" spans="1:3" x14ac:dyDescent="0.35">
      <c r="A8280" s="141" t="s">
        <v>837</v>
      </c>
      <c r="B8280" s="141" t="s">
        <v>1059</v>
      </c>
      <c r="C8280" s="141" t="s">
        <v>14</v>
      </c>
    </row>
    <row r="8281" spans="1:3" x14ac:dyDescent="0.35">
      <c r="A8281" s="141" t="s">
        <v>840</v>
      </c>
      <c r="B8281" s="141" t="s">
        <v>1059</v>
      </c>
      <c r="C8281" s="141" t="s">
        <v>10</v>
      </c>
    </row>
    <row r="8282" spans="1:3" x14ac:dyDescent="0.35">
      <c r="A8282" s="141" t="s">
        <v>841</v>
      </c>
      <c r="B8282" s="141" t="s">
        <v>1059</v>
      </c>
      <c r="C8282" s="141" t="s">
        <v>10</v>
      </c>
    </row>
    <row r="8283" spans="1:3" x14ac:dyDescent="0.35">
      <c r="A8283" s="141" t="s">
        <v>370</v>
      </c>
      <c r="B8283" s="141" t="s">
        <v>1059</v>
      </c>
      <c r="C8283" s="141" t="s">
        <v>10</v>
      </c>
    </row>
    <row r="8284" spans="1:3" x14ac:dyDescent="0.35">
      <c r="A8284" s="141" t="s">
        <v>371</v>
      </c>
      <c r="B8284" s="141" t="s">
        <v>1059</v>
      </c>
      <c r="C8284" s="141" t="s">
        <v>10</v>
      </c>
    </row>
    <row r="8285" spans="1:3" x14ac:dyDescent="0.35">
      <c r="A8285" s="141" t="s">
        <v>376</v>
      </c>
      <c r="B8285" s="141" t="s">
        <v>1059</v>
      </c>
      <c r="C8285" s="141" t="s">
        <v>10</v>
      </c>
    </row>
    <row r="8286" spans="1:3" x14ac:dyDescent="0.35">
      <c r="A8286" s="141" t="s">
        <v>372</v>
      </c>
      <c r="B8286" s="141" t="s">
        <v>1059</v>
      </c>
      <c r="C8286" s="141" t="s">
        <v>10</v>
      </c>
    </row>
    <row r="8287" spans="1:3" x14ac:dyDescent="0.35">
      <c r="A8287" s="141" t="s">
        <v>373</v>
      </c>
      <c r="B8287" s="141" t="s">
        <v>1059</v>
      </c>
      <c r="C8287" s="141" t="s">
        <v>10</v>
      </c>
    </row>
    <row r="8288" spans="1:3" x14ac:dyDescent="0.35">
      <c r="A8288" s="141" t="s">
        <v>1014</v>
      </c>
      <c r="B8288" s="141" t="s">
        <v>1051</v>
      </c>
      <c r="C8288" s="141" t="s">
        <v>43</v>
      </c>
    </row>
    <row r="8289" spans="1:3" x14ac:dyDescent="0.35">
      <c r="A8289" s="141" t="s">
        <v>1015</v>
      </c>
      <c r="B8289" s="141" t="s">
        <v>1051</v>
      </c>
      <c r="C8289" s="141" t="s">
        <v>43</v>
      </c>
    </row>
    <row r="8290" spans="1:3" x14ac:dyDescent="0.35">
      <c r="A8290" s="141" t="s">
        <v>337</v>
      </c>
      <c r="B8290" s="141" t="s">
        <v>1051</v>
      </c>
      <c r="C8290" s="141" t="s">
        <v>47</v>
      </c>
    </row>
    <row r="8291" spans="1:3" x14ac:dyDescent="0.35">
      <c r="A8291" s="141" t="s">
        <v>962</v>
      </c>
      <c r="B8291" s="141" t="s">
        <v>1051</v>
      </c>
      <c r="C8291" s="141" t="s">
        <v>47</v>
      </c>
    </row>
    <row r="8292" spans="1:3" x14ac:dyDescent="0.35">
      <c r="A8292" s="141" t="s">
        <v>981</v>
      </c>
      <c r="B8292" s="141" t="s">
        <v>1051</v>
      </c>
      <c r="C8292" s="141" t="s">
        <v>47</v>
      </c>
    </row>
    <row r="8293" spans="1:3" x14ac:dyDescent="0.35">
      <c r="A8293" s="141" t="s">
        <v>982</v>
      </c>
      <c r="B8293" s="141" t="s">
        <v>1051</v>
      </c>
      <c r="C8293" s="141" t="s">
        <v>47</v>
      </c>
    </row>
    <row r="8294" spans="1:3" x14ac:dyDescent="0.35">
      <c r="A8294" s="141" t="s">
        <v>1038</v>
      </c>
      <c r="B8294" s="141" t="s">
        <v>1051</v>
      </c>
      <c r="C8294" s="141" t="s">
        <v>48</v>
      </c>
    </row>
    <row r="8295" spans="1:3" x14ac:dyDescent="0.35">
      <c r="A8295" s="141" t="s">
        <v>563</v>
      </c>
      <c r="B8295" s="141" t="s">
        <v>1051</v>
      </c>
      <c r="C8295" s="141" t="s">
        <v>47</v>
      </c>
    </row>
    <row r="8296" spans="1:3" x14ac:dyDescent="0.35">
      <c r="A8296" s="141" t="s">
        <v>1055</v>
      </c>
      <c r="B8296" s="141" t="s">
        <v>1051</v>
      </c>
      <c r="C8296" s="141" t="s">
        <v>53</v>
      </c>
    </row>
    <row r="8297" spans="1:3" x14ac:dyDescent="0.35">
      <c r="A8297" s="141" t="s">
        <v>1052</v>
      </c>
      <c r="B8297" s="141" t="s">
        <v>1051</v>
      </c>
      <c r="C8297" s="141" t="s">
        <v>53</v>
      </c>
    </row>
    <row r="8298" spans="1:3" x14ac:dyDescent="0.35">
      <c r="A8298" s="141" t="s">
        <v>1053</v>
      </c>
      <c r="B8298" s="141" t="s">
        <v>1051</v>
      </c>
      <c r="C8298" s="141" t="s">
        <v>53</v>
      </c>
    </row>
    <row r="8299" spans="1:3" x14ac:dyDescent="0.35">
      <c r="A8299" s="141" t="s">
        <v>961</v>
      </c>
      <c r="B8299" s="141" t="s">
        <v>1051</v>
      </c>
      <c r="C8299" s="141" t="s">
        <v>53</v>
      </c>
    </row>
    <row r="8300" spans="1:3" x14ac:dyDescent="0.35">
      <c r="A8300" s="141" t="s">
        <v>1054</v>
      </c>
      <c r="B8300" s="141" t="s">
        <v>1051</v>
      </c>
      <c r="C8300" s="141" t="s">
        <v>53</v>
      </c>
    </row>
    <row r="8301" spans="1:3" x14ac:dyDescent="0.35">
      <c r="A8301" s="141" t="s">
        <v>1052</v>
      </c>
      <c r="B8301" s="141" t="s">
        <v>289</v>
      </c>
      <c r="C8301" s="141" t="s">
        <v>53</v>
      </c>
    </row>
    <row r="8302" spans="1:3" x14ac:dyDescent="0.35">
      <c r="A8302" s="141" t="s">
        <v>375</v>
      </c>
      <c r="B8302" s="141" t="s">
        <v>1059</v>
      </c>
      <c r="C8302" s="141" t="s">
        <v>10</v>
      </c>
    </row>
    <row r="8303" spans="1:3" x14ac:dyDescent="0.35">
      <c r="A8303" s="141" t="s">
        <v>842</v>
      </c>
      <c r="B8303" s="141" t="s">
        <v>1059</v>
      </c>
      <c r="C8303" s="141" t="s">
        <v>11</v>
      </c>
    </row>
    <row r="8304" spans="1:3" x14ac:dyDescent="0.35">
      <c r="A8304" s="141" t="s">
        <v>843</v>
      </c>
      <c r="B8304" s="141" t="s">
        <v>1059</v>
      </c>
      <c r="C8304" s="141" t="s">
        <v>11</v>
      </c>
    </row>
    <row r="8305" spans="1:3" x14ac:dyDescent="0.35">
      <c r="A8305" s="141" t="s">
        <v>844</v>
      </c>
      <c r="B8305" s="141" t="s">
        <v>1059</v>
      </c>
      <c r="C8305" s="141" t="s">
        <v>11</v>
      </c>
    </row>
    <row r="8306" spans="1:3" x14ac:dyDescent="0.35">
      <c r="A8306" s="141" t="s">
        <v>845</v>
      </c>
      <c r="B8306" s="141" t="s">
        <v>1059</v>
      </c>
      <c r="C8306" s="141" t="s">
        <v>11</v>
      </c>
    </row>
    <row r="8307" spans="1:3" x14ac:dyDescent="0.35">
      <c r="A8307" s="141" t="s">
        <v>358</v>
      </c>
      <c r="B8307" s="141" t="s">
        <v>1059</v>
      </c>
      <c r="C8307" s="141" t="s">
        <v>14</v>
      </c>
    </row>
    <row r="8308" spans="1:3" x14ac:dyDescent="0.35">
      <c r="A8308" s="141" t="s">
        <v>654</v>
      </c>
      <c r="B8308" s="141" t="s">
        <v>1059</v>
      </c>
      <c r="C8308" s="141" t="s">
        <v>14</v>
      </c>
    </row>
    <row r="8309" spans="1:3" x14ac:dyDescent="0.35">
      <c r="A8309" s="141" t="s">
        <v>987</v>
      </c>
      <c r="B8309" s="141" t="s">
        <v>1059</v>
      </c>
      <c r="C8309" s="141" t="s">
        <v>14</v>
      </c>
    </row>
    <row r="8310" spans="1:3" x14ac:dyDescent="0.35">
      <c r="A8310" s="141" t="s">
        <v>838</v>
      </c>
      <c r="B8310" s="141" t="s">
        <v>1059</v>
      </c>
      <c r="C8310" s="141" t="s">
        <v>13</v>
      </c>
    </row>
    <row r="8311" spans="1:3" x14ac:dyDescent="0.35">
      <c r="A8311" s="141" t="s">
        <v>346</v>
      </c>
      <c r="B8311" s="141" t="s">
        <v>1059</v>
      </c>
      <c r="C8311" s="141" t="s">
        <v>13</v>
      </c>
    </row>
    <row r="8312" spans="1:3" x14ac:dyDescent="0.35">
      <c r="A8312" s="141" t="s">
        <v>367</v>
      </c>
      <c r="B8312" s="141" t="s">
        <v>1059</v>
      </c>
      <c r="C8312" s="141" t="s">
        <v>8</v>
      </c>
    </row>
    <row r="8313" spans="1:3" x14ac:dyDescent="0.35">
      <c r="A8313" s="141" t="s">
        <v>383</v>
      </c>
      <c r="B8313" s="141" t="s">
        <v>1059</v>
      </c>
      <c r="C8313" s="141" t="s">
        <v>5</v>
      </c>
    </row>
    <row r="8314" spans="1:3" x14ac:dyDescent="0.35">
      <c r="A8314" s="141" t="s">
        <v>345</v>
      </c>
      <c r="B8314" s="141" t="s">
        <v>1059</v>
      </c>
      <c r="C8314" s="141" t="s">
        <v>5</v>
      </c>
    </row>
    <row r="8315" spans="1:3" x14ac:dyDescent="0.35">
      <c r="A8315" s="141" t="s">
        <v>359</v>
      </c>
      <c r="B8315" s="141" t="s">
        <v>1059</v>
      </c>
      <c r="C8315" s="141" t="s">
        <v>46</v>
      </c>
    </row>
    <row r="8316" spans="1:3" x14ac:dyDescent="0.35">
      <c r="A8316" s="141" t="s">
        <v>360</v>
      </c>
      <c r="B8316" s="141" t="s">
        <v>1059</v>
      </c>
      <c r="C8316" s="141" t="s">
        <v>46</v>
      </c>
    </row>
    <row r="8317" spans="1:3" x14ac:dyDescent="0.35">
      <c r="A8317" s="141" t="s">
        <v>262</v>
      </c>
      <c r="B8317" s="141" t="s">
        <v>1059</v>
      </c>
      <c r="C8317" s="141" t="s">
        <v>27</v>
      </c>
    </row>
    <row r="8318" spans="1:3" x14ac:dyDescent="0.35">
      <c r="A8318" s="141" t="s">
        <v>1044</v>
      </c>
      <c r="B8318" s="141" t="s">
        <v>1059</v>
      </c>
      <c r="C8318" s="141" t="s">
        <v>24</v>
      </c>
    </row>
    <row r="8319" spans="1:3" x14ac:dyDescent="0.35">
      <c r="A8319" s="141" t="s">
        <v>1045</v>
      </c>
      <c r="B8319" s="141" t="s">
        <v>1059</v>
      </c>
      <c r="C8319" s="141" t="s">
        <v>24</v>
      </c>
    </row>
    <row r="8320" spans="1:3" x14ac:dyDescent="0.35">
      <c r="A8320" s="141" t="s">
        <v>1060</v>
      </c>
      <c r="B8320" s="141" t="s">
        <v>1059</v>
      </c>
      <c r="C8320" s="141" t="s">
        <v>24</v>
      </c>
    </row>
    <row r="8321" spans="1:3" x14ac:dyDescent="0.35">
      <c r="A8321" s="141" t="s">
        <v>887</v>
      </c>
      <c r="B8321" s="141" t="s">
        <v>1059</v>
      </c>
      <c r="C8321" s="141" t="s">
        <v>24</v>
      </c>
    </row>
    <row r="8322" spans="1:3" x14ac:dyDescent="0.35">
      <c r="A8322" s="141" t="s">
        <v>1061</v>
      </c>
      <c r="B8322" s="141" t="s">
        <v>1059</v>
      </c>
      <c r="C8322" s="141" t="s">
        <v>24</v>
      </c>
    </row>
    <row r="8323" spans="1:3" x14ac:dyDescent="0.35">
      <c r="A8323" s="141" t="s">
        <v>1062</v>
      </c>
      <c r="B8323" s="141" t="s">
        <v>1059</v>
      </c>
      <c r="C8323" s="141" t="s">
        <v>27</v>
      </c>
    </row>
    <row r="8324" spans="1:3" x14ac:dyDescent="0.35">
      <c r="A8324" s="141" t="s">
        <v>564</v>
      </c>
      <c r="B8324" s="141" t="s">
        <v>1059</v>
      </c>
      <c r="C8324" s="141" t="s">
        <v>7</v>
      </c>
    </row>
    <row r="8325" spans="1:3" x14ac:dyDescent="0.35">
      <c r="A8325" s="141" t="s">
        <v>565</v>
      </c>
      <c r="B8325" s="141" t="s">
        <v>1059</v>
      </c>
      <c r="C8325" s="141" t="s">
        <v>7</v>
      </c>
    </row>
    <row r="8326" spans="1:3" x14ac:dyDescent="0.35">
      <c r="A8326" s="141" t="s">
        <v>385</v>
      </c>
      <c r="B8326" s="141" t="s">
        <v>1059</v>
      </c>
      <c r="C8326" s="141" t="s">
        <v>7</v>
      </c>
    </row>
    <row r="8327" spans="1:3" x14ac:dyDescent="0.35">
      <c r="A8327" s="141" t="s">
        <v>386</v>
      </c>
      <c r="B8327" s="141" t="s">
        <v>1059</v>
      </c>
      <c r="C8327" s="141" t="s">
        <v>7</v>
      </c>
    </row>
    <row r="8328" spans="1:3" x14ac:dyDescent="0.35">
      <c r="A8328" s="141" t="s">
        <v>387</v>
      </c>
      <c r="B8328" s="141" t="s">
        <v>1059</v>
      </c>
      <c r="C8328" s="141" t="s">
        <v>7</v>
      </c>
    </row>
    <row r="8329" spans="1:3" x14ac:dyDescent="0.35">
      <c r="A8329" s="141" t="s">
        <v>365</v>
      </c>
      <c r="B8329" s="141" t="s">
        <v>1059</v>
      </c>
      <c r="C8329" s="141" t="s">
        <v>7</v>
      </c>
    </row>
    <row r="8330" spans="1:3" x14ac:dyDescent="0.35">
      <c r="A8330" s="141" t="s">
        <v>589</v>
      </c>
      <c r="B8330" s="141" t="s">
        <v>1059</v>
      </c>
      <c r="C8330" s="141" t="s">
        <v>4</v>
      </c>
    </row>
    <row r="8331" spans="1:3" x14ac:dyDescent="0.35">
      <c r="A8331" s="141" t="s">
        <v>988</v>
      </c>
      <c r="B8331" s="141" t="s">
        <v>1059</v>
      </c>
      <c r="C8331" s="141" t="s">
        <v>8</v>
      </c>
    </row>
    <row r="8332" spans="1:3" x14ac:dyDescent="0.35">
      <c r="A8332" s="141" t="s">
        <v>366</v>
      </c>
      <c r="B8332" s="141" t="s">
        <v>1059</v>
      </c>
      <c r="C8332" s="141" t="s">
        <v>8</v>
      </c>
    </row>
    <row r="8333" spans="1:3" x14ac:dyDescent="0.35">
      <c r="A8333" s="141" t="s">
        <v>1043</v>
      </c>
      <c r="B8333" s="141" t="s">
        <v>1059</v>
      </c>
      <c r="C8333" s="141" t="s">
        <v>4</v>
      </c>
    </row>
    <row r="8334" spans="1:3" x14ac:dyDescent="0.35">
      <c r="A8334" s="141" t="s">
        <v>819</v>
      </c>
      <c r="B8334" s="141" t="s">
        <v>1059</v>
      </c>
      <c r="C8334" s="141" t="s">
        <v>45</v>
      </c>
    </row>
    <row r="8335" spans="1:3" x14ac:dyDescent="0.35">
      <c r="A8335" s="141" t="s">
        <v>820</v>
      </c>
      <c r="B8335" s="141" t="s">
        <v>1059</v>
      </c>
      <c r="C8335" s="141" t="s">
        <v>45</v>
      </c>
    </row>
    <row r="8336" spans="1:3" x14ac:dyDescent="0.35">
      <c r="A8336" s="141" t="s">
        <v>821</v>
      </c>
      <c r="B8336" s="141" t="s">
        <v>1059</v>
      </c>
      <c r="C8336" s="141" t="s">
        <v>45</v>
      </c>
    </row>
    <row r="8337" spans="1:3" x14ac:dyDescent="0.35">
      <c r="A8337" s="141" t="s">
        <v>822</v>
      </c>
      <c r="B8337" s="141" t="s">
        <v>1059</v>
      </c>
      <c r="C8337" s="141" t="s">
        <v>45</v>
      </c>
    </row>
    <row r="8338" spans="1:3" x14ac:dyDescent="0.35">
      <c r="A8338" s="141" t="s">
        <v>823</v>
      </c>
      <c r="B8338" s="141" t="s">
        <v>1059</v>
      </c>
      <c r="C8338" s="141" t="s">
        <v>45</v>
      </c>
    </row>
    <row r="8339" spans="1:3" x14ac:dyDescent="0.35">
      <c r="A8339" s="141" t="s">
        <v>824</v>
      </c>
      <c r="B8339" s="141" t="s">
        <v>1059</v>
      </c>
      <c r="C8339" s="141" t="s">
        <v>45</v>
      </c>
    </row>
    <row r="8340" spans="1:3" x14ac:dyDescent="0.35">
      <c r="A8340" s="141" t="s">
        <v>1041</v>
      </c>
      <c r="B8340" s="141" t="s">
        <v>1059</v>
      </c>
      <c r="C8340" s="141" t="s">
        <v>45</v>
      </c>
    </row>
    <row r="8341" spans="1:3" x14ac:dyDescent="0.35">
      <c r="A8341" s="141" t="s">
        <v>827</v>
      </c>
      <c r="B8341" s="141" t="s">
        <v>1059</v>
      </c>
      <c r="C8341" s="141" t="s">
        <v>45</v>
      </c>
    </row>
    <row r="8342" spans="1:3" x14ac:dyDescent="0.35">
      <c r="A8342" s="141" t="s">
        <v>828</v>
      </c>
      <c r="B8342" s="141" t="s">
        <v>1059</v>
      </c>
      <c r="C8342" s="141" t="s">
        <v>45</v>
      </c>
    </row>
    <row r="8343" spans="1:3" x14ac:dyDescent="0.35">
      <c r="A8343" s="141" t="s">
        <v>829</v>
      </c>
      <c r="B8343" s="141" t="s">
        <v>1059</v>
      </c>
      <c r="C8343" s="141" t="s">
        <v>45</v>
      </c>
    </row>
    <row r="8344" spans="1:3" x14ac:dyDescent="0.35">
      <c r="A8344" s="141" t="s">
        <v>830</v>
      </c>
      <c r="B8344" s="141" t="s">
        <v>1059</v>
      </c>
      <c r="C8344" s="141" t="s">
        <v>45</v>
      </c>
    </row>
    <row r="8345" spans="1:3" x14ac:dyDescent="0.35">
      <c r="A8345" s="141" t="s">
        <v>831</v>
      </c>
      <c r="B8345" s="141" t="s">
        <v>1059</v>
      </c>
      <c r="C8345" s="141" t="s">
        <v>45</v>
      </c>
    </row>
    <row r="8346" spans="1:3" x14ac:dyDescent="0.35">
      <c r="A8346" s="141" t="s">
        <v>1042</v>
      </c>
      <c r="B8346" s="141" t="s">
        <v>1059</v>
      </c>
      <c r="C8346" s="141" t="s">
        <v>45</v>
      </c>
    </row>
    <row r="8347" spans="1:3" x14ac:dyDescent="0.35">
      <c r="A8347" s="141" t="s">
        <v>278</v>
      </c>
      <c r="B8347" s="141" t="s">
        <v>1059</v>
      </c>
      <c r="C8347" s="141" t="s">
        <v>21</v>
      </c>
    </row>
    <row r="8348" spans="1:3" x14ac:dyDescent="0.35">
      <c r="A8348" s="141" t="s">
        <v>283</v>
      </c>
      <c r="B8348" s="141" t="s">
        <v>1059</v>
      </c>
      <c r="C8348" s="141" t="s">
        <v>21</v>
      </c>
    </row>
    <row r="8349" spans="1:3" x14ac:dyDescent="0.35">
      <c r="A8349" s="141" t="s">
        <v>284</v>
      </c>
      <c r="B8349" s="141" t="s">
        <v>1059</v>
      </c>
      <c r="C8349" s="141" t="s">
        <v>21</v>
      </c>
    </row>
    <row r="8350" spans="1:3" x14ac:dyDescent="0.35">
      <c r="A8350" s="141" t="s">
        <v>285</v>
      </c>
      <c r="B8350" s="141" t="s">
        <v>1059</v>
      </c>
      <c r="C8350" s="141" t="s">
        <v>27</v>
      </c>
    </row>
    <row r="8351" spans="1:3" x14ac:dyDescent="0.35">
      <c r="A8351" s="141" t="s">
        <v>286</v>
      </c>
      <c r="B8351" s="141" t="s">
        <v>1059</v>
      </c>
      <c r="C8351" s="141" t="s">
        <v>27</v>
      </c>
    </row>
    <row r="8352" spans="1:3" x14ac:dyDescent="0.35">
      <c r="A8352" s="141" t="s">
        <v>290</v>
      </c>
      <c r="B8352" s="141" t="s">
        <v>1059</v>
      </c>
      <c r="C8352" s="141" t="s">
        <v>23</v>
      </c>
    </row>
    <row r="8353" spans="1:3" x14ac:dyDescent="0.35">
      <c r="A8353" s="141" t="s">
        <v>848</v>
      </c>
      <c r="B8353" s="141" t="s">
        <v>1059</v>
      </c>
      <c r="C8353" s="141" t="s">
        <v>22</v>
      </c>
    </row>
    <row r="8354" spans="1:3" x14ac:dyDescent="0.35">
      <c r="A8354" s="141" t="s">
        <v>849</v>
      </c>
      <c r="B8354" s="141" t="s">
        <v>1059</v>
      </c>
      <c r="C8354" s="141" t="s">
        <v>22</v>
      </c>
    </row>
    <row r="8355" spans="1:3" x14ac:dyDescent="0.35">
      <c r="A8355" s="141" t="s">
        <v>850</v>
      </c>
      <c r="B8355" s="141" t="s">
        <v>1059</v>
      </c>
      <c r="C8355" s="141" t="s">
        <v>22</v>
      </c>
    </row>
    <row r="8356" spans="1:3" x14ac:dyDescent="0.35">
      <c r="A8356" s="141" t="s">
        <v>294</v>
      </c>
      <c r="B8356" s="141" t="s">
        <v>1059</v>
      </c>
      <c r="C8356" s="141" t="s">
        <v>21</v>
      </c>
    </row>
    <row r="8357" spans="1:3" x14ac:dyDescent="0.35">
      <c r="A8357" s="141" t="s">
        <v>1035</v>
      </c>
      <c r="B8357" s="141" t="s">
        <v>1059</v>
      </c>
      <c r="C8357" s="141" t="s">
        <v>21</v>
      </c>
    </row>
    <row r="8358" spans="1:3" x14ac:dyDescent="0.35">
      <c r="A8358" s="141" t="s">
        <v>990</v>
      </c>
      <c r="B8358" s="141" t="s">
        <v>1059</v>
      </c>
      <c r="C8358" s="141" t="s">
        <v>21</v>
      </c>
    </row>
    <row r="8359" spans="1:3" x14ac:dyDescent="0.35">
      <c r="A8359" s="141" t="s">
        <v>991</v>
      </c>
      <c r="B8359" s="141" t="s">
        <v>1059</v>
      </c>
      <c r="C8359" s="141" t="s">
        <v>21</v>
      </c>
    </row>
    <row r="8360" spans="1:3" x14ac:dyDescent="0.35">
      <c r="A8360" s="141" t="s">
        <v>992</v>
      </c>
      <c r="B8360" s="141" t="s">
        <v>1059</v>
      </c>
      <c r="C8360" s="141" t="s">
        <v>21</v>
      </c>
    </row>
    <row r="8361" spans="1:3" x14ac:dyDescent="0.35">
      <c r="A8361" s="141" t="s">
        <v>993</v>
      </c>
      <c r="B8361" s="141" t="s">
        <v>1059</v>
      </c>
      <c r="C8361" s="141" t="s">
        <v>21</v>
      </c>
    </row>
    <row r="8362" spans="1:3" x14ac:dyDescent="0.35">
      <c r="A8362" s="141" t="s">
        <v>994</v>
      </c>
      <c r="B8362" s="141" t="s">
        <v>1059</v>
      </c>
      <c r="C8362" s="141" t="s">
        <v>21</v>
      </c>
    </row>
    <row r="8363" spans="1:3" x14ac:dyDescent="0.35">
      <c r="A8363" s="141" t="s">
        <v>995</v>
      </c>
      <c r="B8363" s="141" t="s">
        <v>1059</v>
      </c>
      <c r="C8363" s="141" t="s">
        <v>21</v>
      </c>
    </row>
    <row r="8364" spans="1:3" x14ac:dyDescent="0.35">
      <c r="A8364" s="141" t="s">
        <v>1029</v>
      </c>
      <c r="B8364" s="141" t="s">
        <v>1059</v>
      </c>
      <c r="C8364" s="141" t="s">
        <v>21</v>
      </c>
    </row>
    <row r="8365" spans="1:3" x14ac:dyDescent="0.35">
      <c r="A8365" s="141" t="s">
        <v>1030</v>
      </c>
      <c r="B8365" s="141" t="s">
        <v>1059</v>
      </c>
      <c r="C8365" s="141" t="s">
        <v>21</v>
      </c>
    </row>
    <row r="8366" spans="1:3" x14ac:dyDescent="0.35">
      <c r="A8366" s="141" t="s">
        <v>1025</v>
      </c>
      <c r="B8366" s="141" t="s">
        <v>1059</v>
      </c>
      <c r="C8366" s="141" t="s">
        <v>27</v>
      </c>
    </row>
    <row r="8367" spans="1:3" x14ac:dyDescent="0.35">
      <c r="A8367" s="141" t="s">
        <v>1026</v>
      </c>
      <c r="B8367" s="141" t="s">
        <v>1059</v>
      </c>
      <c r="C8367" s="141" t="s">
        <v>27</v>
      </c>
    </row>
    <row r="8368" spans="1:3" x14ac:dyDescent="0.35">
      <c r="A8368" s="141" t="s">
        <v>1027</v>
      </c>
      <c r="B8368" s="141" t="s">
        <v>1059</v>
      </c>
      <c r="C8368" s="141" t="s">
        <v>32</v>
      </c>
    </row>
    <row r="8369" spans="1:3" x14ac:dyDescent="0.35">
      <c r="A8369" s="141" t="s">
        <v>1063</v>
      </c>
      <c r="B8369" s="141" t="s">
        <v>1059</v>
      </c>
      <c r="C8369" s="141" t="s">
        <v>21</v>
      </c>
    </row>
    <row r="8370" spans="1:3" x14ac:dyDescent="0.35">
      <c r="A8370" s="141" t="s">
        <v>1064</v>
      </c>
      <c r="B8370" s="141" t="s">
        <v>1059</v>
      </c>
      <c r="C8370" s="141" t="s">
        <v>27</v>
      </c>
    </row>
    <row r="8371" spans="1:3" x14ac:dyDescent="0.35">
      <c r="A8371" s="141" t="s">
        <v>667</v>
      </c>
      <c r="B8371" s="141" t="s">
        <v>1059</v>
      </c>
      <c r="C8371" s="141" t="s">
        <v>55</v>
      </c>
    </row>
    <row r="8372" spans="1:3" x14ac:dyDescent="0.35">
      <c r="A8372" s="141" t="s">
        <v>668</v>
      </c>
      <c r="B8372" s="141" t="s">
        <v>1059</v>
      </c>
      <c r="C8372" s="141" t="s">
        <v>54</v>
      </c>
    </row>
    <row r="8373" spans="1:3" x14ac:dyDescent="0.35">
      <c r="A8373" s="141" t="s">
        <v>669</v>
      </c>
      <c r="B8373" s="141" t="s">
        <v>1059</v>
      </c>
      <c r="C8373" s="141" t="s">
        <v>55</v>
      </c>
    </row>
    <row r="8374" spans="1:3" x14ac:dyDescent="0.35">
      <c r="A8374" s="141" t="s">
        <v>1065</v>
      </c>
      <c r="B8374" s="141" t="s">
        <v>1059</v>
      </c>
      <c r="C8374" s="141" t="s">
        <v>54</v>
      </c>
    </row>
    <row r="8375" spans="1:3" x14ac:dyDescent="0.35">
      <c r="A8375" s="141" t="s">
        <v>1066</v>
      </c>
      <c r="B8375" s="141" t="s">
        <v>1059</v>
      </c>
      <c r="C8375" s="141" t="s">
        <v>54</v>
      </c>
    </row>
    <row r="8376" spans="1:3" x14ac:dyDescent="0.35">
      <c r="A8376" s="141" t="s">
        <v>885</v>
      </c>
      <c r="B8376" s="141" t="s">
        <v>1059</v>
      </c>
      <c r="C8376" s="141" t="s">
        <v>19</v>
      </c>
    </row>
    <row r="8377" spans="1:3" x14ac:dyDescent="0.35">
      <c r="A8377" s="141" t="s">
        <v>886</v>
      </c>
      <c r="B8377" s="141" t="s">
        <v>1059</v>
      </c>
      <c r="C8377" s="141" t="s">
        <v>19</v>
      </c>
    </row>
    <row r="8378" spans="1:3" x14ac:dyDescent="0.35">
      <c r="A8378" s="141" t="s">
        <v>398</v>
      </c>
      <c r="B8378" s="141" t="s">
        <v>1059</v>
      </c>
      <c r="C8378" s="141" t="s">
        <v>17</v>
      </c>
    </row>
    <row r="8379" spans="1:3" x14ac:dyDescent="0.35">
      <c r="A8379" s="141" t="s">
        <v>399</v>
      </c>
      <c r="B8379" s="141" t="s">
        <v>1059</v>
      </c>
      <c r="C8379" s="141" t="s">
        <v>16</v>
      </c>
    </row>
    <row r="8380" spans="1:3" x14ac:dyDescent="0.35">
      <c r="A8380" s="141" t="s">
        <v>400</v>
      </c>
      <c r="B8380" s="141" t="s">
        <v>1059</v>
      </c>
      <c r="C8380" s="141" t="s">
        <v>20</v>
      </c>
    </row>
    <row r="8381" spans="1:3" x14ac:dyDescent="0.35">
      <c r="A8381" s="141" t="s">
        <v>401</v>
      </c>
      <c r="B8381" s="141" t="s">
        <v>1059</v>
      </c>
      <c r="C8381" s="141" t="s">
        <v>20</v>
      </c>
    </row>
    <row r="8382" spans="1:3" x14ac:dyDescent="0.35">
      <c r="A8382" s="141" t="s">
        <v>671</v>
      </c>
      <c r="B8382" s="141" t="s">
        <v>1059</v>
      </c>
      <c r="C8382" s="141" t="s">
        <v>20</v>
      </c>
    </row>
    <row r="8383" spans="1:3" x14ac:dyDescent="0.35">
      <c r="A8383" s="141" t="s">
        <v>774</v>
      </c>
      <c r="B8383" s="141" t="s">
        <v>1059</v>
      </c>
      <c r="C8383" s="141" t="s">
        <v>38</v>
      </c>
    </row>
    <row r="8384" spans="1:3" x14ac:dyDescent="0.35">
      <c r="A8384" s="141" t="s">
        <v>775</v>
      </c>
      <c r="B8384" s="141" t="s">
        <v>1059</v>
      </c>
      <c r="C8384" s="141" t="s">
        <v>38</v>
      </c>
    </row>
    <row r="8385" spans="1:3" x14ac:dyDescent="0.35">
      <c r="A8385" s="141" t="s">
        <v>776</v>
      </c>
      <c r="B8385" s="141" t="s">
        <v>1059</v>
      </c>
      <c r="C8385" s="141" t="s">
        <v>45</v>
      </c>
    </row>
    <row r="8386" spans="1:3" x14ac:dyDescent="0.35">
      <c r="A8386" s="141" t="s">
        <v>1067</v>
      </c>
      <c r="B8386" s="141" t="s">
        <v>1059</v>
      </c>
      <c r="C8386" s="141" t="s">
        <v>46</v>
      </c>
    </row>
    <row r="8387" spans="1:3" x14ac:dyDescent="0.35">
      <c r="A8387" s="141" t="s">
        <v>1068</v>
      </c>
      <c r="B8387" s="141" t="s">
        <v>1059</v>
      </c>
      <c r="C8387" s="141" t="s">
        <v>46</v>
      </c>
    </row>
    <row r="8388" spans="1:3" x14ac:dyDescent="0.35">
      <c r="A8388" s="141" t="s">
        <v>778</v>
      </c>
      <c r="B8388" s="141" t="s">
        <v>1059</v>
      </c>
      <c r="C8388" s="141" t="s">
        <v>45</v>
      </c>
    </row>
    <row r="8389" spans="1:3" x14ac:dyDescent="0.35">
      <c r="A8389" s="141" t="s">
        <v>1023</v>
      </c>
      <c r="B8389" s="141" t="s">
        <v>1059</v>
      </c>
      <c r="C8389" s="141" t="s">
        <v>45</v>
      </c>
    </row>
    <row r="8390" spans="1:3" x14ac:dyDescent="0.35">
      <c r="A8390" s="141" t="s">
        <v>781</v>
      </c>
      <c r="B8390" s="141" t="s">
        <v>1059</v>
      </c>
      <c r="C8390" s="141" t="s">
        <v>45</v>
      </c>
    </row>
    <row r="8391" spans="1:3" x14ac:dyDescent="0.35">
      <c r="A8391" s="141" t="s">
        <v>409</v>
      </c>
      <c r="B8391" s="141" t="s">
        <v>1059</v>
      </c>
      <c r="C8391" s="141" t="s">
        <v>18</v>
      </c>
    </row>
    <row r="8392" spans="1:3" x14ac:dyDescent="0.35">
      <c r="A8392" s="141" t="s">
        <v>1018</v>
      </c>
      <c r="B8392" s="141" t="s">
        <v>1059</v>
      </c>
      <c r="C8392" s="141" t="s">
        <v>18</v>
      </c>
    </row>
    <row r="8393" spans="1:3" x14ac:dyDescent="0.35">
      <c r="A8393" s="141" t="s">
        <v>411</v>
      </c>
      <c r="B8393" s="141" t="s">
        <v>1059</v>
      </c>
      <c r="C8393" s="141" t="s">
        <v>9</v>
      </c>
    </row>
    <row r="8394" spans="1:3" x14ac:dyDescent="0.35">
      <c r="A8394" s="141" t="s">
        <v>412</v>
      </c>
      <c r="B8394" s="141" t="s">
        <v>1059</v>
      </c>
      <c r="C8394" s="141" t="s">
        <v>9</v>
      </c>
    </row>
    <row r="8395" spans="1:3" x14ac:dyDescent="0.35">
      <c r="A8395" s="141" t="s">
        <v>413</v>
      </c>
      <c r="B8395" s="141" t="s">
        <v>1059</v>
      </c>
      <c r="C8395" s="141" t="s">
        <v>9</v>
      </c>
    </row>
    <row r="8396" spans="1:3" x14ac:dyDescent="0.35">
      <c r="A8396" s="141" t="s">
        <v>414</v>
      </c>
      <c r="B8396" s="141" t="s">
        <v>1059</v>
      </c>
      <c r="C8396" s="141" t="s">
        <v>9</v>
      </c>
    </row>
    <row r="8397" spans="1:3" x14ac:dyDescent="0.35">
      <c r="A8397" s="141" t="s">
        <v>415</v>
      </c>
      <c r="B8397" s="141" t="s">
        <v>1059</v>
      </c>
      <c r="C8397" s="141" t="s">
        <v>9</v>
      </c>
    </row>
    <row r="8398" spans="1:3" x14ac:dyDescent="0.35">
      <c r="A8398" s="141" t="s">
        <v>1016</v>
      </c>
      <c r="B8398" s="141" t="s">
        <v>1059</v>
      </c>
      <c r="C8398" s="141" t="s">
        <v>20</v>
      </c>
    </row>
    <row r="8399" spans="1:3" x14ac:dyDescent="0.35">
      <c r="A8399" s="141" t="s">
        <v>593</v>
      </c>
      <c r="B8399" s="141" t="s">
        <v>1059</v>
      </c>
      <c r="C8399" s="141" t="s">
        <v>20</v>
      </c>
    </row>
    <row r="8400" spans="1:3" x14ac:dyDescent="0.35">
      <c r="A8400" s="141" t="s">
        <v>403</v>
      </c>
      <c r="B8400" s="141" t="s">
        <v>1059</v>
      </c>
      <c r="C8400" s="141" t="s">
        <v>20</v>
      </c>
    </row>
    <row r="8401" spans="1:3" x14ac:dyDescent="0.35">
      <c r="A8401" s="141" t="s">
        <v>1017</v>
      </c>
      <c r="B8401" s="141" t="s">
        <v>1059</v>
      </c>
      <c r="C8401" s="141" t="s">
        <v>16</v>
      </c>
    </row>
    <row r="8402" spans="1:3" x14ac:dyDescent="0.35">
      <c r="A8402" s="141" t="s">
        <v>416</v>
      </c>
      <c r="B8402" s="141" t="s">
        <v>1059</v>
      </c>
      <c r="C8402" s="141" t="s">
        <v>15</v>
      </c>
    </row>
    <row r="8403" spans="1:3" x14ac:dyDescent="0.35">
      <c r="A8403" s="141" t="s">
        <v>417</v>
      </c>
      <c r="B8403" s="141" t="s">
        <v>1059</v>
      </c>
      <c r="C8403" s="141" t="s">
        <v>6</v>
      </c>
    </row>
    <row r="8404" spans="1:3" x14ac:dyDescent="0.35">
      <c r="A8404" s="141" t="s">
        <v>1019</v>
      </c>
      <c r="B8404" s="141" t="s">
        <v>1059</v>
      </c>
      <c r="C8404" s="141" t="s">
        <v>17</v>
      </c>
    </row>
    <row r="8405" spans="1:3" x14ac:dyDescent="0.35">
      <c r="A8405" s="141" t="s">
        <v>420</v>
      </c>
      <c r="B8405" s="141" t="s">
        <v>1059</v>
      </c>
      <c r="C8405" s="141" t="s">
        <v>17</v>
      </c>
    </row>
    <row r="8406" spans="1:3" x14ac:dyDescent="0.35">
      <c r="A8406" s="141" t="s">
        <v>421</v>
      </c>
      <c r="B8406" s="141" t="s">
        <v>1059</v>
      </c>
      <c r="C8406" s="141" t="s">
        <v>6</v>
      </c>
    </row>
    <row r="8407" spans="1:3" x14ac:dyDescent="0.35">
      <c r="A8407" s="141" t="s">
        <v>422</v>
      </c>
      <c r="B8407" s="141" t="s">
        <v>1059</v>
      </c>
      <c r="C8407" s="141" t="s">
        <v>17</v>
      </c>
    </row>
    <row r="8408" spans="1:3" x14ac:dyDescent="0.35">
      <c r="A8408" s="141" t="s">
        <v>406</v>
      </c>
      <c r="B8408" s="141" t="s">
        <v>1059</v>
      </c>
      <c r="C8408" s="141" t="s">
        <v>18</v>
      </c>
    </row>
    <row r="8409" spans="1:3" x14ac:dyDescent="0.35">
      <c r="A8409" s="141" t="s">
        <v>407</v>
      </c>
      <c r="B8409" s="141" t="s">
        <v>1059</v>
      </c>
      <c r="C8409" s="141" t="s">
        <v>17</v>
      </c>
    </row>
    <row r="8410" spans="1:3" x14ac:dyDescent="0.35">
      <c r="A8410" s="141" t="s">
        <v>566</v>
      </c>
      <c r="B8410" s="141" t="s">
        <v>1059</v>
      </c>
      <c r="C8410" s="141" t="s">
        <v>17</v>
      </c>
    </row>
    <row r="8411" spans="1:3" x14ac:dyDescent="0.35">
      <c r="A8411" s="141" t="s">
        <v>833</v>
      </c>
      <c r="B8411" s="141" t="s">
        <v>1059</v>
      </c>
      <c r="C8411" s="141" t="s">
        <v>17</v>
      </c>
    </row>
    <row r="8412" spans="1:3" x14ac:dyDescent="0.35">
      <c r="A8412" s="141" t="s">
        <v>672</v>
      </c>
      <c r="B8412" s="141" t="s">
        <v>1059</v>
      </c>
      <c r="C8412" s="141" t="s">
        <v>25</v>
      </c>
    </row>
    <row r="8413" spans="1:3" x14ac:dyDescent="0.35">
      <c r="A8413" s="141" t="s">
        <v>897</v>
      </c>
      <c r="B8413" s="141" t="s">
        <v>1059</v>
      </c>
      <c r="C8413" s="141" t="s">
        <v>26</v>
      </c>
    </row>
    <row r="8414" spans="1:3" x14ac:dyDescent="0.35">
      <c r="A8414" s="141" t="s">
        <v>895</v>
      </c>
      <c r="B8414" s="141" t="s">
        <v>1059</v>
      </c>
      <c r="C8414" s="141" t="s">
        <v>25</v>
      </c>
    </row>
    <row r="8415" spans="1:3" x14ac:dyDescent="0.35">
      <c r="A8415" s="141" t="s">
        <v>996</v>
      </c>
      <c r="B8415" s="141" t="s">
        <v>1059</v>
      </c>
      <c r="C8415" s="141" t="s">
        <v>25</v>
      </c>
    </row>
    <row r="8416" spans="1:3" x14ac:dyDescent="0.35">
      <c r="A8416" s="141" t="s">
        <v>898</v>
      </c>
      <c r="B8416" s="141" t="s">
        <v>1059</v>
      </c>
      <c r="C8416" s="141" t="s">
        <v>25</v>
      </c>
    </row>
    <row r="8417" spans="1:3" x14ac:dyDescent="0.35">
      <c r="A8417" s="141" t="s">
        <v>896</v>
      </c>
      <c r="B8417" s="141" t="s">
        <v>1059</v>
      </c>
      <c r="C8417" s="141" t="s">
        <v>25</v>
      </c>
    </row>
    <row r="8418" spans="1:3" x14ac:dyDescent="0.35">
      <c r="A8418" s="141" t="s">
        <v>963</v>
      </c>
      <c r="B8418" s="141" t="s">
        <v>1059</v>
      </c>
      <c r="C8418" s="141" t="s">
        <v>25</v>
      </c>
    </row>
    <row r="8419" spans="1:3" x14ac:dyDescent="0.35">
      <c r="A8419" s="141" t="s">
        <v>1069</v>
      </c>
      <c r="B8419" s="141" t="s">
        <v>1059</v>
      </c>
      <c r="C8419" s="141" t="s">
        <v>25</v>
      </c>
    </row>
    <row r="8420" spans="1:3" x14ac:dyDescent="0.35">
      <c r="A8420" s="141" t="s">
        <v>964</v>
      </c>
      <c r="B8420" s="141" t="s">
        <v>1059</v>
      </c>
      <c r="C8420" s="141" t="s">
        <v>25</v>
      </c>
    </row>
    <row r="8421" spans="1:3" x14ac:dyDescent="0.35">
      <c r="A8421" s="141" t="s">
        <v>863</v>
      </c>
      <c r="B8421" s="141" t="s">
        <v>1059</v>
      </c>
      <c r="C8421" s="141" t="s">
        <v>30</v>
      </c>
    </row>
    <row r="8422" spans="1:3" x14ac:dyDescent="0.35">
      <c r="A8422" s="141" t="s">
        <v>864</v>
      </c>
      <c r="B8422" s="141" t="s">
        <v>1059</v>
      </c>
      <c r="C8422" s="141" t="s">
        <v>30</v>
      </c>
    </row>
    <row r="8423" spans="1:3" x14ac:dyDescent="0.35">
      <c r="A8423" s="141" t="s">
        <v>865</v>
      </c>
      <c r="B8423" s="141" t="s">
        <v>1059</v>
      </c>
      <c r="C8423" s="141" t="s">
        <v>34</v>
      </c>
    </row>
    <row r="8424" spans="1:3" x14ac:dyDescent="0.35">
      <c r="A8424" s="141" t="s">
        <v>866</v>
      </c>
      <c r="B8424" s="141" t="s">
        <v>1059</v>
      </c>
      <c r="C8424" s="141" t="s">
        <v>34</v>
      </c>
    </row>
    <row r="8425" spans="1:3" x14ac:dyDescent="0.35">
      <c r="A8425" s="141" t="s">
        <v>784</v>
      </c>
      <c r="B8425" s="141" t="s">
        <v>1059</v>
      </c>
      <c r="C8425" s="141" t="s">
        <v>30</v>
      </c>
    </row>
    <row r="8426" spans="1:3" x14ac:dyDescent="0.35">
      <c r="A8426" s="141" t="s">
        <v>867</v>
      </c>
      <c r="B8426" s="141" t="s">
        <v>1059</v>
      </c>
      <c r="C8426" s="141" t="s">
        <v>30</v>
      </c>
    </row>
    <row r="8427" spans="1:3" x14ac:dyDescent="0.35">
      <c r="A8427" s="141" t="s">
        <v>525</v>
      </c>
      <c r="B8427" s="141" t="s">
        <v>1059</v>
      </c>
      <c r="C8427" s="141" t="s">
        <v>46</v>
      </c>
    </row>
    <row r="8428" spans="1:3" x14ac:dyDescent="0.35">
      <c r="A8428" s="141" t="s">
        <v>1001</v>
      </c>
      <c r="B8428" s="141" t="s">
        <v>1059</v>
      </c>
      <c r="C8428" s="141" t="s">
        <v>32</v>
      </c>
    </row>
    <row r="8429" spans="1:3" x14ac:dyDescent="0.35">
      <c r="A8429" s="141" t="s">
        <v>870</v>
      </c>
      <c r="B8429" s="141" t="s">
        <v>1059</v>
      </c>
      <c r="C8429" s="141" t="s">
        <v>32</v>
      </c>
    </row>
    <row r="8430" spans="1:3" x14ac:dyDescent="0.35">
      <c r="A8430" s="141" t="s">
        <v>932</v>
      </c>
      <c r="B8430" s="141" t="s">
        <v>1059</v>
      </c>
      <c r="C8430" s="141" t="s">
        <v>49</v>
      </c>
    </row>
    <row r="8431" spans="1:3" x14ac:dyDescent="0.35">
      <c r="A8431" s="141" t="s">
        <v>940</v>
      </c>
      <c r="B8431" s="141" t="s">
        <v>1059</v>
      </c>
      <c r="C8431" s="141" t="s">
        <v>49</v>
      </c>
    </row>
    <row r="8432" spans="1:3" x14ac:dyDescent="0.35">
      <c r="A8432" s="141" t="s">
        <v>941</v>
      </c>
      <c r="B8432" s="141" t="s">
        <v>1059</v>
      </c>
      <c r="C8432" s="141" t="s">
        <v>49</v>
      </c>
    </row>
    <row r="8433" spans="1:3" x14ac:dyDescent="0.35">
      <c r="A8433" s="141" t="s">
        <v>933</v>
      </c>
      <c r="B8433" s="141" t="s">
        <v>1059</v>
      </c>
      <c r="C8433" s="141" t="s">
        <v>32</v>
      </c>
    </row>
    <row r="8434" spans="1:3" x14ac:dyDescent="0.35">
      <c r="A8434" s="141" t="s">
        <v>946</v>
      </c>
      <c r="B8434" s="141" t="s">
        <v>1059</v>
      </c>
      <c r="C8434" s="141" t="s">
        <v>25</v>
      </c>
    </row>
    <row r="8435" spans="1:3" x14ac:dyDescent="0.35">
      <c r="A8435" s="141" t="s">
        <v>935</v>
      </c>
      <c r="B8435" s="141" t="s">
        <v>1059</v>
      </c>
      <c r="C8435" s="141" t="s">
        <v>32</v>
      </c>
    </row>
    <row r="8436" spans="1:3" x14ac:dyDescent="0.35">
      <c r="A8436" s="141" t="s">
        <v>937</v>
      </c>
      <c r="B8436" s="141" t="s">
        <v>1059</v>
      </c>
      <c r="C8436" s="141" t="s">
        <v>32</v>
      </c>
    </row>
    <row r="8437" spans="1:3" x14ac:dyDescent="0.35">
      <c r="A8437" s="141" t="s">
        <v>938</v>
      </c>
      <c r="B8437" s="141" t="s">
        <v>1059</v>
      </c>
      <c r="C8437" s="141" t="s">
        <v>32</v>
      </c>
    </row>
    <row r="8438" spans="1:3" x14ac:dyDescent="0.35">
      <c r="A8438" s="141" t="s">
        <v>939</v>
      </c>
      <c r="B8438" s="141" t="s">
        <v>1059</v>
      </c>
      <c r="C8438" s="141" t="s">
        <v>32</v>
      </c>
    </row>
    <row r="8439" spans="1:3" x14ac:dyDescent="0.35">
      <c r="A8439" s="141" t="s">
        <v>942</v>
      </c>
      <c r="B8439" s="141" t="s">
        <v>1059</v>
      </c>
      <c r="C8439" s="141" t="s">
        <v>32</v>
      </c>
    </row>
    <row r="8440" spans="1:3" x14ac:dyDescent="0.35">
      <c r="A8440" s="141" t="s">
        <v>943</v>
      </c>
      <c r="B8440" s="141" t="s">
        <v>1059</v>
      </c>
      <c r="C8440" s="141" t="s">
        <v>32</v>
      </c>
    </row>
    <row r="8441" spans="1:3" x14ac:dyDescent="0.35">
      <c r="A8441" s="141" t="s">
        <v>944</v>
      </c>
      <c r="B8441" s="141" t="s">
        <v>1059</v>
      </c>
      <c r="C8441" s="141" t="s">
        <v>32</v>
      </c>
    </row>
    <row r="8442" spans="1:3" x14ac:dyDescent="0.35">
      <c r="A8442" s="141" t="s">
        <v>296</v>
      </c>
      <c r="B8442" s="141" t="s">
        <v>1059</v>
      </c>
      <c r="C8442" s="141" t="s">
        <v>32</v>
      </c>
    </row>
    <row r="8443" spans="1:3" x14ac:dyDescent="0.35">
      <c r="A8443" s="141" t="s">
        <v>1070</v>
      </c>
      <c r="B8443" s="141" t="s">
        <v>1059</v>
      </c>
      <c r="C8443" s="141" t="s">
        <v>32</v>
      </c>
    </row>
    <row r="8444" spans="1:3" x14ac:dyDescent="0.35">
      <c r="A8444" s="141" t="s">
        <v>953</v>
      </c>
      <c r="B8444" s="141" t="s">
        <v>1059</v>
      </c>
      <c r="C8444" s="141" t="s">
        <v>31</v>
      </c>
    </row>
    <row r="8445" spans="1:3" x14ac:dyDescent="0.35">
      <c r="A8445" s="141" t="s">
        <v>1071</v>
      </c>
      <c r="B8445" s="141" t="s">
        <v>1059</v>
      </c>
      <c r="C8445" s="141" t="s">
        <v>32</v>
      </c>
    </row>
    <row r="8446" spans="1:3" x14ac:dyDescent="0.35">
      <c r="A8446" s="141" t="s">
        <v>861</v>
      </c>
      <c r="B8446" s="141" t="s">
        <v>1059</v>
      </c>
      <c r="C8446" s="141" t="s">
        <v>33</v>
      </c>
    </row>
    <row r="8447" spans="1:3" x14ac:dyDescent="0.35">
      <c r="A8447" s="141" t="s">
        <v>862</v>
      </c>
      <c r="B8447" s="141" t="s">
        <v>1059</v>
      </c>
      <c r="C8447" s="141" t="s">
        <v>33</v>
      </c>
    </row>
    <row r="8448" spans="1:3" x14ac:dyDescent="0.35">
      <c r="A8448" s="141" t="s">
        <v>516</v>
      </c>
      <c r="B8448" s="141" t="s">
        <v>1059</v>
      </c>
      <c r="C8448" s="141" t="s">
        <v>33</v>
      </c>
    </row>
    <row r="8449" spans="1:3" x14ac:dyDescent="0.35">
      <c r="A8449" s="141" t="s">
        <v>892</v>
      </c>
      <c r="B8449" s="141" t="s">
        <v>1059</v>
      </c>
      <c r="C8449" s="141" t="s">
        <v>33</v>
      </c>
    </row>
    <row r="8450" spans="1:3" x14ac:dyDescent="0.35">
      <c r="A8450" s="141" t="s">
        <v>893</v>
      </c>
      <c r="B8450" s="141" t="s">
        <v>1059</v>
      </c>
      <c r="C8450" s="141" t="s">
        <v>33</v>
      </c>
    </row>
    <row r="8451" spans="1:3" x14ac:dyDescent="0.35">
      <c r="A8451" s="141" t="s">
        <v>894</v>
      </c>
      <c r="B8451" s="141" t="s">
        <v>1059</v>
      </c>
      <c r="C8451" s="141" t="s">
        <v>33</v>
      </c>
    </row>
    <row r="8452" spans="1:3" x14ac:dyDescent="0.35">
      <c r="A8452" s="141" t="s">
        <v>954</v>
      </c>
      <c r="B8452" s="141" t="s">
        <v>1059</v>
      </c>
      <c r="C8452" s="141" t="s">
        <v>35</v>
      </c>
    </row>
    <row r="8453" spans="1:3" x14ac:dyDescent="0.35">
      <c r="A8453" s="141" t="s">
        <v>955</v>
      </c>
      <c r="B8453" s="141" t="s">
        <v>1059</v>
      </c>
      <c r="C8453" s="141" t="s">
        <v>33</v>
      </c>
    </row>
    <row r="8454" spans="1:3" x14ac:dyDescent="0.35">
      <c r="A8454" s="141" t="s">
        <v>956</v>
      </c>
      <c r="B8454" s="141" t="s">
        <v>1059</v>
      </c>
      <c r="C8454" s="141" t="s">
        <v>33</v>
      </c>
    </row>
    <row r="8455" spans="1:3" x14ac:dyDescent="0.35">
      <c r="A8455" s="141" t="s">
        <v>706</v>
      </c>
      <c r="B8455" s="141" t="s">
        <v>1059</v>
      </c>
      <c r="C8455" s="141" t="s">
        <v>31</v>
      </c>
    </row>
    <row r="8456" spans="1:3" x14ac:dyDescent="0.35">
      <c r="A8456" s="141" t="s">
        <v>707</v>
      </c>
      <c r="B8456" s="141" t="s">
        <v>1059</v>
      </c>
      <c r="C8456" s="141" t="s">
        <v>31</v>
      </c>
    </row>
    <row r="8457" spans="1:3" x14ac:dyDescent="0.35">
      <c r="A8457" s="141" t="s">
        <v>708</v>
      </c>
      <c r="B8457" s="141" t="s">
        <v>1059</v>
      </c>
      <c r="C8457" s="141" t="s">
        <v>31</v>
      </c>
    </row>
    <row r="8458" spans="1:3" x14ac:dyDescent="0.35">
      <c r="A8458" s="141" t="s">
        <v>709</v>
      </c>
      <c r="B8458" s="141" t="s">
        <v>1059</v>
      </c>
      <c r="C8458" s="141" t="s">
        <v>31</v>
      </c>
    </row>
    <row r="8459" spans="1:3" x14ac:dyDescent="0.35">
      <c r="A8459" s="141" t="s">
        <v>710</v>
      </c>
      <c r="B8459" s="141" t="s">
        <v>1059</v>
      </c>
      <c r="C8459" s="141" t="s">
        <v>31</v>
      </c>
    </row>
    <row r="8460" spans="1:3" x14ac:dyDescent="0.35">
      <c r="A8460" s="141" t="s">
        <v>456</v>
      </c>
      <c r="B8460" s="141" t="s">
        <v>1059</v>
      </c>
      <c r="C8460" s="141" t="s">
        <v>31</v>
      </c>
    </row>
    <row r="8461" spans="1:3" x14ac:dyDescent="0.35">
      <c r="A8461" s="141" t="s">
        <v>297</v>
      </c>
      <c r="B8461" s="141" t="s">
        <v>1059</v>
      </c>
      <c r="C8461" s="141" t="s">
        <v>32</v>
      </c>
    </row>
    <row r="8462" spans="1:3" x14ac:dyDescent="0.35">
      <c r="A8462" s="141" t="s">
        <v>298</v>
      </c>
      <c r="B8462" s="141" t="s">
        <v>1059</v>
      </c>
      <c r="C8462" s="141" t="s">
        <v>32</v>
      </c>
    </row>
    <row r="8463" spans="1:3" x14ac:dyDescent="0.35">
      <c r="A8463" s="141" t="s">
        <v>299</v>
      </c>
      <c r="B8463" s="141" t="s">
        <v>1059</v>
      </c>
      <c r="C8463" s="141" t="s">
        <v>32</v>
      </c>
    </row>
    <row r="8464" spans="1:3" x14ac:dyDescent="0.35">
      <c r="A8464" s="141" t="s">
        <v>300</v>
      </c>
      <c r="B8464" s="141" t="s">
        <v>1059</v>
      </c>
      <c r="C8464" s="141" t="s">
        <v>32</v>
      </c>
    </row>
    <row r="8465" spans="1:3" x14ac:dyDescent="0.35">
      <c r="A8465" s="141" t="s">
        <v>301</v>
      </c>
      <c r="B8465" s="141" t="s">
        <v>1059</v>
      </c>
      <c r="C8465" s="141" t="s">
        <v>32</v>
      </c>
    </row>
    <row r="8466" spans="1:3" x14ac:dyDescent="0.35">
      <c r="A8466" s="141" t="s">
        <v>302</v>
      </c>
      <c r="B8466" s="141" t="s">
        <v>1059</v>
      </c>
      <c r="C8466" s="141" t="s">
        <v>32</v>
      </c>
    </row>
    <row r="8467" spans="1:3" x14ac:dyDescent="0.35">
      <c r="A8467" s="141" t="s">
        <v>997</v>
      </c>
      <c r="B8467" s="141" t="s">
        <v>1059</v>
      </c>
      <c r="C8467" s="141" t="s">
        <v>32</v>
      </c>
    </row>
    <row r="8468" spans="1:3" x14ac:dyDescent="0.35">
      <c r="A8468" s="141" t="s">
        <v>902</v>
      </c>
      <c r="B8468" s="141" t="s">
        <v>1059</v>
      </c>
      <c r="C8468" s="141" t="s">
        <v>31</v>
      </c>
    </row>
    <row r="8469" spans="1:3" x14ac:dyDescent="0.35">
      <c r="A8469" s="141" t="s">
        <v>903</v>
      </c>
      <c r="B8469" s="141" t="s">
        <v>1059</v>
      </c>
      <c r="C8469" s="141" t="s">
        <v>31</v>
      </c>
    </row>
    <row r="8470" spans="1:3" x14ac:dyDescent="0.35">
      <c r="A8470" s="141" t="s">
        <v>904</v>
      </c>
      <c r="B8470" s="141" t="s">
        <v>1059</v>
      </c>
      <c r="C8470" s="141" t="s">
        <v>31</v>
      </c>
    </row>
    <row r="8471" spans="1:3" x14ac:dyDescent="0.35">
      <c r="A8471" s="141" t="s">
        <v>905</v>
      </c>
      <c r="B8471" s="141" t="s">
        <v>1059</v>
      </c>
      <c r="C8471" s="141" t="s">
        <v>31</v>
      </c>
    </row>
    <row r="8472" spans="1:3" x14ac:dyDescent="0.35">
      <c r="A8472" s="141" t="s">
        <v>906</v>
      </c>
      <c r="B8472" s="141" t="s">
        <v>1059</v>
      </c>
      <c r="C8472" s="141" t="s">
        <v>31</v>
      </c>
    </row>
    <row r="8473" spans="1:3" x14ac:dyDescent="0.35">
      <c r="A8473" s="141" t="s">
        <v>907</v>
      </c>
      <c r="B8473" s="141" t="s">
        <v>1059</v>
      </c>
      <c r="C8473" s="141" t="s">
        <v>31</v>
      </c>
    </row>
    <row r="8474" spans="1:3" x14ac:dyDescent="0.35">
      <c r="A8474" s="141" t="s">
        <v>908</v>
      </c>
      <c r="B8474" s="141" t="s">
        <v>1059</v>
      </c>
      <c r="C8474" s="141" t="s">
        <v>31</v>
      </c>
    </row>
    <row r="8475" spans="1:3" x14ac:dyDescent="0.35">
      <c r="A8475" s="141" t="s">
        <v>909</v>
      </c>
      <c r="B8475" s="141" t="s">
        <v>1059</v>
      </c>
      <c r="C8475" s="141" t="s">
        <v>31</v>
      </c>
    </row>
    <row r="8476" spans="1:3" x14ac:dyDescent="0.35">
      <c r="A8476" s="141" t="s">
        <v>1072</v>
      </c>
      <c r="B8476" s="141" t="s">
        <v>1059</v>
      </c>
      <c r="C8476" s="141" t="s">
        <v>28</v>
      </c>
    </row>
    <row r="8477" spans="1:3" x14ac:dyDescent="0.35">
      <c r="A8477" s="141" t="s">
        <v>1073</v>
      </c>
      <c r="B8477" s="141" t="s">
        <v>1059</v>
      </c>
      <c r="C8477" s="141" t="s">
        <v>28</v>
      </c>
    </row>
    <row r="8478" spans="1:3" x14ac:dyDescent="0.35">
      <c r="A8478" s="141" t="s">
        <v>1074</v>
      </c>
      <c r="B8478" s="141" t="s">
        <v>1059</v>
      </c>
      <c r="C8478" s="141" t="s">
        <v>29</v>
      </c>
    </row>
    <row r="8479" spans="1:3" x14ac:dyDescent="0.35">
      <c r="A8479" s="141" t="s">
        <v>1075</v>
      </c>
      <c r="B8479" s="141" t="s">
        <v>1059</v>
      </c>
      <c r="C8479" s="141" t="s">
        <v>29</v>
      </c>
    </row>
    <row r="8480" spans="1:3" x14ac:dyDescent="0.35">
      <c r="A8480" s="141" t="s">
        <v>1076</v>
      </c>
      <c r="B8480" s="141" t="s">
        <v>1059</v>
      </c>
      <c r="C8480" s="141" t="s">
        <v>29</v>
      </c>
    </row>
    <row r="8481" spans="1:3" x14ac:dyDescent="0.35">
      <c r="A8481" s="141" t="s">
        <v>1077</v>
      </c>
      <c r="B8481" s="141" t="s">
        <v>1059</v>
      </c>
      <c r="C8481" s="141" t="s">
        <v>29</v>
      </c>
    </row>
    <row r="8482" spans="1:3" x14ac:dyDescent="0.35">
      <c r="A8482" s="141" t="s">
        <v>1078</v>
      </c>
      <c r="B8482" s="141" t="s">
        <v>1059</v>
      </c>
      <c r="C8482" s="141" t="s">
        <v>33</v>
      </c>
    </row>
    <row r="8483" spans="1:3" x14ac:dyDescent="0.35">
      <c r="A8483" s="141" t="s">
        <v>1079</v>
      </c>
      <c r="B8483" s="141" t="s">
        <v>1059</v>
      </c>
      <c r="C8483" s="141" t="s">
        <v>33</v>
      </c>
    </row>
    <row r="8484" spans="1:3" x14ac:dyDescent="0.35">
      <c r="A8484" s="141" t="s">
        <v>1080</v>
      </c>
      <c r="B8484" s="141" t="s">
        <v>1059</v>
      </c>
      <c r="C8484" s="141" t="s">
        <v>33</v>
      </c>
    </row>
    <row r="8485" spans="1:3" x14ac:dyDescent="0.35">
      <c r="A8485" s="141" t="s">
        <v>1057</v>
      </c>
      <c r="B8485" s="141" t="s">
        <v>1059</v>
      </c>
      <c r="C8485" s="141" t="s">
        <v>33</v>
      </c>
    </row>
    <row r="8486" spans="1:3" x14ac:dyDescent="0.35">
      <c r="A8486" s="141" t="s">
        <v>1058</v>
      </c>
      <c r="B8486" s="141" t="s">
        <v>1059</v>
      </c>
      <c r="C8486" s="141" t="s">
        <v>33</v>
      </c>
    </row>
    <row r="8487" spans="1:3" x14ac:dyDescent="0.35">
      <c r="A8487" s="141" t="s">
        <v>914</v>
      </c>
      <c r="B8487" s="141" t="s">
        <v>1059</v>
      </c>
      <c r="C8487" s="141" t="s">
        <v>33</v>
      </c>
    </row>
    <row r="8488" spans="1:3" x14ac:dyDescent="0.35">
      <c r="A8488" s="141" t="s">
        <v>1056</v>
      </c>
      <c r="B8488" s="141" t="s">
        <v>1059</v>
      </c>
      <c r="C8488" s="141" t="s">
        <v>36</v>
      </c>
    </row>
    <row r="8489" spans="1:3" x14ac:dyDescent="0.35">
      <c r="A8489" s="141" t="s">
        <v>347</v>
      </c>
      <c r="B8489" s="141" t="s">
        <v>1059</v>
      </c>
      <c r="C8489" s="141" t="s">
        <v>37</v>
      </c>
    </row>
    <row r="8490" spans="1:3" x14ac:dyDescent="0.35">
      <c r="A8490" s="141" t="s">
        <v>348</v>
      </c>
      <c r="B8490" s="141" t="s">
        <v>1059</v>
      </c>
      <c r="C8490" s="141" t="s">
        <v>37</v>
      </c>
    </row>
    <row r="8491" spans="1:3" x14ac:dyDescent="0.35">
      <c r="A8491" s="141" t="s">
        <v>349</v>
      </c>
      <c r="B8491" s="141" t="s">
        <v>1059</v>
      </c>
      <c r="C8491" s="141" t="s">
        <v>37</v>
      </c>
    </row>
    <row r="8492" spans="1:3" x14ac:dyDescent="0.35">
      <c r="A8492" s="141" t="s">
        <v>926</v>
      </c>
      <c r="B8492" s="141" t="s">
        <v>1059</v>
      </c>
      <c r="C8492" s="141" t="s">
        <v>37</v>
      </c>
    </row>
    <row r="8493" spans="1:3" x14ac:dyDescent="0.35">
      <c r="A8493" s="141" t="s">
        <v>927</v>
      </c>
      <c r="B8493" s="141" t="s">
        <v>1059</v>
      </c>
      <c r="C8493" s="141" t="s">
        <v>37</v>
      </c>
    </row>
    <row r="8494" spans="1:3" x14ac:dyDescent="0.35">
      <c r="A8494" s="141" t="s">
        <v>931</v>
      </c>
      <c r="B8494" s="141" t="s">
        <v>1059</v>
      </c>
      <c r="C8494" s="141" t="s">
        <v>36</v>
      </c>
    </row>
    <row r="8495" spans="1:3" x14ac:dyDescent="0.35">
      <c r="A8495" s="141" t="s">
        <v>570</v>
      </c>
      <c r="B8495" s="141" t="s">
        <v>1059</v>
      </c>
      <c r="C8495" s="141" t="s">
        <v>52</v>
      </c>
    </row>
    <row r="8496" spans="1:3" x14ac:dyDescent="0.35">
      <c r="A8496" s="141" t="s">
        <v>855</v>
      </c>
      <c r="B8496" s="141" t="s">
        <v>1059</v>
      </c>
      <c r="C8496" s="141" t="s">
        <v>52</v>
      </c>
    </row>
    <row r="8497" spans="1:3" x14ac:dyDescent="0.35">
      <c r="A8497" s="141" t="s">
        <v>1022</v>
      </c>
      <c r="B8497" s="141" t="s">
        <v>1059</v>
      </c>
      <c r="C8497" s="141" t="s">
        <v>29</v>
      </c>
    </row>
    <row r="8498" spans="1:3" x14ac:dyDescent="0.35">
      <c r="A8498" s="141" t="s">
        <v>1020</v>
      </c>
      <c r="B8498" s="141" t="s">
        <v>1059</v>
      </c>
      <c r="C8498" s="141" t="s">
        <v>29</v>
      </c>
    </row>
    <row r="8499" spans="1:3" x14ac:dyDescent="0.35">
      <c r="A8499" s="141" t="s">
        <v>1021</v>
      </c>
      <c r="B8499" s="141" t="s">
        <v>1059</v>
      </c>
      <c r="C8499" s="141" t="s">
        <v>29</v>
      </c>
    </row>
    <row r="8500" spans="1:3" x14ac:dyDescent="0.35">
      <c r="A8500" s="141" t="s">
        <v>1081</v>
      </c>
      <c r="B8500" s="141" t="s">
        <v>1059</v>
      </c>
      <c r="C8500" s="141" t="s">
        <v>52</v>
      </c>
    </row>
    <row r="8501" spans="1:3" x14ac:dyDescent="0.35">
      <c r="A8501" s="141" t="s">
        <v>1082</v>
      </c>
      <c r="B8501" s="141" t="s">
        <v>1059</v>
      </c>
      <c r="C8501" s="141" t="s">
        <v>52</v>
      </c>
    </row>
    <row r="8502" spans="1:3" x14ac:dyDescent="0.35">
      <c r="A8502" s="141" t="s">
        <v>601</v>
      </c>
      <c r="B8502" s="141" t="s">
        <v>1059</v>
      </c>
      <c r="C8502" s="141" t="s">
        <v>40</v>
      </c>
    </row>
    <row r="8503" spans="1:3" x14ac:dyDescent="0.35">
      <c r="A8503" s="141" t="s">
        <v>602</v>
      </c>
      <c r="B8503" s="141" t="s">
        <v>1059</v>
      </c>
      <c r="C8503" s="141" t="s">
        <v>39</v>
      </c>
    </row>
    <row r="8504" spans="1:3" x14ac:dyDescent="0.35">
      <c r="A8504" s="141" t="s">
        <v>1006</v>
      </c>
      <c r="B8504" s="141" t="s">
        <v>1059</v>
      </c>
      <c r="C8504" s="141" t="s">
        <v>41</v>
      </c>
    </row>
    <row r="8505" spans="1:3" x14ac:dyDescent="0.35">
      <c r="A8505" s="141" t="s">
        <v>737</v>
      </c>
      <c r="B8505" s="141" t="s">
        <v>1059</v>
      </c>
      <c r="C8505" s="141" t="s">
        <v>41</v>
      </c>
    </row>
    <row r="8506" spans="1:3" x14ac:dyDescent="0.35">
      <c r="A8506" s="141" t="s">
        <v>1083</v>
      </c>
      <c r="B8506" s="141" t="s">
        <v>1059</v>
      </c>
      <c r="C8506" s="141" t="s">
        <v>41</v>
      </c>
    </row>
    <row r="8507" spans="1:3" x14ac:dyDescent="0.35">
      <c r="A8507" s="141" t="s">
        <v>1084</v>
      </c>
      <c r="B8507" s="141" t="s">
        <v>1059</v>
      </c>
      <c r="C8507" s="141" t="s">
        <v>41</v>
      </c>
    </row>
    <row r="8508" spans="1:3" x14ac:dyDescent="0.35">
      <c r="A8508" s="141" t="s">
        <v>797</v>
      </c>
      <c r="B8508" s="141" t="s">
        <v>1059</v>
      </c>
      <c r="C8508" s="141" t="s">
        <v>41</v>
      </c>
    </row>
    <row r="8509" spans="1:3" x14ac:dyDescent="0.35">
      <c r="A8509" s="141" t="s">
        <v>1007</v>
      </c>
      <c r="B8509" s="141" t="s">
        <v>1059</v>
      </c>
      <c r="C8509" s="141" t="s">
        <v>40</v>
      </c>
    </row>
    <row r="8510" spans="1:3" x14ac:dyDescent="0.35">
      <c r="A8510" s="141" t="s">
        <v>1085</v>
      </c>
      <c r="B8510" s="141" t="s">
        <v>1059</v>
      </c>
      <c r="C8510" s="141" t="s">
        <v>42</v>
      </c>
    </row>
    <row r="8511" spans="1:3" x14ac:dyDescent="0.35">
      <c r="A8511" s="141" t="s">
        <v>989</v>
      </c>
      <c r="B8511" s="141" t="s">
        <v>1059</v>
      </c>
      <c r="C8511" s="141" t="s">
        <v>42</v>
      </c>
    </row>
    <row r="8512" spans="1:3" x14ac:dyDescent="0.35">
      <c r="A8512" s="141" t="s">
        <v>807</v>
      </c>
      <c r="B8512" s="141" t="s">
        <v>1059</v>
      </c>
      <c r="C8512" s="141" t="s">
        <v>3</v>
      </c>
    </row>
    <row r="8513" spans="1:3" x14ac:dyDescent="0.35">
      <c r="A8513" s="141" t="s">
        <v>1086</v>
      </c>
      <c r="B8513" s="141" t="s">
        <v>1059</v>
      </c>
      <c r="C8513" s="141" t="s">
        <v>30</v>
      </c>
    </row>
    <row r="8514" spans="1:3" x14ac:dyDescent="0.35">
      <c r="A8514" s="141" t="s">
        <v>1087</v>
      </c>
      <c r="B8514" s="141" t="s">
        <v>1059</v>
      </c>
      <c r="C8514" s="141" t="s">
        <v>30</v>
      </c>
    </row>
    <row r="8515" spans="1:3" x14ac:dyDescent="0.35">
      <c r="A8515" s="141" t="s">
        <v>1088</v>
      </c>
      <c r="B8515" s="141" t="s">
        <v>1059</v>
      </c>
      <c r="C8515" s="141" t="s">
        <v>48</v>
      </c>
    </row>
    <row r="8516" spans="1:3" x14ac:dyDescent="0.35">
      <c r="A8516" s="141" t="s">
        <v>1089</v>
      </c>
      <c r="B8516" s="141" t="s">
        <v>1059</v>
      </c>
      <c r="C8516" s="141" t="s">
        <v>30</v>
      </c>
    </row>
    <row r="8517" spans="1:3" x14ac:dyDescent="0.35">
      <c r="A8517" s="141" t="s">
        <v>1090</v>
      </c>
      <c r="B8517" s="141" t="s">
        <v>1059</v>
      </c>
      <c r="C8517" s="141" t="s">
        <v>30</v>
      </c>
    </row>
    <row r="8518" spans="1:3" x14ac:dyDescent="0.35">
      <c r="A8518" s="141" t="s">
        <v>1091</v>
      </c>
      <c r="B8518" s="141" t="s">
        <v>1059</v>
      </c>
      <c r="C8518" s="141" t="s">
        <v>31</v>
      </c>
    </row>
    <row r="8519" spans="1:3" x14ac:dyDescent="0.35">
      <c r="A8519" s="141" t="s">
        <v>1092</v>
      </c>
      <c r="B8519" s="141" t="s">
        <v>1059</v>
      </c>
      <c r="C8519" s="141" t="s">
        <v>47</v>
      </c>
    </row>
    <row r="8520" spans="1:3" x14ac:dyDescent="0.35">
      <c r="A8520" s="141" t="s">
        <v>1093</v>
      </c>
      <c r="B8520" s="141" t="s">
        <v>1059</v>
      </c>
      <c r="C8520" s="141" t="s">
        <v>30</v>
      </c>
    </row>
    <row r="8521" spans="1:3" x14ac:dyDescent="0.35">
      <c r="A8521" s="141" t="s">
        <v>1094</v>
      </c>
      <c r="B8521" s="141" t="s">
        <v>1059</v>
      </c>
      <c r="C8521" s="141" t="s">
        <v>30</v>
      </c>
    </row>
    <row r="8522" spans="1:3" x14ac:dyDescent="0.35">
      <c r="A8522" s="141" t="s">
        <v>305</v>
      </c>
      <c r="B8522" s="141" t="s">
        <v>1059</v>
      </c>
      <c r="C8522" s="141" t="s">
        <v>21</v>
      </c>
    </row>
    <row r="8523" spans="1:3" x14ac:dyDescent="0.35">
      <c r="A8523" s="141" t="s">
        <v>977</v>
      </c>
      <c r="B8523" s="141" t="s">
        <v>1059</v>
      </c>
      <c r="C8523" s="141" t="s">
        <v>52</v>
      </c>
    </row>
    <row r="8524" spans="1:3" x14ac:dyDescent="0.35">
      <c r="A8524" s="141" t="s">
        <v>343</v>
      </c>
      <c r="B8524" s="141" t="s">
        <v>1059</v>
      </c>
      <c r="C8524" s="141" t="s">
        <v>30</v>
      </c>
    </row>
    <row r="8525" spans="1:3" x14ac:dyDescent="0.35">
      <c r="A8525" s="141" t="s">
        <v>1095</v>
      </c>
      <c r="B8525" s="141" t="s">
        <v>1059</v>
      </c>
      <c r="C8525" s="141" t="s">
        <v>49</v>
      </c>
    </row>
    <row r="8526" spans="1:3" x14ac:dyDescent="0.35">
      <c r="A8526" s="141" t="s">
        <v>1096</v>
      </c>
      <c r="B8526" s="141" t="s">
        <v>1059</v>
      </c>
      <c r="C8526" s="141" t="s">
        <v>49</v>
      </c>
    </row>
    <row r="8527" spans="1:3" x14ac:dyDescent="0.35">
      <c r="A8527" s="141" t="s">
        <v>1095</v>
      </c>
      <c r="B8527" s="141" t="s">
        <v>1059</v>
      </c>
      <c r="C8527" s="141" t="s">
        <v>49</v>
      </c>
    </row>
    <row r="8528" spans="1:3" x14ac:dyDescent="0.35">
      <c r="A8528" s="141" t="s">
        <v>306</v>
      </c>
      <c r="B8528" s="141" t="s">
        <v>1059</v>
      </c>
      <c r="C8528" s="141" t="s">
        <v>35</v>
      </c>
    </row>
    <row r="8529" spans="1:3" x14ac:dyDescent="0.35">
      <c r="A8529" s="141" t="s">
        <v>1031</v>
      </c>
      <c r="B8529" s="141" t="s">
        <v>1059</v>
      </c>
      <c r="C8529" s="141" t="s">
        <v>35</v>
      </c>
    </row>
    <row r="8530" spans="1:3" x14ac:dyDescent="0.35">
      <c r="A8530" s="141" t="s">
        <v>1040</v>
      </c>
      <c r="B8530" s="141" t="s">
        <v>1059</v>
      </c>
      <c r="C8530" s="141" t="s">
        <v>35</v>
      </c>
    </row>
    <row r="8531" spans="1:3" x14ac:dyDescent="0.35">
      <c r="A8531" s="141" t="s">
        <v>740</v>
      </c>
      <c r="B8531" s="141" t="s">
        <v>1059</v>
      </c>
      <c r="C8531" s="141" t="s">
        <v>33</v>
      </c>
    </row>
    <row r="8532" spans="1:3" x14ac:dyDescent="0.35">
      <c r="A8532" s="141" t="s">
        <v>1046</v>
      </c>
      <c r="B8532" s="141" t="s">
        <v>1059</v>
      </c>
      <c r="C8532" s="141" t="s">
        <v>33</v>
      </c>
    </row>
    <row r="8533" spans="1:3" x14ac:dyDescent="0.35">
      <c r="A8533" s="141" t="s">
        <v>1032</v>
      </c>
      <c r="B8533" s="141" t="s">
        <v>1059</v>
      </c>
      <c r="C8533" s="141" t="s">
        <v>33</v>
      </c>
    </row>
    <row r="8534" spans="1:3" x14ac:dyDescent="0.35">
      <c r="A8534" s="141" t="s">
        <v>1033</v>
      </c>
      <c r="B8534" s="141" t="s">
        <v>1059</v>
      </c>
      <c r="C8534" s="141" t="s">
        <v>33</v>
      </c>
    </row>
    <row r="8535" spans="1:3" x14ac:dyDescent="0.35">
      <c r="A8535" s="141" t="s">
        <v>1034</v>
      </c>
      <c r="B8535" s="141" t="s">
        <v>1059</v>
      </c>
      <c r="C8535" s="141" t="s">
        <v>33</v>
      </c>
    </row>
    <row r="8536" spans="1:3" x14ac:dyDescent="0.35">
      <c r="A8536" s="141" t="s">
        <v>308</v>
      </c>
      <c r="B8536" s="141" t="s">
        <v>1059</v>
      </c>
      <c r="C8536" s="141" t="s">
        <v>53</v>
      </c>
    </row>
    <row r="8537" spans="1:3" x14ac:dyDescent="0.35">
      <c r="A8537" s="141" t="s">
        <v>309</v>
      </c>
      <c r="B8537" s="141" t="s">
        <v>1059</v>
      </c>
      <c r="C8537" s="141" t="s">
        <v>53</v>
      </c>
    </row>
    <row r="8538" spans="1:3" x14ac:dyDescent="0.35">
      <c r="A8538" s="141" t="s">
        <v>311</v>
      </c>
      <c r="B8538" s="141" t="s">
        <v>1059</v>
      </c>
      <c r="C8538" s="141" t="s">
        <v>53</v>
      </c>
    </row>
    <row r="8539" spans="1:3" x14ac:dyDescent="0.35">
      <c r="A8539" s="141" t="s">
        <v>1097</v>
      </c>
      <c r="B8539" s="141" t="s">
        <v>1059</v>
      </c>
      <c r="C8539" s="141" t="s">
        <v>53</v>
      </c>
    </row>
    <row r="8540" spans="1:3" x14ac:dyDescent="0.35">
      <c r="A8540" s="141" t="s">
        <v>1098</v>
      </c>
      <c r="B8540" s="141" t="s">
        <v>1059</v>
      </c>
      <c r="C8540" s="141" t="s">
        <v>53</v>
      </c>
    </row>
    <row r="8541" spans="1:3" x14ac:dyDescent="0.35">
      <c r="A8541" s="141" t="s">
        <v>1099</v>
      </c>
      <c r="B8541" s="141" t="s">
        <v>1059</v>
      </c>
      <c r="C8541" s="141" t="s">
        <v>53</v>
      </c>
    </row>
    <row r="8542" spans="1:3" x14ac:dyDescent="0.35">
      <c r="A8542" s="141" t="s">
        <v>531</v>
      </c>
      <c r="B8542" s="141" t="s">
        <v>1059</v>
      </c>
      <c r="C8542" s="141" t="s">
        <v>51</v>
      </c>
    </row>
    <row r="8543" spans="1:3" x14ac:dyDescent="0.35">
      <c r="A8543" s="141" t="s">
        <v>741</v>
      </c>
      <c r="B8543" s="141" t="s">
        <v>1059</v>
      </c>
      <c r="C8543" s="141" t="s">
        <v>51</v>
      </c>
    </row>
    <row r="8544" spans="1:3" x14ac:dyDescent="0.35">
      <c r="A8544" s="141" t="s">
        <v>742</v>
      </c>
      <c r="B8544" s="141" t="s">
        <v>1059</v>
      </c>
      <c r="C8544" s="141" t="s">
        <v>51</v>
      </c>
    </row>
    <row r="8545" spans="1:3" x14ac:dyDescent="0.35">
      <c r="A8545" s="141" t="s">
        <v>743</v>
      </c>
      <c r="B8545" s="141" t="s">
        <v>1059</v>
      </c>
      <c r="C8545" s="141" t="s">
        <v>51</v>
      </c>
    </row>
    <row r="8546" spans="1:3" x14ac:dyDescent="0.35">
      <c r="A8546" s="141" t="s">
        <v>747</v>
      </c>
      <c r="B8546" s="141" t="s">
        <v>1059</v>
      </c>
      <c r="C8546" s="141" t="s">
        <v>51</v>
      </c>
    </row>
    <row r="8547" spans="1:3" x14ac:dyDescent="0.35">
      <c r="A8547" s="141" t="s">
        <v>748</v>
      </c>
      <c r="B8547" s="141" t="s">
        <v>1059</v>
      </c>
      <c r="C8547" s="141" t="s">
        <v>51</v>
      </c>
    </row>
    <row r="8548" spans="1:3" x14ac:dyDescent="0.35">
      <c r="A8548" s="141" t="s">
        <v>313</v>
      </c>
      <c r="B8548" s="141" t="s">
        <v>1059</v>
      </c>
      <c r="C8548" s="141" t="s">
        <v>51</v>
      </c>
    </row>
    <row r="8549" spans="1:3" x14ac:dyDescent="0.35">
      <c r="A8549" s="141" t="s">
        <v>338</v>
      </c>
      <c r="B8549" s="141" t="s">
        <v>1059</v>
      </c>
      <c r="C8549" s="141" t="s">
        <v>20</v>
      </c>
    </row>
    <row r="8550" spans="1:3" x14ac:dyDescent="0.35">
      <c r="A8550" s="141" t="s">
        <v>533</v>
      </c>
      <c r="B8550" s="141" t="s">
        <v>1059</v>
      </c>
      <c r="C8550" s="141" t="s">
        <v>50</v>
      </c>
    </row>
    <row r="8551" spans="1:3" x14ac:dyDescent="0.35">
      <c r="A8551" s="141" t="s">
        <v>1100</v>
      </c>
      <c r="B8551" s="141" t="s">
        <v>1059</v>
      </c>
      <c r="C8551" s="141" t="s">
        <v>53</v>
      </c>
    </row>
    <row r="8552" spans="1:3" x14ac:dyDescent="0.35">
      <c r="A8552" s="141" t="s">
        <v>1101</v>
      </c>
      <c r="B8552" s="141" t="s">
        <v>1059</v>
      </c>
      <c r="C8552" s="141" t="s">
        <v>53</v>
      </c>
    </row>
    <row r="8553" spans="1:3" x14ac:dyDescent="0.35">
      <c r="A8553" s="141" t="s">
        <v>1102</v>
      </c>
      <c r="B8553" s="141" t="s">
        <v>1059</v>
      </c>
      <c r="C8553" s="141" t="s">
        <v>53</v>
      </c>
    </row>
    <row r="8554" spans="1:3" x14ac:dyDescent="0.35">
      <c r="A8554" s="141" t="s">
        <v>969</v>
      </c>
      <c r="B8554" s="141" t="s">
        <v>1059</v>
      </c>
      <c r="C8554" s="141" t="s">
        <v>53</v>
      </c>
    </row>
    <row r="8555" spans="1:3" x14ac:dyDescent="0.35">
      <c r="A8555" s="141" t="s">
        <v>970</v>
      </c>
      <c r="B8555" s="141" t="s">
        <v>1059</v>
      </c>
      <c r="C8555" s="141" t="s">
        <v>53</v>
      </c>
    </row>
    <row r="8556" spans="1:3" x14ac:dyDescent="0.35">
      <c r="A8556" s="141" t="s">
        <v>873</v>
      </c>
      <c r="B8556" s="141" t="s">
        <v>1059</v>
      </c>
      <c r="C8556" s="141" t="s">
        <v>52</v>
      </c>
    </row>
    <row r="8557" spans="1:3" x14ac:dyDescent="0.35">
      <c r="A8557" s="141" t="s">
        <v>874</v>
      </c>
      <c r="B8557" s="141" t="s">
        <v>1059</v>
      </c>
      <c r="C8557" s="141" t="s">
        <v>52</v>
      </c>
    </row>
    <row r="8558" spans="1:3" x14ac:dyDescent="0.35">
      <c r="A8558" s="141" t="s">
        <v>1003</v>
      </c>
      <c r="B8558" s="141" t="s">
        <v>1059</v>
      </c>
      <c r="C8558" s="141" t="s">
        <v>52</v>
      </c>
    </row>
    <row r="8559" spans="1:3" x14ac:dyDescent="0.35">
      <c r="A8559" s="141" t="s">
        <v>875</v>
      </c>
      <c r="B8559" s="141" t="s">
        <v>1059</v>
      </c>
      <c r="C8559" s="141" t="s">
        <v>52</v>
      </c>
    </row>
    <row r="8560" spans="1:3" x14ac:dyDescent="0.35">
      <c r="A8560" s="141" t="s">
        <v>876</v>
      </c>
      <c r="B8560" s="141" t="s">
        <v>1059</v>
      </c>
      <c r="C8560" s="141" t="s">
        <v>52</v>
      </c>
    </row>
    <row r="8561" spans="1:3" x14ac:dyDescent="0.35">
      <c r="A8561" s="141" t="s">
        <v>877</v>
      </c>
      <c r="B8561" s="141" t="s">
        <v>1059</v>
      </c>
      <c r="C8561" s="141" t="s">
        <v>52</v>
      </c>
    </row>
    <row r="8562" spans="1:3" x14ac:dyDescent="0.35">
      <c r="A8562" s="141" t="s">
        <v>878</v>
      </c>
      <c r="B8562" s="141" t="s">
        <v>1059</v>
      </c>
      <c r="C8562" s="141" t="s">
        <v>52</v>
      </c>
    </row>
    <row r="8563" spans="1:3" x14ac:dyDescent="0.35">
      <c r="A8563" s="141" t="s">
        <v>539</v>
      </c>
      <c r="B8563" s="141" t="s">
        <v>1059</v>
      </c>
      <c r="C8563" s="141" t="s">
        <v>52</v>
      </c>
    </row>
    <row r="8564" spans="1:3" x14ac:dyDescent="0.35">
      <c r="A8564" s="141" t="s">
        <v>1055</v>
      </c>
      <c r="B8564" s="141" t="s">
        <v>1059</v>
      </c>
      <c r="C8564" s="141" t="s">
        <v>53</v>
      </c>
    </row>
    <row r="8565" spans="1:3" x14ac:dyDescent="0.35">
      <c r="A8565" s="141" t="s">
        <v>540</v>
      </c>
      <c r="B8565" s="141" t="s">
        <v>1059</v>
      </c>
      <c r="C8565" s="141" t="s">
        <v>52</v>
      </c>
    </row>
    <row r="8566" spans="1:3" x14ac:dyDescent="0.35">
      <c r="A8566" s="141" t="s">
        <v>812</v>
      </c>
      <c r="B8566" s="141" t="s">
        <v>1059</v>
      </c>
      <c r="C8566" s="141" t="s">
        <v>52</v>
      </c>
    </row>
    <row r="8567" spans="1:3" x14ac:dyDescent="0.35">
      <c r="A8567" s="141" t="s">
        <v>803</v>
      </c>
      <c r="B8567" s="141" t="s">
        <v>1059</v>
      </c>
      <c r="C8567" s="141" t="s">
        <v>52</v>
      </c>
    </row>
    <row r="8568" spans="1:3" x14ac:dyDescent="0.35">
      <c r="A8568" s="141" t="s">
        <v>350</v>
      </c>
      <c r="B8568" s="141" t="s">
        <v>1059</v>
      </c>
      <c r="C8568" s="141" t="s">
        <v>53</v>
      </c>
    </row>
    <row r="8569" spans="1:3" x14ac:dyDescent="0.35">
      <c r="A8569" s="141" t="s">
        <v>351</v>
      </c>
      <c r="B8569" s="141" t="s">
        <v>1059</v>
      </c>
      <c r="C8569" s="141" t="s">
        <v>53</v>
      </c>
    </row>
    <row r="8570" spans="1:3" x14ac:dyDescent="0.35">
      <c r="A8570" s="141" t="s">
        <v>344</v>
      </c>
      <c r="B8570" s="141" t="s">
        <v>1059</v>
      </c>
      <c r="C8570" s="141" t="s">
        <v>53</v>
      </c>
    </row>
    <row r="8571" spans="1:3" x14ac:dyDescent="0.35">
      <c r="A8571" s="141" t="s">
        <v>1052</v>
      </c>
      <c r="B8571" s="141" t="s">
        <v>1059</v>
      </c>
      <c r="C8571" s="141" t="s">
        <v>53</v>
      </c>
    </row>
    <row r="8572" spans="1:3" x14ac:dyDescent="0.35">
      <c r="A8572" s="141" t="s">
        <v>1103</v>
      </c>
      <c r="B8572" s="141" t="s">
        <v>1059</v>
      </c>
      <c r="C8572" s="141" t="s">
        <v>53</v>
      </c>
    </row>
    <row r="8573" spans="1:3" x14ac:dyDescent="0.35">
      <c r="A8573" s="141" t="s">
        <v>1104</v>
      </c>
      <c r="B8573" s="141" t="s">
        <v>1059</v>
      </c>
      <c r="C8573" s="141" t="s">
        <v>53</v>
      </c>
    </row>
    <row r="8574" spans="1:3" x14ac:dyDescent="0.35">
      <c r="A8574" s="141" t="s">
        <v>1105</v>
      </c>
      <c r="B8574" s="141" t="s">
        <v>1059</v>
      </c>
      <c r="C8574" s="141" t="s">
        <v>53</v>
      </c>
    </row>
    <row r="8575" spans="1:3" x14ac:dyDescent="0.35">
      <c r="A8575" s="141" t="s">
        <v>1002</v>
      </c>
      <c r="B8575" s="141" t="s">
        <v>1059</v>
      </c>
      <c r="C8575" s="141" t="s">
        <v>25</v>
      </c>
    </row>
    <row r="8576" spans="1:3" x14ac:dyDescent="0.35">
      <c r="A8576" s="141" t="s">
        <v>960</v>
      </c>
      <c r="B8576" s="141" t="s">
        <v>1059</v>
      </c>
      <c r="C8576" s="141" t="s">
        <v>52</v>
      </c>
    </row>
    <row r="8577" spans="1:3" x14ac:dyDescent="0.35">
      <c r="A8577" s="141" t="s">
        <v>1053</v>
      </c>
      <c r="B8577" s="141" t="s">
        <v>1059</v>
      </c>
      <c r="C8577" s="141" t="s">
        <v>53</v>
      </c>
    </row>
    <row r="8578" spans="1:3" x14ac:dyDescent="0.35">
      <c r="A8578" s="141" t="s">
        <v>961</v>
      </c>
      <c r="B8578" s="141" t="s">
        <v>1059</v>
      </c>
      <c r="C8578" s="141" t="s">
        <v>53</v>
      </c>
    </row>
    <row r="8579" spans="1:3" x14ac:dyDescent="0.35">
      <c r="A8579" s="141" t="s">
        <v>1054</v>
      </c>
      <c r="B8579" s="141" t="s">
        <v>1059</v>
      </c>
      <c r="C8579" s="141" t="s">
        <v>53</v>
      </c>
    </row>
    <row r="8580" spans="1:3" x14ac:dyDescent="0.35">
      <c r="A8580" s="141" t="s">
        <v>1106</v>
      </c>
      <c r="B8580" s="141" t="s">
        <v>1059</v>
      </c>
      <c r="C8580" s="141" t="s">
        <v>53</v>
      </c>
    </row>
    <row r="8581" spans="1:3" x14ac:dyDescent="0.35">
      <c r="A8581" s="141" t="s">
        <v>1107</v>
      </c>
      <c r="B8581" s="141" t="s">
        <v>1059</v>
      </c>
      <c r="C8581" s="141" t="s">
        <v>53</v>
      </c>
    </row>
    <row r="8582" spans="1:3" x14ac:dyDescent="0.35">
      <c r="A8582" s="141" t="s">
        <v>880</v>
      </c>
      <c r="B8582" s="141" t="s">
        <v>1059</v>
      </c>
      <c r="C8582" s="141" t="s">
        <v>52</v>
      </c>
    </row>
    <row r="8583" spans="1:3" x14ac:dyDescent="0.35">
      <c r="A8583" s="141" t="s">
        <v>314</v>
      </c>
      <c r="B8583" s="141" t="s">
        <v>1059</v>
      </c>
      <c r="C8583" s="141" t="s">
        <v>16</v>
      </c>
    </row>
    <row r="8584" spans="1:3" x14ac:dyDescent="0.35">
      <c r="A8584" s="141" t="s">
        <v>316</v>
      </c>
      <c r="B8584" s="141" t="s">
        <v>1059</v>
      </c>
      <c r="C8584" s="141" t="s">
        <v>16</v>
      </c>
    </row>
    <row r="8585" spans="1:3" x14ac:dyDescent="0.35">
      <c r="A8585" s="141" t="s">
        <v>317</v>
      </c>
      <c r="B8585" s="141" t="s">
        <v>1059</v>
      </c>
      <c r="C8585" s="141" t="s">
        <v>16</v>
      </c>
    </row>
    <row r="8586" spans="1:3" x14ac:dyDescent="0.35">
      <c r="A8586" s="141" t="s">
        <v>318</v>
      </c>
      <c r="B8586" s="141" t="s">
        <v>1059</v>
      </c>
      <c r="C8586" s="141" t="s">
        <v>16</v>
      </c>
    </row>
    <row r="8587" spans="1:3" x14ac:dyDescent="0.35">
      <c r="A8587" s="141" t="s">
        <v>319</v>
      </c>
      <c r="B8587" s="141" t="s">
        <v>1059</v>
      </c>
      <c r="C8587" s="141" t="s">
        <v>16</v>
      </c>
    </row>
    <row r="8588" spans="1:3" x14ac:dyDescent="0.35">
      <c r="A8588" s="141" t="s">
        <v>320</v>
      </c>
      <c r="B8588" s="141" t="s">
        <v>1059</v>
      </c>
      <c r="C8588" s="141" t="s">
        <v>16</v>
      </c>
    </row>
    <row r="8589" spans="1:3" x14ac:dyDescent="0.35">
      <c r="A8589" s="141" t="s">
        <v>321</v>
      </c>
      <c r="B8589" s="141" t="s">
        <v>1059</v>
      </c>
      <c r="C8589" s="141" t="s">
        <v>16</v>
      </c>
    </row>
    <row r="8590" spans="1:3" x14ac:dyDescent="0.35">
      <c r="A8590" s="141" t="s">
        <v>322</v>
      </c>
      <c r="B8590" s="141" t="s">
        <v>1059</v>
      </c>
      <c r="C8590" s="141" t="s">
        <v>16</v>
      </c>
    </row>
    <row r="8591" spans="1:3" x14ac:dyDescent="0.35">
      <c r="A8591" s="141" t="s">
        <v>323</v>
      </c>
      <c r="B8591" s="141" t="s">
        <v>1059</v>
      </c>
      <c r="C8591" s="141" t="s">
        <v>16</v>
      </c>
    </row>
    <row r="8592" spans="1:3" x14ac:dyDescent="0.35">
      <c r="A8592" s="141" t="s">
        <v>324</v>
      </c>
      <c r="B8592" s="141" t="s">
        <v>1059</v>
      </c>
      <c r="C8592" s="141" t="s">
        <v>16</v>
      </c>
    </row>
    <row r="8593" spans="1:3" x14ac:dyDescent="0.35">
      <c r="A8593" s="141" t="s">
        <v>325</v>
      </c>
      <c r="B8593" s="141" t="s">
        <v>1059</v>
      </c>
      <c r="C8593" s="141" t="s">
        <v>16</v>
      </c>
    </row>
    <row r="8594" spans="1:3" x14ac:dyDescent="0.35">
      <c r="A8594" s="141" t="s">
        <v>326</v>
      </c>
      <c r="B8594" s="141" t="s">
        <v>1059</v>
      </c>
      <c r="C8594" s="141" t="s">
        <v>16</v>
      </c>
    </row>
    <row r="8595" spans="1:3" x14ac:dyDescent="0.35">
      <c r="A8595" s="141" t="s">
        <v>971</v>
      </c>
      <c r="B8595" s="141" t="s">
        <v>1059</v>
      </c>
      <c r="C8595" s="141" t="s">
        <v>16</v>
      </c>
    </row>
    <row r="8596" spans="1:3" x14ac:dyDescent="0.35">
      <c r="A8596" s="141" t="s">
        <v>327</v>
      </c>
      <c r="B8596" s="141" t="s">
        <v>1059</v>
      </c>
      <c r="C8596" s="141" t="s">
        <v>16</v>
      </c>
    </row>
    <row r="8597" spans="1:3" x14ac:dyDescent="0.35">
      <c r="A8597" s="141" t="s">
        <v>972</v>
      </c>
      <c r="B8597" s="141" t="s">
        <v>1059</v>
      </c>
      <c r="C8597" s="141" t="s">
        <v>16</v>
      </c>
    </row>
    <row r="8598" spans="1:3" x14ac:dyDescent="0.35">
      <c r="A8598" s="141" t="s">
        <v>328</v>
      </c>
      <c r="B8598" s="141" t="s">
        <v>1059</v>
      </c>
      <c r="C8598" s="141" t="s">
        <v>16</v>
      </c>
    </row>
    <row r="8599" spans="1:3" x14ac:dyDescent="0.35">
      <c r="A8599" s="141" t="s">
        <v>1004</v>
      </c>
      <c r="B8599" s="141" t="s">
        <v>1059</v>
      </c>
      <c r="C8599" s="141" t="s">
        <v>16</v>
      </c>
    </row>
    <row r="8600" spans="1:3" x14ac:dyDescent="0.35">
      <c r="A8600" s="141" t="s">
        <v>330</v>
      </c>
      <c r="B8600" s="141" t="s">
        <v>1059</v>
      </c>
      <c r="C8600" s="141" t="s">
        <v>16</v>
      </c>
    </row>
    <row r="8601" spans="1:3" x14ac:dyDescent="0.35">
      <c r="A8601" s="141" t="s">
        <v>331</v>
      </c>
      <c r="B8601" s="141" t="s">
        <v>1059</v>
      </c>
      <c r="C8601" s="141" t="s">
        <v>16</v>
      </c>
    </row>
    <row r="8602" spans="1:3" x14ac:dyDescent="0.35">
      <c r="A8602" s="141" t="s">
        <v>332</v>
      </c>
      <c r="B8602" s="141" t="s">
        <v>1059</v>
      </c>
      <c r="C8602" s="141" t="s">
        <v>16</v>
      </c>
    </row>
    <row r="8603" spans="1:3" x14ac:dyDescent="0.35">
      <c r="A8603" s="141" t="s">
        <v>333</v>
      </c>
      <c r="B8603" s="141" t="s">
        <v>1059</v>
      </c>
      <c r="C8603" s="141" t="s">
        <v>16</v>
      </c>
    </row>
    <row r="8604" spans="1:3" x14ac:dyDescent="0.35">
      <c r="A8604" s="141" t="s">
        <v>1005</v>
      </c>
      <c r="B8604" s="141" t="s">
        <v>1059</v>
      </c>
      <c r="C8604" s="141" t="s">
        <v>16</v>
      </c>
    </row>
    <row r="8605" spans="1:3" x14ac:dyDescent="0.35">
      <c r="A8605" s="141" t="s">
        <v>1039</v>
      </c>
      <c r="B8605" s="141" t="s">
        <v>1059</v>
      </c>
      <c r="C8605" s="141" t="s">
        <v>16</v>
      </c>
    </row>
    <row r="8606" spans="1:3" x14ac:dyDescent="0.35">
      <c r="A8606" s="141" t="s">
        <v>974</v>
      </c>
      <c r="B8606" s="141" t="s">
        <v>1059</v>
      </c>
      <c r="C8606" s="141" t="s">
        <v>16</v>
      </c>
    </row>
    <row r="8607" spans="1:3" x14ac:dyDescent="0.35">
      <c r="A8607" s="141" t="s">
        <v>806</v>
      </c>
      <c r="B8607" s="141" t="s">
        <v>1059</v>
      </c>
      <c r="C8607" s="141" t="s">
        <v>32</v>
      </c>
    </row>
    <row r="8608" spans="1:3" x14ac:dyDescent="0.35">
      <c r="A8608" s="141" t="s">
        <v>579</v>
      </c>
      <c r="B8608" s="141" t="s">
        <v>1059</v>
      </c>
      <c r="C8608" s="141" t="s">
        <v>32</v>
      </c>
    </row>
    <row r="8609" spans="1:3" x14ac:dyDescent="0.35">
      <c r="A8609" s="141" t="s">
        <v>556</v>
      </c>
      <c r="B8609" s="141" t="s">
        <v>1059</v>
      </c>
      <c r="C8609" s="141" t="s">
        <v>32</v>
      </c>
    </row>
    <row r="8610" spans="1:3" x14ac:dyDescent="0.35">
      <c r="A8610" s="141" t="s">
        <v>557</v>
      </c>
      <c r="B8610" s="141" t="s">
        <v>1059</v>
      </c>
      <c r="C8610" s="141" t="s">
        <v>32</v>
      </c>
    </row>
    <row r="8611" spans="1:3" x14ac:dyDescent="0.35">
      <c r="A8611" s="141" t="s">
        <v>558</v>
      </c>
      <c r="B8611" s="141" t="s">
        <v>1059</v>
      </c>
      <c r="C8611" s="141" t="s">
        <v>32</v>
      </c>
    </row>
    <row r="8612" spans="1:3" x14ac:dyDescent="0.35">
      <c r="A8612" s="141" t="s">
        <v>580</v>
      </c>
      <c r="B8612" s="141" t="s">
        <v>1059</v>
      </c>
      <c r="C8612" s="141" t="s">
        <v>32</v>
      </c>
    </row>
    <row r="8613" spans="1:3" x14ac:dyDescent="0.35">
      <c r="A8613" s="141" t="s">
        <v>612</v>
      </c>
      <c r="B8613" s="141" t="s">
        <v>1059</v>
      </c>
      <c r="C8613" s="141" t="s">
        <v>43</v>
      </c>
    </row>
    <row r="8614" spans="1:3" x14ac:dyDescent="0.35">
      <c r="A8614" s="141" t="s">
        <v>1009</v>
      </c>
      <c r="B8614" s="141" t="s">
        <v>1059</v>
      </c>
      <c r="C8614" s="141" t="s">
        <v>43</v>
      </c>
    </row>
    <row r="8615" spans="1:3" x14ac:dyDescent="0.35">
      <c r="A8615" s="141" t="s">
        <v>615</v>
      </c>
      <c r="B8615" s="141" t="s">
        <v>1059</v>
      </c>
      <c r="C8615" s="141" t="s">
        <v>43</v>
      </c>
    </row>
    <row r="8616" spans="1:3" x14ac:dyDescent="0.35">
      <c r="A8616" s="141" t="s">
        <v>616</v>
      </c>
      <c r="B8616" s="141" t="s">
        <v>1059</v>
      </c>
      <c r="C8616" s="141" t="s">
        <v>43</v>
      </c>
    </row>
    <row r="8617" spans="1:3" x14ac:dyDescent="0.35">
      <c r="A8617" s="141" t="s">
        <v>854</v>
      </c>
      <c r="B8617" s="141" t="s">
        <v>1059</v>
      </c>
      <c r="C8617" s="141" t="s">
        <v>43</v>
      </c>
    </row>
    <row r="8618" spans="1:3" x14ac:dyDescent="0.35">
      <c r="A8618" s="141" t="s">
        <v>605</v>
      </c>
      <c r="B8618" s="141" t="s">
        <v>1059</v>
      </c>
      <c r="C8618" s="141" t="s">
        <v>43</v>
      </c>
    </row>
    <row r="8619" spans="1:3" x14ac:dyDescent="0.35">
      <c r="A8619" s="141" t="s">
        <v>1008</v>
      </c>
      <c r="B8619" s="141" t="s">
        <v>1059</v>
      </c>
      <c r="C8619" s="141" t="s">
        <v>43</v>
      </c>
    </row>
    <row r="8620" spans="1:3" x14ac:dyDescent="0.35">
      <c r="A8620" s="141" t="s">
        <v>608</v>
      </c>
      <c r="B8620" s="141" t="s">
        <v>1059</v>
      </c>
      <c r="C8620" s="141" t="s">
        <v>43</v>
      </c>
    </row>
    <row r="8621" spans="1:3" x14ac:dyDescent="0.35">
      <c r="A8621" s="141" t="s">
        <v>609</v>
      </c>
      <c r="B8621" s="141" t="s">
        <v>1059</v>
      </c>
      <c r="C8621" s="141" t="s">
        <v>43</v>
      </c>
    </row>
    <row r="8622" spans="1:3" x14ac:dyDescent="0.35">
      <c r="A8622" s="141" t="s">
        <v>610</v>
      </c>
      <c r="B8622" s="141" t="s">
        <v>1059</v>
      </c>
      <c r="C8622" s="141" t="s">
        <v>43</v>
      </c>
    </row>
    <row r="8623" spans="1:3" x14ac:dyDescent="0.35">
      <c r="A8623" s="141" t="s">
        <v>618</v>
      </c>
      <c r="B8623" s="141" t="s">
        <v>1059</v>
      </c>
      <c r="C8623" s="141" t="s">
        <v>43</v>
      </c>
    </row>
    <row r="8624" spans="1:3" x14ac:dyDescent="0.35">
      <c r="A8624" s="141" t="s">
        <v>619</v>
      </c>
      <c r="B8624" s="141" t="s">
        <v>1059</v>
      </c>
      <c r="C8624" s="141" t="s">
        <v>44</v>
      </c>
    </row>
    <row r="8625" spans="1:3" x14ac:dyDescent="0.35">
      <c r="A8625" s="141" t="s">
        <v>1010</v>
      </c>
      <c r="B8625" s="141" t="s">
        <v>1059</v>
      </c>
      <c r="C8625" s="141" t="s">
        <v>43</v>
      </c>
    </row>
    <row r="8626" spans="1:3" x14ac:dyDescent="0.35">
      <c r="A8626" s="141" t="s">
        <v>1011</v>
      </c>
      <c r="B8626" s="141" t="s">
        <v>1059</v>
      </c>
      <c r="C8626" s="141" t="s">
        <v>43</v>
      </c>
    </row>
    <row r="8627" spans="1:3" x14ac:dyDescent="0.35">
      <c r="A8627" s="141" t="s">
        <v>1012</v>
      </c>
      <c r="B8627" s="141" t="s">
        <v>1059</v>
      </c>
      <c r="C8627" s="141" t="s">
        <v>43</v>
      </c>
    </row>
    <row r="8628" spans="1:3" x14ac:dyDescent="0.35">
      <c r="A8628" s="141" t="s">
        <v>1013</v>
      </c>
      <c r="B8628" s="141" t="s">
        <v>1059</v>
      </c>
      <c r="C8628" s="141" t="s">
        <v>43</v>
      </c>
    </row>
    <row r="8629" spans="1:3" x14ac:dyDescent="0.35">
      <c r="A8629" s="141" t="s">
        <v>1014</v>
      </c>
      <c r="B8629" s="141" t="s">
        <v>1059</v>
      </c>
      <c r="C8629" s="141" t="s">
        <v>43</v>
      </c>
    </row>
    <row r="8630" spans="1:3" x14ac:dyDescent="0.35">
      <c r="A8630" s="141" t="s">
        <v>1015</v>
      </c>
      <c r="B8630" s="141" t="s">
        <v>1059</v>
      </c>
      <c r="C8630" s="141" t="s">
        <v>43</v>
      </c>
    </row>
    <row r="8631" spans="1:3" x14ac:dyDescent="0.35">
      <c r="A8631" s="141" t="s">
        <v>337</v>
      </c>
      <c r="B8631" s="141" t="s">
        <v>1059</v>
      </c>
      <c r="C8631" s="141" t="s">
        <v>47</v>
      </c>
    </row>
    <row r="8632" spans="1:3" x14ac:dyDescent="0.35">
      <c r="A8632" s="141" t="s">
        <v>962</v>
      </c>
      <c r="B8632" s="141" t="s">
        <v>1059</v>
      </c>
      <c r="C8632" s="141" t="s">
        <v>47</v>
      </c>
    </row>
    <row r="8633" spans="1:3" x14ac:dyDescent="0.35">
      <c r="A8633" s="141" t="s">
        <v>981</v>
      </c>
      <c r="B8633" s="141" t="s">
        <v>1059</v>
      </c>
      <c r="C8633" s="141" t="s">
        <v>47</v>
      </c>
    </row>
    <row r="8634" spans="1:3" x14ac:dyDescent="0.35">
      <c r="A8634" s="141" t="s">
        <v>982</v>
      </c>
      <c r="B8634" s="141" t="s">
        <v>1059</v>
      </c>
      <c r="C8634" s="141" t="s">
        <v>47</v>
      </c>
    </row>
    <row r="8635" spans="1:3" x14ac:dyDescent="0.35">
      <c r="A8635" s="141" t="s">
        <v>1108</v>
      </c>
      <c r="B8635" s="141" t="s">
        <v>1059</v>
      </c>
      <c r="C8635" s="141" t="s">
        <v>47</v>
      </c>
    </row>
    <row r="8636" spans="1:3" x14ac:dyDescent="0.35">
      <c r="A8636" s="141" t="s">
        <v>1038</v>
      </c>
      <c r="B8636" s="141" t="s">
        <v>1059</v>
      </c>
      <c r="C8636" s="141" t="s">
        <v>48</v>
      </c>
    </row>
    <row r="8637" spans="1:3" x14ac:dyDescent="0.35">
      <c r="A8637" s="141" t="s">
        <v>563</v>
      </c>
      <c r="B8637" s="141" t="s">
        <v>1059</v>
      </c>
      <c r="C8637" s="141" t="s">
        <v>47</v>
      </c>
    </row>
    <row r="8638" spans="1:3" x14ac:dyDescent="0.35">
      <c r="A8638" s="141" t="s">
        <v>390</v>
      </c>
      <c r="B8638" s="141" t="s">
        <v>1109</v>
      </c>
      <c r="C8638" s="141" t="s">
        <v>16</v>
      </c>
    </row>
    <row r="8639" spans="1:3" x14ac:dyDescent="0.35">
      <c r="A8639" s="141" t="s">
        <v>352</v>
      </c>
      <c r="B8639" s="141" t="s">
        <v>1109</v>
      </c>
      <c r="C8639" s="141" t="s">
        <v>2</v>
      </c>
    </row>
    <row r="8640" spans="1:3" x14ac:dyDescent="0.35">
      <c r="A8640" s="141" t="s">
        <v>354</v>
      </c>
      <c r="B8640" s="141" t="s">
        <v>1109</v>
      </c>
      <c r="C8640" s="141" t="s">
        <v>2</v>
      </c>
    </row>
    <row r="8641" spans="1:3" x14ac:dyDescent="0.35">
      <c r="A8641" s="141" t="s">
        <v>846</v>
      </c>
      <c r="B8641" s="141" t="s">
        <v>1109</v>
      </c>
      <c r="C8641" s="141" t="s">
        <v>16</v>
      </c>
    </row>
    <row r="8642" spans="1:3" x14ac:dyDescent="0.35">
      <c r="A8642" s="141" t="s">
        <v>393</v>
      </c>
      <c r="B8642" s="141" t="s">
        <v>1109</v>
      </c>
      <c r="C8642" s="141" t="s">
        <v>9</v>
      </c>
    </row>
    <row r="8643" spans="1:3" x14ac:dyDescent="0.35">
      <c r="A8643" s="141" t="s">
        <v>818</v>
      </c>
      <c r="B8643" s="141" t="s">
        <v>1109</v>
      </c>
      <c r="C8643" s="141" t="s">
        <v>12</v>
      </c>
    </row>
    <row r="8644" spans="1:3" x14ac:dyDescent="0.35">
      <c r="A8644" s="141" t="s">
        <v>835</v>
      </c>
      <c r="B8644" s="141" t="s">
        <v>1109</v>
      </c>
      <c r="C8644" s="141" t="s">
        <v>12</v>
      </c>
    </row>
    <row r="8645" spans="1:3" x14ac:dyDescent="0.35">
      <c r="A8645" s="141" t="s">
        <v>836</v>
      </c>
      <c r="B8645" s="141" t="s">
        <v>1109</v>
      </c>
      <c r="C8645" s="141" t="s">
        <v>12</v>
      </c>
    </row>
    <row r="8646" spans="1:3" x14ac:dyDescent="0.35">
      <c r="A8646" s="141" t="s">
        <v>837</v>
      </c>
      <c r="B8646" s="141" t="s">
        <v>1109</v>
      </c>
      <c r="C8646" s="141" t="s">
        <v>14</v>
      </c>
    </row>
    <row r="8647" spans="1:3" x14ac:dyDescent="0.35">
      <c r="A8647" s="141" t="s">
        <v>840</v>
      </c>
      <c r="B8647" s="141" t="s">
        <v>1109</v>
      </c>
      <c r="C8647" s="141" t="s">
        <v>10</v>
      </c>
    </row>
    <row r="8648" spans="1:3" x14ac:dyDescent="0.35">
      <c r="A8648" s="141" t="s">
        <v>841</v>
      </c>
      <c r="B8648" s="141" t="s">
        <v>1109</v>
      </c>
      <c r="C8648" s="141" t="s">
        <v>10</v>
      </c>
    </row>
    <row r="8649" spans="1:3" x14ac:dyDescent="0.35">
      <c r="A8649" s="141" t="s">
        <v>370</v>
      </c>
      <c r="B8649" s="141" t="s">
        <v>1109</v>
      </c>
      <c r="C8649" s="141" t="s">
        <v>10</v>
      </c>
    </row>
    <row r="8650" spans="1:3" x14ac:dyDescent="0.35">
      <c r="A8650" s="141" t="s">
        <v>371</v>
      </c>
      <c r="B8650" s="141" t="s">
        <v>1109</v>
      </c>
      <c r="C8650" s="141" t="s">
        <v>10</v>
      </c>
    </row>
    <row r="8651" spans="1:3" x14ac:dyDescent="0.35">
      <c r="A8651" s="141" t="s">
        <v>376</v>
      </c>
      <c r="B8651" s="141" t="s">
        <v>1109</v>
      </c>
      <c r="C8651" s="141" t="s">
        <v>10</v>
      </c>
    </row>
    <row r="8652" spans="1:3" x14ac:dyDescent="0.35">
      <c r="A8652" s="141" t="s">
        <v>372</v>
      </c>
      <c r="B8652" s="141" t="s">
        <v>1109</v>
      </c>
      <c r="C8652" s="141" t="s">
        <v>10</v>
      </c>
    </row>
    <row r="8653" spans="1:3" x14ac:dyDescent="0.35">
      <c r="A8653" s="141" t="s">
        <v>373</v>
      </c>
      <c r="B8653" s="141" t="s">
        <v>1109</v>
      </c>
      <c r="C8653" s="141" t="s">
        <v>10</v>
      </c>
    </row>
    <row r="8654" spans="1:3" x14ac:dyDescent="0.35">
      <c r="A8654" s="141" t="s">
        <v>375</v>
      </c>
      <c r="B8654" s="141" t="s">
        <v>1109</v>
      </c>
      <c r="C8654" s="141" t="s">
        <v>10</v>
      </c>
    </row>
    <row r="8655" spans="1:3" x14ac:dyDescent="0.35">
      <c r="A8655" s="141" t="s">
        <v>842</v>
      </c>
      <c r="B8655" s="141" t="s">
        <v>1109</v>
      </c>
      <c r="C8655" s="141" t="s">
        <v>11</v>
      </c>
    </row>
    <row r="8656" spans="1:3" x14ac:dyDescent="0.35">
      <c r="A8656" s="141" t="s">
        <v>843</v>
      </c>
      <c r="B8656" s="141" t="s">
        <v>1109</v>
      </c>
      <c r="C8656" s="141" t="s">
        <v>11</v>
      </c>
    </row>
    <row r="8657" spans="1:3" x14ac:dyDescent="0.35">
      <c r="A8657" s="141" t="s">
        <v>844</v>
      </c>
      <c r="B8657" s="141" t="s">
        <v>1109</v>
      </c>
      <c r="C8657" s="141" t="s">
        <v>11</v>
      </c>
    </row>
    <row r="8658" spans="1:3" x14ac:dyDescent="0.35">
      <c r="A8658" s="141" t="s">
        <v>845</v>
      </c>
      <c r="B8658" s="141" t="s">
        <v>1109</v>
      </c>
      <c r="C8658" s="141" t="s">
        <v>11</v>
      </c>
    </row>
    <row r="8659" spans="1:3" x14ac:dyDescent="0.35">
      <c r="A8659" s="141" t="s">
        <v>358</v>
      </c>
      <c r="B8659" s="141" t="s">
        <v>1109</v>
      </c>
      <c r="C8659" s="141" t="s">
        <v>14</v>
      </c>
    </row>
    <row r="8660" spans="1:3" x14ac:dyDescent="0.35">
      <c r="A8660" s="141" t="s">
        <v>654</v>
      </c>
      <c r="B8660" s="141" t="s">
        <v>1109</v>
      </c>
      <c r="C8660" s="141" t="s">
        <v>14</v>
      </c>
    </row>
    <row r="8661" spans="1:3" x14ac:dyDescent="0.35">
      <c r="A8661" s="141" t="s">
        <v>987</v>
      </c>
      <c r="B8661" s="141" t="s">
        <v>1109</v>
      </c>
      <c r="C8661" s="141" t="s">
        <v>14</v>
      </c>
    </row>
    <row r="8662" spans="1:3" x14ac:dyDescent="0.35">
      <c r="A8662" s="141" t="s">
        <v>838</v>
      </c>
      <c r="B8662" s="141" t="s">
        <v>1109</v>
      </c>
      <c r="C8662" s="141" t="s">
        <v>13</v>
      </c>
    </row>
    <row r="8663" spans="1:3" x14ac:dyDescent="0.35">
      <c r="A8663" s="141" t="s">
        <v>346</v>
      </c>
      <c r="B8663" s="141" t="s">
        <v>1109</v>
      </c>
      <c r="C8663" s="141" t="s">
        <v>13</v>
      </c>
    </row>
    <row r="8664" spans="1:3" x14ac:dyDescent="0.35">
      <c r="A8664" s="141" t="s">
        <v>367</v>
      </c>
      <c r="B8664" s="141" t="s">
        <v>1109</v>
      </c>
      <c r="C8664" s="141" t="s">
        <v>8</v>
      </c>
    </row>
    <row r="8665" spans="1:3" x14ac:dyDescent="0.35">
      <c r="A8665" s="141" t="s">
        <v>383</v>
      </c>
      <c r="B8665" s="141" t="s">
        <v>1109</v>
      </c>
      <c r="C8665" s="141" t="s">
        <v>5</v>
      </c>
    </row>
    <row r="8666" spans="1:3" x14ac:dyDescent="0.35">
      <c r="A8666" s="141" t="s">
        <v>345</v>
      </c>
      <c r="B8666" s="141" t="s">
        <v>1109</v>
      </c>
      <c r="C8666" s="141" t="s">
        <v>5</v>
      </c>
    </row>
    <row r="8667" spans="1:3" x14ac:dyDescent="0.35">
      <c r="A8667" s="141" t="s">
        <v>359</v>
      </c>
      <c r="B8667" s="141" t="s">
        <v>1109</v>
      </c>
      <c r="C8667" s="141" t="s">
        <v>46</v>
      </c>
    </row>
    <row r="8668" spans="1:3" x14ac:dyDescent="0.35">
      <c r="A8668" s="141" t="s">
        <v>360</v>
      </c>
      <c r="B8668" s="141" t="s">
        <v>1109</v>
      </c>
      <c r="C8668" s="141" t="s">
        <v>46</v>
      </c>
    </row>
    <row r="8669" spans="1:3" x14ac:dyDescent="0.35">
      <c r="A8669" s="141" t="s">
        <v>262</v>
      </c>
      <c r="B8669" s="141" t="s">
        <v>1109</v>
      </c>
      <c r="C8669" s="141" t="s">
        <v>27</v>
      </c>
    </row>
    <row r="8670" spans="1:3" x14ac:dyDescent="0.35">
      <c r="A8670" s="141" t="s">
        <v>1044</v>
      </c>
      <c r="B8670" s="141" t="s">
        <v>1109</v>
      </c>
      <c r="C8670" s="141" t="s">
        <v>24</v>
      </c>
    </row>
    <row r="8671" spans="1:3" x14ac:dyDescent="0.35">
      <c r="A8671" s="141" t="s">
        <v>1045</v>
      </c>
      <c r="B8671" s="141" t="s">
        <v>1109</v>
      </c>
      <c r="C8671" s="141" t="s">
        <v>24</v>
      </c>
    </row>
    <row r="8672" spans="1:3" x14ac:dyDescent="0.35">
      <c r="A8672" s="141" t="s">
        <v>1060</v>
      </c>
      <c r="B8672" s="141" t="s">
        <v>1109</v>
      </c>
      <c r="C8672" s="141" t="s">
        <v>24</v>
      </c>
    </row>
    <row r="8673" spans="1:3" x14ac:dyDescent="0.35">
      <c r="A8673" s="141" t="s">
        <v>887</v>
      </c>
      <c r="B8673" s="141" t="s">
        <v>1109</v>
      </c>
      <c r="C8673" s="141" t="s">
        <v>24</v>
      </c>
    </row>
    <row r="8674" spans="1:3" x14ac:dyDescent="0.35">
      <c r="A8674" s="141" t="s">
        <v>1061</v>
      </c>
      <c r="B8674" s="141" t="s">
        <v>1109</v>
      </c>
      <c r="C8674" s="141" t="s">
        <v>24</v>
      </c>
    </row>
    <row r="8675" spans="1:3" x14ac:dyDescent="0.35">
      <c r="A8675" s="141" t="s">
        <v>1062</v>
      </c>
      <c r="B8675" s="141" t="s">
        <v>1109</v>
      </c>
      <c r="C8675" s="141" t="s">
        <v>27</v>
      </c>
    </row>
    <row r="8676" spans="1:3" x14ac:dyDescent="0.35">
      <c r="A8676" s="141" t="s">
        <v>564</v>
      </c>
      <c r="B8676" s="141" t="s">
        <v>1109</v>
      </c>
      <c r="C8676" s="141" t="s">
        <v>7</v>
      </c>
    </row>
    <row r="8677" spans="1:3" x14ac:dyDescent="0.35">
      <c r="A8677" s="141" t="s">
        <v>565</v>
      </c>
      <c r="B8677" s="141" t="s">
        <v>1109</v>
      </c>
      <c r="C8677" s="141" t="s">
        <v>7</v>
      </c>
    </row>
    <row r="8678" spans="1:3" x14ac:dyDescent="0.35">
      <c r="A8678" s="141" t="s">
        <v>385</v>
      </c>
      <c r="B8678" s="141" t="s">
        <v>1109</v>
      </c>
      <c r="C8678" s="141" t="s">
        <v>7</v>
      </c>
    </row>
    <row r="8679" spans="1:3" x14ac:dyDescent="0.35">
      <c r="A8679" s="141" t="s">
        <v>386</v>
      </c>
      <c r="B8679" s="141" t="s">
        <v>1109</v>
      </c>
      <c r="C8679" s="141" t="s">
        <v>7</v>
      </c>
    </row>
    <row r="8680" spans="1:3" x14ac:dyDescent="0.35">
      <c r="A8680" s="141" t="s">
        <v>387</v>
      </c>
      <c r="B8680" s="141" t="s">
        <v>1109</v>
      </c>
      <c r="C8680" s="141" t="s">
        <v>7</v>
      </c>
    </row>
    <row r="8681" spans="1:3" x14ac:dyDescent="0.35">
      <c r="A8681" s="141" t="s">
        <v>365</v>
      </c>
      <c r="B8681" s="141" t="s">
        <v>1109</v>
      </c>
      <c r="C8681" s="141" t="s">
        <v>7</v>
      </c>
    </row>
    <row r="8682" spans="1:3" x14ac:dyDescent="0.35">
      <c r="A8682" s="141" t="s">
        <v>589</v>
      </c>
      <c r="B8682" s="141" t="s">
        <v>1109</v>
      </c>
      <c r="C8682" s="141" t="s">
        <v>4</v>
      </c>
    </row>
    <row r="8683" spans="1:3" x14ac:dyDescent="0.35">
      <c r="A8683" s="141" t="s">
        <v>988</v>
      </c>
      <c r="B8683" s="141" t="s">
        <v>1109</v>
      </c>
      <c r="C8683" s="141" t="s">
        <v>8</v>
      </c>
    </row>
    <row r="8684" spans="1:3" x14ac:dyDescent="0.35">
      <c r="A8684" s="141" t="s">
        <v>366</v>
      </c>
      <c r="B8684" s="141" t="s">
        <v>1109</v>
      </c>
      <c r="C8684" s="141" t="s">
        <v>8</v>
      </c>
    </row>
    <row r="8685" spans="1:3" x14ac:dyDescent="0.35">
      <c r="A8685" s="141" t="s">
        <v>1043</v>
      </c>
      <c r="B8685" s="141" t="s">
        <v>1109</v>
      </c>
      <c r="C8685" s="141" t="s">
        <v>4</v>
      </c>
    </row>
    <row r="8686" spans="1:3" x14ac:dyDescent="0.35">
      <c r="A8686" s="141" t="s">
        <v>819</v>
      </c>
      <c r="B8686" s="141" t="s">
        <v>1109</v>
      </c>
      <c r="C8686" s="141" t="s">
        <v>45</v>
      </c>
    </row>
    <row r="8687" spans="1:3" x14ac:dyDescent="0.35">
      <c r="A8687" s="141" t="s">
        <v>820</v>
      </c>
      <c r="B8687" s="141" t="s">
        <v>1109</v>
      </c>
      <c r="C8687" s="141" t="s">
        <v>45</v>
      </c>
    </row>
    <row r="8688" spans="1:3" x14ac:dyDescent="0.35">
      <c r="A8688" s="141" t="s">
        <v>821</v>
      </c>
      <c r="B8688" s="141" t="s">
        <v>1109</v>
      </c>
      <c r="C8688" s="141" t="s">
        <v>45</v>
      </c>
    </row>
    <row r="8689" spans="1:3" x14ac:dyDescent="0.35">
      <c r="A8689" s="141" t="s">
        <v>822</v>
      </c>
      <c r="B8689" s="141" t="s">
        <v>1109</v>
      </c>
      <c r="C8689" s="141" t="s">
        <v>45</v>
      </c>
    </row>
    <row r="8690" spans="1:3" x14ac:dyDescent="0.35">
      <c r="A8690" s="141" t="s">
        <v>823</v>
      </c>
      <c r="B8690" s="141" t="s">
        <v>1109</v>
      </c>
      <c r="C8690" s="141" t="s">
        <v>45</v>
      </c>
    </row>
    <row r="8691" spans="1:3" x14ac:dyDescent="0.35">
      <c r="A8691" s="141" t="s">
        <v>824</v>
      </c>
      <c r="B8691" s="141" t="s">
        <v>1109</v>
      </c>
      <c r="C8691" s="141" t="s">
        <v>45</v>
      </c>
    </row>
    <row r="8692" spans="1:3" x14ac:dyDescent="0.35">
      <c r="A8692" s="141" t="s">
        <v>1041</v>
      </c>
      <c r="B8692" s="141" t="s">
        <v>1109</v>
      </c>
      <c r="C8692" s="141" t="s">
        <v>45</v>
      </c>
    </row>
    <row r="8693" spans="1:3" x14ac:dyDescent="0.35">
      <c r="A8693" s="141" t="s">
        <v>827</v>
      </c>
      <c r="B8693" s="141" t="s">
        <v>1109</v>
      </c>
      <c r="C8693" s="141" t="s">
        <v>45</v>
      </c>
    </row>
    <row r="8694" spans="1:3" x14ac:dyDescent="0.35">
      <c r="A8694" s="141" t="s">
        <v>828</v>
      </c>
      <c r="B8694" s="141" t="s">
        <v>1109</v>
      </c>
      <c r="C8694" s="141" t="s">
        <v>45</v>
      </c>
    </row>
    <row r="8695" spans="1:3" x14ac:dyDescent="0.35">
      <c r="A8695" s="141" t="s">
        <v>829</v>
      </c>
      <c r="B8695" s="141" t="s">
        <v>1109</v>
      </c>
      <c r="C8695" s="141" t="s">
        <v>45</v>
      </c>
    </row>
    <row r="8696" spans="1:3" x14ac:dyDescent="0.35">
      <c r="A8696" s="141" t="s">
        <v>830</v>
      </c>
      <c r="B8696" s="141" t="s">
        <v>1109</v>
      </c>
      <c r="C8696" s="141" t="s">
        <v>45</v>
      </c>
    </row>
    <row r="8697" spans="1:3" x14ac:dyDescent="0.35">
      <c r="A8697" s="141" t="s">
        <v>831</v>
      </c>
      <c r="B8697" s="141" t="s">
        <v>1109</v>
      </c>
      <c r="C8697" s="141" t="s">
        <v>45</v>
      </c>
    </row>
    <row r="8698" spans="1:3" x14ac:dyDescent="0.35">
      <c r="A8698" s="141" t="s">
        <v>1042</v>
      </c>
      <c r="B8698" s="141" t="s">
        <v>1109</v>
      </c>
      <c r="C8698" s="141" t="s">
        <v>45</v>
      </c>
    </row>
    <row r="8699" spans="1:3" x14ac:dyDescent="0.35">
      <c r="A8699" s="141" t="s">
        <v>278</v>
      </c>
      <c r="B8699" s="141" t="s">
        <v>1109</v>
      </c>
      <c r="C8699" s="141" t="s">
        <v>21</v>
      </c>
    </row>
    <row r="8700" spans="1:3" x14ac:dyDescent="0.35">
      <c r="A8700" s="141" t="s">
        <v>283</v>
      </c>
      <c r="B8700" s="141" t="s">
        <v>1109</v>
      </c>
      <c r="C8700" s="141" t="s">
        <v>21</v>
      </c>
    </row>
    <row r="8701" spans="1:3" x14ac:dyDescent="0.35">
      <c r="A8701" s="141" t="s">
        <v>284</v>
      </c>
      <c r="B8701" s="141" t="s">
        <v>1109</v>
      </c>
      <c r="C8701" s="141" t="s">
        <v>21</v>
      </c>
    </row>
    <row r="8702" spans="1:3" x14ac:dyDescent="0.35">
      <c r="A8702" s="141" t="s">
        <v>285</v>
      </c>
      <c r="B8702" s="141" t="s">
        <v>1109</v>
      </c>
      <c r="C8702" s="141" t="s">
        <v>27</v>
      </c>
    </row>
    <row r="8703" spans="1:3" x14ac:dyDescent="0.35">
      <c r="A8703" s="141" t="s">
        <v>286</v>
      </c>
      <c r="B8703" s="141" t="s">
        <v>1109</v>
      </c>
      <c r="C8703" s="141" t="s">
        <v>27</v>
      </c>
    </row>
    <row r="8704" spans="1:3" x14ac:dyDescent="0.35">
      <c r="A8704" s="141" t="s">
        <v>290</v>
      </c>
      <c r="B8704" s="141" t="s">
        <v>1109</v>
      </c>
      <c r="C8704" s="141" t="s">
        <v>23</v>
      </c>
    </row>
    <row r="8705" spans="1:3" x14ac:dyDescent="0.35">
      <c r="A8705" s="141" t="s">
        <v>848</v>
      </c>
      <c r="B8705" s="141" t="s">
        <v>1109</v>
      </c>
      <c r="C8705" s="141" t="s">
        <v>22</v>
      </c>
    </row>
    <row r="8706" spans="1:3" x14ac:dyDescent="0.35">
      <c r="A8706" s="141" t="s">
        <v>849</v>
      </c>
      <c r="B8706" s="141" t="s">
        <v>1109</v>
      </c>
      <c r="C8706" s="141" t="s">
        <v>22</v>
      </c>
    </row>
    <row r="8707" spans="1:3" x14ac:dyDescent="0.35">
      <c r="A8707" s="141" t="s">
        <v>850</v>
      </c>
      <c r="B8707" s="141" t="s">
        <v>1109</v>
      </c>
      <c r="C8707" s="141" t="s">
        <v>22</v>
      </c>
    </row>
    <row r="8708" spans="1:3" x14ac:dyDescent="0.35">
      <c r="A8708" s="141" t="s">
        <v>294</v>
      </c>
      <c r="B8708" s="141" t="s">
        <v>1109</v>
      </c>
      <c r="C8708" s="141" t="s">
        <v>21</v>
      </c>
    </row>
    <row r="8709" spans="1:3" x14ac:dyDescent="0.35">
      <c r="A8709" s="141" t="s">
        <v>1035</v>
      </c>
      <c r="B8709" s="141" t="s">
        <v>1109</v>
      </c>
      <c r="C8709" s="141" t="s">
        <v>21</v>
      </c>
    </row>
    <row r="8710" spans="1:3" x14ac:dyDescent="0.35">
      <c r="A8710" s="141" t="s">
        <v>990</v>
      </c>
      <c r="B8710" s="141" t="s">
        <v>1109</v>
      </c>
      <c r="C8710" s="141" t="s">
        <v>21</v>
      </c>
    </row>
    <row r="8711" spans="1:3" x14ac:dyDescent="0.35">
      <c r="A8711" s="141" t="s">
        <v>991</v>
      </c>
      <c r="B8711" s="141" t="s">
        <v>1109</v>
      </c>
      <c r="C8711" s="141" t="s">
        <v>21</v>
      </c>
    </row>
    <row r="8712" spans="1:3" x14ac:dyDescent="0.35">
      <c r="A8712" s="141" t="s">
        <v>992</v>
      </c>
      <c r="B8712" s="141" t="s">
        <v>1109</v>
      </c>
      <c r="C8712" s="141" t="s">
        <v>21</v>
      </c>
    </row>
    <row r="8713" spans="1:3" x14ac:dyDescent="0.35">
      <c r="A8713" s="141" t="s">
        <v>993</v>
      </c>
      <c r="B8713" s="141" t="s">
        <v>1109</v>
      </c>
      <c r="C8713" s="141" t="s">
        <v>21</v>
      </c>
    </row>
    <row r="8714" spans="1:3" x14ac:dyDescent="0.35">
      <c r="A8714" s="141" t="s">
        <v>994</v>
      </c>
      <c r="B8714" s="141" t="s">
        <v>1109</v>
      </c>
      <c r="C8714" s="141" t="s">
        <v>21</v>
      </c>
    </row>
    <row r="8715" spans="1:3" x14ac:dyDescent="0.35">
      <c r="A8715" s="141" t="s">
        <v>995</v>
      </c>
      <c r="B8715" s="141" t="s">
        <v>1109</v>
      </c>
      <c r="C8715" s="141" t="s">
        <v>21</v>
      </c>
    </row>
    <row r="8716" spans="1:3" x14ac:dyDescent="0.35">
      <c r="A8716" s="141" t="s">
        <v>1029</v>
      </c>
      <c r="B8716" s="141" t="s">
        <v>1109</v>
      </c>
      <c r="C8716" s="141" t="s">
        <v>21</v>
      </c>
    </row>
    <row r="8717" spans="1:3" x14ac:dyDescent="0.35">
      <c r="A8717" s="141" t="s">
        <v>1030</v>
      </c>
      <c r="B8717" s="141" t="s">
        <v>1109</v>
      </c>
      <c r="C8717" s="141" t="s">
        <v>21</v>
      </c>
    </row>
    <row r="8718" spans="1:3" x14ac:dyDescent="0.35">
      <c r="A8718" s="141" t="s">
        <v>1025</v>
      </c>
      <c r="B8718" s="141" t="s">
        <v>1109</v>
      </c>
      <c r="C8718" s="141" t="s">
        <v>27</v>
      </c>
    </row>
    <row r="8719" spans="1:3" x14ac:dyDescent="0.35">
      <c r="A8719" s="141" t="s">
        <v>1026</v>
      </c>
      <c r="B8719" s="141" t="s">
        <v>1109</v>
      </c>
      <c r="C8719" s="141" t="s">
        <v>27</v>
      </c>
    </row>
    <row r="8720" spans="1:3" x14ac:dyDescent="0.35">
      <c r="A8720" s="141" t="s">
        <v>1027</v>
      </c>
      <c r="B8720" s="141" t="s">
        <v>1109</v>
      </c>
      <c r="C8720" s="141" t="s">
        <v>32</v>
      </c>
    </row>
    <row r="8721" spans="1:3" x14ac:dyDescent="0.35">
      <c r="A8721" s="141" t="s">
        <v>1063</v>
      </c>
      <c r="B8721" s="141" t="s">
        <v>1109</v>
      </c>
      <c r="C8721" s="141" t="s">
        <v>21</v>
      </c>
    </row>
    <row r="8722" spans="1:3" x14ac:dyDescent="0.35">
      <c r="A8722" s="141" t="s">
        <v>1064</v>
      </c>
      <c r="B8722" s="141" t="s">
        <v>1109</v>
      </c>
      <c r="C8722" s="141" t="s">
        <v>27</v>
      </c>
    </row>
    <row r="8723" spans="1:3" x14ac:dyDescent="0.35">
      <c r="A8723" s="141" t="s">
        <v>667</v>
      </c>
      <c r="B8723" s="141" t="s">
        <v>1109</v>
      </c>
      <c r="C8723" s="141" t="s">
        <v>55</v>
      </c>
    </row>
    <row r="8724" spans="1:3" x14ac:dyDescent="0.35">
      <c r="A8724" s="141" t="s">
        <v>668</v>
      </c>
      <c r="B8724" s="141" t="s">
        <v>1109</v>
      </c>
      <c r="C8724" s="141" t="s">
        <v>54</v>
      </c>
    </row>
    <row r="8725" spans="1:3" x14ac:dyDescent="0.35">
      <c r="A8725" s="141" t="s">
        <v>669</v>
      </c>
      <c r="B8725" s="141" t="s">
        <v>1109</v>
      </c>
      <c r="C8725" s="141" t="s">
        <v>55</v>
      </c>
    </row>
    <row r="8726" spans="1:3" x14ac:dyDescent="0.35">
      <c r="A8726" s="141" t="s">
        <v>1065</v>
      </c>
      <c r="B8726" s="141" t="s">
        <v>1109</v>
      </c>
      <c r="C8726" s="141" t="s">
        <v>54</v>
      </c>
    </row>
    <row r="8727" spans="1:3" x14ac:dyDescent="0.35">
      <c r="A8727" s="141" t="s">
        <v>1066</v>
      </c>
      <c r="B8727" s="141" t="s">
        <v>1109</v>
      </c>
      <c r="C8727" s="141" t="s">
        <v>54</v>
      </c>
    </row>
    <row r="8728" spans="1:3" x14ac:dyDescent="0.35">
      <c r="A8728" s="141" t="s">
        <v>885</v>
      </c>
      <c r="B8728" s="141" t="s">
        <v>1109</v>
      </c>
      <c r="C8728" s="141" t="s">
        <v>19</v>
      </c>
    </row>
    <row r="8729" spans="1:3" x14ac:dyDescent="0.35">
      <c r="A8729" s="141" t="s">
        <v>886</v>
      </c>
      <c r="B8729" s="141" t="s">
        <v>1109</v>
      </c>
      <c r="C8729" s="141" t="s">
        <v>19</v>
      </c>
    </row>
    <row r="8730" spans="1:3" x14ac:dyDescent="0.35">
      <c r="A8730" s="141" t="s">
        <v>398</v>
      </c>
      <c r="B8730" s="141" t="s">
        <v>1109</v>
      </c>
      <c r="C8730" s="141" t="s">
        <v>17</v>
      </c>
    </row>
    <row r="8731" spans="1:3" x14ac:dyDescent="0.35">
      <c r="A8731" s="141" t="s">
        <v>399</v>
      </c>
      <c r="B8731" s="141" t="s">
        <v>1109</v>
      </c>
      <c r="C8731" s="141" t="s">
        <v>16</v>
      </c>
    </row>
    <row r="8732" spans="1:3" x14ac:dyDescent="0.35">
      <c r="A8732" s="141" t="s">
        <v>400</v>
      </c>
      <c r="B8732" s="141" t="s">
        <v>1109</v>
      </c>
      <c r="C8732" s="141" t="s">
        <v>20</v>
      </c>
    </row>
    <row r="8733" spans="1:3" x14ac:dyDescent="0.35">
      <c r="A8733" s="141" t="s">
        <v>401</v>
      </c>
      <c r="B8733" s="141" t="s">
        <v>1109</v>
      </c>
      <c r="C8733" s="141" t="s">
        <v>20</v>
      </c>
    </row>
    <row r="8734" spans="1:3" x14ac:dyDescent="0.35">
      <c r="A8734" s="141" t="s">
        <v>671</v>
      </c>
      <c r="B8734" s="141" t="s">
        <v>1109</v>
      </c>
      <c r="C8734" s="141" t="s">
        <v>20</v>
      </c>
    </row>
    <row r="8735" spans="1:3" x14ac:dyDescent="0.35">
      <c r="A8735" s="141" t="s">
        <v>774</v>
      </c>
      <c r="B8735" s="141" t="s">
        <v>1109</v>
      </c>
      <c r="C8735" s="141" t="s">
        <v>38</v>
      </c>
    </row>
    <row r="8736" spans="1:3" x14ac:dyDescent="0.35">
      <c r="A8736" s="141" t="s">
        <v>775</v>
      </c>
      <c r="B8736" s="141" t="s">
        <v>1109</v>
      </c>
      <c r="C8736" s="141" t="s">
        <v>38</v>
      </c>
    </row>
    <row r="8737" spans="1:3" x14ac:dyDescent="0.35">
      <c r="A8737" s="141" t="s">
        <v>776</v>
      </c>
      <c r="B8737" s="141" t="s">
        <v>1109</v>
      </c>
      <c r="C8737" s="141" t="s">
        <v>45</v>
      </c>
    </row>
    <row r="8738" spans="1:3" x14ac:dyDescent="0.35">
      <c r="A8738" s="141" t="s">
        <v>1067</v>
      </c>
      <c r="B8738" s="141" t="s">
        <v>1109</v>
      </c>
      <c r="C8738" s="141" t="s">
        <v>46</v>
      </c>
    </row>
    <row r="8739" spans="1:3" x14ac:dyDescent="0.35">
      <c r="A8739" s="141" t="s">
        <v>1068</v>
      </c>
      <c r="B8739" s="141" t="s">
        <v>1109</v>
      </c>
      <c r="C8739" s="141" t="s">
        <v>46</v>
      </c>
    </row>
    <row r="8740" spans="1:3" x14ac:dyDescent="0.35">
      <c r="A8740" s="141" t="s">
        <v>778</v>
      </c>
      <c r="B8740" s="141" t="s">
        <v>1109</v>
      </c>
      <c r="C8740" s="141" t="s">
        <v>45</v>
      </c>
    </row>
    <row r="8741" spans="1:3" x14ac:dyDescent="0.35">
      <c r="A8741" s="141" t="s">
        <v>1023</v>
      </c>
      <c r="B8741" s="141" t="s">
        <v>1109</v>
      </c>
      <c r="C8741" s="141" t="s">
        <v>45</v>
      </c>
    </row>
    <row r="8742" spans="1:3" x14ac:dyDescent="0.35">
      <c r="A8742" s="141" t="s">
        <v>781</v>
      </c>
      <c r="B8742" s="141" t="s">
        <v>1109</v>
      </c>
      <c r="C8742" s="141" t="s">
        <v>45</v>
      </c>
    </row>
    <row r="8743" spans="1:3" x14ac:dyDescent="0.35">
      <c r="A8743" s="141" t="s">
        <v>409</v>
      </c>
      <c r="B8743" s="141" t="s">
        <v>1109</v>
      </c>
      <c r="C8743" s="141" t="s">
        <v>18</v>
      </c>
    </row>
    <row r="8744" spans="1:3" x14ac:dyDescent="0.35">
      <c r="A8744" s="141" t="s">
        <v>1018</v>
      </c>
      <c r="B8744" s="141" t="s">
        <v>1109</v>
      </c>
      <c r="C8744" s="141" t="s">
        <v>18</v>
      </c>
    </row>
    <row r="8745" spans="1:3" x14ac:dyDescent="0.35">
      <c r="A8745" s="141" t="s">
        <v>411</v>
      </c>
      <c r="B8745" s="141" t="s">
        <v>1109</v>
      </c>
      <c r="C8745" s="141" t="s">
        <v>9</v>
      </c>
    </row>
    <row r="8746" spans="1:3" x14ac:dyDescent="0.35">
      <c r="A8746" s="141" t="s">
        <v>412</v>
      </c>
      <c r="B8746" s="141" t="s">
        <v>1109</v>
      </c>
      <c r="C8746" s="141" t="s">
        <v>9</v>
      </c>
    </row>
    <row r="8747" spans="1:3" x14ac:dyDescent="0.35">
      <c r="A8747" s="141" t="s">
        <v>413</v>
      </c>
      <c r="B8747" s="141" t="s">
        <v>1109</v>
      </c>
      <c r="C8747" s="141" t="s">
        <v>9</v>
      </c>
    </row>
    <row r="8748" spans="1:3" x14ac:dyDescent="0.35">
      <c r="A8748" s="141" t="s">
        <v>414</v>
      </c>
      <c r="B8748" s="141" t="s">
        <v>1109</v>
      </c>
      <c r="C8748" s="141" t="s">
        <v>9</v>
      </c>
    </row>
    <row r="8749" spans="1:3" x14ac:dyDescent="0.35">
      <c r="A8749" s="141" t="s">
        <v>415</v>
      </c>
      <c r="B8749" s="141" t="s">
        <v>1109</v>
      </c>
      <c r="C8749" s="141" t="s">
        <v>9</v>
      </c>
    </row>
    <row r="8750" spans="1:3" x14ac:dyDescent="0.35">
      <c r="A8750" s="141" t="s">
        <v>1016</v>
      </c>
      <c r="B8750" s="141" t="s">
        <v>1109</v>
      </c>
      <c r="C8750" s="141" t="s">
        <v>20</v>
      </c>
    </row>
    <row r="8751" spans="1:3" x14ac:dyDescent="0.35">
      <c r="A8751" s="141" t="s">
        <v>593</v>
      </c>
      <c r="B8751" s="141" t="s">
        <v>1109</v>
      </c>
      <c r="C8751" s="141" t="s">
        <v>20</v>
      </c>
    </row>
    <row r="8752" spans="1:3" x14ac:dyDescent="0.35">
      <c r="A8752" s="141" t="s">
        <v>403</v>
      </c>
      <c r="B8752" s="141" t="s">
        <v>1109</v>
      </c>
      <c r="C8752" s="141" t="s">
        <v>20</v>
      </c>
    </row>
    <row r="8753" spans="1:3" x14ac:dyDescent="0.35">
      <c r="A8753" s="141" t="s">
        <v>1017</v>
      </c>
      <c r="B8753" s="141" t="s">
        <v>1109</v>
      </c>
      <c r="C8753" s="141" t="s">
        <v>16</v>
      </c>
    </row>
    <row r="8754" spans="1:3" x14ac:dyDescent="0.35">
      <c r="A8754" s="141" t="s">
        <v>416</v>
      </c>
      <c r="B8754" s="141" t="s">
        <v>1109</v>
      </c>
      <c r="C8754" s="141" t="s">
        <v>15</v>
      </c>
    </row>
    <row r="8755" spans="1:3" x14ac:dyDescent="0.35">
      <c r="A8755" s="141" t="s">
        <v>417</v>
      </c>
      <c r="B8755" s="141" t="s">
        <v>1109</v>
      </c>
      <c r="C8755" s="141" t="s">
        <v>6</v>
      </c>
    </row>
    <row r="8756" spans="1:3" x14ac:dyDescent="0.35">
      <c r="A8756" s="141" t="s">
        <v>1019</v>
      </c>
      <c r="B8756" s="141" t="s">
        <v>1109</v>
      </c>
      <c r="C8756" s="141" t="s">
        <v>17</v>
      </c>
    </row>
    <row r="8757" spans="1:3" x14ac:dyDescent="0.35">
      <c r="A8757" s="141" t="s">
        <v>420</v>
      </c>
      <c r="B8757" s="141" t="s">
        <v>1109</v>
      </c>
      <c r="C8757" s="141" t="s">
        <v>17</v>
      </c>
    </row>
    <row r="8758" spans="1:3" x14ac:dyDescent="0.35">
      <c r="A8758" s="141" t="s">
        <v>421</v>
      </c>
      <c r="B8758" s="141" t="s">
        <v>1109</v>
      </c>
      <c r="C8758" s="141" t="s">
        <v>6</v>
      </c>
    </row>
    <row r="8759" spans="1:3" x14ac:dyDescent="0.35">
      <c r="A8759" s="141" t="s">
        <v>422</v>
      </c>
      <c r="B8759" s="141" t="s">
        <v>1109</v>
      </c>
      <c r="C8759" s="141" t="s">
        <v>17</v>
      </c>
    </row>
    <row r="8760" spans="1:3" x14ac:dyDescent="0.35">
      <c r="A8760" s="141" t="s">
        <v>406</v>
      </c>
      <c r="B8760" s="141" t="s">
        <v>1109</v>
      </c>
      <c r="C8760" s="141" t="s">
        <v>18</v>
      </c>
    </row>
    <row r="8761" spans="1:3" x14ac:dyDescent="0.35">
      <c r="A8761" s="141" t="s">
        <v>407</v>
      </c>
      <c r="B8761" s="141" t="s">
        <v>1109</v>
      </c>
      <c r="C8761" s="141" t="s">
        <v>17</v>
      </c>
    </row>
    <row r="8762" spans="1:3" x14ac:dyDescent="0.35">
      <c r="A8762" s="141" t="s">
        <v>566</v>
      </c>
      <c r="B8762" s="141" t="s">
        <v>1109</v>
      </c>
      <c r="C8762" s="141" t="s">
        <v>17</v>
      </c>
    </row>
    <row r="8763" spans="1:3" x14ac:dyDescent="0.35">
      <c r="A8763" s="141" t="s">
        <v>833</v>
      </c>
      <c r="B8763" s="141" t="s">
        <v>1109</v>
      </c>
      <c r="C8763" s="141" t="s">
        <v>17</v>
      </c>
    </row>
    <row r="8764" spans="1:3" x14ac:dyDescent="0.35">
      <c r="A8764" s="141" t="s">
        <v>672</v>
      </c>
      <c r="B8764" s="141" t="s">
        <v>1109</v>
      </c>
      <c r="C8764" s="141" t="s">
        <v>25</v>
      </c>
    </row>
    <row r="8765" spans="1:3" x14ac:dyDescent="0.35">
      <c r="A8765" s="141" t="s">
        <v>897</v>
      </c>
      <c r="B8765" s="141" t="s">
        <v>1109</v>
      </c>
      <c r="C8765" s="141" t="s">
        <v>26</v>
      </c>
    </row>
    <row r="8766" spans="1:3" x14ac:dyDescent="0.35">
      <c r="A8766" s="141" t="s">
        <v>895</v>
      </c>
      <c r="B8766" s="141" t="s">
        <v>1109</v>
      </c>
      <c r="C8766" s="141" t="s">
        <v>25</v>
      </c>
    </row>
    <row r="8767" spans="1:3" x14ac:dyDescent="0.35">
      <c r="A8767" s="141" t="s">
        <v>996</v>
      </c>
      <c r="B8767" s="141" t="s">
        <v>1109</v>
      </c>
      <c r="C8767" s="141" t="s">
        <v>25</v>
      </c>
    </row>
    <row r="8768" spans="1:3" x14ac:dyDescent="0.35">
      <c r="A8768" s="141" t="s">
        <v>898</v>
      </c>
      <c r="B8768" s="141" t="s">
        <v>1109</v>
      </c>
      <c r="C8768" s="141" t="s">
        <v>25</v>
      </c>
    </row>
    <row r="8769" spans="1:3" x14ac:dyDescent="0.35">
      <c r="A8769" s="141" t="s">
        <v>896</v>
      </c>
      <c r="B8769" s="141" t="s">
        <v>1109</v>
      </c>
      <c r="C8769" s="141" t="s">
        <v>25</v>
      </c>
    </row>
    <row r="8770" spans="1:3" x14ac:dyDescent="0.35">
      <c r="A8770" s="141" t="s">
        <v>963</v>
      </c>
      <c r="B8770" s="141" t="s">
        <v>1109</v>
      </c>
      <c r="C8770" s="141" t="s">
        <v>25</v>
      </c>
    </row>
    <row r="8771" spans="1:3" x14ac:dyDescent="0.35">
      <c r="A8771" s="141" t="s">
        <v>1069</v>
      </c>
      <c r="B8771" s="141" t="s">
        <v>1109</v>
      </c>
      <c r="C8771" s="141" t="s">
        <v>25</v>
      </c>
    </row>
    <row r="8772" spans="1:3" x14ac:dyDescent="0.35">
      <c r="A8772" s="141" t="s">
        <v>964</v>
      </c>
      <c r="B8772" s="141" t="s">
        <v>1109</v>
      </c>
      <c r="C8772" s="141" t="s">
        <v>25</v>
      </c>
    </row>
    <row r="8773" spans="1:3" x14ac:dyDescent="0.35">
      <c r="A8773" s="141" t="s">
        <v>863</v>
      </c>
      <c r="B8773" s="141" t="s">
        <v>1109</v>
      </c>
      <c r="C8773" s="141" t="s">
        <v>30</v>
      </c>
    </row>
    <row r="8774" spans="1:3" x14ac:dyDescent="0.35">
      <c r="A8774" s="141" t="s">
        <v>864</v>
      </c>
      <c r="B8774" s="141" t="s">
        <v>1109</v>
      </c>
      <c r="C8774" s="141" t="s">
        <v>30</v>
      </c>
    </row>
    <row r="8775" spans="1:3" x14ac:dyDescent="0.35">
      <c r="A8775" s="141" t="s">
        <v>865</v>
      </c>
      <c r="B8775" s="141" t="s">
        <v>1109</v>
      </c>
      <c r="C8775" s="141" t="s">
        <v>34</v>
      </c>
    </row>
    <row r="8776" spans="1:3" x14ac:dyDescent="0.35">
      <c r="A8776" s="141" t="s">
        <v>866</v>
      </c>
      <c r="B8776" s="141" t="s">
        <v>1109</v>
      </c>
      <c r="C8776" s="141" t="s">
        <v>34</v>
      </c>
    </row>
    <row r="8777" spans="1:3" x14ac:dyDescent="0.35">
      <c r="A8777" s="141" t="s">
        <v>784</v>
      </c>
      <c r="B8777" s="141" t="s">
        <v>1109</v>
      </c>
      <c r="C8777" s="141" t="s">
        <v>30</v>
      </c>
    </row>
    <row r="8778" spans="1:3" x14ac:dyDescent="0.35">
      <c r="A8778" s="141" t="s">
        <v>867</v>
      </c>
      <c r="B8778" s="141" t="s">
        <v>1109</v>
      </c>
      <c r="C8778" s="141" t="s">
        <v>30</v>
      </c>
    </row>
    <row r="8779" spans="1:3" x14ac:dyDescent="0.35">
      <c r="A8779" s="141" t="s">
        <v>525</v>
      </c>
      <c r="B8779" s="141" t="s">
        <v>1109</v>
      </c>
      <c r="C8779" s="141" t="s">
        <v>46</v>
      </c>
    </row>
    <row r="8780" spans="1:3" x14ac:dyDescent="0.35">
      <c r="A8780" s="141" t="s">
        <v>1001</v>
      </c>
      <c r="B8780" s="141" t="s">
        <v>1109</v>
      </c>
      <c r="C8780" s="141" t="s">
        <v>32</v>
      </c>
    </row>
    <row r="8781" spans="1:3" x14ac:dyDescent="0.35">
      <c r="A8781" s="141" t="s">
        <v>870</v>
      </c>
      <c r="B8781" s="141" t="s">
        <v>1109</v>
      </c>
      <c r="C8781" s="141" t="s">
        <v>32</v>
      </c>
    </row>
    <row r="8782" spans="1:3" x14ac:dyDescent="0.35">
      <c r="A8782" s="141" t="s">
        <v>932</v>
      </c>
      <c r="B8782" s="141" t="s">
        <v>1109</v>
      </c>
      <c r="C8782" s="141" t="s">
        <v>49</v>
      </c>
    </row>
    <row r="8783" spans="1:3" x14ac:dyDescent="0.35">
      <c r="A8783" s="141" t="s">
        <v>940</v>
      </c>
      <c r="B8783" s="141" t="s">
        <v>1109</v>
      </c>
      <c r="C8783" s="141" t="s">
        <v>49</v>
      </c>
    </row>
    <row r="8784" spans="1:3" x14ac:dyDescent="0.35">
      <c r="A8784" s="141" t="s">
        <v>941</v>
      </c>
      <c r="B8784" s="141" t="s">
        <v>1109</v>
      </c>
      <c r="C8784" s="141" t="s">
        <v>49</v>
      </c>
    </row>
    <row r="8785" spans="1:3" x14ac:dyDescent="0.35">
      <c r="A8785" s="141" t="s">
        <v>933</v>
      </c>
      <c r="B8785" s="141" t="s">
        <v>1109</v>
      </c>
      <c r="C8785" s="141" t="s">
        <v>32</v>
      </c>
    </row>
    <row r="8786" spans="1:3" x14ac:dyDescent="0.35">
      <c r="A8786" s="141" t="s">
        <v>946</v>
      </c>
      <c r="B8786" s="141" t="s">
        <v>1109</v>
      </c>
      <c r="C8786" s="141" t="s">
        <v>25</v>
      </c>
    </row>
    <row r="8787" spans="1:3" x14ac:dyDescent="0.35">
      <c r="A8787" s="141" t="s">
        <v>935</v>
      </c>
      <c r="B8787" s="141" t="s">
        <v>1109</v>
      </c>
      <c r="C8787" s="141" t="s">
        <v>32</v>
      </c>
    </row>
    <row r="8788" spans="1:3" x14ac:dyDescent="0.35">
      <c r="A8788" s="141" t="s">
        <v>937</v>
      </c>
      <c r="B8788" s="141" t="s">
        <v>1109</v>
      </c>
      <c r="C8788" s="141" t="s">
        <v>32</v>
      </c>
    </row>
    <row r="8789" spans="1:3" x14ac:dyDescent="0.35">
      <c r="A8789" s="141" t="s">
        <v>938</v>
      </c>
      <c r="B8789" s="141" t="s">
        <v>1109</v>
      </c>
      <c r="C8789" s="141" t="s">
        <v>32</v>
      </c>
    </row>
    <row r="8790" spans="1:3" x14ac:dyDescent="0.35">
      <c r="A8790" s="141" t="s">
        <v>939</v>
      </c>
      <c r="B8790" s="141" t="s">
        <v>1109</v>
      </c>
      <c r="C8790" s="141" t="s">
        <v>32</v>
      </c>
    </row>
    <row r="8791" spans="1:3" x14ac:dyDescent="0.35">
      <c r="A8791" s="141" t="s">
        <v>942</v>
      </c>
      <c r="B8791" s="141" t="s">
        <v>1109</v>
      </c>
      <c r="C8791" s="141" t="s">
        <v>32</v>
      </c>
    </row>
    <row r="8792" spans="1:3" x14ac:dyDescent="0.35">
      <c r="A8792" s="141" t="s">
        <v>943</v>
      </c>
      <c r="B8792" s="141" t="s">
        <v>1109</v>
      </c>
      <c r="C8792" s="141" t="s">
        <v>32</v>
      </c>
    </row>
    <row r="8793" spans="1:3" x14ac:dyDescent="0.35">
      <c r="A8793" s="141" t="s">
        <v>944</v>
      </c>
      <c r="B8793" s="141" t="s">
        <v>1109</v>
      </c>
      <c r="C8793" s="141" t="s">
        <v>32</v>
      </c>
    </row>
    <row r="8794" spans="1:3" x14ac:dyDescent="0.35">
      <c r="A8794" s="141" t="s">
        <v>296</v>
      </c>
      <c r="B8794" s="141" t="s">
        <v>1109</v>
      </c>
      <c r="C8794" s="141" t="s">
        <v>32</v>
      </c>
    </row>
    <row r="8795" spans="1:3" x14ac:dyDescent="0.35">
      <c r="A8795" s="141" t="s">
        <v>1070</v>
      </c>
      <c r="B8795" s="141" t="s">
        <v>1109</v>
      </c>
      <c r="C8795" s="141" t="s">
        <v>32</v>
      </c>
    </row>
    <row r="8796" spans="1:3" x14ac:dyDescent="0.35">
      <c r="A8796" s="141" t="s">
        <v>953</v>
      </c>
      <c r="B8796" s="141" t="s">
        <v>1109</v>
      </c>
      <c r="C8796" s="141" t="s">
        <v>31</v>
      </c>
    </row>
    <row r="8797" spans="1:3" x14ac:dyDescent="0.35">
      <c r="A8797" s="141" t="s">
        <v>1071</v>
      </c>
      <c r="B8797" s="141" t="s">
        <v>1109</v>
      </c>
      <c r="C8797" s="141" t="s">
        <v>32</v>
      </c>
    </row>
    <row r="8798" spans="1:3" x14ac:dyDescent="0.35">
      <c r="A8798" s="141" t="s">
        <v>861</v>
      </c>
      <c r="B8798" s="141" t="s">
        <v>1109</v>
      </c>
      <c r="C8798" s="141" t="s">
        <v>33</v>
      </c>
    </row>
    <row r="8799" spans="1:3" x14ac:dyDescent="0.35">
      <c r="A8799" s="141" t="s">
        <v>862</v>
      </c>
      <c r="B8799" s="141" t="s">
        <v>1109</v>
      </c>
      <c r="C8799" s="141" t="s">
        <v>33</v>
      </c>
    </row>
    <row r="8800" spans="1:3" x14ac:dyDescent="0.35">
      <c r="A8800" s="141" t="s">
        <v>516</v>
      </c>
      <c r="B8800" s="141" t="s">
        <v>1109</v>
      </c>
      <c r="C8800" s="141" t="s">
        <v>33</v>
      </c>
    </row>
    <row r="8801" spans="1:3" x14ac:dyDescent="0.35">
      <c r="A8801" s="141" t="s">
        <v>892</v>
      </c>
      <c r="B8801" s="141" t="s">
        <v>1109</v>
      </c>
      <c r="C8801" s="141" t="s">
        <v>33</v>
      </c>
    </row>
    <row r="8802" spans="1:3" x14ac:dyDescent="0.35">
      <c r="A8802" s="141" t="s">
        <v>893</v>
      </c>
      <c r="B8802" s="141" t="s">
        <v>1109</v>
      </c>
      <c r="C8802" s="141" t="s">
        <v>33</v>
      </c>
    </row>
    <row r="8803" spans="1:3" x14ac:dyDescent="0.35">
      <c r="A8803" s="141" t="s">
        <v>894</v>
      </c>
      <c r="B8803" s="141" t="s">
        <v>1109</v>
      </c>
      <c r="C8803" s="141" t="s">
        <v>33</v>
      </c>
    </row>
    <row r="8804" spans="1:3" x14ac:dyDescent="0.35">
      <c r="A8804" s="141" t="s">
        <v>954</v>
      </c>
      <c r="B8804" s="141" t="s">
        <v>1109</v>
      </c>
      <c r="C8804" s="141" t="s">
        <v>35</v>
      </c>
    </row>
    <row r="8805" spans="1:3" x14ac:dyDescent="0.35">
      <c r="A8805" s="141" t="s">
        <v>955</v>
      </c>
      <c r="B8805" s="141" t="s">
        <v>1109</v>
      </c>
      <c r="C8805" s="141" t="s">
        <v>33</v>
      </c>
    </row>
    <row r="8806" spans="1:3" x14ac:dyDescent="0.35">
      <c r="A8806" s="141" t="s">
        <v>956</v>
      </c>
      <c r="B8806" s="141" t="s">
        <v>1109</v>
      </c>
      <c r="C8806" s="141" t="s">
        <v>33</v>
      </c>
    </row>
    <row r="8807" spans="1:3" x14ac:dyDescent="0.35">
      <c r="A8807" s="141" t="s">
        <v>706</v>
      </c>
      <c r="B8807" s="141" t="s">
        <v>1109</v>
      </c>
      <c r="C8807" s="141" t="s">
        <v>31</v>
      </c>
    </row>
    <row r="8808" spans="1:3" x14ac:dyDescent="0.35">
      <c r="A8808" s="141" t="s">
        <v>707</v>
      </c>
      <c r="B8808" s="141" t="s">
        <v>1109</v>
      </c>
      <c r="C8808" s="141" t="s">
        <v>31</v>
      </c>
    </row>
    <row r="8809" spans="1:3" x14ac:dyDescent="0.35">
      <c r="A8809" s="141" t="s">
        <v>708</v>
      </c>
      <c r="B8809" s="141" t="s">
        <v>1109</v>
      </c>
      <c r="C8809" s="141" t="s">
        <v>31</v>
      </c>
    </row>
    <row r="8810" spans="1:3" x14ac:dyDescent="0.35">
      <c r="A8810" s="141" t="s">
        <v>709</v>
      </c>
      <c r="B8810" s="141" t="s">
        <v>1109</v>
      </c>
      <c r="C8810" s="141" t="s">
        <v>31</v>
      </c>
    </row>
    <row r="8811" spans="1:3" x14ac:dyDescent="0.35">
      <c r="A8811" s="141" t="s">
        <v>710</v>
      </c>
      <c r="B8811" s="141" t="s">
        <v>1109</v>
      </c>
      <c r="C8811" s="141" t="s">
        <v>31</v>
      </c>
    </row>
    <row r="8812" spans="1:3" x14ac:dyDescent="0.35">
      <c r="A8812" s="141" t="s">
        <v>456</v>
      </c>
      <c r="B8812" s="141" t="s">
        <v>1109</v>
      </c>
      <c r="C8812" s="141" t="s">
        <v>31</v>
      </c>
    </row>
    <row r="8813" spans="1:3" x14ac:dyDescent="0.35">
      <c r="A8813" s="141" t="s">
        <v>297</v>
      </c>
      <c r="B8813" s="141" t="s">
        <v>1109</v>
      </c>
      <c r="C8813" s="141" t="s">
        <v>32</v>
      </c>
    </row>
    <row r="8814" spans="1:3" x14ac:dyDescent="0.35">
      <c r="A8814" s="141" t="s">
        <v>298</v>
      </c>
      <c r="B8814" s="141" t="s">
        <v>1109</v>
      </c>
      <c r="C8814" s="141" t="s">
        <v>32</v>
      </c>
    </row>
    <row r="8815" spans="1:3" x14ac:dyDescent="0.35">
      <c r="A8815" s="141" t="s">
        <v>299</v>
      </c>
      <c r="B8815" s="141" t="s">
        <v>1109</v>
      </c>
      <c r="C8815" s="141" t="s">
        <v>32</v>
      </c>
    </row>
    <row r="8816" spans="1:3" x14ac:dyDescent="0.35">
      <c r="A8816" s="141" t="s">
        <v>300</v>
      </c>
      <c r="B8816" s="141" t="s">
        <v>1109</v>
      </c>
      <c r="C8816" s="141" t="s">
        <v>32</v>
      </c>
    </row>
    <row r="8817" spans="1:3" x14ac:dyDescent="0.35">
      <c r="A8817" s="141" t="s">
        <v>301</v>
      </c>
      <c r="B8817" s="141" t="s">
        <v>1109</v>
      </c>
      <c r="C8817" s="141" t="s">
        <v>32</v>
      </c>
    </row>
    <row r="8818" spans="1:3" x14ac:dyDescent="0.35">
      <c r="A8818" s="141" t="s">
        <v>302</v>
      </c>
      <c r="B8818" s="141" t="s">
        <v>1109</v>
      </c>
      <c r="C8818" s="141" t="s">
        <v>32</v>
      </c>
    </row>
    <row r="8819" spans="1:3" x14ac:dyDescent="0.35">
      <c r="A8819" s="141" t="s">
        <v>997</v>
      </c>
      <c r="B8819" s="141" t="s">
        <v>1109</v>
      </c>
      <c r="C8819" s="141" t="s">
        <v>32</v>
      </c>
    </row>
    <row r="8820" spans="1:3" x14ac:dyDescent="0.35">
      <c r="A8820" s="141" t="s">
        <v>902</v>
      </c>
      <c r="B8820" s="141" t="s">
        <v>1109</v>
      </c>
      <c r="C8820" s="141" t="s">
        <v>31</v>
      </c>
    </row>
    <row r="8821" spans="1:3" x14ac:dyDescent="0.35">
      <c r="A8821" s="141" t="s">
        <v>903</v>
      </c>
      <c r="B8821" s="141" t="s">
        <v>1109</v>
      </c>
      <c r="C8821" s="141" t="s">
        <v>31</v>
      </c>
    </row>
    <row r="8822" spans="1:3" x14ac:dyDescent="0.35">
      <c r="A8822" s="141" t="s">
        <v>904</v>
      </c>
      <c r="B8822" s="141" t="s">
        <v>1109</v>
      </c>
      <c r="C8822" s="141" t="s">
        <v>31</v>
      </c>
    </row>
    <row r="8823" spans="1:3" x14ac:dyDescent="0.35">
      <c r="A8823" s="141" t="s">
        <v>905</v>
      </c>
      <c r="B8823" s="141" t="s">
        <v>1109</v>
      </c>
      <c r="C8823" s="141" t="s">
        <v>31</v>
      </c>
    </row>
    <row r="8824" spans="1:3" x14ac:dyDescent="0.35">
      <c r="A8824" s="141" t="s">
        <v>906</v>
      </c>
      <c r="B8824" s="141" t="s">
        <v>1109</v>
      </c>
      <c r="C8824" s="141" t="s">
        <v>31</v>
      </c>
    </row>
    <row r="8825" spans="1:3" x14ac:dyDescent="0.35">
      <c r="A8825" s="141" t="s">
        <v>907</v>
      </c>
      <c r="B8825" s="141" t="s">
        <v>1109</v>
      </c>
      <c r="C8825" s="141" t="s">
        <v>31</v>
      </c>
    </row>
    <row r="8826" spans="1:3" x14ac:dyDescent="0.35">
      <c r="A8826" s="141" t="s">
        <v>908</v>
      </c>
      <c r="B8826" s="141" t="s">
        <v>1109</v>
      </c>
      <c r="C8826" s="141" t="s">
        <v>31</v>
      </c>
    </row>
    <row r="8827" spans="1:3" x14ac:dyDescent="0.35">
      <c r="A8827" s="141" t="s">
        <v>909</v>
      </c>
      <c r="B8827" s="141" t="s">
        <v>1109</v>
      </c>
      <c r="C8827" s="141" t="s">
        <v>31</v>
      </c>
    </row>
    <row r="8828" spans="1:3" x14ac:dyDescent="0.35">
      <c r="A8828" s="141" t="s">
        <v>1072</v>
      </c>
      <c r="B8828" s="141" t="s">
        <v>1109</v>
      </c>
      <c r="C8828" s="141" t="s">
        <v>28</v>
      </c>
    </row>
    <row r="8829" spans="1:3" x14ac:dyDescent="0.35">
      <c r="A8829" s="141" t="s">
        <v>1073</v>
      </c>
      <c r="B8829" s="141" t="s">
        <v>1109</v>
      </c>
      <c r="C8829" s="141" t="s">
        <v>28</v>
      </c>
    </row>
    <row r="8830" spans="1:3" x14ac:dyDescent="0.35">
      <c r="A8830" s="141" t="s">
        <v>1074</v>
      </c>
      <c r="B8830" s="141" t="s">
        <v>1109</v>
      </c>
      <c r="C8830" s="141" t="s">
        <v>29</v>
      </c>
    </row>
    <row r="8831" spans="1:3" x14ac:dyDescent="0.35">
      <c r="A8831" s="141" t="s">
        <v>1075</v>
      </c>
      <c r="B8831" s="141" t="s">
        <v>1109</v>
      </c>
      <c r="C8831" s="141" t="s">
        <v>29</v>
      </c>
    </row>
    <row r="8832" spans="1:3" x14ac:dyDescent="0.35">
      <c r="A8832" s="141" t="s">
        <v>1076</v>
      </c>
      <c r="B8832" s="141" t="s">
        <v>1109</v>
      </c>
      <c r="C8832" s="141" t="s">
        <v>29</v>
      </c>
    </row>
    <row r="8833" spans="1:3" x14ac:dyDescent="0.35">
      <c r="A8833" s="141" t="s">
        <v>1077</v>
      </c>
      <c r="B8833" s="141" t="s">
        <v>1109</v>
      </c>
      <c r="C8833" s="141" t="s">
        <v>29</v>
      </c>
    </row>
    <row r="8834" spans="1:3" x14ac:dyDescent="0.35">
      <c r="A8834" s="141" t="s">
        <v>1078</v>
      </c>
      <c r="B8834" s="141" t="s">
        <v>1109</v>
      </c>
      <c r="C8834" s="141" t="s">
        <v>33</v>
      </c>
    </row>
    <row r="8835" spans="1:3" x14ac:dyDescent="0.35">
      <c r="A8835" s="141" t="s">
        <v>1079</v>
      </c>
      <c r="B8835" s="141" t="s">
        <v>1109</v>
      </c>
      <c r="C8835" s="141" t="s">
        <v>33</v>
      </c>
    </row>
    <row r="8836" spans="1:3" x14ac:dyDescent="0.35">
      <c r="A8836" s="141" t="s">
        <v>1080</v>
      </c>
      <c r="B8836" s="141" t="s">
        <v>1109</v>
      </c>
      <c r="C8836" s="141" t="s">
        <v>33</v>
      </c>
    </row>
    <row r="8837" spans="1:3" x14ac:dyDescent="0.35">
      <c r="A8837" s="141" t="s">
        <v>1057</v>
      </c>
      <c r="B8837" s="141" t="s">
        <v>1109</v>
      </c>
      <c r="C8837" s="141" t="s">
        <v>33</v>
      </c>
    </row>
    <row r="8838" spans="1:3" x14ac:dyDescent="0.35">
      <c r="A8838" s="141" t="s">
        <v>1058</v>
      </c>
      <c r="B8838" s="141" t="s">
        <v>1109</v>
      </c>
      <c r="C8838" s="141" t="s">
        <v>33</v>
      </c>
    </row>
    <row r="8839" spans="1:3" x14ac:dyDescent="0.35">
      <c r="A8839" s="141" t="s">
        <v>914</v>
      </c>
      <c r="B8839" s="141" t="s">
        <v>1109</v>
      </c>
      <c r="C8839" s="141" t="s">
        <v>33</v>
      </c>
    </row>
    <row r="8840" spans="1:3" x14ac:dyDescent="0.35">
      <c r="A8840" s="141" t="s">
        <v>1056</v>
      </c>
      <c r="B8840" s="141" t="s">
        <v>1109</v>
      </c>
      <c r="C8840" s="141" t="s">
        <v>36</v>
      </c>
    </row>
    <row r="8841" spans="1:3" x14ac:dyDescent="0.35">
      <c r="A8841" s="141" t="s">
        <v>347</v>
      </c>
      <c r="B8841" s="141" t="s">
        <v>1109</v>
      </c>
      <c r="C8841" s="141" t="s">
        <v>37</v>
      </c>
    </row>
    <row r="8842" spans="1:3" x14ac:dyDescent="0.35">
      <c r="A8842" s="141" t="s">
        <v>348</v>
      </c>
      <c r="B8842" s="141" t="s">
        <v>1109</v>
      </c>
      <c r="C8842" s="141" t="s">
        <v>37</v>
      </c>
    </row>
    <row r="8843" spans="1:3" x14ac:dyDescent="0.35">
      <c r="A8843" s="141" t="s">
        <v>349</v>
      </c>
      <c r="B8843" s="141" t="s">
        <v>1109</v>
      </c>
      <c r="C8843" s="141" t="s">
        <v>37</v>
      </c>
    </row>
    <row r="8844" spans="1:3" x14ac:dyDescent="0.35">
      <c r="A8844" s="141" t="s">
        <v>926</v>
      </c>
      <c r="B8844" s="141" t="s">
        <v>1109</v>
      </c>
      <c r="C8844" s="141" t="s">
        <v>37</v>
      </c>
    </row>
    <row r="8845" spans="1:3" x14ac:dyDescent="0.35">
      <c r="A8845" s="141" t="s">
        <v>927</v>
      </c>
      <c r="B8845" s="141" t="s">
        <v>1109</v>
      </c>
      <c r="C8845" s="141" t="s">
        <v>37</v>
      </c>
    </row>
    <row r="8846" spans="1:3" x14ac:dyDescent="0.35">
      <c r="A8846" s="141" t="s">
        <v>931</v>
      </c>
      <c r="B8846" s="141" t="s">
        <v>1109</v>
      </c>
      <c r="C8846" s="141" t="s">
        <v>36</v>
      </c>
    </row>
    <row r="8847" spans="1:3" x14ac:dyDescent="0.35">
      <c r="A8847" s="141" t="s">
        <v>570</v>
      </c>
      <c r="B8847" s="141" t="s">
        <v>1109</v>
      </c>
      <c r="C8847" s="141" t="s">
        <v>52</v>
      </c>
    </row>
    <row r="8848" spans="1:3" x14ac:dyDescent="0.35">
      <c r="A8848" s="141" t="s">
        <v>855</v>
      </c>
      <c r="B8848" s="141" t="s">
        <v>1109</v>
      </c>
      <c r="C8848" s="141" t="s">
        <v>52</v>
      </c>
    </row>
    <row r="8849" spans="1:3" x14ac:dyDescent="0.35">
      <c r="A8849" s="141" t="s">
        <v>1022</v>
      </c>
      <c r="B8849" s="141" t="s">
        <v>1109</v>
      </c>
      <c r="C8849" s="141" t="s">
        <v>29</v>
      </c>
    </row>
    <row r="8850" spans="1:3" x14ac:dyDescent="0.35">
      <c r="A8850" s="141" t="s">
        <v>1020</v>
      </c>
      <c r="B8850" s="141" t="s">
        <v>1109</v>
      </c>
      <c r="C8850" s="141" t="s">
        <v>29</v>
      </c>
    </row>
    <row r="8851" spans="1:3" x14ac:dyDescent="0.35">
      <c r="A8851" s="141" t="s">
        <v>1021</v>
      </c>
      <c r="B8851" s="141" t="s">
        <v>1109</v>
      </c>
      <c r="C8851" s="141" t="s">
        <v>29</v>
      </c>
    </row>
    <row r="8852" spans="1:3" x14ac:dyDescent="0.35">
      <c r="A8852" s="141" t="s">
        <v>1081</v>
      </c>
      <c r="B8852" s="141" t="s">
        <v>1109</v>
      </c>
      <c r="C8852" s="141" t="s">
        <v>52</v>
      </c>
    </row>
    <row r="8853" spans="1:3" x14ac:dyDescent="0.35">
      <c r="A8853" s="141" t="s">
        <v>1082</v>
      </c>
      <c r="B8853" s="141" t="s">
        <v>1109</v>
      </c>
      <c r="C8853" s="141" t="s">
        <v>52</v>
      </c>
    </row>
    <row r="8854" spans="1:3" x14ac:dyDescent="0.35">
      <c r="A8854" s="141" t="s">
        <v>601</v>
      </c>
      <c r="B8854" s="141" t="s">
        <v>1109</v>
      </c>
      <c r="C8854" s="141" t="s">
        <v>40</v>
      </c>
    </row>
    <row r="8855" spans="1:3" x14ac:dyDescent="0.35">
      <c r="A8855" s="141" t="s">
        <v>602</v>
      </c>
      <c r="B8855" s="141" t="s">
        <v>1109</v>
      </c>
      <c r="C8855" s="141" t="s">
        <v>39</v>
      </c>
    </row>
    <row r="8856" spans="1:3" x14ac:dyDescent="0.35">
      <c r="A8856" s="141" t="s">
        <v>1006</v>
      </c>
      <c r="B8856" s="141" t="s">
        <v>1109</v>
      </c>
      <c r="C8856" s="141" t="s">
        <v>41</v>
      </c>
    </row>
    <row r="8857" spans="1:3" x14ac:dyDescent="0.35">
      <c r="A8857" s="141" t="s">
        <v>737</v>
      </c>
      <c r="B8857" s="141" t="s">
        <v>1109</v>
      </c>
      <c r="C8857" s="141" t="s">
        <v>41</v>
      </c>
    </row>
    <row r="8858" spans="1:3" x14ac:dyDescent="0.35">
      <c r="A8858" s="141" t="s">
        <v>1083</v>
      </c>
      <c r="B8858" s="141" t="s">
        <v>1109</v>
      </c>
      <c r="C8858" s="141" t="s">
        <v>41</v>
      </c>
    </row>
    <row r="8859" spans="1:3" x14ac:dyDescent="0.35">
      <c r="A8859" s="141" t="s">
        <v>1084</v>
      </c>
      <c r="B8859" s="141" t="s">
        <v>1109</v>
      </c>
      <c r="C8859" s="141" t="s">
        <v>41</v>
      </c>
    </row>
    <row r="8860" spans="1:3" x14ac:dyDescent="0.35">
      <c r="A8860" s="141" t="s">
        <v>797</v>
      </c>
      <c r="B8860" s="141" t="s">
        <v>1109</v>
      </c>
      <c r="C8860" s="141" t="s">
        <v>41</v>
      </c>
    </row>
    <row r="8861" spans="1:3" x14ac:dyDescent="0.35">
      <c r="A8861" s="141" t="s">
        <v>1007</v>
      </c>
      <c r="B8861" s="141" t="s">
        <v>1109</v>
      </c>
      <c r="C8861" s="141" t="s">
        <v>40</v>
      </c>
    </row>
    <row r="8862" spans="1:3" x14ac:dyDescent="0.35">
      <c r="A8862" s="141" t="s">
        <v>1085</v>
      </c>
      <c r="B8862" s="141" t="s">
        <v>1109</v>
      </c>
      <c r="C8862" s="141" t="s">
        <v>42</v>
      </c>
    </row>
    <row r="8863" spans="1:3" x14ac:dyDescent="0.35">
      <c r="A8863" s="141" t="s">
        <v>989</v>
      </c>
      <c r="B8863" s="141" t="s">
        <v>1109</v>
      </c>
      <c r="C8863" s="141" t="s">
        <v>42</v>
      </c>
    </row>
    <row r="8864" spans="1:3" x14ac:dyDescent="0.35">
      <c r="A8864" s="141" t="s">
        <v>807</v>
      </c>
      <c r="B8864" s="141" t="s">
        <v>1109</v>
      </c>
      <c r="C8864" s="141" t="s">
        <v>3</v>
      </c>
    </row>
    <row r="8865" spans="1:3" x14ac:dyDescent="0.35">
      <c r="A8865" s="141" t="s">
        <v>1086</v>
      </c>
      <c r="B8865" s="141" t="s">
        <v>1109</v>
      </c>
      <c r="C8865" s="141" t="s">
        <v>30</v>
      </c>
    </row>
    <row r="8866" spans="1:3" x14ac:dyDescent="0.35">
      <c r="A8866" s="141" t="s">
        <v>1087</v>
      </c>
      <c r="B8866" s="141" t="s">
        <v>1109</v>
      </c>
      <c r="C8866" s="141" t="s">
        <v>30</v>
      </c>
    </row>
    <row r="8867" spans="1:3" x14ac:dyDescent="0.35">
      <c r="A8867" s="141" t="s">
        <v>1088</v>
      </c>
      <c r="B8867" s="141" t="s">
        <v>1109</v>
      </c>
      <c r="C8867" s="141" t="s">
        <v>48</v>
      </c>
    </row>
    <row r="8868" spans="1:3" x14ac:dyDescent="0.35">
      <c r="A8868" s="141" t="s">
        <v>1089</v>
      </c>
      <c r="B8868" s="141" t="s">
        <v>1109</v>
      </c>
      <c r="C8868" s="141" t="s">
        <v>30</v>
      </c>
    </row>
    <row r="8869" spans="1:3" x14ac:dyDescent="0.35">
      <c r="A8869" s="141" t="s">
        <v>1090</v>
      </c>
      <c r="B8869" s="141" t="s">
        <v>1109</v>
      </c>
      <c r="C8869" s="141" t="s">
        <v>30</v>
      </c>
    </row>
    <row r="8870" spans="1:3" x14ac:dyDescent="0.35">
      <c r="A8870" s="141" t="s">
        <v>1091</v>
      </c>
      <c r="B8870" s="141" t="s">
        <v>1109</v>
      </c>
      <c r="C8870" s="141" t="s">
        <v>31</v>
      </c>
    </row>
    <row r="8871" spans="1:3" x14ac:dyDescent="0.35">
      <c r="A8871" s="141" t="s">
        <v>1092</v>
      </c>
      <c r="B8871" s="141" t="s">
        <v>1109</v>
      </c>
      <c r="C8871" s="141" t="s">
        <v>47</v>
      </c>
    </row>
    <row r="8872" spans="1:3" x14ac:dyDescent="0.35">
      <c r="A8872" s="141" t="s">
        <v>1093</v>
      </c>
      <c r="B8872" s="141" t="s">
        <v>1109</v>
      </c>
      <c r="C8872" s="141" t="s">
        <v>30</v>
      </c>
    </row>
    <row r="8873" spans="1:3" x14ac:dyDescent="0.35">
      <c r="A8873" s="141" t="s">
        <v>1094</v>
      </c>
      <c r="B8873" s="141" t="s">
        <v>1109</v>
      </c>
      <c r="C8873" s="141" t="s">
        <v>30</v>
      </c>
    </row>
    <row r="8874" spans="1:3" x14ac:dyDescent="0.35">
      <c r="A8874" s="141" t="s">
        <v>305</v>
      </c>
      <c r="B8874" s="141" t="s">
        <v>1109</v>
      </c>
      <c r="C8874" s="141" t="s">
        <v>21</v>
      </c>
    </row>
    <row r="8875" spans="1:3" x14ac:dyDescent="0.35">
      <c r="A8875" s="141" t="s">
        <v>977</v>
      </c>
      <c r="B8875" s="141" t="s">
        <v>1109</v>
      </c>
      <c r="C8875" s="141" t="s">
        <v>52</v>
      </c>
    </row>
    <row r="8876" spans="1:3" x14ac:dyDescent="0.35">
      <c r="A8876" s="141" t="s">
        <v>343</v>
      </c>
      <c r="B8876" s="141" t="s">
        <v>1109</v>
      </c>
      <c r="C8876" s="141" t="s">
        <v>30</v>
      </c>
    </row>
    <row r="8877" spans="1:3" x14ac:dyDescent="0.35">
      <c r="A8877" s="141" t="s">
        <v>1095</v>
      </c>
      <c r="B8877" s="141" t="s">
        <v>1109</v>
      </c>
      <c r="C8877" s="141" t="s">
        <v>49</v>
      </c>
    </row>
    <row r="8878" spans="1:3" x14ac:dyDescent="0.35">
      <c r="A8878" s="141" t="s">
        <v>1096</v>
      </c>
      <c r="B8878" s="141" t="s">
        <v>1109</v>
      </c>
      <c r="C8878" s="141" t="s">
        <v>49</v>
      </c>
    </row>
    <row r="8879" spans="1:3" x14ac:dyDescent="0.35">
      <c r="A8879" s="141" t="s">
        <v>1095</v>
      </c>
      <c r="B8879" s="141" t="s">
        <v>1109</v>
      </c>
      <c r="C8879" s="141" t="s">
        <v>49</v>
      </c>
    </row>
    <row r="8880" spans="1:3" x14ac:dyDescent="0.35">
      <c r="A8880" s="141" t="s">
        <v>306</v>
      </c>
      <c r="B8880" s="141" t="s">
        <v>1109</v>
      </c>
      <c r="C8880" s="141" t="s">
        <v>35</v>
      </c>
    </row>
    <row r="8881" spans="1:3" x14ac:dyDescent="0.35">
      <c r="A8881" s="141" t="s">
        <v>1031</v>
      </c>
      <c r="B8881" s="141" t="s">
        <v>1109</v>
      </c>
      <c r="C8881" s="141" t="s">
        <v>35</v>
      </c>
    </row>
    <row r="8882" spans="1:3" x14ac:dyDescent="0.35">
      <c r="A8882" s="141" t="s">
        <v>1040</v>
      </c>
      <c r="B8882" s="141" t="s">
        <v>1109</v>
      </c>
      <c r="C8882" s="141" t="s">
        <v>35</v>
      </c>
    </row>
    <row r="8883" spans="1:3" x14ac:dyDescent="0.35">
      <c r="A8883" s="141" t="s">
        <v>740</v>
      </c>
      <c r="B8883" s="141" t="s">
        <v>1109</v>
      </c>
      <c r="C8883" s="141" t="s">
        <v>33</v>
      </c>
    </row>
    <row r="8884" spans="1:3" x14ac:dyDescent="0.35">
      <c r="A8884" s="141" t="s">
        <v>1046</v>
      </c>
      <c r="B8884" s="141" t="s">
        <v>1109</v>
      </c>
      <c r="C8884" s="141" t="s">
        <v>33</v>
      </c>
    </row>
    <row r="8885" spans="1:3" x14ac:dyDescent="0.35">
      <c r="A8885" s="141" t="s">
        <v>1032</v>
      </c>
      <c r="B8885" s="141" t="s">
        <v>1109</v>
      </c>
      <c r="C8885" s="141" t="s">
        <v>33</v>
      </c>
    </row>
    <row r="8886" spans="1:3" x14ac:dyDescent="0.35">
      <c r="A8886" s="141" t="s">
        <v>1033</v>
      </c>
      <c r="B8886" s="141" t="s">
        <v>1109</v>
      </c>
      <c r="C8886" s="141" t="s">
        <v>33</v>
      </c>
    </row>
    <row r="8887" spans="1:3" x14ac:dyDescent="0.35">
      <c r="A8887" s="141" t="s">
        <v>1034</v>
      </c>
      <c r="B8887" s="141" t="s">
        <v>1109</v>
      </c>
      <c r="C8887" s="141" t="s">
        <v>33</v>
      </c>
    </row>
    <row r="8888" spans="1:3" x14ac:dyDescent="0.35">
      <c r="A8888" s="141" t="s">
        <v>308</v>
      </c>
      <c r="B8888" s="141" t="s">
        <v>1109</v>
      </c>
      <c r="C8888" s="141" t="s">
        <v>53</v>
      </c>
    </row>
    <row r="8889" spans="1:3" x14ac:dyDescent="0.35">
      <c r="A8889" s="141" t="s">
        <v>309</v>
      </c>
      <c r="B8889" s="141" t="s">
        <v>1109</v>
      </c>
      <c r="C8889" s="141" t="s">
        <v>53</v>
      </c>
    </row>
    <row r="8890" spans="1:3" x14ac:dyDescent="0.35">
      <c r="A8890" s="141" t="s">
        <v>311</v>
      </c>
      <c r="B8890" s="141" t="s">
        <v>1109</v>
      </c>
      <c r="C8890" s="141" t="s">
        <v>53</v>
      </c>
    </row>
    <row r="8891" spans="1:3" x14ac:dyDescent="0.35">
      <c r="A8891" s="141" t="s">
        <v>1097</v>
      </c>
      <c r="B8891" s="141" t="s">
        <v>1109</v>
      </c>
      <c r="C8891" s="141" t="s">
        <v>53</v>
      </c>
    </row>
    <row r="8892" spans="1:3" x14ac:dyDescent="0.35">
      <c r="A8892" s="141" t="s">
        <v>1098</v>
      </c>
      <c r="B8892" s="141" t="s">
        <v>1109</v>
      </c>
      <c r="C8892" s="141" t="s">
        <v>53</v>
      </c>
    </row>
    <row r="8893" spans="1:3" x14ac:dyDescent="0.35">
      <c r="A8893" s="141" t="s">
        <v>1099</v>
      </c>
      <c r="B8893" s="141" t="s">
        <v>1109</v>
      </c>
      <c r="C8893" s="141" t="s">
        <v>53</v>
      </c>
    </row>
    <row r="8894" spans="1:3" x14ac:dyDescent="0.35">
      <c r="A8894" s="141" t="s">
        <v>531</v>
      </c>
      <c r="B8894" s="141" t="s">
        <v>1109</v>
      </c>
      <c r="C8894" s="141" t="s">
        <v>51</v>
      </c>
    </row>
    <row r="8895" spans="1:3" x14ac:dyDescent="0.35">
      <c r="A8895" s="141" t="s">
        <v>741</v>
      </c>
      <c r="B8895" s="141" t="s">
        <v>1109</v>
      </c>
      <c r="C8895" s="141" t="s">
        <v>51</v>
      </c>
    </row>
    <row r="8896" spans="1:3" x14ac:dyDescent="0.35">
      <c r="A8896" s="141" t="s">
        <v>742</v>
      </c>
      <c r="B8896" s="141" t="s">
        <v>1109</v>
      </c>
      <c r="C8896" s="141" t="s">
        <v>51</v>
      </c>
    </row>
    <row r="8897" spans="1:3" x14ac:dyDescent="0.35">
      <c r="A8897" s="141" t="s">
        <v>743</v>
      </c>
      <c r="B8897" s="141" t="s">
        <v>1109</v>
      </c>
      <c r="C8897" s="141" t="s">
        <v>51</v>
      </c>
    </row>
    <row r="8898" spans="1:3" x14ac:dyDescent="0.35">
      <c r="A8898" s="141" t="s">
        <v>747</v>
      </c>
      <c r="B8898" s="141" t="s">
        <v>1109</v>
      </c>
      <c r="C8898" s="141" t="s">
        <v>51</v>
      </c>
    </row>
    <row r="8899" spans="1:3" x14ac:dyDescent="0.35">
      <c r="A8899" s="141" t="s">
        <v>748</v>
      </c>
      <c r="B8899" s="141" t="s">
        <v>1109</v>
      </c>
      <c r="C8899" s="141" t="s">
        <v>51</v>
      </c>
    </row>
    <row r="8900" spans="1:3" x14ac:dyDescent="0.35">
      <c r="A8900" s="141" t="s">
        <v>313</v>
      </c>
      <c r="B8900" s="141" t="s">
        <v>1109</v>
      </c>
      <c r="C8900" s="141" t="s">
        <v>51</v>
      </c>
    </row>
    <row r="8901" spans="1:3" x14ac:dyDescent="0.35">
      <c r="A8901" s="141" t="s">
        <v>338</v>
      </c>
      <c r="B8901" s="141" t="s">
        <v>1109</v>
      </c>
      <c r="C8901" s="141" t="s">
        <v>20</v>
      </c>
    </row>
    <row r="8902" spans="1:3" x14ac:dyDescent="0.35">
      <c r="A8902" s="141" t="s">
        <v>533</v>
      </c>
      <c r="B8902" s="141" t="s">
        <v>1109</v>
      </c>
      <c r="C8902" s="141" t="s">
        <v>50</v>
      </c>
    </row>
    <row r="8903" spans="1:3" x14ac:dyDescent="0.35">
      <c r="A8903" s="141" t="s">
        <v>1100</v>
      </c>
      <c r="B8903" s="141" t="s">
        <v>1109</v>
      </c>
      <c r="C8903" s="141" t="s">
        <v>53</v>
      </c>
    </row>
    <row r="8904" spans="1:3" x14ac:dyDescent="0.35">
      <c r="A8904" s="141" t="s">
        <v>1101</v>
      </c>
      <c r="B8904" s="141" t="s">
        <v>1109</v>
      </c>
      <c r="C8904" s="141" t="s">
        <v>53</v>
      </c>
    </row>
    <row r="8905" spans="1:3" x14ac:dyDescent="0.35">
      <c r="A8905" s="141" t="s">
        <v>1102</v>
      </c>
      <c r="B8905" s="141" t="s">
        <v>1109</v>
      </c>
      <c r="C8905" s="141" t="s">
        <v>53</v>
      </c>
    </row>
    <row r="8906" spans="1:3" x14ac:dyDescent="0.35">
      <c r="A8906" s="141" t="s">
        <v>969</v>
      </c>
      <c r="B8906" s="141" t="s">
        <v>1109</v>
      </c>
      <c r="C8906" s="141" t="s">
        <v>53</v>
      </c>
    </row>
    <row r="8907" spans="1:3" x14ac:dyDescent="0.35">
      <c r="A8907" s="141" t="s">
        <v>970</v>
      </c>
      <c r="B8907" s="141" t="s">
        <v>1109</v>
      </c>
      <c r="C8907" s="141" t="s">
        <v>53</v>
      </c>
    </row>
    <row r="8908" spans="1:3" x14ac:dyDescent="0.35">
      <c r="A8908" s="141" t="s">
        <v>873</v>
      </c>
      <c r="B8908" s="141" t="s">
        <v>1109</v>
      </c>
      <c r="C8908" s="141" t="s">
        <v>52</v>
      </c>
    </row>
    <row r="8909" spans="1:3" x14ac:dyDescent="0.35">
      <c r="A8909" s="141" t="s">
        <v>874</v>
      </c>
      <c r="B8909" s="141" t="s">
        <v>1109</v>
      </c>
      <c r="C8909" s="141" t="s">
        <v>52</v>
      </c>
    </row>
    <row r="8910" spans="1:3" x14ac:dyDescent="0.35">
      <c r="A8910" s="141" t="s">
        <v>1003</v>
      </c>
      <c r="B8910" s="141" t="s">
        <v>1109</v>
      </c>
      <c r="C8910" s="141" t="s">
        <v>52</v>
      </c>
    </row>
    <row r="8911" spans="1:3" x14ac:dyDescent="0.35">
      <c r="A8911" s="141" t="s">
        <v>875</v>
      </c>
      <c r="B8911" s="141" t="s">
        <v>1109</v>
      </c>
      <c r="C8911" s="141" t="s">
        <v>52</v>
      </c>
    </row>
    <row r="8912" spans="1:3" x14ac:dyDescent="0.35">
      <c r="A8912" s="141" t="s">
        <v>876</v>
      </c>
      <c r="B8912" s="141" t="s">
        <v>1109</v>
      </c>
      <c r="C8912" s="141" t="s">
        <v>52</v>
      </c>
    </row>
    <row r="8913" spans="1:3" x14ac:dyDescent="0.35">
      <c r="A8913" s="141" t="s">
        <v>877</v>
      </c>
      <c r="B8913" s="141" t="s">
        <v>1109</v>
      </c>
      <c r="C8913" s="141" t="s">
        <v>52</v>
      </c>
    </row>
    <row r="8914" spans="1:3" x14ac:dyDescent="0.35">
      <c r="A8914" s="141" t="s">
        <v>878</v>
      </c>
      <c r="B8914" s="141" t="s">
        <v>1109</v>
      </c>
      <c r="C8914" s="141" t="s">
        <v>52</v>
      </c>
    </row>
    <row r="8915" spans="1:3" x14ac:dyDescent="0.35">
      <c r="A8915" s="141" t="s">
        <v>539</v>
      </c>
      <c r="B8915" s="141" t="s">
        <v>1109</v>
      </c>
      <c r="C8915" s="141" t="s">
        <v>52</v>
      </c>
    </row>
    <row r="8916" spans="1:3" x14ac:dyDescent="0.35">
      <c r="A8916" s="141" t="s">
        <v>1055</v>
      </c>
      <c r="B8916" s="141" t="s">
        <v>1109</v>
      </c>
      <c r="C8916" s="141" t="s">
        <v>53</v>
      </c>
    </row>
    <row r="8917" spans="1:3" x14ac:dyDescent="0.35">
      <c r="A8917" s="141" t="s">
        <v>540</v>
      </c>
      <c r="B8917" s="141" t="s">
        <v>1109</v>
      </c>
      <c r="C8917" s="141" t="s">
        <v>52</v>
      </c>
    </row>
    <row r="8918" spans="1:3" x14ac:dyDescent="0.35">
      <c r="A8918" s="141" t="s">
        <v>812</v>
      </c>
      <c r="B8918" s="141" t="s">
        <v>1109</v>
      </c>
      <c r="C8918" s="141" t="s">
        <v>52</v>
      </c>
    </row>
    <row r="8919" spans="1:3" x14ac:dyDescent="0.35">
      <c r="A8919" s="141" t="s">
        <v>803</v>
      </c>
      <c r="B8919" s="141" t="s">
        <v>1109</v>
      </c>
      <c r="C8919" s="141" t="s">
        <v>52</v>
      </c>
    </row>
    <row r="8920" spans="1:3" x14ac:dyDescent="0.35">
      <c r="A8920" s="141" t="s">
        <v>350</v>
      </c>
      <c r="B8920" s="141" t="s">
        <v>1109</v>
      </c>
      <c r="C8920" s="141" t="s">
        <v>53</v>
      </c>
    </row>
    <row r="8921" spans="1:3" x14ac:dyDescent="0.35">
      <c r="A8921" s="141" t="s">
        <v>351</v>
      </c>
      <c r="B8921" s="141" t="s">
        <v>1109</v>
      </c>
      <c r="C8921" s="141" t="s">
        <v>53</v>
      </c>
    </row>
    <row r="8922" spans="1:3" x14ac:dyDescent="0.35">
      <c r="A8922" s="141" t="s">
        <v>344</v>
      </c>
      <c r="B8922" s="141" t="s">
        <v>1109</v>
      </c>
      <c r="C8922" s="141" t="s">
        <v>53</v>
      </c>
    </row>
    <row r="8923" spans="1:3" x14ac:dyDescent="0.35">
      <c r="A8923" s="141" t="s">
        <v>1052</v>
      </c>
      <c r="B8923" s="141" t="s">
        <v>1109</v>
      </c>
      <c r="C8923" s="141" t="s">
        <v>53</v>
      </c>
    </row>
    <row r="8924" spans="1:3" x14ac:dyDescent="0.35">
      <c r="A8924" s="141" t="s">
        <v>1103</v>
      </c>
      <c r="B8924" s="141" t="s">
        <v>1109</v>
      </c>
      <c r="C8924" s="141" t="s">
        <v>53</v>
      </c>
    </row>
    <row r="8925" spans="1:3" x14ac:dyDescent="0.35">
      <c r="A8925" s="141" t="s">
        <v>1104</v>
      </c>
      <c r="B8925" s="141" t="s">
        <v>1109</v>
      </c>
      <c r="C8925" s="141" t="s">
        <v>53</v>
      </c>
    </row>
    <row r="8926" spans="1:3" x14ac:dyDescent="0.35">
      <c r="A8926" s="141" t="s">
        <v>1105</v>
      </c>
      <c r="B8926" s="141" t="s">
        <v>1109</v>
      </c>
      <c r="C8926" s="141" t="s">
        <v>53</v>
      </c>
    </row>
    <row r="8927" spans="1:3" x14ac:dyDescent="0.35">
      <c r="A8927" s="141" t="s">
        <v>1002</v>
      </c>
      <c r="B8927" s="141" t="s">
        <v>1109</v>
      </c>
      <c r="C8927" s="141" t="s">
        <v>25</v>
      </c>
    </row>
    <row r="8928" spans="1:3" x14ac:dyDescent="0.35">
      <c r="A8928" s="141" t="s">
        <v>960</v>
      </c>
      <c r="B8928" s="141" t="s">
        <v>1109</v>
      </c>
      <c r="C8928" s="141" t="s">
        <v>52</v>
      </c>
    </row>
    <row r="8929" spans="1:3" x14ac:dyDescent="0.35">
      <c r="A8929" s="141" t="s">
        <v>1053</v>
      </c>
      <c r="B8929" s="141" t="s">
        <v>1109</v>
      </c>
      <c r="C8929" s="141" t="s">
        <v>53</v>
      </c>
    </row>
    <row r="8930" spans="1:3" x14ac:dyDescent="0.35">
      <c r="A8930" s="141" t="s">
        <v>961</v>
      </c>
      <c r="B8930" s="141" t="s">
        <v>1109</v>
      </c>
      <c r="C8930" s="141" t="s">
        <v>53</v>
      </c>
    </row>
    <row r="8931" spans="1:3" x14ac:dyDescent="0.35">
      <c r="A8931" s="141" t="s">
        <v>1054</v>
      </c>
      <c r="B8931" s="141" t="s">
        <v>1109</v>
      </c>
      <c r="C8931" s="141" t="s">
        <v>53</v>
      </c>
    </row>
    <row r="8932" spans="1:3" x14ac:dyDescent="0.35">
      <c r="A8932" s="141" t="s">
        <v>1106</v>
      </c>
      <c r="B8932" s="141" t="s">
        <v>1109</v>
      </c>
      <c r="C8932" s="141" t="s">
        <v>53</v>
      </c>
    </row>
    <row r="8933" spans="1:3" x14ac:dyDescent="0.35">
      <c r="A8933" s="141" t="s">
        <v>1107</v>
      </c>
      <c r="B8933" s="141" t="s">
        <v>1109</v>
      </c>
      <c r="C8933" s="141" t="s">
        <v>53</v>
      </c>
    </row>
    <row r="8934" spans="1:3" x14ac:dyDescent="0.35">
      <c r="A8934" s="141" t="s">
        <v>880</v>
      </c>
      <c r="B8934" s="141" t="s">
        <v>1109</v>
      </c>
      <c r="C8934" s="141" t="s">
        <v>52</v>
      </c>
    </row>
    <row r="8935" spans="1:3" x14ac:dyDescent="0.35">
      <c r="A8935" s="141" t="s">
        <v>314</v>
      </c>
      <c r="B8935" s="141" t="s">
        <v>1109</v>
      </c>
      <c r="C8935" s="141" t="s">
        <v>16</v>
      </c>
    </row>
    <row r="8936" spans="1:3" x14ac:dyDescent="0.35">
      <c r="A8936" s="141" t="s">
        <v>316</v>
      </c>
      <c r="B8936" s="141" t="s">
        <v>1109</v>
      </c>
      <c r="C8936" s="141" t="s">
        <v>16</v>
      </c>
    </row>
    <row r="8937" spans="1:3" x14ac:dyDescent="0.35">
      <c r="A8937" s="141" t="s">
        <v>317</v>
      </c>
      <c r="B8937" s="141" t="s">
        <v>1109</v>
      </c>
      <c r="C8937" s="141" t="s">
        <v>16</v>
      </c>
    </row>
    <row r="8938" spans="1:3" x14ac:dyDescent="0.35">
      <c r="A8938" s="141" t="s">
        <v>318</v>
      </c>
      <c r="B8938" s="141" t="s">
        <v>1109</v>
      </c>
      <c r="C8938" s="141" t="s">
        <v>16</v>
      </c>
    </row>
    <row r="8939" spans="1:3" x14ac:dyDescent="0.35">
      <c r="A8939" s="141" t="s">
        <v>319</v>
      </c>
      <c r="B8939" s="141" t="s">
        <v>1109</v>
      </c>
      <c r="C8939" s="141" t="s">
        <v>16</v>
      </c>
    </row>
    <row r="8940" spans="1:3" x14ac:dyDescent="0.35">
      <c r="A8940" s="141" t="s">
        <v>320</v>
      </c>
      <c r="B8940" s="141" t="s">
        <v>1109</v>
      </c>
      <c r="C8940" s="141" t="s">
        <v>16</v>
      </c>
    </row>
    <row r="8941" spans="1:3" x14ac:dyDescent="0.35">
      <c r="A8941" s="141" t="s">
        <v>321</v>
      </c>
      <c r="B8941" s="141" t="s">
        <v>1109</v>
      </c>
      <c r="C8941" s="141" t="s">
        <v>16</v>
      </c>
    </row>
    <row r="8942" spans="1:3" x14ac:dyDescent="0.35">
      <c r="A8942" s="141" t="s">
        <v>322</v>
      </c>
      <c r="B8942" s="141" t="s">
        <v>1109</v>
      </c>
      <c r="C8942" s="141" t="s">
        <v>16</v>
      </c>
    </row>
    <row r="8943" spans="1:3" x14ac:dyDescent="0.35">
      <c r="A8943" s="141" t="s">
        <v>323</v>
      </c>
      <c r="B8943" s="141" t="s">
        <v>1109</v>
      </c>
      <c r="C8943" s="141" t="s">
        <v>16</v>
      </c>
    </row>
    <row r="8944" spans="1:3" x14ac:dyDescent="0.35">
      <c r="A8944" s="141" t="s">
        <v>324</v>
      </c>
      <c r="B8944" s="141" t="s">
        <v>1109</v>
      </c>
      <c r="C8944" s="141" t="s">
        <v>16</v>
      </c>
    </row>
    <row r="8945" spans="1:3" x14ac:dyDescent="0.35">
      <c r="A8945" s="141" t="s">
        <v>325</v>
      </c>
      <c r="B8945" s="141" t="s">
        <v>1109</v>
      </c>
      <c r="C8945" s="141" t="s">
        <v>16</v>
      </c>
    </row>
    <row r="8946" spans="1:3" x14ac:dyDescent="0.35">
      <c r="A8946" s="141" t="s">
        <v>326</v>
      </c>
      <c r="B8946" s="141" t="s">
        <v>1109</v>
      </c>
      <c r="C8946" s="141" t="s">
        <v>16</v>
      </c>
    </row>
    <row r="8947" spans="1:3" x14ac:dyDescent="0.35">
      <c r="A8947" s="141" t="s">
        <v>971</v>
      </c>
      <c r="B8947" s="141" t="s">
        <v>1109</v>
      </c>
      <c r="C8947" s="141" t="s">
        <v>16</v>
      </c>
    </row>
    <row r="8948" spans="1:3" x14ac:dyDescent="0.35">
      <c r="A8948" s="141" t="s">
        <v>327</v>
      </c>
      <c r="B8948" s="141" t="s">
        <v>1109</v>
      </c>
      <c r="C8948" s="141" t="s">
        <v>16</v>
      </c>
    </row>
    <row r="8949" spans="1:3" x14ac:dyDescent="0.35">
      <c r="A8949" s="141" t="s">
        <v>972</v>
      </c>
      <c r="B8949" s="141" t="s">
        <v>1109</v>
      </c>
      <c r="C8949" s="141" t="s">
        <v>16</v>
      </c>
    </row>
    <row r="8950" spans="1:3" x14ac:dyDescent="0.35">
      <c r="A8950" s="141" t="s">
        <v>328</v>
      </c>
      <c r="B8950" s="141" t="s">
        <v>1109</v>
      </c>
      <c r="C8950" s="141" t="s">
        <v>16</v>
      </c>
    </row>
    <row r="8951" spans="1:3" x14ac:dyDescent="0.35">
      <c r="A8951" s="141" t="s">
        <v>1004</v>
      </c>
      <c r="B8951" s="141" t="s">
        <v>1109</v>
      </c>
      <c r="C8951" s="141" t="s">
        <v>16</v>
      </c>
    </row>
    <row r="8952" spans="1:3" x14ac:dyDescent="0.35">
      <c r="A8952" s="141" t="s">
        <v>330</v>
      </c>
      <c r="B8952" s="141" t="s">
        <v>1109</v>
      </c>
      <c r="C8952" s="141" t="s">
        <v>16</v>
      </c>
    </row>
    <row r="8953" spans="1:3" x14ac:dyDescent="0.35">
      <c r="A8953" s="141" t="s">
        <v>331</v>
      </c>
      <c r="B8953" s="141" t="s">
        <v>1109</v>
      </c>
      <c r="C8953" s="141" t="s">
        <v>16</v>
      </c>
    </row>
    <row r="8954" spans="1:3" x14ac:dyDescent="0.35">
      <c r="A8954" s="141" t="s">
        <v>332</v>
      </c>
      <c r="B8954" s="141" t="s">
        <v>1109</v>
      </c>
      <c r="C8954" s="141" t="s">
        <v>16</v>
      </c>
    </row>
    <row r="8955" spans="1:3" x14ac:dyDescent="0.35">
      <c r="A8955" s="141" t="s">
        <v>333</v>
      </c>
      <c r="B8955" s="141" t="s">
        <v>1109</v>
      </c>
      <c r="C8955" s="141" t="s">
        <v>16</v>
      </c>
    </row>
    <row r="8956" spans="1:3" x14ac:dyDescent="0.35">
      <c r="A8956" s="141" t="s">
        <v>1005</v>
      </c>
      <c r="B8956" s="141" t="s">
        <v>1109</v>
      </c>
      <c r="C8956" s="141" t="s">
        <v>16</v>
      </c>
    </row>
    <row r="8957" spans="1:3" x14ac:dyDescent="0.35">
      <c r="A8957" s="141" t="s">
        <v>1039</v>
      </c>
      <c r="B8957" s="141" t="s">
        <v>1109</v>
      </c>
      <c r="C8957" s="141" t="s">
        <v>16</v>
      </c>
    </row>
    <row r="8958" spans="1:3" x14ac:dyDescent="0.35">
      <c r="A8958" s="141" t="s">
        <v>974</v>
      </c>
      <c r="B8958" s="141" t="s">
        <v>1109</v>
      </c>
      <c r="C8958" s="141" t="s">
        <v>16</v>
      </c>
    </row>
    <row r="8959" spans="1:3" x14ac:dyDescent="0.35">
      <c r="A8959" s="141" t="s">
        <v>806</v>
      </c>
      <c r="B8959" s="141" t="s">
        <v>1109</v>
      </c>
      <c r="C8959" s="141" t="s">
        <v>32</v>
      </c>
    </row>
    <row r="8960" spans="1:3" x14ac:dyDescent="0.35">
      <c r="A8960" s="141" t="s">
        <v>579</v>
      </c>
      <c r="B8960" s="141" t="s">
        <v>1109</v>
      </c>
      <c r="C8960" s="141" t="s">
        <v>32</v>
      </c>
    </row>
    <row r="8961" spans="1:3" x14ac:dyDescent="0.35">
      <c r="A8961" s="141" t="s">
        <v>556</v>
      </c>
      <c r="B8961" s="141" t="s">
        <v>1109</v>
      </c>
      <c r="C8961" s="141" t="s">
        <v>32</v>
      </c>
    </row>
    <row r="8962" spans="1:3" x14ac:dyDescent="0.35">
      <c r="A8962" s="141" t="s">
        <v>557</v>
      </c>
      <c r="B8962" s="141" t="s">
        <v>1109</v>
      </c>
      <c r="C8962" s="141" t="s">
        <v>32</v>
      </c>
    </row>
    <row r="8963" spans="1:3" x14ac:dyDescent="0.35">
      <c r="A8963" s="141" t="s">
        <v>558</v>
      </c>
      <c r="B8963" s="141" t="s">
        <v>1109</v>
      </c>
      <c r="C8963" s="141" t="s">
        <v>32</v>
      </c>
    </row>
    <row r="8964" spans="1:3" x14ac:dyDescent="0.35">
      <c r="A8964" s="141" t="s">
        <v>580</v>
      </c>
      <c r="B8964" s="141" t="s">
        <v>1109</v>
      </c>
      <c r="C8964" s="141" t="s">
        <v>32</v>
      </c>
    </row>
    <row r="8965" spans="1:3" x14ac:dyDescent="0.35">
      <c r="A8965" s="141" t="s">
        <v>612</v>
      </c>
      <c r="B8965" s="141" t="s">
        <v>1109</v>
      </c>
      <c r="C8965" s="141" t="s">
        <v>43</v>
      </c>
    </row>
    <row r="8966" spans="1:3" x14ac:dyDescent="0.35">
      <c r="A8966" s="141" t="s">
        <v>1009</v>
      </c>
      <c r="B8966" s="141" t="s">
        <v>1109</v>
      </c>
      <c r="C8966" s="141" t="s">
        <v>43</v>
      </c>
    </row>
    <row r="8967" spans="1:3" x14ac:dyDescent="0.35">
      <c r="A8967" s="141" t="s">
        <v>615</v>
      </c>
      <c r="B8967" s="141" t="s">
        <v>1109</v>
      </c>
      <c r="C8967" s="141" t="s">
        <v>43</v>
      </c>
    </row>
    <row r="8968" spans="1:3" x14ac:dyDescent="0.35">
      <c r="A8968" s="141" t="s">
        <v>616</v>
      </c>
      <c r="B8968" s="141" t="s">
        <v>1109</v>
      </c>
      <c r="C8968" s="141" t="s">
        <v>43</v>
      </c>
    </row>
    <row r="8969" spans="1:3" x14ac:dyDescent="0.35">
      <c r="A8969" s="141" t="s">
        <v>854</v>
      </c>
      <c r="B8969" s="141" t="s">
        <v>1109</v>
      </c>
      <c r="C8969" s="141" t="s">
        <v>43</v>
      </c>
    </row>
    <row r="8970" spans="1:3" x14ac:dyDescent="0.35">
      <c r="A8970" s="141" t="s">
        <v>605</v>
      </c>
      <c r="B8970" s="141" t="s">
        <v>1109</v>
      </c>
      <c r="C8970" s="141" t="s">
        <v>43</v>
      </c>
    </row>
    <row r="8971" spans="1:3" x14ac:dyDescent="0.35">
      <c r="A8971" s="141" t="s">
        <v>1008</v>
      </c>
      <c r="B8971" s="141" t="s">
        <v>1109</v>
      </c>
      <c r="C8971" s="141" t="s">
        <v>43</v>
      </c>
    </row>
    <row r="8972" spans="1:3" x14ac:dyDescent="0.35">
      <c r="A8972" s="141" t="s">
        <v>608</v>
      </c>
      <c r="B8972" s="141" t="s">
        <v>1109</v>
      </c>
      <c r="C8972" s="141" t="s">
        <v>43</v>
      </c>
    </row>
    <row r="8973" spans="1:3" x14ac:dyDescent="0.35">
      <c r="A8973" s="141" t="s">
        <v>609</v>
      </c>
      <c r="B8973" s="141" t="s">
        <v>1109</v>
      </c>
      <c r="C8973" s="141" t="s">
        <v>43</v>
      </c>
    </row>
    <row r="8974" spans="1:3" x14ac:dyDescent="0.35">
      <c r="A8974" s="141" t="s">
        <v>610</v>
      </c>
      <c r="B8974" s="141" t="s">
        <v>1109</v>
      </c>
      <c r="C8974" s="141" t="s">
        <v>43</v>
      </c>
    </row>
    <row r="8975" spans="1:3" x14ac:dyDescent="0.35">
      <c r="A8975" s="141" t="s">
        <v>618</v>
      </c>
      <c r="B8975" s="141" t="s">
        <v>1109</v>
      </c>
      <c r="C8975" s="141" t="s">
        <v>43</v>
      </c>
    </row>
    <row r="8976" spans="1:3" x14ac:dyDescent="0.35">
      <c r="A8976" s="141" t="s">
        <v>619</v>
      </c>
      <c r="B8976" s="141" t="s">
        <v>1109</v>
      </c>
      <c r="C8976" s="141" t="s">
        <v>44</v>
      </c>
    </row>
    <row r="8977" spans="1:3" x14ac:dyDescent="0.35">
      <c r="A8977" s="141" t="s">
        <v>1010</v>
      </c>
      <c r="B8977" s="141" t="s">
        <v>1109</v>
      </c>
      <c r="C8977" s="141" t="s">
        <v>43</v>
      </c>
    </row>
    <row r="8978" spans="1:3" x14ac:dyDescent="0.35">
      <c r="A8978" s="141" t="s">
        <v>1011</v>
      </c>
      <c r="B8978" s="141" t="s">
        <v>1109</v>
      </c>
      <c r="C8978" s="141" t="s">
        <v>43</v>
      </c>
    </row>
    <row r="8979" spans="1:3" x14ac:dyDescent="0.35">
      <c r="A8979" s="141" t="s">
        <v>1012</v>
      </c>
      <c r="B8979" s="141" t="s">
        <v>1109</v>
      </c>
      <c r="C8979" s="141" t="s">
        <v>43</v>
      </c>
    </row>
    <row r="8980" spans="1:3" x14ac:dyDescent="0.35">
      <c r="A8980" s="141" t="s">
        <v>1013</v>
      </c>
      <c r="B8980" s="141" t="s">
        <v>1109</v>
      </c>
      <c r="C8980" s="141" t="s">
        <v>43</v>
      </c>
    </row>
    <row r="8981" spans="1:3" x14ac:dyDescent="0.35">
      <c r="A8981" s="141" t="s">
        <v>1014</v>
      </c>
      <c r="B8981" s="141" t="s">
        <v>1109</v>
      </c>
      <c r="C8981" s="141" t="s">
        <v>43</v>
      </c>
    </row>
    <row r="8982" spans="1:3" x14ac:dyDescent="0.35">
      <c r="A8982" s="141" t="s">
        <v>1015</v>
      </c>
      <c r="B8982" s="141" t="s">
        <v>1109</v>
      </c>
      <c r="C8982" s="141" t="s">
        <v>43</v>
      </c>
    </row>
    <row r="8983" spans="1:3" x14ac:dyDescent="0.35">
      <c r="A8983" s="141" t="s">
        <v>337</v>
      </c>
      <c r="B8983" s="141" t="s">
        <v>1109</v>
      </c>
      <c r="C8983" s="141" t="s">
        <v>47</v>
      </c>
    </row>
    <row r="8984" spans="1:3" x14ac:dyDescent="0.35">
      <c r="A8984" s="141" t="s">
        <v>962</v>
      </c>
      <c r="B8984" s="141" t="s">
        <v>1109</v>
      </c>
      <c r="C8984" s="141" t="s">
        <v>47</v>
      </c>
    </row>
    <row r="8985" spans="1:3" x14ac:dyDescent="0.35">
      <c r="A8985" s="141" t="s">
        <v>981</v>
      </c>
      <c r="B8985" s="141" t="s">
        <v>1109</v>
      </c>
      <c r="C8985" s="141" t="s">
        <v>47</v>
      </c>
    </row>
    <row r="8986" spans="1:3" x14ac:dyDescent="0.35">
      <c r="A8986" s="141" t="s">
        <v>982</v>
      </c>
      <c r="B8986" s="141" t="s">
        <v>1109</v>
      </c>
      <c r="C8986" s="141" t="s">
        <v>47</v>
      </c>
    </row>
    <row r="8987" spans="1:3" x14ac:dyDescent="0.35">
      <c r="A8987" s="141" t="s">
        <v>1108</v>
      </c>
      <c r="B8987" s="141" t="s">
        <v>1109</v>
      </c>
      <c r="C8987" s="141" t="s">
        <v>47</v>
      </c>
    </row>
    <row r="8988" spans="1:3" x14ac:dyDescent="0.35">
      <c r="A8988" s="141" t="s">
        <v>1038</v>
      </c>
      <c r="B8988" s="141" t="s">
        <v>1109</v>
      </c>
      <c r="C8988" s="141" t="s">
        <v>48</v>
      </c>
    </row>
    <row r="8989" spans="1:3" x14ac:dyDescent="0.35">
      <c r="A8989" s="141" t="s">
        <v>563</v>
      </c>
      <c r="B8989" s="141" t="s">
        <v>1109</v>
      </c>
      <c r="C8989" s="141" t="s">
        <v>47</v>
      </c>
    </row>
    <row r="8990" spans="1:3" x14ac:dyDescent="0.35">
      <c r="A8990" s="141" t="s">
        <v>1110</v>
      </c>
      <c r="B8990" s="141" t="s">
        <v>1109</v>
      </c>
      <c r="C8990" s="141" t="s">
        <v>30</v>
      </c>
    </row>
    <row r="8991" spans="1:3" x14ac:dyDescent="0.35">
      <c r="A8991" s="141" t="s">
        <v>390</v>
      </c>
      <c r="B8991" s="141" t="s">
        <v>1111</v>
      </c>
      <c r="C8991" s="141" t="s">
        <v>16</v>
      </c>
    </row>
    <row r="8992" spans="1:3" x14ac:dyDescent="0.35">
      <c r="A8992" s="141" t="s">
        <v>352</v>
      </c>
      <c r="B8992" s="141" t="s">
        <v>1111</v>
      </c>
      <c r="C8992" s="141" t="s">
        <v>2</v>
      </c>
    </row>
    <row r="8993" spans="1:3" x14ac:dyDescent="0.35">
      <c r="A8993" s="141" t="s">
        <v>354</v>
      </c>
      <c r="B8993" s="141" t="s">
        <v>1111</v>
      </c>
      <c r="C8993" s="141" t="s">
        <v>2</v>
      </c>
    </row>
    <row r="8994" spans="1:3" x14ac:dyDescent="0.35">
      <c r="A8994" s="141" t="s">
        <v>846</v>
      </c>
      <c r="B8994" s="141" t="s">
        <v>1111</v>
      </c>
      <c r="C8994" s="141" t="s">
        <v>16</v>
      </c>
    </row>
    <row r="8995" spans="1:3" x14ac:dyDescent="0.35">
      <c r="A8995" s="141" t="s">
        <v>393</v>
      </c>
      <c r="B8995" s="141" t="s">
        <v>1111</v>
      </c>
      <c r="C8995" s="141" t="s">
        <v>9</v>
      </c>
    </row>
    <row r="8996" spans="1:3" x14ac:dyDescent="0.35">
      <c r="A8996" s="141" t="s">
        <v>818</v>
      </c>
      <c r="B8996" s="141" t="s">
        <v>1111</v>
      </c>
      <c r="C8996" s="141" t="s">
        <v>12</v>
      </c>
    </row>
    <row r="8997" spans="1:3" x14ac:dyDescent="0.35">
      <c r="A8997" s="141" t="s">
        <v>835</v>
      </c>
      <c r="B8997" s="141" t="s">
        <v>1111</v>
      </c>
      <c r="C8997" s="141" t="s">
        <v>12</v>
      </c>
    </row>
    <row r="8998" spans="1:3" x14ac:dyDescent="0.35">
      <c r="A8998" s="141" t="s">
        <v>836</v>
      </c>
      <c r="B8998" s="141" t="s">
        <v>1111</v>
      </c>
      <c r="C8998" s="141" t="s">
        <v>12</v>
      </c>
    </row>
    <row r="8999" spans="1:3" x14ac:dyDescent="0.35">
      <c r="A8999" s="141" t="s">
        <v>837</v>
      </c>
      <c r="B8999" s="141" t="s">
        <v>1111</v>
      </c>
      <c r="C8999" s="141" t="s">
        <v>14</v>
      </c>
    </row>
    <row r="9000" spans="1:3" x14ac:dyDescent="0.35">
      <c r="A9000" s="141" t="s">
        <v>840</v>
      </c>
      <c r="B9000" s="141" t="s">
        <v>1111</v>
      </c>
      <c r="C9000" s="141" t="s">
        <v>10</v>
      </c>
    </row>
    <row r="9001" spans="1:3" x14ac:dyDescent="0.35">
      <c r="A9001" s="141" t="s">
        <v>841</v>
      </c>
      <c r="B9001" s="141" t="s">
        <v>1111</v>
      </c>
      <c r="C9001" s="141" t="s">
        <v>10</v>
      </c>
    </row>
    <row r="9002" spans="1:3" x14ac:dyDescent="0.35">
      <c r="A9002" s="141" t="s">
        <v>370</v>
      </c>
      <c r="B9002" s="141" t="s">
        <v>1111</v>
      </c>
      <c r="C9002" s="141" t="s">
        <v>10</v>
      </c>
    </row>
    <row r="9003" spans="1:3" x14ac:dyDescent="0.35">
      <c r="A9003" s="141" t="s">
        <v>371</v>
      </c>
      <c r="B9003" s="141" t="s">
        <v>1111</v>
      </c>
      <c r="C9003" s="141" t="s">
        <v>10</v>
      </c>
    </row>
    <row r="9004" spans="1:3" x14ac:dyDescent="0.35">
      <c r="A9004" s="141" t="s">
        <v>376</v>
      </c>
      <c r="B9004" s="141" t="s">
        <v>1111</v>
      </c>
      <c r="C9004" s="141" t="s">
        <v>10</v>
      </c>
    </row>
    <row r="9005" spans="1:3" x14ac:dyDescent="0.35">
      <c r="A9005" s="141" t="s">
        <v>372</v>
      </c>
      <c r="B9005" s="141" t="s">
        <v>1111</v>
      </c>
      <c r="C9005" s="141" t="s">
        <v>10</v>
      </c>
    </row>
    <row r="9006" spans="1:3" x14ac:dyDescent="0.35">
      <c r="A9006" s="141" t="s">
        <v>373</v>
      </c>
      <c r="B9006" s="141" t="s">
        <v>1111</v>
      </c>
      <c r="C9006" s="141" t="s">
        <v>10</v>
      </c>
    </row>
    <row r="9007" spans="1:3" x14ac:dyDescent="0.35">
      <c r="A9007" s="141" t="s">
        <v>375</v>
      </c>
      <c r="B9007" s="141" t="s">
        <v>1111</v>
      </c>
      <c r="C9007" s="141" t="s">
        <v>10</v>
      </c>
    </row>
    <row r="9008" spans="1:3" x14ac:dyDescent="0.35">
      <c r="A9008" s="141" t="s">
        <v>842</v>
      </c>
      <c r="B9008" s="141" t="s">
        <v>1111</v>
      </c>
      <c r="C9008" s="141" t="s">
        <v>11</v>
      </c>
    </row>
    <row r="9009" spans="1:3" x14ac:dyDescent="0.35">
      <c r="A9009" s="141" t="s">
        <v>843</v>
      </c>
      <c r="B9009" s="141" t="s">
        <v>1111</v>
      </c>
      <c r="C9009" s="141" t="s">
        <v>11</v>
      </c>
    </row>
    <row r="9010" spans="1:3" x14ac:dyDescent="0.35">
      <c r="A9010" s="141" t="s">
        <v>844</v>
      </c>
      <c r="B9010" s="141" t="s">
        <v>1111</v>
      </c>
      <c r="C9010" s="141" t="s">
        <v>11</v>
      </c>
    </row>
    <row r="9011" spans="1:3" x14ac:dyDescent="0.35">
      <c r="A9011" s="141" t="s">
        <v>845</v>
      </c>
      <c r="B9011" s="141" t="s">
        <v>1111</v>
      </c>
      <c r="C9011" s="141" t="s">
        <v>11</v>
      </c>
    </row>
    <row r="9012" spans="1:3" x14ac:dyDescent="0.35">
      <c r="A9012" s="141" t="s">
        <v>358</v>
      </c>
      <c r="B9012" s="141" t="s">
        <v>1111</v>
      </c>
      <c r="C9012" s="141" t="s">
        <v>14</v>
      </c>
    </row>
    <row r="9013" spans="1:3" x14ac:dyDescent="0.35">
      <c r="A9013" s="141" t="s">
        <v>654</v>
      </c>
      <c r="B9013" s="141" t="s">
        <v>1111</v>
      </c>
      <c r="C9013" s="141" t="s">
        <v>14</v>
      </c>
    </row>
    <row r="9014" spans="1:3" x14ac:dyDescent="0.35">
      <c r="A9014" s="141" t="s">
        <v>987</v>
      </c>
      <c r="B9014" s="141" t="s">
        <v>1111</v>
      </c>
      <c r="C9014" s="141" t="s">
        <v>14</v>
      </c>
    </row>
    <row r="9015" spans="1:3" x14ac:dyDescent="0.35">
      <c r="A9015" s="141" t="s">
        <v>838</v>
      </c>
      <c r="B9015" s="141" t="s">
        <v>1111</v>
      </c>
      <c r="C9015" s="141" t="s">
        <v>13</v>
      </c>
    </row>
    <row r="9016" spans="1:3" x14ac:dyDescent="0.35">
      <c r="A9016" s="141" t="s">
        <v>346</v>
      </c>
      <c r="B9016" s="141" t="s">
        <v>1111</v>
      </c>
      <c r="C9016" s="141" t="s">
        <v>13</v>
      </c>
    </row>
    <row r="9017" spans="1:3" x14ac:dyDescent="0.35">
      <c r="A9017" s="141" t="s">
        <v>367</v>
      </c>
      <c r="B9017" s="141" t="s">
        <v>1111</v>
      </c>
      <c r="C9017" s="141" t="s">
        <v>8</v>
      </c>
    </row>
    <row r="9018" spans="1:3" x14ac:dyDescent="0.35">
      <c r="A9018" s="141" t="s">
        <v>383</v>
      </c>
      <c r="B9018" s="141" t="s">
        <v>1111</v>
      </c>
      <c r="C9018" s="141" t="s">
        <v>5</v>
      </c>
    </row>
    <row r="9019" spans="1:3" x14ac:dyDescent="0.35">
      <c r="A9019" s="141" t="s">
        <v>345</v>
      </c>
      <c r="B9019" s="141" t="s">
        <v>1111</v>
      </c>
      <c r="C9019" s="141" t="s">
        <v>5</v>
      </c>
    </row>
    <row r="9020" spans="1:3" x14ac:dyDescent="0.35">
      <c r="A9020" s="141" t="s">
        <v>359</v>
      </c>
      <c r="B9020" s="141" t="s">
        <v>1111</v>
      </c>
      <c r="C9020" s="141" t="s">
        <v>46</v>
      </c>
    </row>
    <row r="9021" spans="1:3" x14ac:dyDescent="0.35">
      <c r="A9021" s="141" t="s">
        <v>360</v>
      </c>
      <c r="B9021" s="141" t="s">
        <v>1111</v>
      </c>
      <c r="C9021" s="141" t="s">
        <v>46</v>
      </c>
    </row>
    <row r="9022" spans="1:3" x14ac:dyDescent="0.35">
      <c r="A9022" s="141" t="s">
        <v>262</v>
      </c>
      <c r="B9022" s="141" t="s">
        <v>1111</v>
      </c>
      <c r="C9022" s="141" t="s">
        <v>27</v>
      </c>
    </row>
    <row r="9023" spans="1:3" x14ac:dyDescent="0.35">
      <c r="A9023" s="141" t="s">
        <v>1044</v>
      </c>
      <c r="B9023" s="141" t="s">
        <v>1111</v>
      </c>
      <c r="C9023" s="141" t="s">
        <v>24</v>
      </c>
    </row>
    <row r="9024" spans="1:3" x14ac:dyDescent="0.35">
      <c r="A9024" s="141" t="s">
        <v>1045</v>
      </c>
      <c r="B9024" s="141" t="s">
        <v>1111</v>
      </c>
      <c r="C9024" s="141" t="s">
        <v>24</v>
      </c>
    </row>
    <row r="9025" spans="1:3" x14ac:dyDescent="0.35">
      <c r="A9025" s="141" t="s">
        <v>1060</v>
      </c>
      <c r="B9025" s="141" t="s">
        <v>1111</v>
      </c>
      <c r="C9025" s="141" t="s">
        <v>24</v>
      </c>
    </row>
    <row r="9026" spans="1:3" x14ac:dyDescent="0.35">
      <c r="A9026" s="141" t="s">
        <v>887</v>
      </c>
      <c r="B9026" s="141" t="s">
        <v>1111</v>
      </c>
      <c r="C9026" s="141" t="s">
        <v>24</v>
      </c>
    </row>
    <row r="9027" spans="1:3" x14ac:dyDescent="0.35">
      <c r="A9027" s="141" t="s">
        <v>1061</v>
      </c>
      <c r="B9027" s="141" t="s">
        <v>1111</v>
      </c>
      <c r="C9027" s="141" t="s">
        <v>24</v>
      </c>
    </row>
    <row r="9028" spans="1:3" x14ac:dyDescent="0.35">
      <c r="A9028" s="141" t="s">
        <v>1062</v>
      </c>
      <c r="B9028" s="141" t="s">
        <v>1111</v>
      </c>
      <c r="C9028" s="141" t="s">
        <v>27</v>
      </c>
    </row>
    <row r="9029" spans="1:3" x14ac:dyDescent="0.35">
      <c r="A9029" s="141" t="s">
        <v>564</v>
      </c>
      <c r="B9029" s="141" t="s">
        <v>1111</v>
      </c>
      <c r="C9029" s="141" t="s">
        <v>7</v>
      </c>
    </row>
    <row r="9030" spans="1:3" x14ac:dyDescent="0.35">
      <c r="A9030" s="141" t="s">
        <v>565</v>
      </c>
      <c r="B9030" s="141" t="s">
        <v>1111</v>
      </c>
      <c r="C9030" s="141" t="s">
        <v>7</v>
      </c>
    </row>
    <row r="9031" spans="1:3" x14ac:dyDescent="0.35">
      <c r="A9031" s="141" t="s">
        <v>385</v>
      </c>
      <c r="B9031" s="141" t="s">
        <v>1111</v>
      </c>
      <c r="C9031" s="141" t="s">
        <v>7</v>
      </c>
    </row>
    <row r="9032" spans="1:3" x14ac:dyDescent="0.35">
      <c r="A9032" s="141" t="s">
        <v>386</v>
      </c>
      <c r="B9032" s="141" t="s">
        <v>1111</v>
      </c>
      <c r="C9032" s="141" t="s">
        <v>7</v>
      </c>
    </row>
    <row r="9033" spans="1:3" x14ac:dyDescent="0.35">
      <c r="A9033" s="141" t="s">
        <v>387</v>
      </c>
      <c r="B9033" s="141" t="s">
        <v>1111</v>
      </c>
      <c r="C9033" s="141" t="s">
        <v>7</v>
      </c>
    </row>
    <row r="9034" spans="1:3" x14ac:dyDescent="0.35">
      <c r="A9034" s="141" t="s">
        <v>365</v>
      </c>
      <c r="B9034" s="141" t="s">
        <v>1111</v>
      </c>
      <c r="C9034" s="141" t="s">
        <v>7</v>
      </c>
    </row>
    <row r="9035" spans="1:3" x14ac:dyDescent="0.35">
      <c r="A9035" s="141" t="s">
        <v>589</v>
      </c>
      <c r="B9035" s="141" t="s">
        <v>1111</v>
      </c>
      <c r="C9035" s="141" t="s">
        <v>4</v>
      </c>
    </row>
    <row r="9036" spans="1:3" x14ac:dyDescent="0.35">
      <c r="A9036" s="141" t="s">
        <v>988</v>
      </c>
      <c r="B9036" s="141" t="s">
        <v>1111</v>
      </c>
      <c r="C9036" s="141" t="s">
        <v>8</v>
      </c>
    </row>
    <row r="9037" spans="1:3" x14ac:dyDescent="0.35">
      <c r="A9037" s="141" t="s">
        <v>366</v>
      </c>
      <c r="B9037" s="141" t="s">
        <v>1111</v>
      </c>
      <c r="C9037" s="141" t="s">
        <v>8</v>
      </c>
    </row>
    <row r="9038" spans="1:3" x14ac:dyDescent="0.35">
      <c r="A9038" s="141" t="s">
        <v>1043</v>
      </c>
      <c r="B9038" s="141" t="s">
        <v>1111</v>
      </c>
      <c r="C9038" s="141" t="s">
        <v>4</v>
      </c>
    </row>
    <row r="9039" spans="1:3" x14ac:dyDescent="0.35">
      <c r="A9039" s="141" t="s">
        <v>819</v>
      </c>
      <c r="B9039" s="141" t="s">
        <v>1111</v>
      </c>
      <c r="C9039" s="141" t="s">
        <v>45</v>
      </c>
    </row>
    <row r="9040" spans="1:3" x14ac:dyDescent="0.35">
      <c r="A9040" s="141" t="s">
        <v>820</v>
      </c>
      <c r="B9040" s="141" t="s">
        <v>1111</v>
      </c>
      <c r="C9040" s="141" t="s">
        <v>45</v>
      </c>
    </row>
    <row r="9041" spans="1:3" x14ac:dyDescent="0.35">
      <c r="A9041" s="141" t="s">
        <v>821</v>
      </c>
      <c r="B9041" s="141" t="s">
        <v>1111</v>
      </c>
      <c r="C9041" s="141" t="s">
        <v>45</v>
      </c>
    </row>
    <row r="9042" spans="1:3" x14ac:dyDescent="0.35">
      <c r="A9042" s="141" t="s">
        <v>822</v>
      </c>
      <c r="B9042" s="141" t="s">
        <v>1111</v>
      </c>
      <c r="C9042" s="141" t="s">
        <v>45</v>
      </c>
    </row>
    <row r="9043" spans="1:3" x14ac:dyDescent="0.35">
      <c r="A9043" s="141" t="s">
        <v>823</v>
      </c>
      <c r="B9043" s="141" t="s">
        <v>1111</v>
      </c>
      <c r="C9043" s="141" t="s">
        <v>45</v>
      </c>
    </row>
    <row r="9044" spans="1:3" x14ac:dyDescent="0.35">
      <c r="A9044" s="141" t="s">
        <v>824</v>
      </c>
      <c r="B9044" s="141" t="s">
        <v>1111</v>
      </c>
      <c r="C9044" s="141" t="s">
        <v>45</v>
      </c>
    </row>
    <row r="9045" spans="1:3" x14ac:dyDescent="0.35">
      <c r="A9045" s="141" t="s">
        <v>1041</v>
      </c>
      <c r="B9045" s="141" t="s">
        <v>1111</v>
      </c>
      <c r="C9045" s="141" t="s">
        <v>45</v>
      </c>
    </row>
    <row r="9046" spans="1:3" x14ac:dyDescent="0.35">
      <c r="A9046" s="141" t="s">
        <v>827</v>
      </c>
      <c r="B9046" s="141" t="s">
        <v>1111</v>
      </c>
      <c r="C9046" s="141" t="s">
        <v>45</v>
      </c>
    </row>
    <row r="9047" spans="1:3" x14ac:dyDescent="0.35">
      <c r="A9047" s="141" t="s">
        <v>828</v>
      </c>
      <c r="B9047" s="141" t="s">
        <v>1111</v>
      </c>
      <c r="C9047" s="141" t="s">
        <v>45</v>
      </c>
    </row>
    <row r="9048" spans="1:3" x14ac:dyDescent="0.35">
      <c r="A9048" s="141" t="s">
        <v>829</v>
      </c>
      <c r="B9048" s="141" t="s">
        <v>1111</v>
      </c>
      <c r="C9048" s="141" t="s">
        <v>45</v>
      </c>
    </row>
    <row r="9049" spans="1:3" x14ac:dyDescent="0.35">
      <c r="A9049" s="141" t="s">
        <v>830</v>
      </c>
      <c r="B9049" s="141" t="s">
        <v>1111</v>
      </c>
      <c r="C9049" s="141" t="s">
        <v>45</v>
      </c>
    </row>
    <row r="9050" spans="1:3" x14ac:dyDescent="0.35">
      <c r="A9050" s="141" t="s">
        <v>831</v>
      </c>
      <c r="B9050" s="141" t="s">
        <v>1111</v>
      </c>
      <c r="C9050" s="141" t="s">
        <v>45</v>
      </c>
    </row>
    <row r="9051" spans="1:3" x14ac:dyDescent="0.35">
      <c r="A9051" s="141" t="s">
        <v>1042</v>
      </c>
      <c r="B9051" s="141" t="s">
        <v>1111</v>
      </c>
      <c r="C9051" s="141" t="s">
        <v>45</v>
      </c>
    </row>
    <row r="9052" spans="1:3" x14ac:dyDescent="0.35">
      <c r="A9052" s="141" t="s">
        <v>278</v>
      </c>
      <c r="B9052" s="141" t="s">
        <v>1111</v>
      </c>
      <c r="C9052" s="141" t="s">
        <v>21</v>
      </c>
    </row>
    <row r="9053" spans="1:3" x14ac:dyDescent="0.35">
      <c r="A9053" s="141" t="s">
        <v>283</v>
      </c>
      <c r="B9053" s="141" t="s">
        <v>1111</v>
      </c>
      <c r="C9053" s="141" t="s">
        <v>21</v>
      </c>
    </row>
    <row r="9054" spans="1:3" x14ac:dyDescent="0.35">
      <c r="A9054" s="141" t="s">
        <v>284</v>
      </c>
      <c r="B9054" s="141" t="s">
        <v>1111</v>
      </c>
      <c r="C9054" s="141" t="s">
        <v>21</v>
      </c>
    </row>
    <row r="9055" spans="1:3" x14ac:dyDescent="0.35">
      <c r="A9055" s="141" t="s">
        <v>285</v>
      </c>
      <c r="B9055" s="141" t="s">
        <v>1111</v>
      </c>
      <c r="C9055" s="141" t="s">
        <v>27</v>
      </c>
    </row>
    <row r="9056" spans="1:3" x14ac:dyDescent="0.35">
      <c r="A9056" s="141" t="s">
        <v>286</v>
      </c>
      <c r="B9056" s="141" t="s">
        <v>1111</v>
      </c>
      <c r="C9056" s="141" t="s">
        <v>27</v>
      </c>
    </row>
    <row r="9057" spans="1:3" x14ac:dyDescent="0.35">
      <c r="A9057" s="141" t="s">
        <v>290</v>
      </c>
      <c r="B9057" s="141" t="s">
        <v>1111</v>
      </c>
      <c r="C9057" s="141" t="s">
        <v>23</v>
      </c>
    </row>
    <row r="9058" spans="1:3" x14ac:dyDescent="0.35">
      <c r="A9058" s="141" t="s">
        <v>848</v>
      </c>
      <c r="B9058" s="141" t="s">
        <v>1111</v>
      </c>
      <c r="C9058" s="141" t="s">
        <v>22</v>
      </c>
    </row>
    <row r="9059" spans="1:3" x14ac:dyDescent="0.35">
      <c r="A9059" s="141" t="s">
        <v>849</v>
      </c>
      <c r="B9059" s="141" t="s">
        <v>1111</v>
      </c>
      <c r="C9059" s="141" t="s">
        <v>22</v>
      </c>
    </row>
    <row r="9060" spans="1:3" x14ac:dyDescent="0.35">
      <c r="A9060" s="141" t="s">
        <v>850</v>
      </c>
      <c r="B9060" s="141" t="s">
        <v>1111</v>
      </c>
      <c r="C9060" s="141" t="s">
        <v>22</v>
      </c>
    </row>
    <row r="9061" spans="1:3" x14ac:dyDescent="0.35">
      <c r="A9061" s="141" t="s">
        <v>294</v>
      </c>
      <c r="B9061" s="141" t="s">
        <v>1111</v>
      </c>
      <c r="C9061" s="141" t="s">
        <v>21</v>
      </c>
    </row>
    <row r="9062" spans="1:3" x14ac:dyDescent="0.35">
      <c r="A9062" s="141" t="s">
        <v>1035</v>
      </c>
      <c r="B9062" s="141" t="s">
        <v>1111</v>
      </c>
      <c r="C9062" s="141" t="s">
        <v>21</v>
      </c>
    </row>
    <row r="9063" spans="1:3" x14ac:dyDescent="0.35">
      <c r="A9063" s="141" t="s">
        <v>990</v>
      </c>
      <c r="B9063" s="141" t="s">
        <v>1111</v>
      </c>
      <c r="C9063" s="141" t="s">
        <v>21</v>
      </c>
    </row>
    <row r="9064" spans="1:3" x14ac:dyDescent="0.35">
      <c r="A9064" s="141" t="s">
        <v>991</v>
      </c>
      <c r="B9064" s="141" t="s">
        <v>1111</v>
      </c>
      <c r="C9064" s="141" t="s">
        <v>21</v>
      </c>
    </row>
    <row r="9065" spans="1:3" x14ac:dyDescent="0.35">
      <c r="A9065" s="141" t="s">
        <v>992</v>
      </c>
      <c r="B9065" s="141" t="s">
        <v>1111</v>
      </c>
      <c r="C9065" s="141" t="s">
        <v>21</v>
      </c>
    </row>
    <row r="9066" spans="1:3" x14ac:dyDescent="0.35">
      <c r="A9066" s="141" t="s">
        <v>993</v>
      </c>
      <c r="B9066" s="141" t="s">
        <v>1111</v>
      </c>
      <c r="C9066" s="141" t="s">
        <v>21</v>
      </c>
    </row>
    <row r="9067" spans="1:3" x14ac:dyDescent="0.35">
      <c r="A9067" s="141" t="s">
        <v>994</v>
      </c>
      <c r="B9067" s="141" t="s">
        <v>1111</v>
      </c>
      <c r="C9067" s="141" t="s">
        <v>21</v>
      </c>
    </row>
    <row r="9068" spans="1:3" x14ac:dyDescent="0.35">
      <c r="A9068" s="141" t="s">
        <v>995</v>
      </c>
      <c r="B9068" s="141" t="s">
        <v>1111</v>
      </c>
      <c r="C9068" s="141" t="s">
        <v>21</v>
      </c>
    </row>
    <row r="9069" spans="1:3" x14ac:dyDescent="0.35">
      <c r="A9069" s="141" t="s">
        <v>1029</v>
      </c>
      <c r="B9069" s="141" t="s">
        <v>1111</v>
      </c>
      <c r="C9069" s="141" t="s">
        <v>21</v>
      </c>
    </row>
    <row r="9070" spans="1:3" x14ac:dyDescent="0.35">
      <c r="A9070" s="141" t="s">
        <v>1030</v>
      </c>
      <c r="B9070" s="141" t="s">
        <v>1111</v>
      </c>
      <c r="C9070" s="141" t="s">
        <v>21</v>
      </c>
    </row>
    <row r="9071" spans="1:3" x14ac:dyDescent="0.35">
      <c r="A9071" s="141" t="s">
        <v>1025</v>
      </c>
      <c r="B9071" s="141" t="s">
        <v>1111</v>
      </c>
      <c r="C9071" s="141" t="s">
        <v>27</v>
      </c>
    </row>
    <row r="9072" spans="1:3" x14ac:dyDescent="0.35">
      <c r="A9072" s="141" t="s">
        <v>1026</v>
      </c>
      <c r="B9072" s="141" t="s">
        <v>1111</v>
      </c>
      <c r="C9072" s="141" t="s">
        <v>27</v>
      </c>
    </row>
    <row r="9073" spans="1:3" x14ac:dyDescent="0.35">
      <c r="A9073" s="141" t="s">
        <v>1027</v>
      </c>
      <c r="B9073" s="141" t="s">
        <v>1111</v>
      </c>
      <c r="C9073" s="141" t="s">
        <v>32</v>
      </c>
    </row>
    <row r="9074" spans="1:3" x14ac:dyDescent="0.35">
      <c r="A9074" s="141" t="s">
        <v>1063</v>
      </c>
      <c r="B9074" s="141" t="s">
        <v>1111</v>
      </c>
      <c r="C9074" s="141" t="s">
        <v>21</v>
      </c>
    </row>
    <row r="9075" spans="1:3" x14ac:dyDescent="0.35">
      <c r="A9075" s="141" t="s">
        <v>1064</v>
      </c>
      <c r="B9075" s="141" t="s">
        <v>1111</v>
      </c>
      <c r="C9075" s="141" t="s">
        <v>27</v>
      </c>
    </row>
    <row r="9076" spans="1:3" x14ac:dyDescent="0.35">
      <c r="A9076" s="141" t="s">
        <v>667</v>
      </c>
      <c r="B9076" s="141" t="s">
        <v>1111</v>
      </c>
      <c r="C9076" s="141" t="s">
        <v>55</v>
      </c>
    </row>
    <row r="9077" spans="1:3" x14ac:dyDescent="0.35">
      <c r="A9077" s="141" t="s">
        <v>668</v>
      </c>
      <c r="B9077" s="141" t="s">
        <v>1111</v>
      </c>
      <c r="C9077" s="141" t="s">
        <v>54</v>
      </c>
    </row>
    <row r="9078" spans="1:3" x14ac:dyDescent="0.35">
      <c r="A9078" s="141" t="s">
        <v>669</v>
      </c>
      <c r="B9078" s="141" t="s">
        <v>1111</v>
      </c>
      <c r="C9078" s="141" t="s">
        <v>55</v>
      </c>
    </row>
    <row r="9079" spans="1:3" x14ac:dyDescent="0.35">
      <c r="A9079" s="141" t="s">
        <v>1065</v>
      </c>
      <c r="B9079" s="141" t="s">
        <v>1111</v>
      </c>
      <c r="C9079" s="141" t="s">
        <v>54</v>
      </c>
    </row>
    <row r="9080" spans="1:3" x14ac:dyDescent="0.35">
      <c r="A9080" s="141" t="s">
        <v>1066</v>
      </c>
      <c r="B9080" s="141" t="s">
        <v>1111</v>
      </c>
      <c r="C9080" s="141" t="s">
        <v>54</v>
      </c>
    </row>
    <row r="9081" spans="1:3" x14ac:dyDescent="0.35">
      <c r="A9081" s="141" t="s">
        <v>885</v>
      </c>
      <c r="B9081" s="141" t="s">
        <v>1111</v>
      </c>
      <c r="C9081" s="141" t="s">
        <v>19</v>
      </c>
    </row>
    <row r="9082" spans="1:3" x14ac:dyDescent="0.35">
      <c r="A9082" s="141" t="s">
        <v>886</v>
      </c>
      <c r="B9082" s="141" t="s">
        <v>1111</v>
      </c>
      <c r="C9082" s="141" t="s">
        <v>19</v>
      </c>
    </row>
    <row r="9083" spans="1:3" x14ac:dyDescent="0.35">
      <c r="A9083" s="141" t="s">
        <v>398</v>
      </c>
      <c r="B9083" s="141" t="s">
        <v>1111</v>
      </c>
      <c r="C9083" s="141" t="s">
        <v>17</v>
      </c>
    </row>
    <row r="9084" spans="1:3" x14ac:dyDescent="0.35">
      <c r="A9084" s="141" t="s">
        <v>399</v>
      </c>
      <c r="B9084" s="141" t="s">
        <v>1111</v>
      </c>
      <c r="C9084" s="141" t="s">
        <v>16</v>
      </c>
    </row>
    <row r="9085" spans="1:3" x14ac:dyDescent="0.35">
      <c r="A9085" s="141" t="s">
        <v>400</v>
      </c>
      <c r="B9085" s="141" t="s">
        <v>1111</v>
      </c>
      <c r="C9085" s="141" t="s">
        <v>20</v>
      </c>
    </row>
    <row r="9086" spans="1:3" x14ac:dyDescent="0.35">
      <c r="A9086" s="141" t="s">
        <v>401</v>
      </c>
      <c r="B9086" s="141" t="s">
        <v>1111</v>
      </c>
      <c r="C9086" s="141" t="s">
        <v>20</v>
      </c>
    </row>
    <row r="9087" spans="1:3" x14ac:dyDescent="0.35">
      <c r="A9087" s="141" t="s">
        <v>671</v>
      </c>
      <c r="B9087" s="141" t="s">
        <v>1111</v>
      </c>
      <c r="C9087" s="141" t="s">
        <v>20</v>
      </c>
    </row>
    <row r="9088" spans="1:3" x14ac:dyDescent="0.35">
      <c r="A9088" s="141" t="s">
        <v>774</v>
      </c>
      <c r="B9088" s="141" t="s">
        <v>1111</v>
      </c>
      <c r="C9088" s="141" t="s">
        <v>38</v>
      </c>
    </row>
    <row r="9089" spans="1:3" x14ac:dyDescent="0.35">
      <c r="A9089" s="141" t="s">
        <v>775</v>
      </c>
      <c r="B9089" s="141" t="s">
        <v>1111</v>
      </c>
      <c r="C9089" s="141" t="s">
        <v>38</v>
      </c>
    </row>
    <row r="9090" spans="1:3" x14ac:dyDescent="0.35">
      <c r="A9090" s="141" t="s">
        <v>776</v>
      </c>
      <c r="B9090" s="141" t="s">
        <v>1111</v>
      </c>
      <c r="C9090" s="141" t="s">
        <v>45</v>
      </c>
    </row>
    <row r="9091" spans="1:3" x14ac:dyDescent="0.35">
      <c r="A9091" s="141" t="s">
        <v>1067</v>
      </c>
      <c r="B9091" s="141" t="s">
        <v>1111</v>
      </c>
      <c r="C9091" s="141" t="s">
        <v>46</v>
      </c>
    </row>
    <row r="9092" spans="1:3" x14ac:dyDescent="0.35">
      <c r="A9092" s="141" t="s">
        <v>1068</v>
      </c>
      <c r="B9092" s="141" t="s">
        <v>1111</v>
      </c>
      <c r="C9092" s="141" t="s">
        <v>46</v>
      </c>
    </row>
    <row r="9093" spans="1:3" x14ac:dyDescent="0.35">
      <c r="A9093" s="141" t="s">
        <v>778</v>
      </c>
      <c r="B9093" s="141" t="s">
        <v>1111</v>
      </c>
      <c r="C9093" s="141" t="s">
        <v>45</v>
      </c>
    </row>
    <row r="9094" spans="1:3" x14ac:dyDescent="0.35">
      <c r="A9094" s="141" t="s">
        <v>1023</v>
      </c>
      <c r="B9094" s="141" t="s">
        <v>1111</v>
      </c>
      <c r="C9094" s="141" t="s">
        <v>45</v>
      </c>
    </row>
    <row r="9095" spans="1:3" x14ac:dyDescent="0.35">
      <c r="A9095" s="141" t="s">
        <v>781</v>
      </c>
      <c r="B9095" s="141" t="s">
        <v>1111</v>
      </c>
      <c r="C9095" s="141" t="s">
        <v>45</v>
      </c>
    </row>
    <row r="9096" spans="1:3" x14ac:dyDescent="0.35">
      <c r="A9096" s="141" t="s">
        <v>409</v>
      </c>
      <c r="B9096" s="141" t="s">
        <v>1111</v>
      </c>
      <c r="C9096" s="141" t="s">
        <v>18</v>
      </c>
    </row>
    <row r="9097" spans="1:3" x14ac:dyDescent="0.35">
      <c r="A9097" s="141" t="s">
        <v>1018</v>
      </c>
      <c r="B9097" s="141" t="s">
        <v>1111</v>
      </c>
      <c r="C9097" s="141" t="s">
        <v>18</v>
      </c>
    </row>
    <row r="9098" spans="1:3" x14ac:dyDescent="0.35">
      <c r="A9098" s="141" t="s">
        <v>411</v>
      </c>
      <c r="B9098" s="141" t="s">
        <v>1111</v>
      </c>
      <c r="C9098" s="141" t="s">
        <v>9</v>
      </c>
    </row>
    <row r="9099" spans="1:3" x14ac:dyDescent="0.35">
      <c r="A9099" s="141" t="s">
        <v>412</v>
      </c>
      <c r="B9099" s="141" t="s">
        <v>1111</v>
      </c>
      <c r="C9099" s="141" t="s">
        <v>9</v>
      </c>
    </row>
    <row r="9100" spans="1:3" x14ac:dyDescent="0.35">
      <c r="A9100" s="141" t="s">
        <v>413</v>
      </c>
      <c r="B9100" s="141" t="s">
        <v>1111</v>
      </c>
      <c r="C9100" s="141" t="s">
        <v>9</v>
      </c>
    </row>
    <row r="9101" spans="1:3" x14ac:dyDescent="0.35">
      <c r="A9101" s="141" t="s">
        <v>414</v>
      </c>
      <c r="B9101" s="141" t="s">
        <v>1111</v>
      </c>
      <c r="C9101" s="141" t="s">
        <v>9</v>
      </c>
    </row>
    <row r="9102" spans="1:3" x14ac:dyDescent="0.35">
      <c r="A9102" s="141" t="s">
        <v>415</v>
      </c>
      <c r="B9102" s="141" t="s">
        <v>1111</v>
      </c>
      <c r="C9102" s="141" t="s">
        <v>9</v>
      </c>
    </row>
    <row r="9103" spans="1:3" x14ac:dyDescent="0.35">
      <c r="A9103" s="141" t="s">
        <v>1016</v>
      </c>
      <c r="B9103" s="141" t="s">
        <v>1111</v>
      </c>
      <c r="C9103" s="141" t="s">
        <v>20</v>
      </c>
    </row>
    <row r="9104" spans="1:3" x14ac:dyDescent="0.35">
      <c r="A9104" s="141" t="s">
        <v>593</v>
      </c>
      <c r="B9104" s="141" t="s">
        <v>1111</v>
      </c>
      <c r="C9104" s="141" t="s">
        <v>20</v>
      </c>
    </row>
    <row r="9105" spans="1:3" x14ac:dyDescent="0.35">
      <c r="A9105" s="141" t="s">
        <v>403</v>
      </c>
      <c r="B9105" s="141" t="s">
        <v>1111</v>
      </c>
      <c r="C9105" s="141" t="s">
        <v>20</v>
      </c>
    </row>
    <row r="9106" spans="1:3" x14ac:dyDescent="0.35">
      <c r="A9106" s="141" t="s">
        <v>1017</v>
      </c>
      <c r="B9106" s="141" t="s">
        <v>1111</v>
      </c>
      <c r="C9106" s="141" t="s">
        <v>16</v>
      </c>
    </row>
    <row r="9107" spans="1:3" x14ac:dyDescent="0.35">
      <c r="A9107" s="141" t="s">
        <v>416</v>
      </c>
      <c r="B9107" s="141" t="s">
        <v>1111</v>
      </c>
      <c r="C9107" s="141" t="s">
        <v>15</v>
      </c>
    </row>
    <row r="9108" spans="1:3" x14ac:dyDescent="0.35">
      <c r="A9108" s="141" t="s">
        <v>417</v>
      </c>
      <c r="B9108" s="141" t="s">
        <v>1111</v>
      </c>
      <c r="C9108" s="141" t="s">
        <v>6</v>
      </c>
    </row>
    <row r="9109" spans="1:3" x14ac:dyDescent="0.35">
      <c r="A9109" s="141" t="s">
        <v>1019</v>
      </c>
      <c r="B9109" s="141" t="s">
        <v>1111</v>
      </c>
      <c r="C9109" s="141" t="s">
        <v>17</v>
      </c>
    </row>
    <row r="9110" spans="1:3" x14ac:dyDescent="0.35">
      <c r="A9110" s="141" t="s">
        <v>420</v>
      </c>
      <c r="B9110" s="141" t="s">
        <v>1111</v>
      </c>
      <c r="C9110" s="141" t="s">
        <v>17</v>
      </c>
    </row>
    <row r="9111" spans="1:3" x14ac:dyDescent="0.35">
      <c r="A9111" s="141" t="s">
        <v>421</v>
      </c>
      <c r="B9111" s="141" t="s">
        <v>1111</v>
      </c>
      <c r="C9111" s="141" t="s">
        <v>6</v>
      </c>
    </row>
    <row r="9112" spans="1:3" x14ac:dyDescent="0.35">
      <c r="A9112" s="141" t="s">
        <v>422</v>
      </c>
      <c r="B9112" s="141" t="s">
        <v>1111</v>
      </c>
      <c r="C9112" s="141" t="s">
        <v>17</v>
      </c>
    </row>
    <row r="9113" spans="1:3" x14ac:dyDescent="0.35">
      <c r="A9113" s="141" t="s">
        <v>406</v>
      </c>
      <c r="B9113" s="141" t="s">
        <v>1111</v>
      </c>
      <c r="C9113" s="141" t="s">
        <v>18</v>
      </c>
    </row>
    <row r="9114" spans="1:3" x14ac:dyDescent="0.35">
      <c r="A9114" s="141" t="s">
        <v>407</v>
      </c>
      <c r="B9114" s="141" t="s">
        <v>1111</v>
      </c>
      <c r="C9114" s="141" t="s">
        <v>17</v>
      </c>
    </row>
    <row r="9115" spans="1:3" x14ac:dyDescent="0.35">
      <c r="A9115" s="141" t="s">
        <v>566</v>
      </c>
      <c r="B9115" s="141" t="s">
        <v>1111</v>
      </c>
      <c r="C9115" s="141" t="s">
        <v>17</v>
      </c>
    </row>
    <row r="9116" spans="1:3" x14ac:dyDescent="0.35">
      <c r="A9116" s="141" t="s">
        <v>833</v>
      </c>
      <c r="B9116" s="141" t="s">
        <v>1111</v>
      </c>
      <c r="C9116" s="141" t="s">
        <v>17</v>
      </c>
    </row>
    <row r="9117" spans="1:3" x14ac:dyDescent="0.35">
      <c r="A9117" s="141" t="s">
        <v>672</v>
      </c>
      <c r="B9117" s="141" t="s">
        <v>1111</v>
      </c>
      <c r="C9117" s="141" t="s">
        <v>25</v>
      </c>
    </row>
    <row r="9118" spans="1:3" x14ac:dyDescent="0.35">
      <c r="A9118" s="141" t="s">
        <v>897</v>
      </c>
      <c r="B9118" s="141" t="s">
        <v>1111</v>
      </c>
      <c r="C9118" s="141" t="s">
        <v>26</v>
      </c>
    </row>
    <row r="9119" spans="1:3" x14ac:dyDescent="0.35">
      <c r="A9119" s="141" t="s">
        <v>895</v>
      </c>
      <c r="B9119" s="141" t="s">
        <v>1111</v>
      </c>
      <c r="C9119" s="141" t="s">
        <v>25</v>
      </c>
    </row>
    <row r="9120" spans="1:3" x14ac:dyDescent="0.35">
      <c r="A9120" s="141" t="s">
        <v>996</v>
      </c>
      <c r="B9120" s="141" t="s">
        <v>1111</v>
      </c>
      <c r="C9120" s="141" t="s">
        <v>25</v>
      </c>
    </row>
    <row r="9121" spans="1:3" x14ac:dyDescent="0.35">
      <c r="A9121" s="141" t="s">
        <v>898</v>
      </c>
      <c r="B9121" s="141" t="s">
        <v>1111</v>
      </c>
      <c r="C9121" s="141" t="s">
        <v>25</v>
      </c>
    </row>
    <row r="9122" spans="1:3" x14ac:dyDescent="0.35">
      <c r="A9122" s="141" t="s">
        <v>896</v>
      </c>
      <c r="B9122" s="141" t="s">
        <v>1111</v>
      </c>
      <c r="C9122" s="141" t="s">
        <v>25</v>
      </c>
    </row>
    <row r="9123" spans="1:3" x14ac:dyDescent="0.35">
      <c r="A9123" s="141" t="s">
        <v>963</v>
      </c>
      <c r="B9123" s="141" t="s">
        <v>1111</v>
      </c>
      <c r="C9123" s="141" t="s">
        <v>25</v>
      </c>
    </row>
    <row r="9124" spans="1:3" x14ac:dyDescent="0.35">
      <c r="A9124" s="141" t="s">
        <v>1069</v>
      </c>
      <c r="B9124" s="141" t="s">
        <v>1111</v>
      </c>
      <c r="C9124" s="141" t="s">
        <v>25</v>
      </c>
    </row>
    <row r="9125" spans="1:3" x14ac:dyDescent="0.35">
      <c r="A9125" s="141" t="s">
        <v>964</v>
      </c>
      <c r="B9125" s="141" t="s">
        <v>1111</v>
      </c>
      <c r="C9125" s="141" t="s">
        <v>25</v>
      </c>
    </row>
    <row r="9126" spans="1:3" x14ac:dyDescent="0.35">
      <c r="A9126" s="141" t="s">
        <v>863</v>
      </c>
      <c r="B9126" s="141" t="s">
        <v>1111</v>
      </c>
      <c r="C9126" s="141" t="s">
        <v>30</v>
      </c>
    </row>
    <row r="9127" spans="1:3" x14ac:dyDescent="0.35">
      <c r="A9127" s="141" t="s">
        <v>864</v>
      </c>
      <c r="B9127" s="141" t="s">
        <v>1111</v>
      </c>
      <c r="C9127" s="141" t="s">
        <v>30</v>
      </c>
    </row>
    <row r="9128" spans="1:3" x14ac:dyDescent="0.35">
      <c r="A9128" s="141" t="s">
        <v>865</v>
      </c>
      <c r="B9128" s="141" t="s">
        <v>1111</v>
      </c>
      <c r="C9128" s="141" t="s">
        <v>34</v>
      </c>
    </row>
    <row r="9129" spans="1:3" x14ac:dyDescent="0.35">
      <c r="A9129" s="141" t="s">
        <v>866</v>
      </c>
      <c r="B9129" s="141" t="s">
        <v>1111</v>
      </c>
      <c r="C9129" s="141" t="s">
        <v>34</v>
      </c>
    </row>
    <row r="9130" spans="1:3" x14ac:dyDescent="0.35">
      <c r="A9130" s="141" t="s">
        <v>784</v>
      </c>
      <c r="B9130" s="141" t="s">
        <v>1111</v>
      </c>
      <c r="C9130" s="141" t="s">
        <v>30</v>
      </c>
    </row>
    <row r="9131" spans="1:3" x14ac:dyDescent="0.35">
      <c r="A9131" s="141" t="s">
        <v>867</v>
      </c>
      <c r="B9131" s="141" t="s">
        <v>1111</v>
      </c>
      <c r="C9131" s="141" t="s">
        <v>30</v>
      </c>
    </row>
    <row r="9132" spans="1:3" x14ac:dyDescent="0.35">
      <c r="A9132" s="141" t="s">
        <v>525</v>
      </c>
      <c r="B9132" s="141" t="s">
        <v>1111</v>
      </c>
      <c r="C9132" s="141" t="s">
        <v>46</v>
      </c>
    </row>
    <row r="9133" spans="1:3" x14ac:dyDescent="0.35">
      <c r="A9133" s="141" t="s">
        <v>1001</v>
      </c>
      <c r="B9133" s="141" t="s">
        <v>1111</v>
      </c>
      <c r="C9133" s="141" t="s">
        <v>32</v>
      </c>
    </row>
    <row r="9134" spans="1:3" x14ac:dyDescent="0.35">
      <c r="A9134" s="141" t="s">
        <v>870</v>
      </c>
      <c r="B9134" s="141" t="s">
        <v>1111</v>
      </c>
      <c r="C9134" s="141" t="s">
        <v>32</v>
      </c>
    </row>
    <row r="9135" spans="1:3" x14ac:dyDescent="0.35">
      <c r="A9135" s="141" t="s">
        <v>932</v>
      </c>
      <c r="B9135" s="141" t="s">
        <v>1111</v>
      </c>
      <c r="C9135" s="141" t="s">
        <v>49</v>
      </c>
    </row>
    <row r="9136" spans="1:3" x14ac:dyDescent="0.35">
      <c r="A9136" s="141" t="s">
        <v>940</v>
      </c>
      <c r="B9136" s="141" t="s">
        <v>1111</v>
      </c>
      <c r="C9136" s="141" t="s">
        <v>49</v>
      </c>
    </row>
    <row r="9137" spans="1:3" x14ac:dyDescent="0.35">
      <c r="A9137" s="141" t="s">
        <v>941</v>
      </c>
      <c r="B9137" s="141" t="s">
        <v>1111</v>
      </c>
      <c r="C9137" s="141" t="s">
        <v>49</v>
      </c>
    </row>
    <row r="9138" spans="1:3" x14ac:dyDescent="0.35">
      <c r="A9138" s="141" t="s">
        <v>933</v>
      </c>
      <c r="B9138" s="141" t="s">
        <v>1111</v>
      </c>
      <c r="C9138" s="141" t="s">
        <v>32</v>
      </c>
    </row>
    <row r="9139" spans="1:3" x14ac:dyDescent="0.35">
      <c r="A9139" s="141" t="s">
        <v>946</v>
      </c>
      <c r="B9139" s="141" t="s">
        <v>1111</v>
      </c>
      <c r="C9139" s="141" t="s">
        <v>25</v>
      </c>
    </row>
    <row r="9140" spans="1:3" x14ac:dyDescent="0.35">
      <c r="A9140" s="141" t="s">
        <v>935</v>
      </c>
      <c r="B9140" s="141" t="s">
        <v>1111</v>
      </c>
      <c r="C9140" s="141" t="s">
        <v>32</v>
      </c>
    </row>
    <row r="9141" spans="1:3" x14ac:dyDescent="0.35">
      <c r="A9141" s="141" t="s">
        <v>937</v>
      </c>
      <c r="B9141" s="141" t="s">
        <v>1111</v>
      </c>
      <c r="C9141" s="141" t="s">
        <v>32</v>
      </c>
    </row>
    <row r="9142" spans="1:3" x14ac:dyDescent="0.35">
      <c r="A9142" s="141" t="s">
        <v>938</v>
      </c>
      <c r="B9142" s="141" t="s">
        <v>1111</v>
      </c>
      <c r="C9142" s="141" t="s">
        <v>32</v>
      </c>
    </row>
    <row r="9143" spans="1:3" x14ac:dyDescent="0.35">
      <c r="A9143" s="141" t="s">
        <v>939</v>
      </c>
      <c r="B9143" s="141" t="s">
        <v>1111</v>
      </c>
      <c r="C9143" s="141" t="s">
        <v>32</v>
      </c>
    </row>
    <row r="9144" spans="1:3" x14ac:dyDescent="0.35">
      <c r="A9144" s="141" t="s">
        <v>942</v>
      </c>
      <c r="B9144" s="141" t="s">
        <v>1111</v>
      </c>
      <c r="C9144" s="141" t="s">
        <v>32</v>
      </c>
    </row>
    <row r="9145" spans="1:3" x14ac:dyDescent="0.35">
      <c r="A9145" s="141" t="s">
        <v>943</v>
      </c>
      <c r="B9145" s="141" t="s">
        <v>1111</v>
      </c>
      <c r="C9145" s="141" t="s">
        <v>32</v>
      </c>
    </row>
    <row r="9146" spans="1:3" x14ac:dyDescent="0.35">
      <c r="A9146" s="141" t="s">
        <v>944</v>
      </c>
      <c r="B9146" s="141" t="s">
        <v>1111</v>
      </c>
      <c r="C9146" s="141" t="s">
        <v>32</v>
      </c>
    </row>
    <row r="9147" spans="1:3" x14ac:dyDescent="0.35">
      <c r="A9147" s="141" t="s">
        <v>296</v>
      </c>
      <c r="B9147" s="141" t="s">
        <v>1111</v>
      </c>
      <c r="C9147" s="141" t="s">
        <v>32</v>
      </c>
    </row>
    <row r="9148" spans="1:3" x14ac:dyDescent="0.35">
      <c r="A9148" s="141" t="s">
        <v>1070</v>
      </c>
      <c r="B9148" s="141" t="s">
        <v>1111</v>
      </c>
      <c r="C9148" s="141" t="s">
        <v>32</v>
      </c>
    </row>
    <row r="9149" spans="1:3" x14ac:dyDescent="0.35">
      <c r="A9149" s="141" t="s">
        <v>953</v>
      </c>
      <c r="B9149" s="141" t="s">
        <v>1111</v>
      </c>
      <c r="C9149" s="141" t="s">
        <v>31</v>
      </c>
    </row>
    <row r="9150" spans="1:3" x14ac:dyDescent="0.35">
      <c r="A9150" s="141" t="s">
        <v>1071</v>
      </c>
      <c r="B9150" s="141" t="s">
        <v>1111</v>
      </c>
      <c r="C9150" s="141" t="s">
        <v>32</v>
      </c>
    </row>
    <row r="9151" spans="1:3" x14ac:dyDescent="0.35">
      <c r="A9151" s="141" t="s">
        <v>861</v>
      </c>
      <c r="B9151" s="141" t="s">
        <v>1111</v>
      </c>
      <c r="C9151" s="141" t="s">
        <v>33</v>
      </c>
    </row>
    <row r="9152" spans="1:3" x14ac:dyDescent="0.35">
      <c r="A9152" s="141" t="s">
        <v>862</v>
      </c>
      <c r="B9152" s="141" t="s">
        <v>1111</v>
      </c>
      <c r="C9152" s="141" t="s">
        <v>33</v>
      </c>
    </row>
    <row r="9153" spans="1:3" x14ac:dyDescent="0.35">
      <c r="A9153" s="141" t="s">
        <v>516</v>
      </c>
      <c r="B9153" s="141" t="s">
        <v>1111</v>
      </c>
      <c r="C9153" s="141" t="s">
        <v>33</v>
      </c>
    </row>
    <row r="9154" spans="1:3" x14ac:dyDescent="0.35">
      <c r="A9154" s="141" t="s">
        <v>892</v>
      </c>
      <c r="B9154" s="141" t="s">
        <v>1111</v>
      </c>
      <c r="C9154" s="141" t="s">
        <v>33</v>
      </c>
    </row>
    <row r="9155" spans="1:3" x14ac:dyDescent="0.35">
      <c r="A9155" s="141" t="s">
        <v>893</v>
      </c>
      <c r="B9155" s="141" t="s">
        <v>1111</v>
      </c>
      <c r="C9155" s="141" t="s">
        <v>33</v>
      </c>
    </row>
    <row r="9156" spans="1:3" x14ac:dyDescent="0.35">
      <c r="A9156" s="141" t="s">
        <v>894</v>
      </c>
      <c r="B9156" s="141" t="s">
        <v>1111</v>
      </c>
      <c r="C9156" s="141" t="s">
        <v>33</v>
      </c>
    </row>
    <row r="9157" spans="1:3" x14ac:dyDescent="0.35">
      <c r="A9157" s="141" t="s">
        <v>954</v>
      </c>
      <c r="B9157" s="141" t="s">
        <v>1111</v>
      </c>
      <c r="C9157" s="141" t="s">
        <v>35</v>
      </c>
    </row>
    <row r="9158" spans="1:3" x14ac:dyDescent="0.35">
      <c r="A9158" s="141" t="s">
        <v>955</v>
      </c>
      <c r="B9158" s="141" t="s">
        <v>1111</v>
      </c>
      <c r="C9158" s="141" t="s">
        <v>33</v>
      </c>
    </row>
    <row r="9159" spans="1:3" x14ac:dyDescent="0.35">
      <c r="A9159" s="141" t="s">
        <v>956</v>
      </c>
      <c r="B9159" s="141" t="s">
        <v>1111</v>
      </c>
      <c r="C9159" s="141" t="s">
        <v>33</v>
      </c>
    </row>
    <row r="9160" spans="1:3" x14ac:dyDescent="0.35">
      <c r="A9160" s="141" t="s">
        <v>706</v>
      </c>
      <c r="B9160" s="141" t="s">
        <v>1111</v>
      </c>
      <c r="C9160" s="141" t="s">
        <v>31</v>
      </c>
    </row>
    <row r="9161" spans="1:3" x14ac:dyDescent="0.35">
      <c r="A9161" s="141" t="s">
        <v>707</v>
      </c>
      <c r="B9161" s="141" t="s">
        <v>1111</v>
      </c>
      <c r="C9161" s="141" t="s">
        <v>31</v>
      </c>
    </row>
    <row r="9162" spans="1:3" x14ac:dyDescent="0.35">
      <c r="A9162" s="141" t="s">
        <v>708</v>
      </c>
      <c r="B9162" s="141" t="s">
        <v>1111</v>
      </c>
      <c r="C9162" s="141" t="s">
        <v>31</v>
      </c>
    </row>
    <row r="9163" spans="1:3" x14ac:dyDescent="0.35">
      <c r="A9163" s="141" t="s">
        <v>709</v>
      </c>
      <c r="B9163" s="141" t="s">
        <v>1111</v>
      </c>
      <c r="C9163" s="141" t="s">
        <v>31</v>
      </c>
    </row>
    <row r="9164" spans="1:3" x14ac:dyDescent="0.35">
      <c r="A9164" s="141" t="s">
        <v>710</v>
      </c>
      <c r="B9164" s="141" t="s">
        <v>1111</v>
      </c>
      <c r="C9164" s="141" t="s">
        <v>31</v>
      </c>
    </row>
    <row r="9165" spans="1:3" x14ac:dyDescent="0.35">
      <c r="A9165" s="141" t="s">
        <v>456</v>
      </c>
      <c r="B9165" s="141" t="s">
        <v>1111</v>
      </c>
      <c r="C9165" s="141" t="s">
        <v>31</v>
      </c>
    </row>
    <row r="9166" spans="1:3" x14ac:dyDescent="0.35">
      <c r="A9166" s="141" t="s">
        <v>297</v>
      </c>
      <c r="B9166" s="141" t="s">
        <v>1111</v>
      </c>
      <c r="C9166" s="141" t="s">
        <v>32</v>
      </c>
    </row>
    <row r="9167" spans="1:3" x14ac:dyDescent="0.35">
      <c r="A9167" s="141" t="s">
        <v>298</v>
      </c>
      <c r="B9167" s="141" t="s">
        <v>1111</v>
      </c>
      <c r="C9167" s="141" t="s">
        <v>32</v>
      </c>
    </row>
    <row r="9168" spans="1:3" x14ac:dyDescent="0.35">
      <c r="A9168" s="141" t="s">
        <v>299</v>
      </c>
      <c r="B9168" s="141" t="s">
        <v>1111</v>
      </c>
      <c r="C9168" s="141" t="s">
        <v>32</v>
      </c>
    </row>
    <row r="9169" spans="1:3" x14ac:dyDescent="0.35">
      <c r="A9169" s="141" t="s">
        <v>300</v>
      </c>
      <c r="B9169" s="141" t="s">
        <v>1111</v>
      </c>
      <c r="C9169" s="141" t="s">
        <v>32</v>
      </c>
    </row>
    <row r="9170" spans="1:3" x14ac:dyDescent="0.35">
      <c r="A9170" s="141" t="s">
        <v>301</v>
      </c>
      <c r="B9170" s="141" t="s">
        <v>1111</v>
      </c>
      <c r="C9170" s="141" t="s">
        <v>32</v>
      </c>
    </row>
    <row r="9171" spans="1:3" x14ac:dyDescent="0.35">
      <c r="A9171" s="141" t="s">
        <v>302</v>
      </c>
      <c r="B9171" s="141" t="s">
        <v>1111</v>
      </c>
      <c r="C9171" s="141" t="s">
        <v>32</v>
      </c>
    </row>
    <row r="9172" spans="1:3" x14ac:dyDescent="0.35">
      <c r="A9172" s="141" t="s">
        <v>997</v>
      </c>
      <c r="B9172" s="141" t="s">
        <v>1111</v>
      </c>
      <c r="C9172" s="141" t="s">
        <v>32</v>
      </c>
    </row>
    <row r="9173" spans="1:3" x14ac:dyDescent="0.35">
      <c r="A9173" s="141" t="s">
        <v>902</v>
      </c>
      <c r="B9173" s="141" t="s">
        <v>1111</v>
      </c>
      <c r="C9173" s="141" t="s">
        <v>31</v>
      </c>
    </row>
    <row r="9174" spans="1:3" x14ac:dyDescent="0.35">
      <c r="A9174" s="141" t="s">
        <v>903</v>
      </c>
      <c r="B9174" s="141" t="s">
        <v>1111</v>
      </c>
      <c r="C9174" s="141" t="s">
        <v>31</v>
      </c>
    </row>
    <row r="9175" spans="1:3" x14ac:dyDescent="0.35">
      <c r="A9175" s="141" t="s">
        <v>904</v>
      </c>
      <c r="B9175" s="141" t="s">
        <v>1111</v>
      </c>
      <c r="C9175" s="141" t="s">
        <v>31</v>
      </c>
    </row>
    <row r="9176" spans="1:3" x14ac:dyDescent="0.35">
      <c r="A9176" s="141" t="s">
        <v>905</v>
      </c>
      <c r="B9176" s="141" t="s">
        <v>1111</v>
      </c>
      <c r="C9176" s="141" t="s">
        <v>31</v>
      </c>
    </row>
    <row r="9177" spans="1:3" x14ac:dyDescent="0.35">
      <c r="A9177" s="141" t="s">
        <v>906</v>
      </c>
      <c r="B9177" s="141" t="s">
        <v>1111</v>
      </c>
      <c r="C9177" s="141" t="s">
        <v>31</v>
      </c>
    </row>
    <row r="9178" spans="1:3" x14ac:dyDescent="0.35">
      <c r="A9178" s="141" t="s">
        <v>907</v>
      </c>
      <c r="B9178" s="141" t="s">
        <v>1111</v>
      </c>
      <c r="C9178" s="141" t="s">
        <v>31</v>
      </c>
    </row>
    <row r="9179" spans="1:3" x14ac:dyDescent="0.35">
      <c r="A9179" s="141" t="s">
        <v>908</v>
      </c>
      <c r="B9179" s="141" t="s">
        <v>1111</v>
      </c>
      <c r="C9179" s="141" t="s">
        <v>31</v>
      </c>
    </row>
    <row r="9180" spans="1:3" x14ac:dyDescent="0.35">
      <c r="A9180" s="141" t="s">
        <v>909</v>
      </c>
      <c r="B9180" s="141" t="s">
        <v>1111</v>
      </c>
      <c r="C9180" s="141" t="s">
        <v>31</v>
      </c>
    </row>
    <row r="9181" spans="1:3" x14ac:dyDescent="0.35">
      <c r="A9181" s="141" t="s">
        <v>1072</v>
      </c>
      <c r="B9181" s="141" t="s">
        <v>1111</v>
      </c>
      <c r="C9181" s="141" t="s">
        <v>28</v>
      </c>
    </row>
    <row r="9182" spans="1:3" x14ac:dyDescent="0.35">
      <c r="A9182" s="141" t="s">
        <v>1073</v>
      </c>
      <c r="B9182" s="141" t="s">
        <v>1111</v>
      </c>
      <c r="C9182" s="141" t="s">
        <v>28</v>
      </c>
    </row>
    <row r="9183" spans="1:3" x14ac:dyDescent="0.35">
      <c r="A9183" s="141" t="s">
        <v>1074</v>
      </c>
      <c r="B9183" s="141" t="s">
        <v>1111</v>
      </c>
      <c r="C9183" s="141" t="s">
        <v>29</v>
      </c>
    </row>
    <row r="9184" spans="1:3" x14ac:dyDescent="0.35">
      <c r="A9184" s="141" t="s">
        <v>1075</v>
      </c>
      <c r="B9184" s="141" t="s">
        <v>1111</v>
      </c>
      <c r="C9184" s="141" t="s">
        <v>29</v>
      </c>
    </row>
    <row r="9185" spans="1:3" x14ac:dyDescent="0.35">
      <c r="A9185" s="141" t="s">
        <v>1076</v>
      </c>
      <c r="B9185" s="141" t="s">
        <v>1111</v>
      </c>
      <c r="C9185" s="141" t="s">
        <v>29</v>
      </c>
    </row>
    <row r="9186" spans="1:3" x14ac:dyDescent="0.35">
      <c r="A9186" s="141" t="s">
        <v>1077</v>
      </c>
      <c r="B9186" s="141" t="s">
        <v>1111</v>
      </c>
      <c r="C9186" s="141" t="s">
        <v>29</v>
      </c>
    </row>
    <row r="9187" spans="1:3" x14ac:dyDescent="0.35">
      <c r="A9187" s="141" t="s">
        <v>1078</v>
      </c>
      <c r="B9187" s="141" t="s">
        <v>1111</v>
      </c>
      <c r="C9187" s="141" t="s">
        <v>33</v>
      </c>
    </row>
    <row r="9188" spans="1:3" x14ac:dyDescent="0.35">
      <c r="A9188" s="141" t="s">
        <v>1079</v>
      </c>
      <c r="B9188" s="141" t="s">
        <v>1111</v>
      </c>
      <c r="C9188" s="141" t="s">
        <v>33</v>
      </c>
    </row>
    <row r="9189" spans="1:3" x14ac:dyDescent="0.35">
      <c r="A9189" s="141" t="s">
        <v>1080</v>
      </c>
      <c r="B9189" s="141" t="s">
        <v>1111</v>
      </c>
      <c r="C9189" s="141" t="s">
        <v>33</v>
      </c>
    </row>
    <row r="9190" spans="1:3" x14ac:dyDescent="0.35">
      <c r="A9190" s="141" t="s">
        <v>1057</v>
      </c>
      <c r="B9190" s="141" t="s">
        <v>1111</v>
      </c>
      <c r="C9190" s="141" t="s">
        <v>33</v>
      </c>
    </row>
    <row r="9191" spans="1:3" x14ac:dyDescent="0.35">
      <c r="A9191" s="141" t="s">
        <v>1058</v>
      </c>
      <c r="B9191" s="141" t="s">
        <v>1111</v>
      </c>
      <c r="C9191" s="141" t="s">
        <v>33</v>
      </c>
    </row>
    <row r="9192" spans="1:3" x14ac:dyDescent="0.35">
      <c r="A9192" s="141" t="s">
        <v>914</v>
      </c>
      <c r="B9192" s="141" t="s">
        <v>1111</v>
      </c>
      <c r="C9192" s="141" t="s">
        <v>33</v>
      </c>
    </row>
    <row r="9193" spans="1:3" x14ac:dyDescent="0.35">
      <c r="A9193" s="141" t="s">
        <v>1056</v>
      </c>
      <c r="B9193" s="141" t="s">
        <v>1111</v>
      </c>
      <c r="C9193" s="141" t="s">
        <v>36</v>
      </c>
    </row>
    <row r="9194" spans="1:3" x14ac:dyDescent="0.35">
      <c r="A9194" s="141" t="s">
        <v>347</v>
      </c>
      <c r="B9194" s="141" t="s">
        <v>1111</v>
      </c>
      <c r="C9194" s="141" t="s">
        <v>37</v>
      </c>
    </row>
    <row r="9195" spans="1:3" x14ac:dyDescent="0.35">
      <c r="A9195" s="141" t="s">
        <v>348</v>
      </c>
      <c r="B9195" s="141" t="s">
        <v>1111</v>
      </c>
      <c r="C9195" s="141" t="s">
        <v>37</v>
      </c>
    </row>
    <row r="9196" spans="1:3" x14ac:dyDescent="0.35">
      <c r="A9196" s="141" t="s">
        <v>349</v>
      </c>
      <c r="B9196" s="141" t="s">
        <v>1111</v>
      </c>
      <c r="C9196" s="141" t="s">
        <v>37</v>
      </c>
    </row>
    <row r="9197" spans="1:3" x14ac:dyDescent="0.35">
      <c r="A9197" s="141" t="s">
        <v>926</v>
      </c>
      <c r="B9197" s="141" t="s">
        <v>1111</v>
      </c>
      <c r="C9197" s="141" t="s">
        <v>37</v>
      </c>
    </row>
    <row r="9198" spans="1:3" x14ac:dyDescent="0.35">
      <c r="A9198" s="141" t="s">
        <v>927</v>
      </c>
      <c r="B9198" s="141" t="s">
        <v>1111</v>
      </c>
      <c r="C9198" s="141" t="s">
        <v>37</v>
      </c>
    </row>
    <row r="9199" spans="1:3" x14ac:dyDescent="0.35">
      <c r="A9199" s="141" t="s">
        <v>931</v>
      </c>
      <c r="B9199" s="141" t="s">
        <v>1111</v>
      </c>
      <c r="C9199" s="141" t="s">
        <v>36</v>
      </c>
    </row>
    <row r="9200" spans="1:3" x14ac:dyDescent="0.35">
      <c r="A9200" s="141" t="s">
        <v>570</v>
      </c>
      <c r="B9200" s="141" t="s">
        <v>1111</v>
      </c>
      <c r="C9200" s="141" t="s">
        <v>52</v>
      </c>
    </row>
    <row r="9201" spans="1:3" x14ac:dyDescent="0.35">
      <c r="A9201" s="141" t="s">
        <v>855</v>
      </c>
      <c r="B9201" s="141" t="s">
        <v>1111</v>
      </c>
      <c r="C9201" s="141" t="s">
        <v>52</v>
      </c>
    </row>
    <row r="9202" spans="1:3" x14ac:dyDescent="0.35">
      <c r="A9202" s="141" t="s">
        <v>1022</v>
      </c>
      <c r="B9202" s="141" t="s">
        <v>1111</v>
      </c>
      <c r="C9202" s="141" t="s">
        <v>29</v>
      </c>
    </row>
    <row r="9203" spans="1:3" x14ac:dyDescent="0.35">
      <c r="A9203" s="141" t="s">
        <v>1020</v>
      </c>
      <c r="B9203" s="141" t="s">
        <v>1111</v>
      </c>
      <c r="C9203" s="141" t="s">
        <v>29</v>
      </c>
    </row>
    <row r="9204" spans="1:3" x14ac:dyDescent="0.35">
      <c r="A9204" s="141" t="s">
        <v>1021</v>
      </c>
      <c r="B9204" s="141" t="s">
        <v>1111</v>
      </c>
      <c r="C9204" s="141" t="s">
        <v>29</v>
      </c>
    </row>
    <row r="9205" spans="1:3" x14ac:dyDescent="0.35">
      <c r="A9205" s="141" t="s">
        <v>1081</v>
      </c>
      <c r="B9205" s="141" t="s">
        <v>1111</v>
      </c>
      <c r="C9205" s="141" t="s">
        <v>52</v>
      </c>
    </row>
    <row r="9206" spans="1:3" x14ac:dyDescent="0.35">
      <c r="A9206" s="141" t="s">
        <v>1082</v>
      </c>
      <c r="B9206" s="141" t="s">
        <v>1111</v>
      </c>
      <c r="C9206" s="141" t="s">
        <v>52</v>
      </c>
    </row>
    <row r="9207" spans="1:3" x14ac:dyDescent="0.35">
      <c r="A9207" s="141" t="s">
        <v>601</v>
      </c>
      <c r="B9207" s="141" t="s">
        <v>1111</v>
      </c>
      <c r="C9207" s="141" t="s">
        <v>40</v>
      </c>
    </row>
    <row r="9208" spans="1:3" x14ac:dyDescent="0.35">
      <c r="A9208" s="141" t="s">
        <v>602</v>
      </c>
      <c r="B9208" s="141" t="s">
        <v>1111</v>
      </c>
      <c r="C9208" s="141" t="s">
        <v>39</v>
      </c>
    </row>
    <row r="9209" spans="1:3" x14ac:dyDescent="0.35">
      <c r="A9209" s="141" t="s">
        <v>1006</v>
      </c>
      <c r="B9209" s="141" t="s">
        <v>1111</v>
      </c>
      <c r="C9209" s="141" t="s">
        <v>41</v>
      </c>
    </row>
    <row r="9210" spans="1:3" x14ac:dyDescent="0.35">
      <c r="A9210" s="141" t="s">
        <v>737</v>
      </c>
      <c r="B9210" s="141" t="s">
        <v>1111</v>
      </c>
      <c r="C9210" s="141" t="s">
        <v>41</v>
      </c>
    </row>
    <row r="9211" spans="1:3" x14ac:dyDescent="0.35">
      <c r="A9211" s="141" t="s">
        <v>1083</v>
      </c>
      <c r="B9211" s="141" t="s">
        <v>1111</v>
      </c>
      <c r="C9211" s="141" t="s">
        <v>41</v>
      </c>
    </row>
    <row r="9212" spans="1:3" x14ac:dyDescent="0.35">
      <c r="A9212" s="141" t="s">
        <v>1084</v>
      </c>
      <c r="B9212" s="141" t="s">
        <v>1111</v>
      </c>
      <c r="C9212" s="141" t="s">
        <v>41</v>
      </c>
    </row>
    <row r="9213" spans="1:3" x14ac:dyDescent="0.35">
      <c r="A9213" s="141" t="s">
        <v>797</v>
      </c>
      <c r="B9213" s="141" t="s">
        <v>1111</v>
      </c>
      <c r="C9213" s="141" t="s">
        <v>41</v>
      </c>
    </row>
    <row r="9214" spans="1:3" x14ac:dyDescent="0.35">
      <c r="A9214" s="141" t="s">
        <v>1007</v>
      </c>
      <c r="B9214" s="141" t="s">
        <v>1111</v>
      </c>
      <c r="C9214" s="141" t="s">
        <v>40</v>
      </c>
    </row>
    <row r="9215" spans="1:3" x14ac:dyDescent="0.35">
      <c r="A9215" s="141" t="s">
        <v>1085</v>
      </c>
      <c r="B9215" s="141" t="s">
        <v>1111</v>
      </c>
      <c r="C9215" s="141" t="s">
        <v>42</v>
      </c>
    </row>
    <row r="9216" spans="1:3" x14ac:dyDescent="0.35">
      <c r="A9216" s="141" t="s">
        <v>989</v>
      </c>
      <c r="B9216" s="141" t="s">
        <v>1111</v>
      </c>
      <c r="C9216" s="141" t="s">
        <v>42</v>
      </c>
    </row>
    <row r="9217" spans="1:3" x14ac:dyDescent="0.35">
      <c r="A9217" s="141" t="s">
        <v>807</v>
      </c>
      <c r="B9217" s="141" t="s">
        <v>1111</v>
      </c>
      <c r="C9217" s="141" t="s">
        <v>3</v>
      </c>
    </row>
    <row r="9218" spans="1:3" x14ac:dyDescent="0.35">
      <c r="A9218" s="141" t="s">
        <v>1086</v>
      </c>
      <c r="B9218" s="141" t="s">
        <v>1111</v>
      </c>
      <c r="C9218" s="141" t="s">
        <v>30</v>
      </c>
    </row>
    <row r="9219" spans="1:3" x14ac:dyDescent="0.35">
      <c r="A9219" s="141" t="s">
        <v>1087</v>
      </c>
      <c r="B9219" s="141" t="s">
        <v>1111</v>
      </c>
      <c r="C9219" s="141" t="s">
        <v>30</v>
      </c>
    </row>
    <row r="9220" spans="1:3" x14ac:dyDescent="0.35">
      <c r="A9220" s="141" t="s">
        <v>1088</v>
      </c>
      <c r="B9220" s="141" t="s">
        <v>1111</v>
      </c>
      <c r="C9220" s="141" t="s">
        <v>48</v>
      </c>
    </row>
    <row r="9221" spans="1:3" x14ac:dyDescent="0.35">
      <c r="A9221" s="141" t="s">
        <v>1089</v>
      </c>
      <c r="B9221" s="141" t="s">
        <v>1111</v>
      </c>
      <c r="C9221" s="141" t="s">
        <v>30</v>
      </c>
    </row>
    <row r="9222" spans="1:3" x14ac:dyDescent="0.35">
      <c r="A9222" s="141" t="s">
        <v>1090</v>
      </c>
      <c r="B9222" s="141" t="s">
        <v>1111</v>
      </c>
      <c r="C9222" s="141" t="s">
        <v>30</v>
      </c>
    </row>
    <row r="9223" spans="1:3" x14ac:dyDescent="0.35">
      <c r="A9223" s="141" t="s">
        <v>1091</v>
      </c>
      <c r="B9223" s="141" t="s">
        <v>1111</v>
      </c>
      <c r="C9223" s="141" t="s">
        <v>31</v>
      </c>
    </row>
    <row r="9224" spans="1:3" x14ac:dyDescent="0.35">
      <c r="A9224" s="141" t="s">
        <v>1092</v>
      </c>
      <c r="B9224" s="141" t="s">
        <v>1111</v>
      </c>
      <c r="C9224" s="141" t="s">
        <v>47</v>
      </c>
    </row>
    <row r="9225" spans="1:3" x14ac:dyDescent="0.35">
      <c r="A9225" s="141" t="s">
        <v>1093</v>
      </c>
      <c r="B9225" s="141" t="s">
        <v>1111</v>
      </c>
      <c r="C9225" s="141" t="s">
        <v>30</v>
      </c>
    </row>
    <row r="9226" spans="1:3" x14ac:dyDescent="0.35">
      <c r="A9226" s="141" t="s">
        <v>1094</v>
      </c>
      <c r="B9226" s="141" t="s">
        <v>1111</v>
      </c>
      <c r="C9226" s="141" t="s">
        <v>30</v>
      </c>
    </row>
    <row r="9227" spans="1:3" x14ac:dyDescent="0.35">
      <c r="A9227" s="141" t="s">
        <v>305</v>
      </c>
      <c r="B9227" s="141" t="s">
        <v>1111</v>
      </c>
      <c r="C9227" s="141" t="s">
        <v>21</v>
      </c>
    </row>
    <row r="9228" spans="1:3" x14ac:dyDescent="0.35">
      <c r="A9228" s="141" t="s">
        <v>977</v>
      </c>
      <c r="B9228" s="141" t="s">
        <v>1111</v>
      </c>
      <c r="C9228" s="141" t="s">
        <v>52</v>
      </c>
    </row>
    <row r="9229" spans="1:3" x14ac:dyDescent="0.35">
      <c r="A9229" s="141" t="s">
        <v>343</v>
      </c>
      <c r="B9229" s="141" t="s">
        <v>1111</v>
      </c>
      <c r="C9229" s="141" t="s">
        <v>30</v>
      </c>
    </row>
    <row r="9230" spans="1:3" x14ac:dyDescent="0.35">
      <c r="A9230" s="141" t="s">
        <v>1095</v>
      </c>
      <c r="B9230" s="141" t="s">
        <v>1111</v>
      </c>
      <c r="C9230" s="141" t="s">
        <v>49</v>
      </c>
    </row>
    <row r="9231" spans="1:3" x14ac:dyDescent="0.35">
      <c r="A9231" s="141" t="s">
        <v>1096</v>
      </c>
      <c r="B9231" s="141" t="s">
        <v>1111</v>
      </c>
      <c r="C9231" s="141" t="s">
        <v>49</v>
      </c>
    </row>
    <row r="9232" spans="1:3" x14ac:dyDescent="0.35">
      <c r="A9232" s="141" t="s">
        <v>1095</v>
      </c>
      <c r="B9232" s="141" t="s">
        <v>1111</v>
      </c>
      <c r="C9232" s="141" t="s">
        <v>49</v>
      </c>
    </row>
    <row r="9233" spans="1:3" x14ac:dyDescent="0.35">
      <c r="A9233" s="141" t="s">
        <v>306</v>
      </c>
      <c r="B9233" s="141" t="s">
        <v>1111</v>
      </c>
      <c r="C9233" s="141" t="s">
        <v>35</v>
      </c>
    </row>
    <row r="9234" spans="1:3" x14ac:dyDescent="0.35">
      <c r="A9234" s="141" t="s">
        <v>1031</v>
      </c>
      <c r="B9234" s="141" t="s">
        <v>1111</v>
      </c>
      <c r="C9234" s="141" t="s">
        <v>35</v>
      </c>
    </row>
    <row r="9235" spans="1:3" x14ac:dyDescent="0.35">
      <c r="A9235" s="141" t="s">
        <v>1040</v>
      </c>
      <c r="B9235" s="141" t="s">
        <v>1111</v>
      </c>
      <c r="C9235" s="141" t="s">
        <v>35</v>
      </c>
    </row>
    <row r="9236" spans="1:3" x14ac:dyDescent="0.35">
      <c r="A9236" s="141" t="s">
        <v>740</v>
      </c>
      <c r="B9236" s="141" t="s">
        <v>1111</v>
      </c>
      <c r="C9236" s="141" t="s">
        <v>33</v>
      </c>
    </row>
    <row r="9237" spans="1:3" x14ac:dyDescent="0.35">
      <c r="A9237" s="141" t="s">
        <v>1046</v>
      </c>
      <c r="B9237" s="141" t="s">
        <v>1111</v>
      </c>
      <c r="C9237" s="141" t="s">
        <v>33</v>
      </c>
    </row>
    <row r="9238" spans="1:3" x14ac:dyDescent="0.35">
      <c r="A9238" s="141" t="s">
        <v>1032</v>
      </c>
      <c r="B9238" s="141" t="s">
        <v>1111</v>
      </c>
      <c r="C9238" s="141" t="s">
        <v>33</v>
      </c>
    </row>
    <row r="9239" spans="1:3" x14ac:dyDescent="0.35">
      <c r="A9239" s="141" t="s">
        <v>1033</v>
      </c>
      <c r="B9239" s="141" t="s">
        <v>1111</v>
      </c>
      <c r="C9239" s="141" t="s">
        <v>33</v>
      </c>
    </row>
    <row r="9240" spans="1:3" x14ac:dyDescent="0.35">
      <c r="A9240" s="141" t="s">
        <v>1034</v>
      </c>
      <c r="B9240" s="141" t="s">
        <v>1111</v>
      </c>
      <c r="C9240" s="141" t="s">
        <v>33</v>
      </c>
    </row>
    <row r="9241" spans="1:3" x14ac:dyDescent="0.35">
      <c r="A9241" s="141" t="s">
        <v>308</v>
      </c>
      <c r="B9241" s="141" t="s">
        <v>1111</v>
      </c>
      <c r="C9241" s="141" t="s">
        <v>53</v>
      </c>
    </row>
    <row r="9242" spans="1:3" x14ac:dyDescent="0.35">
      <c r="A9242" s="141" t="s">
        <v>309</v>
      </c>
      <c r="B9242" s="141" t="s">
        <v>1111</v>
      </c>
      <c r="C9242" s="141" t="s">
        <v>53</v>
      </c>
    </row>
    <row r="9243" spans="1:3" x14ac:dyDescent="0.35">
      <c r="A9243" s="141" t="s">
        <v>311</v>
      </c>
      <c r="B9243" s="141" t="s">
        <v>1111</v>
      </c>
      <c r="C9243" s="141" t="s">
        <v>53</v>
      </c>
    </row>
    <row r="9244" spans="1:3" x14ac:dyDescent="0.35">
      <c r="A9244" s="141" t="s">
        <v>1097</v>
      </c>
      <c r="B9244" s="141" t="s">
        <v>1111</v>
      </c>
      <c r="C9244" s="141" t="s">
        <v>53</v>
      </c>
    </row>
    <row r="9245" spans="1:3" x14ac:dyDescent="0.35">
      <c r="A9245" s="141" t="s">
        <v>1098</v>
      </c>
      <c r="B9245" s="141" t="s">
        <v>1111</v>
      </c>
      <c r="C9245" s="141" t="s">
        <v>53</v>
      </c>
    </row>
    <row r="9246" spans="1:3" x14ac:dyDescent="0.35">
      <c r="A9246" s="141" t="s">
        <v>1099</v>
      </c>
      <c r="B9246" s="141" t="s">
        <v>1111</v>
      </c>
      <c r="C9246" s="141" t="s">
        <v>53</v>
      </c>
    </row>
    <row r="9247" spans="1:3" x14ac:dyDescent="0.35">
      <c r="A9247" s="141" t="s">
        <v>531</v>
      </c>
      <c r="B9247" s="141" t="s">
        <v>1111</v>
      </c>
      <c r="C9247" s="141" t="s">
        <v>51</v>
      </c>
    </row>
    <row r="9248" spans="1:3" x14ac:dyDescent="0.35">
      <c r="A9248" s="141" t="s">
        <v>741</v>
      </c>
      <c r="B9248" s="141" t="s">
        <v>1111</v>
      </c>
      <c r="C9248" s="141" t="s">
        <v>51</v>
      </c>
    </row>
    <row r="9249" spans="1:3" x14ac:dyDescent="0.35">
      <c r="A9249" s="141" t="s">
        <v>742</v>
      </c>
      <c r="B9249" s="141" t="s">
        <v>1111</v>
      </c>
      <c r="C9249" s="141" t="s">
        <v>51</v>
      </c>
    </row>
    <row r="9250" spans="1:3" x14ac:dyDescent="0.35">
      <c r="A9250" s="141" t="s">
        <v>743</v>
      </c>
      <c r="B9250" s="141" t="s">
        <v>1111</v>
      </c>
      <c r="C9250" s="141" t="s">
        <v>51</v>
      </c>
    </row>
    <row r="9251" spans="1:3" x14ac:dyDescent="0.35">
      <c r="A9251" s="141" t="s">
        <v>747</v>
      </c>
      <c r="B9251" s="141" t="s">
        <v>1111</v>
      </c>
      <c r="C9251" s="141" t="s">
        <v>51</v>
      </c>
    </row>
    <row r="9252" spans="1:3" x14ac:dyDescent="0.35">
      <c r="A9252" s="141" t="s">
        <v>748</v>
      </c>
      <c r="B9252" s="141" t="s">
        <v>1111</v>
      </c>
      <c r="C9252" s="141" t="s">
        <v>51</v>
      </c>
    </row>
    <row r="9253" spans="1:3" x14ac:dyDescent="0.35">
      <c r="A9253" s="141" t="s">
        <v>313</v>
      </c>
      <c r="B9253" s="141" t="s">
        <v>1111</v>
      </c>
      <c r="C9253" s="141" t="s">
        <v>51</v>
      </c>
    </row>
    <row r="9254" spans="1:3" x14ac:dyDescent="0.35">
      <c r="A9254" s="141" t="s">
        <v>338</v>
      </c>
      <c r="B9254" s="141" t="s">
        <v>1111</v>
      </c>
      <c r="C9254" s="141" t="s">
        <v>20</v>
      </c>
    </row>
    <row r="9255" spans="1:3" x14ac:dyDescent="0.35">
      <c r="A9255" s="141" t="s">
        <v>533</v>
      </c>
      <c r="B9255" s="141" t="s">
        <v>1111</v>
      </c>
      <c r="C9255" s="141" t="s">
        <v>50</v>
      </c>
    </row>
    <row r="9256" spans="1:3" x14ac:dyDescent="0.35">
      <c r="A9256" s="141" t="s">
        <v>1100</v>
      </c>
      <c r="B9256" s="141" t="s">
        <v>1111</v>
      </c>
      <c r="C9256" s="141" t="s">
        <v>53</v>
      </c>
    </row>
    <row r="9257" spans="1:3" x14ac:dyDescent="0.35">
      <c r="A9257" s="141" t="s">
        <v>1101</v>
      </c>
      <c r="B9257" s="141" t="s">
        <v>1111</v>
      </c>
      <c r="C9257" s="141" t="s">
        <v>53</v>
      </c>
    </row>
    <row r="9258" spans="1:3" x14ac:dyDescent="0.35">
      <c r="A9258" s="141" t="s">
        <v>1102</v>
      </c>
      <c r="B9258" s="141" t="s">
        <v>1111</v>
      </c>
      <c r="C9258" s="141" t="s">
        <v>53</v>
      </c>
    </row>
    <row r="9259" spans="1:3" x14ac:dyDescent="0.35">
      <c r="A9259" s="141" t="s">
        <v>969</v>
      </c>
      <c r="B9259" s="141" t="s">
        <v>1111</v>
      </c>
      <c r="C9259" s="141" t="s">
        <v>53</v>
      </c>
    </row>
    <row r="9260" spans="1:3" x14ac:dyDescent="0.35">
      <c r="A9260" s="141" t="s">
        <v>970</v>
      </c>
      <c r="B9260" s="141" t="s">
        <v>1111</v>
      </c>
      <c r="C9260" s="141" t="s">
        <v>53</v>
      </c>
    </row>
    <row r="9261" spans="1:3" x14ac:dyDescent="0.35">
      <c r="A9261" s="141" t="s">
        <v>873</v>
      </c>
      <c r="B9261" s="141" t="s">
        <v>1111</v>
      </c>
      <c r="C9261" s="141" t="s">
        <v>52</v>
      </c>
    </row>
    <row r="9262" spans="1:3" x14ac:dyDescent="0.35">
      <c r="A9262" s="141" t="s">
        <v>874</v>
      </c>
      <c r="B9262" s="141" t="s">
        <v>1111</v>
      </c>
      <c r="C9262" s="141" t="s">
        <v>52</v>
      </c>
    </row>
    <row r="9263" spans="1:3" x14ac:dyDescent="0.35">
      <c r="A9263" s="141" t="s">
        <v>1003</v>
      </c>
      <c r="B9263" s="141" t="s">
        <v>1111</v>
      </c>
      <c r="C9263" s="141" t="s">
        <v>52</v>
      </c>
    </row>
    <row r="9264" spans="1:3" x14ac:dyDescent="0.35">
      <c r="A9264" s="141" t="s">
        <v>875</v>
      </c>
      <c r="B9264" s="141" t="s">
        <v>1111</v>
      </c>
      <c r="C9264" s="141" t="s">
        <v>52</v>
      </c>
    </row>
    <row r="9265" spans="1:3" x14ac:dyDescent="0.35">
      <c r="A9265" s="141" t="s">
        <v>876</v>
      </c>
      <c r="B9265" s="141" t="s">
        <v>1111</v>
      </c>
      <c r="C9265" s="141" t="s">
        <v>52</v>
      </c>
    </row>
    <row r="9266" spans="1:3" x14ac:dyDescent="0.35">
      <c r="A9266" s="141" t="s">
        <v>877</v>
      </c>
      <c r="B9266" s="141" t="s">
        <v>1111</v>
      </c>
      <c r="C9266" s="141" t="s">
        <v>52</v>
      </c>
    </row>
    <row r="9267" spans="1:3" x14ac:dyDescent="0.35">
      <c r="A9267" s="141" t="s">
        <v>878</v>
      </c>
      <c r="B9267" s="141" t="s">
        <v>1111</v>
      </c>
      <c r="C9267" s="141" t="s">
        <v>52</v>
      </c>
    </row>
    <row r="9268" spans="1:3" x14ac:dyDescent="0.35">
      <c r="A9268" s="141" t="s">
        <v>539</v>
      </c>
      <c r="B9268" s="141" t="s">
        <v>1111</v>
      </c>
      <c r="C9268" s="141" t="s">
        <v>52</v>
      </c>
    </row>
    <row r="9269" spans="1:3" x14ac:dyDescent="0.35">
      <c r="A9269" s="141" t="s">
        <v>1055</v>
      </c>
      <c r="B9269" s="141" t="s">
        <v>1111</v>
      </c>
      <c r="C9269" s="141" t="s">
        <v>53</v>
      </c>
    </row>
    <row r="9270" spans="1:3" x14ac:dyDescent="0.35">
      <c r="A9270" s="141" t="s">
        <v>540</v>
      </c>
      <c r="B9270" s="141" t="s">
        <v>1111</v>
      </c>
      <c r="C9270" s="141" t="s">
        <v>52</v>
      </c>
    </row>
    <row r="9271" spans="1:3" x14ac:dyDescent="0.35">
      <c r="A9271" s="141" t="s">
        <v>812</v>
      </c>
      <c r="B9271" s="141" t="s">
        <v>1111</v>
      </c>
      <c r="C9271" s="141" t="s">
        <v>52</v>
      </c>
    </row>
    <row r="9272" spans="1:3" x14ac:dyDescent="0.35">
      <c r="A9272" s="141" t="s">
        <v>803</v>
      </c>
      <c r="B9272" s="141" t="s">
        <v>1111</v>
      </c>
      <c r="C9272" s="141" t="s">
        <v>52</v>
      </c>
    </row>
    <row r="9273" spans="1:3" x14ac:dyDescent="0.35">
      <c r="A9273" s="141" t="s">
        <v>350</v>
      </c>
      <c r="B9273" s="141" t="s">
        <v>1111</v>
      </c>
      <c r="C9273" s="141" t="s">
        <v>53</v>
      </c>
    </row>
    <row r="9274" spans="1:3" x14ac:dyDescent="0.35">
      <c r="A9274" s="141" t="s">
        <v>351</v>
      </c>
      <c r="B9274" s="141" t="s">
        <v>1111</v>
      </c>
      <c r="C9274" s="141" t="s">
        <v>53</v>
      </c>
    </row>
    <row r="9275" spans="1:3" x14ac:dyDescent="0.35">
      <c r="A9275" s="141" t="s">
        <v>344</v>
      </c>
      <c r="B9275" s="141" t="s">
        <v>1111</v>
      </c>
      <c r="C9275" s="141" t="s">
        <v>53</v>
      </c>
    </row>
    <row r="9276" spans="1:3" x14ac:dyDescent="0.35">
      <c r="A9276" s="141" t="s">
        <v>1052</v>
      </c>
      <c r="B9276" s="141" t="s">
        <v>1111</v>
      </c>
      <c r="C9276" s="141" t="s">
        <v>53</v>
      </c>
    </row>
    <row r="9277" spans="1:3" x14ac:dyDescent="0.35">
      <c r="A9277" s="141" t="s">
        <v>1103</v>
      </c>
      <c r="B9277" s="141" t="s">
        <v>1111</v>
      </c>
      <c r="C9277" s="141" t="s">
        <v>53</v>
      </c>
    </row>
    <row r="9278" spans="1:3" x14ac:dyDescent="0.35">
      <c r="A9278" s="141" t="s">
        <v>1104</v>
      </c>
      <c r="B9278" s="141" t="s">
        <v>1111</v>
      </c>
      <c r="C9278" s="141" t="s">
        <v>53</v>
      </c>
    </row>
    <row r="9279" spans="1:3" x14ac:dyDescent="0.35">
      <c r="A9279" s="141" t="s">
        <v>1105</v>
      </c>
      <c r="B9279" s="141" t="s">
        <v>1111</v>
      </c>
      <c r="C9279" s="141" t="s">
        <v>53</v>
      </c>
    </row>
    <row r="9280" spans="1:3" x14ac:dyDescent="0.35">
      <c r="A9280" s="141" t="s">
        <v>1002</v>
      </c>
      <c r="B9280" s="141" t="s">
        <v>1111</v>
      </c>
      <c r="C9280" s="141" t="s">
        <v>25</v>
      </c>
    </row>
    <row r="9281" spans="1:3" x14ac:dyDescent="0.35">
      <c r="A9281" s="141" t="s">
        <v>960</v>
      </c>
      <c r="B9281" s="141" t="s">
        <v>1111</v>
      </c>
      <c r="C9281" s="141" t="s">
        <v>52</v>
      </c>
    </row>
    <row r="9282" spans="1:3" x14ac:dyDescent="0.35">
      <c r="A9282" s="141" t="s">
        <v>1053</v>
      </c>
      <c r="B9282" s="141" t="s">
        <v>1111</v>
      </c>
      <c r="C9282" s="141" t="s">
        <v>53</v>
      </c>
    </row>
    <row r="9283" spans="1:3" x14ac:dyDescent="0.35">
      <c r="A9283" s="141" t="s">
        <v>961</v>
      </c>
      <c r="B9283" s="141" t="s">
        <v>1111</v>
      </c>
      <c r="C9283" s="141" t="s">
        <v>53</v>
      </c>
    </row>
    <row r="9284" spans="1:3" x14ac:dyDescent="0.35">
      <c r="A9284" s="141" t="s">
        <v>1054</v>
      </c>
      <c r="B9284" s="141" t="s">
        <v>1111</v>
      </c>
      <c r="C9284" s="141" t="s">
        <v>53</v>
      </c>
    </row>
    <row r="9285" spans="1:3" x14ac:dyDescent="0.35">
      <c r="A9285" s="141" t="s">
        <v>1106</v>
      </c>
      <c r="B9285" s="141" t="s">
        <v>1111</v>
      </c>
      <c r="C9285" s="141" t="s">
        <v>53</v>
      </c>
    </row>
    <row r="9286" spans="1:3" x14ac:dyDescent="0.35">
      <c r="A9286" s="141" t="s">
        <v>1107</v>
      </c>
      <c r="B9286" s="141" t="s">
        <v>1111</v>
      </c>
      <c r="C9286" s="141" t="s">
        <v>53</v>
      </c>
    </row>
    <row r="9287" spans="1:3" x14ac:dyDescent="0.35">
      <c r="A9287" s="141" t="s">
        <v>880</v>
      </c>
      <c r="B9287" s="141" t="s">
        <v>1111</v>
      </c>
      <c r="C9287" s="141" t="s">
        <v>52</v>
      </c>
    </row>
    <row r="9288" spans="1:3" x14ac:dyDescent="0.35">
      <c r="A9288" s="141" t="s">
        <v>314</v>
      </c>
      <c r="B9288" s="141" t="s">
        <v>1111</v>
      </c>
      <c r="C9288" s="141" t="s">
        <v>16</v>
      </c>
    </row>
    <row r="9289" spans="1:3" x14ac:dyDescent="0.35">
      <c r="A9289" s="141" t="s">
        <v>316</v>
      </c>
      <c r="B9289" s="141" t="s">
        <v>1111</v>
      </c>
      <c r="C9289" s="141" t="s">
        <v>16</v>
      </c>
    </row>
    <row r="9290" spans="1:3" x14ac:dyDescent="0.35">
      <c r="A9290" s="141" t="s">
        <v>317</v>
      </c>
      <c r="B9290" s="141" t="s">
        <v>1111</v>
      </c>
      <c r="C9290" s="141" t="s">
        <v>16</v>
      </c>
    </row>
    <row r="9291" spans="1:3" x14ac:dyDescent="0.35">
      <c r="A9291" s="141" t="s">
        <v>318</v>
      </c>
      <c r="B9291" s="141" t="s">
        <v>1111</v>
      </c>
      <c r="C9291" s="141" t="s">
        <v>16</v>
      </c>
    </row>
    <row r="9292" spans="1:3" x14ac:dyDescent="0.35">
      <c r="A9292" s="141" t="s">
        <v>319</v>
      </c>
      <c r="B9292" s="141" t="s">
        <v>1111</v>
      </c>
      <c r="C9292" s="141" t="s">
        <v>16</v>
      </c>
    </row>
    <row r="9293" spans="1:3" x14ac:dyDescent="0.35">
      <c r="A9293" s="141" t="s">
        <v>320</v>
      </c>
      <c r="B9293" s="141" t="s">
        <v>1111</v>
      </c>
      <c r="C9293" s="141" t="s">
        <v>16</v>
      </c>
    </row>
    <row r="9294" spans="1:3" x14ac:dyDescent="0.35">
      <c r="A9294" s="141" t="s">
        <v>321</v>
      </c>
      <c r="B9294" s="141" t="s">
        <v>1111</v>
      </c>
      <c r="C9294" s="141" t="s">
        <v>16</v>
      </c>
    </row>
    <row r="9295" spans="1:3" x14ac:dyDescent="0.35">
      <c r="A9295" s="141" t="s">
        <v>322</v>
      </c>
      <c r="B9295" s="141" t="s">
        <v>1111</v>
      </c>
      <c r="C9295" s="141" t="s">
        <v>16</v>
      </c>
    </row>
    <row r="9296" spans="1:3" x14ac:dyDescent="0.35">
      <c r="A9296" s="141" t="s">
        <v>323</v>
      </c>
      <c r="B9296" s="141" t="s">
        <v>1111</v>
      </c>
      <c r="C9296" s="141" t="s">
        <v>16</v>
      </c>
    </row>
    <row r="9297" spans="1:3" x14ac:dyDescent="0.35">
      <c r="A9297" s="141" t="s">
        <v>324</v>
      </c>
      <c r="B9297" s="141" t="s">
        <v>1111</v>
      </c>
      <c r="C9297" s="141" t="s">
        <v>16</v>
      </c>
    </row>
    <row r="9298" spans="1:3" x14ac:dyDescent="0.35">
      <c r="A9298" s="141" t="s">
        <v>325</v>
      </c>
      <c r="B9298" s="141" t="s">
        <v>1111</v>
      </c>
      <c r="C9298" s="141" t="s">
        <v>16</v>
      </c>
    </row>
    <row r="9299" spans="1:3" x14ac:dyDescent="0.35">
      <c r="A9299" s="141" t="s">
        <v>326</v>
      </c>
      <c r="B9299" s="141" t="s">
        <v>1111</v>
      </c>
      <c r="C9299" s="141" t="s">
        <v>16</v>
      </c>
    </row>
    <row r="9300" spans="1:3" x14ac:dyDescent="0.35">
      <c r="A9300" s="141" t="s">
        <v>971</v>
      </c>
      <c r="B9300" s="141" t="s">
        <v>1111</v>
      </c>
      <c r="C9300" s="141" t="s">
        <v>16</v>
      </c>
    </row>
    <row r="9301" spans="1:3" x14ac:dyDescent="0.35">
      <c r="A9301" s="141" t="s">
        <v>327</v>
      </c>
      <c r="B9301" s="141" t="s">
        <v>1111</v>
      </c>
      <c r="C9301" s="141" t="s">
        <v>16</v>
      </c>
    </row>
    <row r="9302" spans="1:3" x14ac:dyDescent="0.35">
      <c r="A9302" s="141" t="s">
        <v>972</v>
      </c>
      <c r="B9302" s="141" t="s">
        <v>1111</v>
      </c>
      <c r="C9302" s="141" t="s">
        <v>16</v>
      </c>
    </row>
    <row r="9303" spans="1:3" x14ac:dyDescent="0.35">
      <c r="A9303" s="141" t="s">
        <v>328</v>
      </c>
      <c r="B9303" s="141" t="s">
        <v>1111</v>
      </c>
      <c r="C9303" s="141" t="s">
        <v>16</v>
      </c>
    </row>
    <row r="9304" spans="1:3" x14ac:dyDescent="0.35">
      <c r="A9304" s="141" t="s">
        <v>1004</v>
      </c>
      <c r="B9304" s="141" t="s">
        <v>1111</v>
      </c>
      <c r="C9304" s="141" t="s">
        <v>16</v>
      </c>
    </row>
    <row r="9305" spans="1:3" x14ac:dyDescent="0.35">
      <c r="A9305" s="141" t="s">
        <v>330</v>
      </c>
      <c r="B9305" s="141" t="s">
        <v>1111</v>
      </c>
      <c r="C9305" s="141" t="s">
        <v>16</v>
      </c>
    </row>
    <row r="9306" spans="1:3" x14ac:dyDescent="0.35">
      <c r="A9306" s="141" t="s">
        <v>331</v>
      </c>
      <c r="B9306" s="141" t="s">
        <v>1111</v>
      </c>
      <c r="C9306" s="141" t="s">
        <v>16</v>
      </c>
    </row>
    <row r="9307" spans="1:3" x14ac:dyDescent="0.35">
      <c r="A9307" s="141" t="s">
        <v>332</v>
      </c>
      <c r="B9307" s="141" t="s">
        <v>1111</v>
      </c>
      <c r="C9307" s="141" t="s">
        <v>16</v>
      </c>
    </row>
    <row r="9308" spans="1:3" x14ac:dyDescent="0.35">
      <c r="A9308" s="141" t="s">
        <v>333</v>
      </c>
      <c r="B9308" s="141" t="s">
        <v>1111</v>
      </c>
      <c r="C9308" s="141" t="s">
        <v>16</v>
      </c>
    </row>
    <row r="9309" spans="1:3" x14ac:dyDescent="0.35">
      <c r="A9309" s="141" t="s">
        <v>1005</v>
      </c>
      <c r="B9309" s="141" t="s">
        <v>1111</v>
      </c>
      <c r="C9309" s="141" t="s">
        <v>16</v>
      </c>
    </row>
    <row r="9310" spans="1:3" x14ac:dyDescent="0.35">
      <c r="A9310" s="141" t="s">
        <v>1039</v>
      </c>
      <c r="B9310" s="141" t="s">
        <v>1111</v>
      </c>
      <c r="C9310" s="141" t="s">
        <v>16</v>
      </c>
    </row>
    <row r="9311" spans="1:3" x14ac:dyDescent="0.35">
      <c r="A9311" s="141" t="s">
        <v>974</v>
      </c>
      <c r="B9311" s="141" t="s">
        <v>1111</v>
      </c>
      <c r="C9311" s="141" t="s">
        <v>16</v>
      </c>
    </row>
    <row r="9312" spans="1:3" x14ac:dyDescent="0.35">
      <c r="A9312" s="141" t="s">
        <v>806</v>
      </c>
      <c r="B9312" s="141" t="s">
        <v>1111</v>
      </c>
      <c r="C9312" s="141" t="s">
        <v>32</v>
      </c>
    </row>
    <row r="9313" spans="1:3" x14ac:dyDescent="0.35">
      <c r="A9313" s="141" t="s">
        <v>579</v>
      </c>
      <c r="B9313" s="141" t="s">
        <v>1111</v>
      </c>
      <c r="C9313" s="141" t="s">
        <v>32</v>
      </c>
    </row>
    <row r="9314" spans="1:3" x14ac:dyDescent="0.35">
      <c r="A9314" s="141" t="s">
        <v>556</v>
      </c>
      <c r="B9314" s="141" t="s">
        <v>1111</v>
      </c>
      <c r="C9314" s="141" t="s">
        <v>32</v>
      </c>
    </row>
    <row r="9315" spans="1:3" x14ac:dyDescent="0.35">
      <c r="A9315" s="141" t="s">
        <v>557</v>
      </c>
      <c r="B9315" s="141" t="s">
        <v>1111</v>
      </c>
      <c r="C9315" s="141" t="s">
        <v>32</v>
      </c>
    </row>
    <row r="9316" spans="1:3" x14ac:dyDescent="0.35">
      <c r="A9316" s="141" t="s">
        <v>558</v>
      </c>
      <c r="B9316" s="141" t="s">
        <v>1111</v>
      </c>
      <c r="C9316" s="141" t="s">
        <v>32</v>
      </c>
    </row>
    <row r="9317" spans="1:3" x14ac:dyDescent="0.35">
      <c r="A9317" s="141" t="s">
        <v>580</v>
      </c>
      <c r="B9317" s="141" t="s">
        <v>1111</v>
      </c>
      <c r="C9317" s="141" t="s">
        <v>32</v>
      </c>
    </row>
    <row r="9318" spans="1:3" x14ac:dyDescent="0.35">
      <c r="A9318" s="141" t="s">
        <v>612</v>
      </c>
      <c r="B9318" s="141" t="s">
        <v>1111</v>
      </c>
      <c r="C9318" s="141" t="s">
        <v>43</v>
      </c>
    </row>
    <row r="9319" spans="1:3" x14ac:dyDescent="0.35">
      <c r="A9319" s="141" t="s">
        <v>1009</v>
      </c>
      <c r="B9319" s="141" t="s">
        <v>1111</v>
      </c>
      <c r="C9319" s="141" t="s">
        <v>43</v>
      </c>
    </row>
    <row r="9320" spans="1:3" x14ac:dyDescent="0.35">
      <c r="A9320" s="141" t="s">
        <v>615</v>
      </c>
      <c r="B9320" s="141" t="s">
        <v>1111</v>
      </c>
      <c r="C9320" s="141" t="s">
        <v>43</v>
      </c>
    </row>
    <row r="9321" spans="1:3" x14ac:dyDescent="0.35">
      <c r="A9321" s="141" t="s">
        <v>616</v>
      </c>
      <c r="B9321" s="141" t="s">
        <v>1111</v>
      </c>
      <c r="C9321" s="141" t="s">
        <v>43</v>
      </c>
    </row>
    <row r="9322" spans="1:3" x14ac:dyDescent="0.35">
      <c r="A9322" s="141" t="s">
        <v>854</v>
      </c>
      <c r="B9322" s="141" t="s">
        <v>1111</v>
      </c>
      <c r="C9322" s="141" t="s">
        <v>43</v>
      </c>
    </row>
    <row r="9323" spans="1:3" x14ac:dyDescent="0.35">
      <c r="A9323" s="141" t="s">
        <v>605</v>
      </c>
      <c r="B9323" s="141" t="s">
        <v>1111</v>
      </c>
      <c r="C9323" s="141" t="s">
        <v>43</v>
      </c>
    </row>
    <row r="9324" spans="1:3" x14ac:dyDescent="0.35">
      <c r="A9324" s="141" t="s">
        <v>1008</v>
      </c>
      <c r="B9324" s="141" t="s">
        <v>1111</v>
      </c>
      <c r="C9324" s="141" t="s">
        <v>43</v>
      </c>
    </row>
    <row r="9325" spans="1:3" x14ac:dyDescent="0.35">
      <c r="A9325" s="141" t="s">
        <v>608</v>
      </c>
      <c r="B9325" s="141" t="s">
        <v>1111</v>
      </c>
      <c r="C9325" s="141" t="s">
        <v>43</v>
      </c>
    </row>
    <row r="9326" spans="1:3" x14ac:dyDescent="0.35">
      <c r="A9326" s="141" t="s">
        <v>609</v>
      </c>
      <c r="B9326" s="141" t="s">
        <v>1111</v>
      </c>
      <c r="C9326" s="141" t="s">
        <v>43</v>
      </c>
    </row>
    <row r="9327" spans="1:3" x14ac:dyDescent="0.35">
      <c r="A9327" s="141" t="s">
        <v>610</v>
      </c>
      <c r="B9327" s="141" t="s">
        <v>1111</v>
      </c>
      <c r="C9327" s="141" t="s">
        <v>43</v>
      </c>
    </row>
    <row r="9328" spans="1:3" x14ac:dyDescent="0.35">
      <c r="A9328" s="141" t="s">
        <v>618</v>
      </c>
      <c r="B9328" s="141" t="s">
        <v>1111</v>
      </c>
      <c r="C9328" s="141" t="s">
        <v>43</v>
      </c>
    </row>
    <row r="9329" spans="1:3" x14ac:dyDescent="0.35">
      <c r="A9329" s="141" t="s">
        <v>619</v>
      </c>
      <c r="B9329" s="141" t="s">
        <v>1111</v>
      </c>
      <c r="C9329" s="141" t="s">
        <v>44</v>
      </c>
    </row>
    <row r="9330" spans="1:3" x14ac:dyDescent="0.35">
      <c r="A9330" s="141" t="s">
        <v>1010</v>
      </c>
      <c r="B9330" s="141" t="s">
        <v>1111</v>
      </c>
      <c r="C9330" s="141" t="s">
        <v>43</v>
      </c>
    </row>
    <row r="9331" spans="1:3" x14ac:dyDescent="0.35">
      <c r="A9331" s="141" t="s">
        <v>1011</v>
      </c>
      <c r="B9331" s="141" t="s">
        <v>1111</v>
      </c>
      <c r="C9331" s="141" t="s">
        <v>43</v>
      </c>
    </row>
    <row r="9332" spans="1:3" x14ac:dyDescent="0.35">
      <c r="A9332" s="141" t="s">
        <v>1012</v>
      </c>
      <c r="B9332" s="141" t="s">
        <v>1111</v>
      </c>
      <c r="C9332" s="141" t="s">
        <v>43</v>
      </c>
    </row>
    <row r="9333" spans="1:3" x14ac:dyDescent="0.35">
      <c r="A9333" s="141" t="s">
        <v>1013</v>
      </c>
      <c r="B9333" s="141" t="s">
        <v>1111</v>
      </c>
      <c r="C9333" s="141" t="s">
        <v>43</v>
      </c>
    </row>
    <row r="9334" spans="1:3" x14ac:dyDescent="0.35">
      <c r="A9334" s="141" t="s">
        <v>1014</v>
      </c>
      <c r="B9334" s="141" t="s">
        <v>1111</v>
      </c>
      <c r="C9334" s="141" t="s">
        <v>43</v>
      </c>
    </row>
    <row r="9335" spans="1:3" x14ac:dyDescent="0.35">
      <c r="A9335" s="141" t="s">
        <v>1015</v>
      </c>
      <c r="B9335" s="141" t="s">
        <v>1111</v>
      </c>
      <c r="C9335" s="141" t="s">
        <v>43</v>
      </c>
    </row>
    <row r="9336" spans="1:3" x14ac:dyDescent="0.35">
      <c r="A9336" s="141" t="s">
        <v>337</v>
      </c>
      <c r="B9336" s="141" t="s">
        <v>1111</v>
      </c>
      <c r="C9336" s="141" t="s">
        <v>47</v>
      </c>
    </row>
    <row r="9337" spans="1:3" x14ac:dyDescent="0.35">
      <c r="A9337" s="141" t="s">
        <v>962</v>
      </c>
      <c r="B9337" s="141" t="s">
        <v>1111</v>
      </c>
      <c r="C9337" s="141" t="s">
        <v>47</v>
      </c>
    </row>
    <row r="9338" spans="1:3" x14ac:dyDescent="0.35">
      <c r="A9338" s="141" t="s">
        <v>981</v>
      </c>
      <c r="B9338" s="141" t="s">
        <v>1111</v>
      </c>
      <c r="C9338" s="141" t="s">
        <v>47</v>
      </c>
    </row>
    <row r="9339" spans="1:3" x14ac:dyDescent="0.35">
      <c r="A9339" s="141" t="s">
        <v>982</v>
      </c>
      <c r="B9339" s="141" t="s">
        <v>1111</v>
      </c>
      <c r="C9339" s="141" t="s">
        <v>47</v>
      </c>
    </row>
    <row r="9340" spans="1:3" x14ac:dyDescent="0.35">
      <c r="A9340" s="141" t="s">
        <v>1108</v>
      </c>
      <c r="B9340" s="141" t="s">
        <v>1111</v>
      </c>
      <c r="C9340" s="141" t="s">
        <v>47</v>
      </c>
    </row>
    <row r="9341" spans="1:3" x14ac:dyDescent="0.35">
      <c r="A9341" s="141" t="s">
        <v>1038</v>
      </c>
      <c r="B9341" s="141" t="s">
        <v>1111</v>
      </c>
      <c r="C9341" s="141" t="s">
        <v>48</v>
      </c>
    </row>
    <row r="9342" spans="1:3" x14ac:dyDescent="0.35">
      <c r="A9342" s="141" t="s">
        <v>563</v>
      </c>
      <c r="B9342" s="141" t="s">
        <v>1111</v>
      </c>
      <c r="C9342" s="141" t="s">
        <v>47</v>
      </c>
    </row>
    <row r="9343" spans="1:3" x14ac:dyDescent="0.35">
      <c r="A9343" s="141" t="s">
        <v>1110</v>
      </c>
      <c r="B9343" s="141" t="s">
        <v>1111</v>
      </c>
      <c r="C9343" s="141" t="s">
        <v>30</v>
      </c>
    </row>
    <row r="9344" spans="1:3" x14ac:dyDescent="0.35">
      <c r="A9344" s="141" t="s">
        <v>390</v>
      </c>
      <c r="B9344" s="141" t="s">
        <v>1112</v>
      </c>
      <c r="C9344" s="141" t="s">
        <v>16</v>
      </c>
    </row>
    <row r="9345" spans="1:3" x14ac:dyDescent="0.35">
      <c r="A9345" s="141" t="s">
        <v>352</v>
      </c>
      <c r="B9345" s="141" t="s">
        <v>1112</v>
      </c>
      <c r="C9345" s="141" t="s">
        <v>2</v>
      </c>
    </row>
    <row r="9346" spans="1:3" x14ac:dyDescent="0.35">
      <c r="A9346" s="141" t="s">
        <v>354</v>
      </c>
      <c r="B9346" s="141" t="s">
        <v>1112</v>
      </c>
      <c r="C9346" s="141" t="s">
        <v>2</v>
      </c>
    </row>
    <row r="9347" spans="1:3" x14ac:dyDescent="0.35">
      <c r="A9347" s="141" t="s">
        <v>846</v>
      </c>
      <c r="B9347" s="141" t="s">
        <v>1112</v>
      </c>
      <c r="C9347" s="141" t="s">
        <v>16</v>
      </c>
    </row>
    <row r="9348" spans="1:3" x14ac:dyDescent="0.35">
      <c r="A9348" s="141" t="s">
        <v>393</v>
      </c>
      <c r="B9348" s="141" t="s">
        <v>1112</v>
      </c>
      <c r="C9348" s="141" t="s">
        <v>9</v>
      </c>
    </row>
    <row r="9349" spans="1:3" x14ac:dyDescent="0.35">
      <c r="A9349" s="141" t="s">
        <v>818</v>
      </c>
      <c r="B9349" s="141" t="s">
        <v>1112</v>
      </c>
      <c r="C9349" s="141" t="s">
        <v>12</v>
      </c>
    </row>
    <row r="9350" spans="1:3" x14ac:dyDescent="0.35">
      <c r="A9350" s="141" t="s">
        <v>835</v>
      </c>
      <c r="B9350" s="141" t="s">
        <v>1112</v>
      </c>
      <c r="C9350" s="141" t="s">
        <v>12</v>
      </c>
    </row>
    <row r="9351" spans="1:3" x14ac:dyDescent="0.35">
      <c r="A9351" s="141" t="s">
        <v>836</v>
      </c>
      <c r="B9351" s="141" t="s">
        <v>1112</v>
      </c>
      <c r="C9351" s="141" t="s">
        <v>12</v>
      </c>
    </row>
    <row r="9352" spans="1:3" x14ac:dyDescent="0.35">
      <c r="A9352" s="141" t="s">
        <v>837</v>
      </c>
      <c r="B9352" s="141" t="s">
        <v>1112</v>
      </c>
      <c r="C9352" s="141" t="s">
        <v>14</v>
      </c>
    </row>
    <row r="9353" spans="1:3" x14ac:dyDescent="0.35">
      <c r="A9353" s="141" t="s">
        <v>840</v>
      </c>
      <c r="B9353" s="141" t="s">
        <v>1112</v>
      </c>
      <c r="C9353" s="141" t="s">
        <v>10</v>
      </c>
    </row>
    <row r="9354" spans="1:3" x14ac:dyDescent="0.35">
      <c r="A9354" s="141" t="s">
        <v>841</v>
      </c>
      <c r="B9354" s="141" t="s">
        <v>1112</v>
      </c>
      <c r="C9354" s="141" t="s">
        <v>10</v>
      </c>
    </row>
    <row r="9355" spans="1:3" x14ac:dyDescent="0.35">
      <c r="A9355" s="141" t="s">
        <v>370</v>
      </c>
      <c r="B9355" s="141" t="s">
        <v>1112</v>
      </c>
      <c r="C9355" s="141" t="s">
        <v>10</v>
      </c>
    </row>
    <row r="9356" spans="1:3" x14ac:dyDescent="0.35">
      <c r="A9356" s="141" t="s">
        <v>371</v>
      </c>
      <c r="B9356" s="141" t="s">
        <v>1112</v>
      </c>
      <c r="C9356" s="141" t="s">
        <v>10</v>
      </c>
    </row>
    <row r="9357" spans="1:3" x14ac:dyDescent="0.35">
      <c r="A9357" s="141" t="s">
        <v>376</v>
      </c>
      <c r="B9357" s="141" t="s">
        <v>1112</v>
      </c>
      <c r="C9357" s="141" t="s">
        <v>10</v>
      </c>
    </row>
    <row r="9358" spans="1:3" x14ac:dyDescent="0.35">
      <c r="A9358" s="141" t="s">
        <v>372</v>
      </c>
      <c r="B9358" s="141" t="s">
        <v>1112</v>
      </c>
      <c r="C9358" s="141" t="s">
        <v>10</v>
      </c>
    </row>
    <row r="9359" spans="1:3" x14ac:dyDescent="0.35">
      <c r="A9359" s="141" t="s">
        <v>373</v>
      </c>
      <c r="B9359" s="141" t="s">
        <v>1112</v>
      </c>
      <c r="C9359" s="141" t="s">
        <v>10</v>
      </c>
    </row>
    <row r="9360" spans="1:3" x14ac:dyDescent="0.35">
      <c r="A9360" s="141" t="s">
        <v>375</v>
      </c>
      <c r="B9360" s="141" t="s">
        <v>1112</v>
      </c>
      <c r="C9360" s="141" t="s">
        <v>10</v>
      </c>
    </row>
    <row r="9361" spans="1:3" x14ac:dyDescent="0.35">
      <c r="A9361" s="141" t="s">
        <v>842</v>
      </c>
      <c r="B9361" s="141" t="s">
        <v>1112</v>
      </c>
      <c r="C9361" s="141" t="s">
        <v>11</v>
      </c>
    </row>
    <row r="9362" spans="1:3" x14ac:dyDescent="0.35">
      <c r="A9362" s="141" t="s">
        <v>843</v>
      </c>
      <c r="B9362" s="141" t="s">
        <v>1112</v>
      </c>
      <c r="C9362" s="141" t="s">
        <v>11</v>
      </c>
    </row>
    <row r="9363" spans="1:3" x14ac:dyDescent="0.35">
      <c r="A9363" s="141" t="s">
        <v>844</v>
      </c>
      <c r="B9363" s="141" t="s">
        <v>1112</v>
      </c>
      <c r="C9363" s="141" t="s">
        <v>11</v>
      </c>
    </row>
    <row r="9364" spans="1:3" x14ac:dyDescent="0.35">
      <c r="A9364" s="141" t="s">
        <v>845</v>
      </c>
      <c r="B9364" s="141" t="s">
        <v>1112</v>
      </c>
      <c r="C9364" s="141" t="s">
        <v>11</v>
      </c>
    </row>
    <row r="9365" spans="1:3" x14ac:dyDescent="0.35">
      <c r="A9365" s="141" t="s">
        <v>358</v>
      </c>
      <c r="B9365" s="141" t="s">
        <v>1112</v>
      </c>
      <c r="C9365" s="141" t="s">
        <v>14</v>
      </c>
    </row>
    <row r="9366" spans="1:3" x14ac:dyDescent="0.35">
      <c r="A9366" s="141" t="s">
        <v>654</v>
      </c>
      <c r="B9366" s="141" t="s">
        <v>1112</v>
      </c>
      <c r="C9366" s="141" t="s">
        <v>14</v>
      </c>
    </row>
    <row r="9367" spans="1:3" x14ac:dyDescent="0.35">
      <c r="A9367" s="141" t="s">
        <v>987</v>
      </c>
      <c r="B9367" s="141" t="s">
        <v>1112</v>
      </c>
      <c r="C9367" s="141" t="s">
        <v>14</v>
      </c>
    </row>
    <row r="9368" spans="1:3" x14ac:dyDescent="0.35">
      <c r="A9368" s="141" t="s">
        <v>838</v>
      </c>
      <c r="B9368" s="141" t="s">
        <v>1112</v>
      </c>
      <c r="C9368" s="141" t="s">
        <v>13</v>
      </c>
    </row>
    <row r="9369" spans="1:3" x14ac:dyDescent="0.35">
      <c r="A9369" s="141" t="s">
        <v>346</v>
      </c>
      <c r="B9369" s="141" t="s">
        <v>1112</v>
      </c>
      <c r="C9369" s="141" t="s">
        <v>13</v>
      </c>
    </row>
    <row r="9370" spans="1:3" x14ac:dyDescent="0.35">
      <c r="A9370" s="141" t="s">
        <v>367</v>
      </c>
      <c r="B9370" s="141" t="s">
        <v>1112</v>
      </c>
      <c r="C9370" s="141" t="s">
        <v>8</v>
      </c>
    </row>
    <row r="9371" spans="1:3" x14ac:dyDescent="0.35">
      <c r="A9371" s="141" t="s">
        <v>383</v>
      </c>
      <c r="B9371" s="141" t="s">
        <v>1112</v>
      </c>
      <c r="C9371" s="141" t="s">
        <v>5</v>
      </c>
    </row>
    <row r="9372" spans="1:3" x14ac:dyDescent="0.35">
      <c r="A9372" s="141" t="s">
        <v>345</v>
      </c>
      <c r="B9372" s="141" t="s">
        <v>1112</v>
      </c>
      <c r="C9372" s="141" t="s">
        <v>5</v>
      </c>
    </row>
    <row r="9373" spans="1:3" x14ac:dyDescent="0.35">
      <c r="A9373" s="141" t="s">
        <v>359</v>
      </c>
      <c r="B9373" s="141" t="s">
        <v>1112</v>
      </c>
      <c r="C9373" s="141" t="s">
        <v>46</v>
      </c>
    </row>
    <row r="9374" spans="1:3" x14ac:dyDescent="0.35">
      <c r="A9374" s="141" t="s">
        <v>360</v>
      </c>
      <c r="B9374" s="141" t="s">
        <v>1112</v>
      </c>
      <c r="C9374" s="141" t="s">
        <v>46</v>
      </c>
    </row>
    <row r="9375" spans="1:3" x14ac:dyDescent="0.35">
      <c r="A9375" s="141" t="s">
        <v>262</v>
      </c>
      <c r="B9375" s="141" t="s">
        <v>1112</v>
      </c>
      <c r="C9375" s="141" t="s">
        <v>27</v>
      </c>
    </row>
    <row r="9376" spans="1:3" x14ac:dyDescent="0.35">
      <c r="A9376" s="141" t="s">
        <v>1044</v>
      </c>
      <c r="B9376" s="141" t="s">
        <v>1112</v>
      </c>
      <c r="C9376" s="141" t="s">
        <v>24</v>
      </c>
    </row>
    <row r="9377" spans="1:3" x14ac:dyDescent="0.35">
      <c r="A9377" s="141" t="s">
        <v>1045</v>
      </c>
      <c r="B9377" s="141" t="s">
        <v>1112</v>
      </c>
      <c r="C9377" s="141" t="s">
        <v>24</v>
      </c>
    </row>
    <row r="9378" spans="1:3" x14ac:dyDescent="0.35">
      <c r="A9378" s="141" t="s">
        <v>1060</v>
      </c>
      <c r="B9378" s="141" t="s">
        <v>1112</v>
      </c>
      <c r="C9378" s="141" t="s">
        <v>24</v>
      </c>
    </row>
    <row r="9379" spans="1:3" x14ac:dyDescent="0.35">
      <c r="A9379" s="141" t="s">
        <v>887</v>
      </c>
      <c r="B9379" s="141" t="s">
        <v>1112</v>
      </c>
      <c r="C9379" s="141" t="s">
        <v>24</v>
      </c>
    </row>
    <row r="9380" spans="1:3" x14ac:dyDescent="0.35">
      <c r="A9380" s="141" t="s">
        <v>1061</v>
      </c>
      <c r="B9380" s="141" t="s">
        <v>1112</v>
      </c>
      <c r="C9380" s="141" t="s">
        <v>24</v>
      </c>
    </row>
    <row r="9381" spans="1:3" x14ac:dyDescent="0.35">
      <c r="A9381" s="141" t="s">
        <v>1062</v>
      </c>
      <c r="B9381" s="141" t="s">
        <v>1112</v>
      </c>
      <c r="C9381" s="141" t="s">
        <v>27</v>
      </c>
    </row>
    <row r="9382" spans="1:3" x14ac:dyDescent="0.35">
      <c r="A9382" s="141" t="s">
        <v>564</v>
      </c>
      <c r="B9382" s="141" t="s">
        <v>1112</v>
      </c>
      <c r="C9382" s="141" t="s">
        <v>7</v>
      </c>
    </row>
    <row r="9383" spans="1:3" x14ac:dyDescent="0.35">
      <c r="A9383" s="141" t="s">
        <v>565</v>
      </c>
      <c r="B9383" s="141" t="s">
        <v>1112</v>
      </c>
      <c r="C9383" s="141" t="s">
        <v>7</v>
      </c>
    </row>
    <row r="9384" spans="1:3" x14ac:dyDescent="0.35">
      <c r="A9384" s="141" t="s">
        <v>385</v>
      </c>
      <c r="B9384" s="141" t="s">
        <v>1112</v>
      </c>
      <c r="C9384" s="141" t="s">
        <v>7</v>
      </c>
    </row>
    <row r="9385" spans="1:3" x14ac:dyDescent="0.35">
      <c r="A9385" s="141" t="s">
        <v>386</v>
      </c>
      <c r="B9385" s="141" t="s">
        <v>1112</v>
      </c>
      <c r="C9385" s="141" t="s">
        <v>7</v>
      </c>
    </row>
    <row r="9386" spans="1:3" x14ac:dyDescent="0.35">
      <c r="A9386" s="141" t="s">
        <v>387</v>
      </c>
      <c r="B9386" s="141" t="s">
        <v>1112</v>
      </c>
      <c r="C9386" s="141" t="s">
        <v>7</v>
      </c>
    </row>
    <row r="9387" spans="1:3" x14ac:dyDescent="0.35">
      <c r="A9387" s="141" t="s">
        <v>365</v>
      </c>
      <c r="B9387" s="141" t="s">
        <v>1112</v>
      </c>
      <c r="C9387" s="141" t="s">
        <v>7</v>
      </c>
    </row>
    <row r="9388" spans="1:3" x14ac:dyDescent="0.35">
      <c r="A9388" s="141" t="s">
        <v>589</v>
      </c>
      <c r="B9388" s="141" t="s">
        <v>1112</v>
      </c>
      <c r="C9388" s="141" t="s">
        <v>4</v>
      </c>
    </row>
    <row r="9389" spans="1:3" x14ac:dyDescent="0.35">
      <c r="A9389" s="141" t="s">
        <v>988</v>
      </c>
      <c r="B9389" s="141" t="s">
        <v>1112</v>
      </c>
      <c r="C9389" s="141" t="s">
        <v>8</v>
      </c>
    </row>
    <row r="9390" spans="1:3" x14ac:dyDescent="0.35">
      <c r="A9390" s="141" t="s">
        <v>366</v>
      </c>
      <c r="B9390" s="141" t="s">
        <v>1112</v>
      </c>
      <c r="C9390" s="141" t="s">
        <v>8</v>
      </c>
    </row>
    <row r="9391" spans="1:3" x14ac:dyDescent="0.35">
      <c r="A9391" s="141" t="s">
        <v>1043</v>
      </c>
      <c r="B9391" s="141" t="s">
        <v>1112</v>
      </c>
      <c r="C9391" s="141" t="s">
        <v>4</v>
      </c>
    </row>
    <row r="9392" spans="1:3" x14ac:dyDescent="0.35">
      <c r="A9392" s="141" t="s">
        <v>819</v>
      </c>
      <c r="B9392" s="141" t="s">
        <v>1112</v>
      </c>
      <c r="C9392" s="141" t="s">
        <v>45</v>
      </c>
    </row>
    <row r="9393" spans="1:3" x14ac:dyDescent="0.35">
      <c r="A9393" s="141" t="s">
        <v>820</v>
      </c>
      <c r="B9393" s="141" t="s">
        <v>1112</v>
      </c>
      <c r="C9393" s="141" t="s">
        <v>45</v>
      </c>
    </row>
    <row r="9394" spans="1:3" x14ac:dyDescent="0.35">
      <c r="A9394" s="141" t="s">
        <v>821</v>
      </c>
      <c r="B9394" s="141" t="s">
        <v>1112</v>
      </c>
      <c r="C9394" s="141" t="s">
        <v>45</v>
      </c>
    </row>
    <row r="9395" spans="1:3" x14ac:dyDescent="0.35">
      <c r="A9395" s="141" t="s">
        <v>822</v>
      </c>
      <c r="B9395" s="141" t="s">
        <v>1112</v>
      </c>
      <c r="C9395" s="141" t="s">
        <v>45</v>
      </c>
    </row>
    <row r="9396" spans="1:3" x14ac:dyDescent="0.35">
      <c r="A9396" s="141" t="s">
        <v>823</v>
      </c>
      <c r="B9396" s="141" t="s">
        <v>1112</v>
      </c>
      <c r="C9396" s="141" t="s">
        <v>45</v>
      </c>
    </row>
    <row r="9397" spans="1:3" x14ac:dyDescent="0.35">
      <c r="A9397" s="141" t="s">
        <v>824</v>
      </c>
      <c r="B9397" s="141" t="s">
        <v>1112</v>
      </c>
      <c r="C9397" s="141" t="s">
        <v>45</v>
      </c>
    </row>
    <row r="9398" spans="1:3" x14ac:dyDescent="0.35">
      <c r="A9398" s="141" t="s">
        <v>1041</v>
      </c>
      <c r="B9398" s="141" t="s">
        <v>1112</v>
      </c>
      <c r="C9398" s="141" t="s">
        <v>45</v>
      </c>
    </row>
    <row r="9399" spans="1:3" x14ac:dyDescent="0.35">
      <c r="A9399" s="141" t="s">
        <v>827</v>
      </c>
      <c r="B9399" s="141" t="s">
        <v>1112</v>
      </c>
      <c r="C9399" s="141" t="s">
        <v>45</v>
      </c>
    </row>
    <row r="9400" spans="1:3" x14ac:dyDescent="0.35">
      <c r="A9400" s="141" t="s">
        <v>828</v>
      </c>
      <c r="B9400" s="141" t="s">
        <v>1112</v>
      </c>
      <c r="C9400" s="141" t="s">
        <v>45</v>
      </c>
    </row>
    <row r="9401" spans="1:3" x14ac:dyDescent="0.35">
      <c r="A9401" s="141" t="s">
        <v>829</v>
      </c>
      <c r="B9401" s="141" t="s">
        <v>1112</v>
      </c>
      <c r="C9401" s="141" t="s">
        <v>45</v>
      </c>
    </row>
    <row r="9402" spans="1:3" x14ac:dyDescent="0.35">
      <c r="A9402" s="141" t="s">
        <v>830</v>
      </c>
      <c r="B9402" s="141" t="s">
        <v>1112</v>
      </c>
      <c r="C9402" s="141" t="s">
        <v>45</v>
      </c>
    </row>
    <row r="9403" spans="1:3" x14ac:dyDescent="0.35">
      <c r="A9403" s="141" t="s">
        <v>831</v>
      </c>
      <c r="B9403" s="141" t="s">
        <v>1112</v>
      </c>
      <c r="C9403" s="141" t="s">
        <v>45</v>
      </c>
    </row>
    <row r="9404" spans="1:3" x14ac:dyDescent="0.35">
      <c r="A9404" s="141" t="s">
        <v>1042</v>
      </c>
      <c r="B9404" s="141" t="s">
        <v>1112</v>
      </c>
      <c r="C9404" s="141" t="s">
        <v>45</v>
      </c>
    </row>
    <row r="9405" spans="1:3" x14ac:dyDescent="0.35">
      <c r="A9405" s="141" t="s">
        <v>278</v>
      </c>
      <c r="B9405" s="141" t="s">
        <v>1112</v>
      </c>
      <c r="C9405" s="141" t="s">
        <v>21</v>
      </c>
    </row>
    <row r="9406" spans="1:3" x14ac:dyDescent="0.35">
      <c r="A9406" s="141" t="s">
        <v>283</v>
      </c>
      <c r="B9406" s="141" t="s">
        <v>1112</v>
      </c>
      <c r="C9406" s="141" t="s">
        <v>21</v>
      </c>
    </row>
    <row r="9407" spans="1:3" x14ac:dyDescent="0.35">
      <c r="A9407" s="141" t="s">
        <v>284</v>
      </c>
      <c r="B9407" s="141" t="s">
        <v>1112</v>
      </c>
      <c r="C9407" s="141" t="s">
        <v>21</v>
      </c>
    </row>
    <row r="9408" spans="1:3" x14ac:dyDescent="0.35">
      <c r="A9408" s="141" t="s">
        <v>285</v>
      </c>
      <c r="B9408" s="141" t="s">
        <v>1112</v>
      </c>
      <c r="C9408" s="141" t="s">
        <v>27</v>
      </c>
    </row>
    <row r="9409" spans="1:3" x14ac:dyDescent="0.35">
      <c r="A9409" s="141" t="s">
        <v>286</v>
      </c>
      <c r="B9409" s="141" t="s">
        <v>1112</v>
      </c>
      <c r="C9409" s="141" t="s">
        <v>27</v>
      </c>
    </row>
    <row r="9410" spans="1:3" x14ac:dyDescent="0.35">
      <c r="A9410" s="141" t="s">
        <v>290</v>
      </c>
      <c r="B9410" s="141" t="s">
        <v>1112</v>
      </c>
      <c r="C9410" s="141" t="s">
        <v>23</v>
      </c>
    </row>
    <row r="9411" spans="1:3" x14ac:dyDescent="0.35">
      <c r="A9411" s="141" t="s">
        <v>848</v>
      </c>
      <c r="B9411" s="141" t="s">
        <v>1112</v>
      </c>
      <c r="C9411" s="141" t="s">
        <v>22</v>
      </c>
    </row>
    <row r="9412" spans="1:3" x14ac:dyDescent="0.35">
      <c r="A9412" s="141" t="s">
        <v>849</v>
      </c>
      <c r="B9412" s="141" t="s">
        <v>1112</v>
      </c>
      <c r="C9412" s="141" t="s">
        <v>22</v>
      </c>
    </row>
    <row r="9413" spans="1:3" x14ac:dyDescent="0.35">
      <c r="A9413" s="141" t="s">
        <v>850</v>
      </c>
      <c r="B9413" s="141" t="s">
        <v>1112</v>
      </c>
      <c r="C9413" s="141" t="s">
        <v>22</v>
      </c>
    </row>
    <row r="9414" spans="1:3" x14ac:dyDescent="0.35">
      <c r="A9414" s="141" t="s">
        <v>294</v>
      </c>
      <c r="B9414" s="141" t="s">
        <v>1112</v>
      </c>
      <c r="C9414" s="141" t="s">
        <v>21</v>
      </c>
    </row>
    <row r="9415" spans="1:3" x14ac:dyDescent="0.35">
      <c r="A9415" s="141" t="s">
        <v>1035</v>
      </c>
      <c r="B9415" s="141" t="s">
        <v>1112</v>
      </c>
      <c r="C9415" s="141" t="s">
        <v>21</v>
      </c>
    </row>
    <row r="9416" spans="1:3" x14ac:dyDescent="0.35">
      <c r="A9416" s="141" t="s">
        <v>990</v>
      </c>
      <c r="B9416" s="141" t="s">
        <v>1112</v>
      </c>
      <c r="C9416" s="141" t="s">
        <v>21</v>
      </c>
    </row>
    <row r="9417" spans="1:3" x14ac:dyDescent="0.35">
      <c r="A9417" s="141" t="s">
        <v>991</v>
      </c>
      <c r="B9417" s="141" t="s">
        <v>1112</v>
      </c>
      <c r="C9417" s="141" t="s">
        <v>21</v>
      </c>
    </row>
    <row r="9418" spans="1:3" x14ac:dyDescent="0.35">
      <c r="A9418" s="141" t="s">
        <v>992</v>
      </c>
      <c r="B9418" s="141" t="s">
        <v>1112</v>
      </c>
      <c r="C9418" s="141" t="s">
        <v>21</v>
      </c>
    </row>
    <row r="9419" spans="1:3" x14ac:dyDescent="0.35">
      <c r="A9419" s="141" t="s">
        <v>993</v>
      </c>
      <c r="B9419" s="141" t="s">
        <v>1112</v>
      </c>
      <c r="C9419" s="141" t="s">
        <v>21</v>
      </c>
    </row>
    <row r="9420" spans="1:3" x14ac:dyDescent="0.35">
      <c r="A9420" s="141" t="s">
        <v>994</v>
      </c>
      <c r="B9420" s="141" t="s">
        <v>1112</v>
      </c>
      <c r="C9420" s="141" t="s">
        <v>21</v>
      </c>
    </row>
    <row r="9421" spans="1:3" x14ac:dyDescent="0.35">
      <c r="A9421" s="141" t="s">
        <v>995</v>
      </c>
      <c r="B9421" s="141" t="s">
        <v>1112</v>
      </c>
      <c r="C9421" s="141" t="s">
        <v>21</v>
      </c>
    </row>
    <row r="9422" spans="1:3" x14ac:dyDescent="0.35">
      <c r="A9422" s="141" t="s">
        <v>1029</v>
      </c>
      <c r="B9422" s="141" t="s">
        <v>1112</v>
      </c>
      <c r="C9422" s="141" t="s">
        <v>21</v>
      </c>
    </row>
    <row r="9423" spans="1:3" x14ac:dyDescent="0.35">
      <c r="A9423" s="141" t="s">
        <v>1030</v>
      </c>
      <c r="B9423" s="141" t="s">
        <v>1112</v>
      </c>
      <c r="C9423" s="141" t="s">
        <v>21</v>
      </c>
    </row>
    <row r="9424" spans="1:3" x14ac:dyDescent="0.35">
      <c r="A9424" s="141" t="s">
        <v>1025</v>
      </c>
      <c r="B9424" s="141" t="s">
        <v>1112</v>
      </c>
      <c r="C9424" s="141" t="s">
        <v>27</v>
      </c>
    </row>
    <row r="9425" spans="1:3" x14ac:dyDescent="0.35">
      <c r="A9425" s="141" t="s">
        <v>1026</v>
      </c>
      <c r="B9425" s="141" t="s">
        <v>1112</v>
      </c>
      <c r="C9425" s="141" t="s">
        <v>27</v>
      </c>
    </row>
    <row r="9426" spans="1:3" x14ac:dyDescent="0.35">
      <c r="A9426" s="141" t="s">
        <v>1027</v>
      </c>
      <c r="B9426" s="141" t="s">
        <v>1112</v>
      </c>
      <c r="C9426" s="141" t="s">
        <v>32</v>
      </c>
    </row>
    <row r="9427" spans="1:3" x14ac:dyDescent="0.35">
      <c r="A9427" s="141" t="s">
        <v>1063</v>
      </c>
      <c r="B9427" s="141" t="s">
        <v>1112</v>
      </c>
      <c r="C9427" s="141" t="s">
        <v>21</v>
      </c>
    </row>
    <row r="9428" spans="1:3" x14ac:dyDescent="0.35">
      <c r="A9428" s="141" t="s">
        <v>1064</v>
      </c>
      <c r="B9428" s="141" t="s">
        <v>1112</v>
      </c>
      <c r="C9428" s="141" t="s">
        <v>27</v>
      </c>
    </row>
    <row r="9429" spans="1:3" x14ac:dyDescent="0.35">
      <c r="A9429" s="141" t="s">
        <v>667</v>
      </c>
      <c r="B9429" s="141" t="s">
        <v>1112</v>
      </c>
      <c r="C9429" s="141" t="s">
        <v>55</v>
      </c>
    </row>
    <row r="9430" spans="1:3" x14ac:dyDescent="0.35">
      <c r="A9430" s="141" t="s">
        <v>668</v>
      </c>
      <c r="B9430" s="141" t="s">
        <v>1112</v>
      </c>
      <c r="C9430" s="141" t="s">
        <v>54</v>
      </c>
    </row>
    <row r="9431" spans="1:3" x14ac:dyDescent="0.35">
      <c r="A9431" s="141" t="s">
        <v>669</v>
      </c>
      <c r="B9431" s="141" t="s">
        <v>1112</v>
      </c>
      <c r="C9431" s="141" t="s">
        <v>55</v>
      </c>
    </row>
    <row r="9432" spans="1:3" x14ac:dyDescent="0.35">
      <c r="A9432" s="141" t="s">
        <v>1065</v>
      </c>
      <c r="B9432" s="141" t="s">
        <v>1112</v>
      </c>
      <c r="C9432" s="141" t="s">
        <v>54</v>
      </c>
    </row>
    <row r="9433" spans="1:3" x14ac:dyDescent="0.35">
      <c r="A9433" s="141" t="s">
        <v>1066</v>
      </c>
      <c r="B9433" s="141" t="s">
        <v>1112</v>
      </c>
      <c r="C9433" s="141" t="s">
        <v>54</v>
      </c>
    </row>
    <row r="9434" spans="1:3" x14ac:dyDescent="0.35">
      <c r="A9434" s="141" t="s">
        <v>885</v>
      </c>
      <c r="B9434" s="141" t="s">
        <v>1112</v>
      </c>
      <c r="C9434" s="141" t="s">
        <v>19</v>
      </c>
    </row>
    <row r="9435" spans="1:3" x14ac:dyDescent="0.35">
      <c r="A9435" s="141" t="s">
        <v>886</v>
      </c>
      <c r="B9435" s="141" t="s">
        <v>1112</v>
      </c>
      <c r="C9435" s="141" t="s">
        <v>19</v>
      </c>
    </row>
    <row r="9436" spans="1:3" x14ac:dyDescent="0.35">
      <c r="A9436" s="141" t="s">
        <v>398</v>
      </c>
      <c r="B9436" s="141" t="s">
        <v>1112</v>
      </c>
      <c r="C9436" s="141" t="s">
        <v>17</v>
      </c>
    </row>
    <row r="9437" spans="1:3" x14ac:dyDescent="0.35">
      <c r="A9437" s="141" t="s">
        <v>399</v>
      </c>
      <c r="B9437" s="141" t="s">
        <v>1112</v>
      </c>
      <c r="C9437" s="141" t="s">
        <v>16</v>
      </c>
    </row>
    <row r="9438" spans="1:3" x14ac:dyDescent="0.35">
      <c r="A9438" s="141" t="s">
        <v>400</v>
      </c>
      <c r="B9438" s="141" t="s">
        <v>1112</v>
      </c>
      <c r="C9438" s="141" t="s">
        <v>20</v>
      </c>
    </row>
    <row r="9439" spans="1:3" x14ac:dyDescent="0.35">
      <c r="A9439" s="141" t="s">
        <v>401</v>
      </c>
      <c r="B9439" s="141" t="s">
        <v>1112</v>
      </c>
      <c r="C9439" s="141" t="s">
        <v>20</v>
      </c>
    </row>
    <row r="9440" spans="1:3" x14ac:dyDescent="0.35">
      <c r="A9440" s="141" t="s">
        <v>671</v>
      </c>
      <c r="B9440" s="141" t="s">
        <v>1112</v>
      </c>
      <c r="C9440" s="141" t="s">
        <v>20</v>
      </c>
    </row>
    <row r="9441" spans="1:3" x14ac:dyDescent="0.35">
      <c r="A9441" s="141" t="s">
        <v>774</v>
      </c>
      <c r="B9441" s="141" t="s">
        <v>1112</v>
      </c>
      <c r="C9441" s="141" t="s">
        <v>38</v>
      </c>
    </row>
    <row r="9442" spans="1:3" x14ac:dyDescent="0.35">
      <c r="A9442" s="141" t="s">
        <v>775</v>
      </c>
      <c r="B9442" s="141" t="s">
        <v>1112</v>
      </c>
      <c r="C9442" s="141" t="s">
        <v>38</v>
      </c>
    </row>
    <row r="9443" spans="1:3" x14ac:dyDescent="0.35">
      <c r="A9443" s="141" t="s">
        <v>776</v>
      </c>
      <c r="B9443" s="141" t="s">
        <v>1112</v>
      </c>
      <c r="C9443" s="141" t="s">
        <v>45</v>
      </c>
    </row>
    <row r="9444" spans="1:3" x14ac:dyDescent="0.35">
      <c r="A9444" s="141" t="s">
        <v>1067</v>
      </c>
      <c r="B9444" s="141" t="s">
        <v>1112</v>
      </c>
      <c r="C9444" s="141" t="s">
        <v>46</v>
      </c>
    </row>
    <row r="9445" spans="1:3" x14ac:dyDescent="0.35">
      <c r="A9445" s="141" t="s">
        <v>1068</v>
      </c>
      <c r="B9445" s="141" t="s">
        <v>1112</v>
      </c>
      <c r="C9445" s="141" t="s">
        <v>46</v>
      </c>
    </row>
    <row r="9446" spans="1:3" x14ac:dyDescent="0.35">
      <c r="A9446" s="141" t="s">
        <v>778</v>
      </c>
      <c r="B9446" s="141" t="s">
        <v>1112</v>
      </c>
      <c r="C9446" s="141" t="s">
        <v>45</v>
      </c>
    </row>
    <row r="9447" spans="1:3" x14ac:dyDescent="0.35">
      <c r="A9447" s="141" t="s">
        <v>1023</v>
      </c>
      <c r="B9447" s="141" t="s">
        <v>1112</v>
      </c>
      <c r="C9447" s="141" t="s">
        <v>45</v>
      </c>
    </row>
    <row r="9448" spans="1:3" x14ac:dyDescent="0.35">
      <c r="A9448" s="141" t="s">
        <v>781</v>
      </c>
      <c r="B9448" s="141" t="s">
        <v>1112</v>
      </c>
      <c r="C9448" s="141" t="s">
        <v>45</v>
      </c>
    </row>
    <row r="9449" spans="1:3" x14ac:dyDescent="0.35">
      <c r="A9449" s="141" t="s">
        <v>409</v>
      </c>
      <c r="B9449" s="141" t="s">
        <v>1112</v>
      </c>
      <c r="C9449" s="141" t="s">
        <v>18</v>
      </c>
    </row>
    <row r="9450" spans="1:3" x14ac:dyDescent="0.35">
      <c r="A9450" s="141" t="s">
        <v>1018</v>
      </c>
      <c r="B9450" s="141" t="s">
        <v>1112</v>
      </c>
      <c r="C9450" s="141" t="s">
        <v>18</v>
      </c>
    </row>
    <row r="9451" spans="1:3" x14ac:dyDescent="0.35">
      <c r="A9451" s="141" t="s">
        <v>411</v>
      </c>
      <c r="B9451" s="141" t="s">
        <v>1112</v>
      </c>
      <c r="C9451" s="141" t="s">
        <v>9</v>
      </c>
    </row>
    <row r="9452" spans="1:3" x14ac:dyDescent="0.35">
      <c r="A9452" s="141" t="s">
        <v>412</v>
      </c>
      <c r="B9452" s="141" t="s">
        <v>1112</v>
      </c>
      <c r="C9452" s="141" t="s">
        <v>9</v>
      </c>
    </row>
    <row r="9453" spans="1:3" x14ac:dyDescent="0.35">
      <c r="A9453" s="141" t="s">
        <v>413</v>
      </c>
      <c r="B9453" s="141" t="s">
        <v>1112</v>
      </c>
      <c r="C9453" s="141" t="s">
        <v>9</v>
      </c>
    </row>
    <row r="9454" spans="1:3" x14ac:dyDescent="0.35">
      <c r="A9454" s="141" t="s">
        <v>414</v>
      </c>
      <c r="B9454" s="141" t="s">
        <v>1112</v>
      </c>
      <c r="C9454" s="141" t="s">
        <v>9</v>
      </c>
    </row>
    <row r="9455" spans="1:3" x14ac:dyDescent="0.35">
      <c r="A9455" s="141" t="s">
        <v>415</v>
      </c>
      <c r="B9455" s="141" t="s">
        <v>1112</v>
      </c>
      <c r="C9455" s="141" t="s">
        <v>9</v>
      </c>
    </row>
    <row r="9456" spans="1:3" x14ac:dyDescent="0.35">
      <c r="A9456" s="141" t="s">
        <v>1016</v>
      </c>
      <c r="B9456" s="141" t="s">
        <v>1112</v>
      </c>
      <c r="C9456" s="141" t="s">
        <v>20</v>
      </c>
    </row>
    <row r="9457" spans="1:3" x14ac:dyDescent="0.35">
      <c r="A9457" s="141" t="s">
        <v>593</v>
      </c>
      <c r="B9457" s="141" t="s">
        <v>1112</v>
      </c>
      <c r="C9457" s="141" t="s">
        <v>20</v>
      </c>
    </row>
    <row r="9458" spans="1:3" x14ac:dyDescent="0.35">
      <c r="A9458" s="141" t="s">
        <v>403</v>
      </c>
      <c r="B9458" s="141" t="s">
        <v>1112</v>
      </c>
      <c r="C9458" s="141" t="s">
        <v>20</v>
      </c>
    </row>
    <row r="9459" spans="1:3" x14ac:dyDescent="0.35">
      <c r="A9459" s="141" t="s">
        <v>1017</v>
      </c>
      <c r="B9459" s="141" t="s">
        <v>1112</v>
      </c>
      <c r="C9459" s="141" t="s">
        <v>16</v>
      </c>
    </row>
    <row r="9460" spans="1:3" x14ac:dyDescent="0.35">
      <c r="A9460" s="141" t="s">
        <v>416</v>
      </c>
      <c r="B9460" s="141" t="s">
        <v>1112</v>
      </c>
      <c r="C9460" s="141" t="s">
        <v>15</v>
      </c>
    </row>
    <row r="9461" spans="1:3" x14ac:dyDescent="0.35">
      <c r="A9461" s="141" t="s">
        <v>417</v>
      </c>
      <c r="B9461" s="141" t="s">
        <v>1112</v>
      </c>
      <c r="C9461" s="141" t="s">
        <v>6</v>
      </c>
    </row>
    <row r="9462" spans="1:3" x14ac:dyDescent="0.35">
      <c r="A9462" s="141" t="s">
        <v>1019</v>
      </c>
      <c r="B9462" s="141" t="s">
        <v>1112</v>
      </c>
      <c r="C9462" s="141" t="s">
        <v>17</v>
      </c>
    </row>
    <row r="9463" spans="1:3" x14ac:dyDescent="0.35">
      <c r="A9463" s="141" t="s">
        <v>420</v>
      </c>
      <c r="B9463" s="141" t="s">
        <v>1112</v>
      </c>
      <c r="C9463" s="141" t="s">
        <v>17</v>
      </c>
    </row>
    <row r="9464" spans="1:3" x14ac:dyDescent="0.35">
      <c r="A9464" s="141" t="s">
        <v>421</v>
      </c>
      <c r="B9464" s="141" t="s">
        <v>1112</v>
      </c>
      <c r="C9464" s="141" t="s">
        <v>6</v>
      </c>
    </row>
    <row r="9465" spans="1:3" x14ac:dyDescent="0.35">
      <c r="A9465" s="141" t="s">
        <v>422</v>
      </c>
      <c r="B9465" s="141" t="s">
        <v>1112</v>
      </c>
      <c r="C9465" s="141" t="s">
        <v>17</v>
      </c>
    </row>
    <row r="9466" spans="1:3" x14ac:dyDescent="0.35">
      <c r="A9466" s="141" t="s">
        <v>406</v>
      </c>
      <c r="B9466" s="141" t="s">
        <v>1112</v>
      </c>
      <c r="C9466" s="141" t="s">
        <v>18</v>
      </c>
    </row>
    <row r="9467" spans="1:3" x14ac:dyDescent="0.35">
      <c r="A9467" s="141" t="s">
        <v>407</v>
      </c>
      <c r="B9467" s="141" t="s">
        <v>1112</v>
      </c>
      <c r="C9467" s="141" t="s">
        <v>17</v>
      </c>
    </row>
    <row r="9468" spans="1:3" x14ac:dyDescent="0.35">
      <c r="A9468" s="141" t="s">
        <v>566</v>
      </c>
      <c r="B9468" s="141" t="s">
        <v>1112</v>
      </c>
      <c r="C9468" s="141" t="s">
        <v>17</v>
      </c>
    </row>
    <row r="9469" spans="1:3" x14ac:dyDescent="0.35">
      <c r="A9469" s="141" t="s">
        <v>833</v>
      </c>
      <c r="B9469" s="141" t="s">
        <v>1112</v>
      </c>
      <c r="C9469" s="141" t="s">
        <v>17</v>
      </c>
    </row>
    <row r="9470" spans="1:3" x14ac:dyDescent="0.35">
      <c r="A9470" s="141" t="s">
        <v>672</v>
      </c>
      <c r="B9470" s="141" t="s">
        <v>1112</v>
      </c>
      <c r="C9470" s="141" t="s">
        <v>25</v>
      </c>
    </row>
    <row r="9471" spans="1:3" x14ac:dyDescent="0.35">
      <c r="A9471" s="141" t="s">
        <v>897</v>
      </c>
      <c r="B9471" s="141" t="s">
        <v>1112</v>
      </c>
      <c r="C9471" s="141" t="s">
        <v>26</v>
      </c>
    </row>
    <row r="9472" spans="1:3" x14ac:dyDescent="0.35">
      <c r="A9472" s="141" t="s">
        <v>895</v>
      </c>
      <c r="B9472" s="141" t="s">
        <v>1112</v>
      </c>
      <c r="C9472" s="141" t="s">
        <v>25</v>
      </c>
    </row>
    <row r="9473" spans="1:3" x14ac:dyDescent="0.35">
      <c r="A9473" s="141" t="s">
        <v>996</v>
      </c>
      <c r="B9473" s="141" t="s">
        <v>1112</v>
      </c>
      <c r="C9473" s="141" t="s">
        <v>25</v>
      </c>
    </row>
    <row r="9474" spans="1:3" x14ac:dyDescent="0.35">
      <c r="A9474" s="141" t="s">
        <v>898</v>
      </c>
      <c r="B9474" s="141" t="s">
        <v>1112</v>
      </c>
      <c r="C9474" s="141" t="s">
        <v>25</v>
      </c>
    </row>
    <row r="9475" spans="1:3" x14ac:dyDescent="0.35">
      <c r="A9475" s="141" t="s">
        <v>896</v>
      </c>
      <c r="B9475" s="141" t="s">
        <v>1112</v>
      </c>
      <c r="C9475" s="141" t="s">
        <v>25</v>
      </c>
    </row>
    <row r="9476" spans="1:3" x14ac:dyDescent="0.35">
      <c r="A9476" s="141" t="s">
        <v>963</v>
      </c>
      <c r="B9476" s="141" t="s">
        <v>1112</v>
      </c>
      <c r="C9476" s="141" t="s">
        <v>25</v>
      </c>
    </row>
    <row r="9477" spans="1:3" x14ac:dyDescent="0.35">
      <c r="A9477" s="141" t="s">
        <v>1069</v>
      </c>
      <c r="B9477" s="141" t="s">
        <v>1112</v>
      </c>
      <c r="C9477" s="141" t="s">
        <v>25</v>
      </c>
    </row>
    <row r="9478" spans="1:3" x14ac:dyDescent="0.35">
      <c r="A9478" s="141" t="s">
        <v>964</v>
      </c>
      <c r="B9478" s="141" t="s">
        <v>1112</v>
      </c>
      <c r="C9478" s="141" t="s">
        <v>25</v>
      </c>
    </row>
    <row r="9479" spans="1:3" x14ac:dyDescent="0.35">
      <c r="A9479" s="141" t="s">
        <v>863</v>
      </c>
      <c r="B9479" s="141" t="s">
        <v>1112</v>
      </c>
      <c r="C9479" s="141" t="s">
        <v>30</v>
      </c>
    </row>
    <row r="9480" spans="1:3" x14ac:dyDescent="0.35">
      <c r="A9480" s="141" t="s">
        <v>864</v>
      </c>
      <c r="B9480" s="141" t="s">
        <v>1112</v>
      </c>
      <c r="C9480" s="141" t="s">
        <v>30</v>
      </c>
    </row>
    <row r="9481" spans="1:3" x14ac:dyDescent="0.35">
      <c r="A9481" s="141" t="s">
        <v>865</v>
      </c>
      <c r="B9481" s="141" t="s">
        <v>1112</v>
      </c>
      <c r="C9481" s="141" t="s">
        <v>34</v>
      </c>
    </row>
    <row r="9482" spans="1:3" x14ac:dyDescent="0.35">
      <c r="A9482" s="141" t="s">
        <v>866</v>
      </c>
      <c r="B9482" s="141" t="s">
        <v>1112</v>
      </c>
      <c r="C9482" s="141" t="s">
        <v>34</v>
      </c>
    </row>
    <row r="9483" spans="1:3" x14ac:dyDescent="0.35">
      <c r="A9483" s="141" t="s">
        <v>784</v>
      </c>
      <c r="B9483" s="141" t="s">
        <v>1112</v>
      </c>
      <c r="C9483" s="141" t="s">
        <v>30</v>
      </c>
    </row>
    <row r="9484" spans="1:3" x14ac:dyDescent="0.35">
      <c r="A9484" s="141" t="s">
        <v>867</v>
      </c>
      <c r="B9484" s="141" t="s">
        <v>1112</v>
      </c>
      <c r="C9484" s="141" t="s">
        <v>30</v>
      </c>
    </row>
    <row r="9485" spans="1:3" x14ac:dyDescent="0.35">
      <c r="A9485" s="141" t="s">
        <v>525</v>
      </c>
      <c r="B9485" s="141" t="s">
        <v>1112</v>
      </c>
      <c r="C9485" s="141" t="s">
        <v>46</v>
      </c>
    </row>
    <row r="9486" spans="1:3" x14ac:dyDescent="0.35">
      <c r="A9486" s="141" t="s">
        <v>1001</v>
      </c>
      <c r="B9486" s="141" t="s">
        <v>1112</v>
      </c>
      <c r="C9486" s="141" t="s">
        <v>32</v>
      </c>
    </row>
    <row r="9487" spans="1:3" x14ac:dyDescent="0.35">
      <c r="A9487" s="141" t="s">
        <v>870</v>
      </c>
      <c r="B9487" s="141" t="s">
        <v>1112</v>
      </c>
      <c r="C9487" s="141" t="s">
        <v>32</v>
      </c>
    </row>
    <row r="9488" spans="1:3" x14ac:dyDescent="0.35">
      <c r="A9488" s="141" t="s">
        <v>932</v>
      </c>
      <c r="B9488" s="141" t="s">
        <v>1112</v>
      </c>
      <c r="C9488" s="141" t="s">
        <v>49</v>
      </c>
    </row>
    <row r="9489" spans="1:3" x14ac:dyDescent="0.35">
      <c r="A9489" s="141" t="s">
        <v>940</v>
      </c>
      <c r="B9489" s="141" t="s">
        <v>1112</v>
      </c>
      <c r="C9489" s="141" t="s">
        <v>49</v>
      </c>
    </row>
    <row r="9490" spans="1:3" x14ac:dyDescent="0.35">
      <c r="A9490" s="141" t="s">
        <v>941</v>
      </c>
      <c r="B9490" s="141" t="s">
        <v>1112</v>
      </c>
      <c r="C9490" s="141" t="s">
        <v>49</v>
      </c>
    </row>
    <row r="9491" spans="1:3" x14ac:dyDescent="0.35">
      <c r="A9491" s="141" t="s">
        <v>933</v>
      </c>
      <c r="B9491" s="141" t="s">
        <v>1112</v>
      </c>
      <c r="C9491" s="141" t="s">
        <v>32</v>
      </c>
    </row>
    <row r="9492" spans="1:3" x14ac:dyDescent="0.35">
      <c r="A9492" s="141" t="s">
        <v>946</v>
      </c>
      <c r="B9492" s="141" t="s">
        <v>1112</v>
      </c>
      <c r="C9492" s="141" t="s">
        <v>25</v>
      </c>
    </row>
    <row r="9493" spans="1:3" x14ac:dyDescent="0.35">
      <c r="A9493" s="141" t="s">
        <v>935</v>
      </c>
      <c r="B9493" s="141" t="s">
        <v>1112</v>
      </c>
      <c r="C9493" s="141" t="s">
        <v>32</v>
      </c>
    </row>
    <row r="9494" spans="1:3" x14ac:dyDescent="0.35">
      <c r="A9494" s="141" t="s">
        <v>937</v>
      </c>
      <c r="B9494" s="141" t="s">
        <v>1112</v>
      </c>
      <c r="C9494" s="141" t="s">
        <v>32</v>
      </c>
    </row>
    <row r="9495" spans="1:3" x14ac:dyDescent="0.35">
      <c r="A9495" s="141" t="s">
        <v>938</v>
      </c>
      <c r="B9495" s="141" t="s">
        <v>1112</v>
      </c>
      <c r="C9495" s="141" t="s">
        <v>32</v>
      </c>
    </row>
    <row r="9496" spans="1:3" x14ac:dyDescent="0.35">
      <c r="A9496" s="141" t="s">
        <v>939</v>
      </c>
      <c r="B9496" s="141" t="s">
        <v>1112</v>
      </c>
      <c r="C9496" s="141" t="s">
        <v>32</v>
      </c>
    </row>
    <row r="9497" spans="1:3" x14ac:dyDescent="0.35">
      <c r="A9497" s="141" t="s">
        <v>942</v>
      </c>
      <c r="B9497" s="141" t="s">
        <v>1112</v>
      </c>
      <c r="C9497" s="141" t="s">
        <v>32</v>
      </c>
    </row>
    <row r="9498" spans="1:3" x14ac:dyDescent="0.35">
      <c r="A9498" s="141" t="s">
        <v>943</v>
      </c>
      <c r="B9498" s="141" t="s">
        <v>1112</v>
      </c>
      <c r="C9498" s="141" t="s">
        <v>32</v>
      </c>
    </row>
    <row r="9499" spans="1:3" x14ac:dyDescent="0.35">
      <c r="A9499" s="141" t="s">
        <v>944</v>
      </c>
      <c r="B9499" s="141" t="s">
        <v>1112</v>
      </c>
      <c r="C9499" s="141" t="s">
        <v>32</v>
      </c>
    </row>
    <row r="9500" spans="1:3" x14ac:dyDescent="0.35">
      <c r="A9500" s="141" t="s">
        <v>296</v>
      </c>
      <c r="B9500" s="141" t="s">
        <v>1112</v>
      </c>
      <c r="C9500" s="141" t="s">
        <v>32</v>
      </c>
    </row>
    <row r="9501" spans="1:3" x14ac:dyDescent="0.35">
      <c r="A9501" s="141" t="s">
        <v>1070</v>
      </c>
      <c r="B9501" s="141" t="s">
        <v>1112</v>
      </c>
      <c r="C9501" s="141" t="s">
        <v>32</v>
      </c>
    </row>
    <row r="9502" spans="1:3" x14ac:dyDescent="0.35">
      <c r="A9502" s="141" t="s">
        <v>953</v>
      </c>
      <c r="B9502" s="141" t="s">
        <v>1112</v>
      </c>
      <c r="C9502" s="141" t="s">
        <v>31</v>
      </c>
    </row>
    <row r="9503" spans="1:3" x14ac:dyDescent="0.35">
      <c r="A9503" s="141" t="s">
        <v>1071</v>
      </c>
      <c r="B9503" s="141" t="s">
        <v>1112</v>
      </c>
      <c r="C9503" s="141" t="s">
        <v>32</v>
      </c>
    </row>
    <row r="9504" spans="1:3" x14ac:dyDescent="0.35">
      <c r="A9504" s="141" t="s">
        <v>861</v>
      </c>
      <c r="B9504" s="141" t="s">
        <v>1112</v>
      </c>
      <c r="C9504" s="141" t="s">
        <v>33</v>
      </c>
    </row>
    <row r="9505" spans="1:3" x14ac:dyDescent="0.35">
      <c r="A9505" s="141" t="s">
        <v>862</v>
      </c>
      <c r="B9505" s="141" t="s">
        <v>1112</v>
      </c>
      <c r="C9505" s="141" t="s">
        <v>33</v>
      </c>
    </row>
    <row r="9506" spans="1:3" x14ac:dyDescent="0.35">
      <c r="A9506" s="141" t="s">
        <v>516</v>
      </c>
      <c r="B9506" s="141" t="s">
        <v>1112</v>
      </c>
      <c r="C9506" s="141" t="s">
        <v>33</v>
      </c>
    </row>
    <row r="9507" spans="1:3" x14ac:dyDescent="0.35">
      <c r="A9507" s="141" t="s">
        <v>892</v>
      </c>
      <c r="B9507" s="141" t="s">
        <v>1112</v>
      </c>
      <c r="C9507" s="141" t="s">
        <v>33</v>
      </c>
    </row>
    <row r="9508" spans="1:3" x14ac:dyDescent="0.35">
      <c r="A9508" s="141" t="s">
        <v>893</v>
      </c>
      <c r="B9508" s="141" t="s">
        <v>1112</v>
      </c>
      <c r="C9508" s="141" t="s">
        <v>33</v>
      </c>
    </row>
    <row r="9509" spans="1:3" x14ac:dyDescent="0.35">
      <c r="A9509" s="141" t="s">
        <v>894</v>
      </c>
      <c r="B9509" s="141" t="s">
        <v>1112</v>
      </c>
      <c r="C9509" s="141" t="s">
        <v>33</v>
      </c>
    </row>
    <row r="9510" spans="1:3" x14ac:dyDescent="0.35">
      <c r="A9510" s="141" t="s">
        <v>954</v>
      </c>
      <c r="B9510" s="141" t="s">
        <v>1112</v>
      </c>
      <c r="C9510" s="141" t="s">
        <v>35</v>
      </c>
    </row>
    <row r="9511" spans="1:3" x14ac:dyDescent="0.35">
      <c r="A9511" s="141" t="s">
        <v>955</v>
      </c>
      <c r="B9511" s="141" t="s">
        <v>1112</v>
      </c>
      <c r="C9511" s="141" t="s">
        <v>33</v>
      </c>
    </row>
    <row r="9512" spans="1:3" x14ac:dyDescent="0.35">
      <c r="A9512" s="141" t="s">
        <v>956</v>
      </c>
      <c r="B9512" s="141" t="s">
        <v>1112</v>
      </c>
      <c r="C9512" s="141" t="s">
        <v>33</v>
      </c>
    </row>
    <row r="9513" spans="1:3" x14ac:dyDescent="0.35">
      <c r="A9513" s="141" t="s">
        <v>706</v>
      </c>
      <c r="B9513" s="141" t="s">
        <v>1112</v>
      </c>
      <c r="C9513" s="141" t="s">
        <v>31</v>
      </c>
    </row>
    <row r="9514" spans="1:3" x14ac:dyDescent="0.35">
      <c r="A9514" s="141" t="s">
        <v>707</v>
      </c>
      <c r="B9514" s="141" t="s">
        <v>1112</v>
      </c>
      <c r="C9514" s="141" t="s">
        <v>31</v>
      </c>
    </row>
    <row r="9515" spans="1:3" x14ac:dyDescent="0.35">
      <c r="A9515" s="141" t="s">
        <v>708</v>
      </c>
      <c r="B9515" s="141" t="s">
        <v>1112</v>
      </c>
      <c r="C9515" s="141" t="s">
        <v>31</v>
      </c>
    </row>
    <row r="9516" spans="1:3" x14ac:dyDescent="0.35">
      <c r="A9516" s="141" t="s">
        <v>709</v>
      </c>
      <c r="B9516" s="141" t="s">
        <v>1112</v>
      </c>
      <c r="C9516" s="141" t="s">
        <v>31</v>
      </c>
    </row>
    <row r="9517" spans="1:3" x14ac:dyDescent="0.35">
      <c r="A9517" s="141" t="s">
        <v>710</v>
      </c>
      <c r="B9517" s="141" t="s">
        <v>1112</v>
      </c>
      <c r="C9517" s="141" t="s">
        <v>31</v>
      </c>
    </row>
    <row r="9518" spans="1:3" x14ac:dyDescent="0.35">
      <c r="A9518" s="141" t="s">
        <v>456</v>
      </c>
      <c r="B9518" s="141" t="s">
        <v>1112</v>
      </c>
      <c r="C9518" s="141" t="s">
        <v>31</v>
      </c>
    </row>
    <row r="9519" spans="1:3" x14ac:dyDescent="0.35">
      <c r="A9519" s="141" t="s">
        <v>297</v>
      </c>
      <c r="B9519" s="141" t="s">
        <v>1112</v>
      </c>
      <c r="C9519" s="141" t="s">
        <v>32</v>
      </c>
    </row>
    <row r="9520" spans="1:3" x14ac:dyDescent="0.35">
      <c r="A9520" s="141" t="s">
        <v>298</v>
      </c>
      <c r="B9520" s="141" t="s">
        <v>1112</v>
      </c>
      <c r="C9520" s="141" t="s">
        <v>32</v>
      </c>
    </row>
    <row r="9521" spans="1:3" x14ac:dyDescent="0.35">
      <c r="A9521" s="141" t="s">
        <v>299</v>
      </c>
      <c r="B9521" s="141" t="s">
        <v>1112</v>
      </c>
      <c r="C9521" s="141" t="s">
        <v>32</v>
      </c>
    </row>
    <row r="9522" spans="1:3" x14ac:dyDescent="0.35">
      <c r="A9522" s="141" t="s">
        <v>300</v>
      </c>
      <c r="B9522" s="141" t="s">
        <v>1112</v>
      </c>
      <c r="C9522" s="141" t="s">
        <v>32</v>
      </c>
    </row>
    <row r="9523" spans="1:3" x14ac:dyDescent="0.35">
      <c r="A9523" s="141" t="s">
        <v>301</v>
      </c>
      <c r="B9523" s="141" t="s">
        <v>1112</v>
      </c>
      <c r="C9523" s="141" t="s">
        <v>32</v>
      </c>
    </row>
    <row r="9524" spans="1:3" x14ac:dyDescent="0.35">
      <c r="A9524" s="141" t="s">
        <v>302</v>
      </c>
      <c r="B9524" s="141" t="s">
        <v>1112</v>
      </c>
      <c r="C9524" s="141" t="s">
        <v>32</v>
      </c>
    </row>
    <row r="9525" spans="1:3" x14ac:dyDescent="0.35">
      <c r="A9525" s="141" t="s">
        <v>997</v>
      </c>
      <c r="B9525" s="141" t="s">
        <v>1112</v>
      </c>
      <c r="C9525" s="141" t="s">
        <v>32</v>
      </c>
    </row>
    <row r="9526" spans="1:3" x14ac:dyDescent="0.35">
      <c r="A9526" s="141" t="s">
        <v>902</v>
      </c>
      <c r="B9526" s="141" t="s">
        <v>1112</v>
      </c>
      <c r="C9526" s="141" t="s">
        <v>31</v>
      </c>
    </row>
    <row r="9527" spans="1:3" x14ac:dyDescent="0.35">
      <c r="A9527" s="141" t="s">
        <v>903</v>
      </c>
      <c r="B9527" s="141" t="s">
        <v>1112</v>
      </c>
      <c r="C9527" s="141" t="s">
        <v>31</v>
      </c>
    </row>
    <row r="9528" spans="1:3" x14ac:dyDescent="0.35">
      <c r="A9528" s="141" t="s">
        <v>904</v>
      </c>
      <c r="B9528" s="141" t="s">
        <v>1112</v>
      </c>
      <c r="C9528" s="141" t="s">
        <v>31</v>
      </c>
    </row>
    <row r="9529" spans="1:3" x14ac:dyDescent="0.35">
      <c r="A9529" s="141" t="s">
        <v>905</v>
      </c>
      <c r="B9529" s="141" t="s">
        <v>1112</v>
      </c>
      <c r="C9529" s="141" t="s">
        <v>31</v>
      </c>
    </row>
    <row r="9530" spans="1:3" x14ac:dyDescent="0.35">
      <c r="A9530" s="141" t="s">
        <v>906</v>
      </c>
      <c r="B9530" s="141" t="s">
        <v>1112</v>
      </c>
      <c r="C9530" s="141" t="s">
        <v>31</v>
      </c>
    </row>
    <row r="9531" spans="1:3" x14ac:dyDescent="0.35">
      <c r="A9531" s="141" t="s">
        <v>907</v>
      </c>
      <c r="B9531" s="141" t="s">
        <v>1112</v>
      </c>
      <c r="C9531" s="141" t="s">
        <v>31</v>
      </c>
    </row>
    <row r="9532" spans="1:3" x14ac:dyDescent="0.35">
      <c r="A9532" s="141" t="s">
        <v>908</v>
      </c>
      <c r="B9532" s="141" t="s">
        <v>1112</v>
      </c>
      <c r="C9532" s="141" t="s">
        <v>31</v>
      </c>
    </row>
    <row r="9533" spans="1:3" x14ac:dyDescent="0.35">
      <c r="A9533" s="141" t="s">
        <v>909</v>
      </c>
      <c r="B9533" s="141" t="s">
        <v>1112</v>
      </c>
      <c r="C9533" s="141" t="s">
        <v>31</v>
      </c>
    </row>
    <row r="9534" spans="1:3" x14ac:dyDescent="0.35">
      <c r="A9534" s="141" t="s">
        <v>1072</v>
      </c>
      <c r="B9534" s="141" t="s">
        <v>1112</v>
      </c>
      <c r="C9534" s="141" t="s">
        <v>28</v>
      </c>
    </row>
    <row r="9535" spans="1:3" x14ac:dyDescent="0.35">
      <c r="A9535" s="141" t="s">
        <v>1073</v>
      </c>
      <c r="B9535" s="141" t="s">
        <v>1112</v>
      </c>
      <c r="C9535" s="141" t="s">
        <v>28</v>
      </c>
    </row>
    <row r="9536" spans="1:3" x14ac:dyDescent="0.35">
      <c r="A9536" s="141" t="s">
        <v>1074</v>
      </c>
      <c r="B9536" s="141" t="s">
        <v>1112</v>
      </c>
      <c r="C9536" s="141" t="s">
        <v>29</v>
      </c>
    </row>
    <row r="9537" spans="1:3" x14ac:dyDescent="0.35">
      <c r="A9537" s="141" t="s">
        <v>1075</v>
      </c>
      <c r="B9537" s="141" t="s">
        <v>1112</v>
      </c>
      <c r="C9537" s="141" t="s">
        <v>29</v>
      </c>
    </row>
    <row r="9538" spans="1:3" x14ac:dyDescent="0.35">
      <c r="A9538" s="141" t="s">
        <v>1076</v>
      </c>
      <c r="B9538" s="141" t="s">
        <v>1112</v>
      </c>
      <c r="C9538" s="141" t="s">
        <v>29</v>
      </c>
    </row>
    <row r="9539" spans="1:3" x14ac:dyDescent="0.35">
      <c r="A9539" s="141" t="s">
        <v>1077</v>
      </c>
      <c r="B9539" s="141" t="s">
        <v>1112</v>
      </c>
      <c r="C9539" s="141" t="s">
        <v>29</v>
      </c>
    </row>
    <row r="9540" spans="1:3" x14ac:dyDescent="0.35">
      <c r="A9540" s="141" t="s">
        <v>1078</v>
      </c>
      <c r="B9540" s="141" t="s">
        <v>1112</v>
      </c>
      <c r="C9540" s="141" t="s">
        <v>33</v>
      </c>
    </row>
    <row r="9541" spans="1:3" x14ac:dyDescent="0.35">
      <c r="A9541" s="141" t="s">
        <v>1079</v>
      </c>
      <c r="B9541" s="141" t="s">
        <v>1112</v>
      </c>
      <c r="C9541" s="141" t="s">
        <v>33</v>
      </c>
    </row>
    <row r="9542" spans="1:3" x14ac:dyDescent="0.35">
      <c r="A9542" s="141" t="s">
        <v>1080</v>
      </c>
      <c r="B9542" s="141" t="s">
        <v>1112</v>
      </c>
      <c r="C9542" s="141" t="s">
        <v>33</v>
      </c>
    </row>
    <row r="9543" spans="1:3" x14ac:dyDescent="0.35">
      <c r="A9543" s="141" t="s">
        <v>1057</v>
      </c>
      <c r="B9543" s="141" t="s">
        <v>1112</v>
      </c>
      <c r="C9543" s="141" t="s">
        <v>33</v>
      </c>
    </row>
    <row r="9544" spans="1:3" x14ac:dyDescent="0.35">
      <c r="A9544" s="141" t="s">
        <v>1058</v>
      </c>
      <c r="B9544" s="141" t="s">
        <v>1112</v>
      </c>
      <c r="C9544" s="141" t="s">
        <v>33</v>
      </c>
    </row>
    <row r="9545" spans="1:3" x14ac:dyDescent="0.35">
      <c r="A9545" s="141" t="s">
        <v>914</v>
      </c>
      <c r="B9545" s="141" t="s">
        <v>1112</v>
      </c>
      <c r="C9545" s="141" t="s">
        <v>33</v>
      </c>
    </row>
    <row r="9546" spans="1:3" x14ac:dyDescent="0.35">
      <c r="A9546" s="141" t="s">
        <v>1056</v>
      </c>
      <c r="B9546" s="141" t="s">
        <v>1112</v>
      </c>
      <c r="C9546" s="141" t="s">
        <v>36</v>
      </c>
    </row>
    <row r="9547" spans="1:3" x14ac:dyDescent="0.35">
      <c r="A9547" s="141" t="s">
        <v>347</v>
      </c>
      <c r="B9547" s="141" t="s">
        <v>1112</v>
      </c>
      <c r="C9547" s="141" t="s">
        <v>37</v>
      </c>
    </row>
    <row r="9548" spans="1:3" x14ac:dyDescent="0.35">
      <c r="A9548" s="141" t="s">
        <v>348</v>
      </c>
      <c r="B9548" s="141" t="s">
        <v>1112</v>
      </c>
      <c r="C9548" s="141" t="s">
        <v>37</v>
      </c>
    </row>
    <row r="9549" spans="1:3" x14ac:dyDescent="0.35">
      <c r="A9549" s="141" t="s">
        <v>349</v>
      </c>
      <c r="B9549" s="141" t="s">
        <v>1112</v>
      </c>
      <c r="C9549" s="141" t="s">
        <v>37</v>
      </c>
    </row>
    <row r="9550" spans="1:3" x14ac:dyDescent="0.35">
      <c r="A9550" s="141" t="s">
        <v>926</v>
      </c>
      <c r="B9550" s="141" t="s">
        <v>1112</v>
      </c>
      <c r="C9550" s="141" t="s">
        <v>37</v>
      </c>
    </row>
    <row r="9551" spans="1:3" x14ac:dyDescent="0.35">
      <c r="A9551" s="141" t="s">
        <v>927</v>
      </c>
      <c r="B9551" s="141" t="s">
        <v>1112</v>
      </c>
      <c r="C9551" s="141" t="s">
        <v>37</v>
      </c>
    </row>
    <row r="9552" spans="1:3" x14ac:dyDescent="0.35">
      <c r="A9552" s="141" t="s">
        <v>931</v>
      </c>
      <c r="B9552" s="141" t="s">
        <v>1112</v>
      </c>
      <c r="C9552" s="141" t="s">
        <v>36</v>
      </c>
    </row>
    <row r="9553" spans="1:3" x14ac:dyDescent="0.35">
      <c r="A9553" s="141" t="s">
        <v>570</v>
      </c>
      <c r="B9553" s="141" t="s">
        <v>1112</v>
      </c>
      <c r="C9553" s="141" t="s">
        <v>52</v>
      </c>
    </row>
    <row r="9554" spans="1:3" x14ac:dyDescent="0.35">
      <c r="A9554" s="141" t="s">
        <v>855</v>
      </c>
      <c r="B9554" s="141" t="s">
        <v>1112</v>
      </c>
      <c r="C9554" s="141" t="s">
        <v>52</v>
      </c>
    </row>
    <row r="9555" spans="1:3" x14ac:dyDescent="0.35">
      <c r="A9555" s="141" t="s">
        <v>1022</v>
      </c>
      <c r="B9555" s="141" t="s">
        <v>1112</v>
      </c>
      <c r="C9555" s="141" t="s">
        <v>29</v>
      </c>
    </row>
    <row r="9556" spans="1:3" x14ac:dyDescent="0.35">
      <c r="A9556" s="141" t="s">
        <v>1020</v>
      </c>
      <c r="B9556" s="141" t="s">
        <v>1112</v>
      </c>
      <c r="C9556" s="141" t="s">
        <v>29</v>
      </c>
    </row>
    <row r="9557" spans="1:3" x14ac:dyDescent="0.35">
      <c r="A9557" s="141" t="s">
        <v>1021</v>
      </c>
      <c r="B9557" s="141" t="s">
        <v>1112</v>
      </c>
      <c r="C9557" s="141" t="s">
        <v>29</v>
      </c>
    </row>
    <row r="9558" spans="1:3" x14ac:dyDescent="0.35">
      <c r="A9558" s="141" t="s">
        <v>1081</v>
      </c>
      <c r="B9558" s="141" t="s">
        <v>1112</v>
      </c>
      <c r="C9558" s="141" t="s">
        <v>52</v>
      </c>
    </row>
    <row r="9559" spans="1:3" x14ac:dyDescent="0.35">
      <c r="A9559" s="141" t="s">
        <v>1082</v>
      </c>
      <c r="B9559" s="141" t="s">
        <v>1112</v>
      </c>
      <c r="C9559" s="141" t="s">
        <v>52</v>
      </c>
    </row>
    <row r="9560" spans="1:3" x14ac:dyDescent="0.35">
      <c r="A9560" s="141" t="s">
        <v>601</v>
      </c>
      <c r="B9560" s="141" t="s">
        <v>1112</v>
      </c>
      <c r="C9560" s="141" t="s">
        <v>40</v>
      </c>
    </row>
    <row r="9561" spans="1:3" x14ac:dyDescent="0.35">
      <c r="A9561" s="141" t="s">
        <v>602</v>
      </c>
      <c r="B9561" s="141" t="s">
        <v>1112</v>
      </c>
      <c r="C9561" s="141" t="s">
        <v>39</v>
      </c>
    </row>
    <row r="9562" spans="1:3" x14ac:dyDescent="0.35">
      <c r="A9562" s="141" t="s">
        <v>1006</v>
      </c>
      <c r="B9562" s="141" t="s">
        <v>1112</v>
      </c>
      <c r="C9562" s="141" t="s">
        <v>41</v>
      </c>
    </row>
    <row r="9563" spans="1:3" x14ac:dyDescent="0.35">
      <c r="A9563" s="141" t="s">
        <v>737</v>
      </c>
      <c r="B9563" s="141" t="s">
        <v>1112</v>
      </c>
      <c r="C9563" s="141" t="s">
        <v>41</v>
      </c>
    </row>
    <row r="9564" spans="1:3" x14ac:dyDescent="0.35">
      <c r="A9564" s="141" t="s">
        <v>1083</v>
      </c>
      <c r="B9564" s="141" t="s">
        <v>1112</v>
      </c>
      <c r="C9564" s="141" t="s">
        <v>41</v>
      </c>
    </row>
    <row r="9565" spans="1:3" x14ac:dyDescent="0.35">
      <c r="A9565" s="141" t="s">
        <v>1084</v>
      </c>
      <c r="B9565" s="141" t="s">
        <v>1112</v>
      </c>
      <c r="C9565" s="141" t="s">
        <v>41</v>
      </c>
    </row>
    <row r="9566" spans="1:3" x14ac:dyDescent="0.35">
      <c r="A9566" s="141" t="s">
        <v>797</v>
      </c>
      <c r="B9566" s="141" t="s">
        <v>1112</v>
      </c>
      <c r="C9566" s="141" t="s">
        <v>41</v>
      </c>
    </row>
    <row r="9567" spans="1:3" x14ac:dyDescent="0.35">
      <c r="A9567" s="141" t="s">
        <v>1007</v>
      </c>
      <c r="B9567" s="141" t="s">
        <v>1112</v>
      </c>
      <c r="C9567" s="141" t="s">
        <v>40</v>
      </c>
    </row>
    <row r="9568" spans="1:3" x14ac:dyDescent="0.35">
      <c r="A9568" s="141" t="s">
        <v>1085</v>
      </c>
      <c r="B9568" s="141" t="s">
        <v>1112</v>
      </c>
      <c r="C9568" s="141" t="s">
        <v>42</v>
      </c>
    </row>
    <row r="9569" spans="1:3" x14ac:dyDescent="0.35">
      <c r="A9569" s="141" t="s">
        <v>989</v>
      </c>
      <c r="B9569" s="141" t="s">
        <v>1112</v>
      </c>
      <c r="C9569" s="141" t="s">
        <v>42</v>
      </c>
    </row>
    <row r="9570" spans="1:3" x14ac:dyDescent="0.35">
      <c r="A9570" s="141" t="s">
        <v>807</v>
      </c>
      <c r="B9570" s="141" t="s">
        <v>1112</v>
      </c>
      <c r="C9570" s="141" t="s">
        <v>3</v>
      </c>
    </row>
    <row r="9571" spans="1:3" x14ac:dyDescent="0.35">
      <c r="A9571" s="141" t="s">
        <v>1086</v>
      </c>
      <c r="B9571" s="141" t="s">
        <v>1112</v>
      </c>
      <c r="C9571" s="141" t="s">
        <v>30</v>
      </c>
    </row>
    <row r="9572" spans="1:3" x14ac:dyDescent="0.35">
      <c r="A9572" s="141" t="s">
        <v>1087</v>
      </c>
      <c r="B9572" s="141" t="s">
        <v>1112</v>
      </c>
      <c r="C9572" s="141" t="s">
        <v>30</v>
      </c>
    </row>
    <row r="9573" spans="1:3" x14ac:dyDescent="0.35">
      <c r="A9573" s="141" t="s">
        <v>1088</v>
      </c>
      <c r="B9573" s="141" t="s">
        <v>1112</v>
      </c>
      <c r="C9573" s="141" t="s">
        <v>48</v>
      </c>
    </row>
    <row r="9574" spans="1:3" x14ac:dyDescent="0.35">
      <c r="A9574" s="141" t="s">
        <v>1089</v>
      </c>
      <c r="B9574" s="141" t="s">
        <v>1112</v>
      </c>
      <c r="C9574" s="141" t="s">
        <v>30</v>
      </c>
    </row>
    <row r="9575" spans="1:3" x14ac:dyDescent="0.35">
      <c r="A9575" s="141" t="s">
        <v>1090</v>
      </c>
      <c r="B9575" s="141" t="s">
        <v>1112</v>
      </c>
      <c r="C9575" s="141" t="s">
        <v>30</v>
      </c>
    </row>
    <row r="9576" spans="1:3" x14ac:dyDescent="0.35">
      <c r="A9576" s="141" t="s">
        <v>1091</v>
      </c>
      <c r="B9576" s="141" t="s">
        <v>1112</v>
      </c>
      <c r="C9576" s="141" t="s">
        <v>31</v>
      </c>
    </row>
    <row r="9577" spans="1:3" x14ac:dyDescent="0.35">
      <c r="A9577" s="141" t="s">
        <v>1092</v>
      </c>
      <c r="B9577" s="141" t="s">
        <v>1112</v>
      </c>
      <c r="C9577" s="141" t="s">
        <v>47</v>
      </c>
    </row>
    <row r="9578" spans="1:3" x14ac:dyDescent="0.35">
      <c r="A9578" s="141" t="s">
        <v>1093</v>
      </c>
      <c r="B9578" s="141" t="s">
        <v>1112</v>
      </c>
      <c r="C9578" s="141" t="s">
        <v>30</v>
      </c>
    </row>
    <row r="9579" spans="1:3" x14ac:dyDescent="0.35">
      <c r="A9579" s="141" t="s">
        <v>1094</v>
      </c>
      <c r="B9579" s="141" t="s">
        <v>1112</v>
      </c>
      <c r="C9579" s="141" t="s">
        <v>30</v>
      </c>
    </row>
    <row r="9580" spans="1:3" x14ac:dyDescent="0.35">
      <c r="A9580" s="141" t="s">
        <v>305</v>
      </c>
      <c r="B9580" s="141" t="s">
        <v>1112</v>
      </c>
      <c r="C9580" s="141" t="s">
        <v>21</v>
      </c>
    </row>
    <row r="9581" spans="1:3" x14ac:dyDescent="0.35">
      <c r="A9581" s="141" t="s">
        <v>977</v>
      </c>
      <c r="B9581" s="141" t="s">
        <v>1112</v>
      </c>
      <c r="C9581" s="141" t="s">
        <v>52</v>
      </c>
    </row>
    <row r="9582" spans="1:3" x14ac:dyDescent="0.35">
      <c r="A9582" s="141" t="s">
        <v>343</v>
      </c>
      <c r="B9582" s="141" t="s">
        <v>1112</v>
      </c>
      <c r="C9582" s="141" t="s">
        <v>30</v>
      </c>
    </row>
    <row r="9583" spans="1:3" x14ac:dyDescent="0.35">
      <c r="A9583" s="141" t="s">
        <v>1095</v>
      </c>
      <c r="B9583" s="141" t="s">
        <v>1112</v>
      </c>
      <c r="C9583" s="141" t="s">
        <v>49</v>
      </c>
    </row>
    <row r="9584" spans="1:3" x14ac:dyDescent="0.35">
      <c r="A9584" s="141" t="s">
        <v>1096</v>
      </c>
      <c r="B9584" s="141" t="s">
        <v>1112</v>
      </c>
      <c r="C9584" s="141" t="s">
        <v>49</v>
      </c>
    </row>
    <row r="9585" spans="1:3" x14ac:dyDescent="0.35">
      <c r="A9585" s="141" t="s">
        <v>1095</v>
      </c>
      <c r="B9585" s="141" t="s">
        <v>1112</v>
      </c>
      <c r="C9585" s="141" t="s">
        <v>49</v>
      </c>
    </row>
    <row r="9586" spans="1:3" x14ac:dyDescent="0.35">
      <c r="A9586" s="141" t="s">
        <v>306</v>
      </c>
      <c r="B9586" s="141" t="s">
        <v>1112</v>
      </c>
      <c r="C9586" s="141" t="s">
        <v>35</v>
      </c>
    </row>
    <row r="9587" spans="1:3" x14ac:dyDescent="0.35">
      <c r="A9587" s="141" t="s">
        <v>1031</v>
      </c>
      <c r="B9587" s="141" t="s">
        <v>1112</v>
      </c>
      <c r="C9587" s="141" t="s">
        <v>35</v>
      </c>
    </row>
    <row r="9588" spans="1:3" x14ac:dyDescent="0.35">
      <c r="A9588" s="141" t="s">
        <v>1040</v>
      </c>
      <c r="B9588" s="141" t="s">
        <v>1112</v>
      </c>
      <c r="C9588" s="141" t="s">
        <v>35</v>
      </c>
    </row>
    <row r="9589" spans="1:3" x14ac:dyDescent="0.35">
      <c r="A9589" s="141" t="s">
        <v>740</v>
      </c>
      <c r="B9589" s="141" t="s">
        <v>1112</v>
      </c>
      <c r="C9589" s="141" t="s">
        <v>33</v>
      </c>
    </row>
    <row r="9590" spans="1:3" x14ac:dyDescent="0.35">
      <c r="A9590" s="141" t="s">
        <v>1046</v>
      </c>
      <c r="B9590" s="141" t="s">
        <v>1112</v>
      </c>
      <c r="C9590" s="141" t="s">
        <v>33</v>
      </c>
    </row>
    <row r="9591" spans="1:3" x14ac:dyDescent="0.35">
      <c r="A9591" s="141" t="s">
        <v>1032</v>
      </c>
      <c r="B9591" s="141" t="s">
        <v>1112</v>
      </c>
      <c r="C9591" s="141" t="s">
        <v>33</v>
      </c>
    </row>
    <row r="9592" spans="1:3" x14ac:dyDescent="0.35">
      <c r="A9592" s="141" t="s">
        <v>1033</v>
      </c>
      <c r="B9592" s="141" t="s">
        <v>1112</v>
      </c>
      <c r="C9592" s="141" t="s">
        <v>33</v>
      </c>
    </row>
    <row r="9593" spans="1:3" x14ac:dyDescent="0.35">
      <c r="A9593" s="141" t="s">
        <v>1034</v>
      </c>
      <c r="B9593" s="141" t="s">
        <v>1112</v>
      </c>
      <c r="C9593" s="141" t="s">
        <v>33</v>
      </c>
    </row>
    <row r="9594" spans="1:3" x14ac:dyDescent="0.35">
      <c r="A9594" s="141" t="s">
        <v>308</v>
      </c>
      <c r="B9594" s="141" t="s">
        <v>1112</v>
      </c>
      <c r="C9594" s="141" t="s">
        <v>53</v>
      </c>
    </row>
    <row r="9595" spans="1:3" x14ac:dyDescent="0.35">
      <c r="A9595" s="141" t="s">
        <v>309</v>
      </c>
      <c r="B9595" s="141" t="s">
        <v>1112</v>
      </c>
      <c r="C9595" s="141" t="s">
        <v>53</v>
      </c>
    </row>
    <row r="9596" spans="1:3" x14ac:dyDescent="0.35">
      <c r="A9596" s="141" t="s">
        <v>311</v>
      </c>
      <c r="B9596" s="141" t="s">
        <v>1112</v>
      </c>
      <c r="C9596" s="141" t="s">
        <v>53</v>
      </c>
    </row>
    <row r="9597" spans="1:3" x14ac:dyDescent="0.35">
      <c r="A9597" s="141" t="s">
        <v>1097</v>
      </c>
      <c r="B9597" s="141" t="s">
        <v>1112</v>
      </c>
      <c r="C9597" s="141" t="s">
        <v>53</v>
      </c>
    </row>
    <row r="9598" spans="1:3" x14ac:dyDescent="0.35">
      <c r="A9598" s="141" t="s">
        <v>1098</v>
      </c>
      <c r="B9598" s="141" t="s">
        <v>1112</v>
      </c>
      <c r="C9598" s="141" t="s">
        <v>53</v>
      </c>
    </row>
    <row r="9599" spans="1:3" x14ac:dyDescent="0.35">
      <c r="A9599" s="141" t="s">
        <v>1099</v>
      </c>
      <c r="B9599" s="141" t="s">
        <v>1112</v>
      </c>
      <c r="C9599" s="141" t="s">
        <v>53</v>
      </c>
    </row>
    <row r="9600" spans="1:3" x14ac:dyDescent="0.35">
      <c r="A9600" s="141" t="s">
        <v>531</v>
      </c>
      <c r="B9600" s="141" t="s">
        <v>1112</v>
      </c>
      <c r="C9600" s="141" t="s">
        <v>51</v>
      </c>
    </row>
    <row r="9601" spans="1:3" x14ac:dyDescent="0.35">
      <c r="A9601" s="141" t="s">
        <v>741</v>
      </c>
      <c r="B9601" s="141" t="s">
        <v>1112</v>
      </c>
      <c r="C9601" s="141" t="s">
        <v>51</v>
      </c>
    </row>
    <row r="9602" spans="1:3" x14ac:dyDescent="0.35">
      <c r="A9602" s="141" t="s">
        <v>742</v>
      </c>
      <c r="B9602" s="141" t="s">
        <v>1112</v>
      </c>
      <c r="C9602" s="141" t="s">
        <v>51</v>
      </c>
    </row>
    <row r="9603" spans="1:3" x14ac:dyDescent="0.35">
      <c r="A9603" s="141" t="s">
        <v>743</v>
      </c>
      <c r="B9603" s="141" t="s">
        <v>1112</v>
      </c>
      <c r="C9603" s="141" t="s">
        <v>51</v>
      </c>
    </row>
    <row r="9604" spans="1:3" x14ac:dyDescent="0.35">
      <c r="A9604" s="141" t="s">
        <v>747</v>
      </c>
      <c r="B9604" s="141" t="s">
        <v>1112</v>
      </c>
      <c r="C9604" s="141" t="s">
        <v>51</v>
      </c>
    </row>
    <row r="9605" spans="1:3" x14ac:dyDescent="0.35">
      <c r="A9605" s="141" t="s">
        <v>748</v>
      </c>
      <c r="B9605" s="141" t="s">
        <v>1112</v>
      </c>
      <c r="C9605" s="141" t="s">
        <v>51</v>
      </c>
    </row>
    <row r="9606" spans="1:3" x14ac:dyDescent="0.35">
      <c r="A9606" s="141" t="s">
        <v>313</v>
      </c>
      <c r="B9606" s="141" t="s">
        <v>1112</v>
      </c>
      <c r="C9606" s="141" t="s">
        <v>51</v>
      </c>
    </row>
    <row r="9607" spans="1:3" x14ac:dyDescent="0.35">
      <c r="A9607" s="141" t="s">
        <v>338</v>
      </c>
      <c r="B9607" s="141" t="s">
        <v>1112</v>
      </c>
      <c r="C9607" s="141" t="s">
        <v>20</v>
      </c>
    </row>
    <row r="9608" spans="1:3" x14ac:dyDescent="0.35">
      <c r="A9608" s="141" t="s">
        <v>533</v>
      </c>
      <c r="B9608" s="141" t="s">
        <v>1112</v>
      </c>
      <c r="C9608" s="141" t="s">
        <v>50</v>
      </c>
    </row>
    <row r="9609" spans="1:3" x14ac:dyDescent="0.35">
      <c r="A9609" s="141" t="s">
        <v>1100</v>
      </c>
      <c r="B9609" s="141" t="s">
        <v>1112</v>
      </c>
      <c r="C9609" s="141" t="s">
        <v>53</v>
      </c>
    </row>
    <row r="9610" spans="1:3" x14ac:dyDescent="0.35">
      <c r="A9610" s="141" t="s">
        <v>1101</v>
      </c>
      <c r="B9610" s="141" t="s">
        <v>1112</v>
      </c>
      <c r="C9610" s="141" t="s">
        <v>53</v>
      </c>
    </row>
    <row r="9611" spans="1:3" x14ac:dyDescent="0.35">
      <c r="A9611" s="141" t="s">
        <v>1102</v>
      </c>
      <c r="B9611" s="141" t="s">
        <v>1112</v>
      </c>
      <c r="C9611" s="141" t="s">
        <v>53</v>
      </c>
    </row>
    <row r="9612" spans="1:3" x14ac:dyDescent="0.35">
      <c r="A9612" s="141" t="s">
        <v>969</v>
      </c>
      <c r="B9612" s="141" t="s">
        <v>1112</v>
      </c>
      <c r="C9612" s="141" t="s">
        <v>53</v>
      </c>
    </row>
    <row r="9613" spans="1:3" x14ac:dyDescent="0.35">
      <c r="A9613" s="141" t="s">
        <v>970</v>
      </c>
      <c r="B9613" s="141" t="s">
        <v>1112</v>
      </c>
      <c r="C9613" s="141" t="s">
        <v>53</v>
      </c>
    </row>
    <row r="9614" spans="1:3" x14ac:dyDescent="0.35">
      <c r="A9614" s="141" t="s">
        <v>873</v>
      </c>
      <c r="B9614" s="141" t="s">
        <v>1112</v>
      </c>
      <c r="C9614" s="141" t="s">
        <v>52</v>
      </c>
    </row>
    <row r="9615" spans="1:3" x14ac:dyDescent="0.35">
      <c r="A9615" s="141" t="s">
        <v>874</v>
      </c>
      <c r="B9615" s="141" t="s">
        <v>1112</v>
      </c>
      <c r="C9615" s="141" t="s">
        <v>52</v>
      </c>
    </row>
    <row r="9616" spans="1:3" x14ac:dyDescent="0.35">
      <c r="A9616" s="141" t="s">
        <v>1003</v>
      </c>
      <c r="B9616" s="141" t="s">
        <v>1112</v>
      </c>
      <c r="C9616" s="141" t="s">
        <v>52</v>
      </c>
    </row>
    <row r="9617" spans="1:3" x14ac:dyDescent="0.35">
      <c r="A9617" s="141" t="s">
        <v>875</v>
      </c>
      <c r="B9617" s="141" t="s">
        <v>1112</v>
      </c>
      <c r="C9617" s="141" t="s">
        <v>52</v>
      </c>
    </row>
    <row r="9618" spans="1:3" x14ac:dyDescent="0.35">
      <c r="A9618" s="141" t="s">
        <v>876</v>
      </c>
      <c r="B9618" s="141" t="s">
        <v>1112</v>
      </c>
      <c r="C9618" s="141" t="s">
        <v>52</v>
      </c>
    </row>
    <row r="9619" spans="1:3" x14ac:dyDescent="0.35">
      <c r="A9619" s="141" t="s">
        <v>877</v>
      </c>
      <c r="B9619" s="141" t="s">
        <v>1112</v>
      </c>
      <c r="C9619" s="141" t="s">
        <v>52</v>
      </c>
    </row>
    <row r="9620" spans="1:3" x14ac:dyDescent="0.35">
      <c r="A9620" s="141" t="s">
        <v>878</v>
      </c>
      <c r="B9620" s="141" t="s">
        <v>1112</v>
      </c>
      <c r="C9620" s="141" t="s">
        <v>52</v>
      </c>
    </row>
    <row r="9621" spans="1:3" x14ac:dyDescent="0.35">
      <c r="A9621" s="141" t="s">
        <v>539</v>
      </c>
      <c r="B9621" s="141" t="s">
        <v>1112</v>
      </c>
      <c r="C9621" s="141" t="s">
        <v>52</v>
      </c>
    </row>
    <row r="9622" spans="1:3" x14ac:dyDescent="0.35">
      <c r="A9622" s="141" t="s">
        <v>1055</v>
      </c>
      <c r="B9622" s="141" t="s">
        <v>1112</v>
      </c>
      <c r="C9622" s="141" t="s">
        <v>53</v>
      </c>
    </row>
    <row r="9623" spans="1:3" x14ac:dyDescent="0.35">
      <c r="A9623" s="141" t="s">
        <v>540</v>
      </c>
      <c r="B9623" s="141" t="s">
        <v>1112</v>
      </c>
      <c r="C9623" s="141" t="s">
        <v>52</v>
      </c>
    </row>
    <row r="9624" spans="1:3" x14ac:dyDescent="0.35">
      <c r="A9624" s="141" t="s">
        <v>812</v>
      </c>
      <c r="B9624" s="141" t="s">
        <v>1112</v>
      </c>
      <c r="C9624" s="141" t="s">
        <v>52</v>
      </c>
    </row>
    <row r="9625" spans="1:3" x14ac:dyDescent="0.35">
      <c r="A9625" s="141" t="s">
        <v>803</v>
      </c>
      <c r="B9625" s="141" t="s">
        <v>1112</v>
      </c>
      <c r="C9625" s="141" t="s">
        <v>52</v>
      </c>
    </row>
    <row r="9626" spans="1:3" x14ac:dyDescent="0.35">
      <c r="A9626" s="141" t="s">
        <v>350</v>
      </c>
      <c r="B9626" s="141" t="s">
        <v>1112</v>
      </c>
      <c r="C9626" s="141" t="s">
        <v>53</v>
      </c>
    </row>
    <row r="9627" spans="1:3" x14ac:dyDescent="0.35">
      <c r="A9627" s="141" t="s">
        <v>351</v>
      </c>
      <c r="B9627" s="141" t="s">
        <v>1112</v>
      </c>
      <c r="C9627" s="141" t="s">
        <v>53</v>
      </c>
    </row>
    <row r="9628" spans="1:3" x14ac:dyDescent="0.35">
      <c r="A9628" s="141" t="s">
        <v>344</v>
      </c>
      <c r="B9628" s="141" t="s">
        <v>1112</v>
      </c>
      <c r="C9628" s="141" t="s">
        <v>53</v>
      </c>
    </row>
    <row r="9629" spans="1:3" x14ac:dyDescent="0.35">
      <c r="A9629" s="141" t="s">
        <v>1052</v>
      </c>
      <c r="B9629" s="141" t="s">
        <v>1112</v>
      </c>
      <c r="C9629" s="141" t="s">
        <v>53</v>
      </c>
    </row>
    <row r="9630" spans="1:3" x14ac:dyDescent="0.35">
      <c r="A9630" s="141" t="s">
        <v>1103</v>
      </c>
      <c r="B9630" s="141" t="s">
        <v>1112</v>
      </c>
      <c r="C9630" s="141" t="s">
        <v>53</v>
      </c>
    </row>
    <row r="9631" spans="1:3" x14ac:dyDescent="0.35">
      <c r="A9631" s="141" t="s">
        <v>1104</v>
      </c>
      <c r="B9631" s="141" t="s">
        <v>1112</v>
      </c>
      <c r="C9631" s="141" t="s">
        <v>53</v>
      </c>
    </row>
    <row r="9632" spans="1:3" x14ac:dyDescent="0.35">
      <c r="A9632" s="141" t="s">
        <v>1105</v>
      </c>
      <c r="B9632" s="141" t="s">
        <v>1112</v>
      </c>
      <c r="C9632" s="141" t="s">
        <v>53</v>
      </c>
    </row>
    <row r="9633" spans="1:3" x14ac:dyDescent="0.35">
      <c r="A9633" s="141" t="s">
        <v>1002</v>
      </c>
      <c r="B9633" s="141" t="s">
        <v>1112</v>
      </c>
      <c r="C9633" s="141" t="s">
        <v>25</v>
      </c>
    </row>
    <row r="9634" spans="1:3" x14ac:dyDescent="0.35">
      <c r="A9634" s="141" t="s">
        <v>960</v>
      </c>
      <c r="B9634" s="141" t="s">
        <v>1112</v>
      </c>
      <c r="C9634" s="141" t="s">
        <v>52</v>
      </c>
    </row>
    <row r="9635" spans="1:3" x14ac:dyDescent="0.35">
      <c r="A9635" s="141" t="s">
        <v>1053</v>
      </c>
      <c r="B9635" s="141" t="s">
        <v>1112</v>
      </c>
      <c r="C9635" s="141" t="s">
        <v>53</v>
      </c>
    </row>
    <row r="9636" spans="1:3" x14ac:dyDescent="0.35">
      <c r="A9636" s="141" t="s">
        <v>961</v>
      </c>
      <c r="B9636" s="141" t="s">
        <v>1112</v>
      </c>
      <c r="C9636" s="141" t="s">
        <v>53</v>
      </c>
    </row>
    <row r="9637" spans="1:3" x14ac:dyDescent="0.35">
      <c r="A9637" s="141" t="s">
        <v>1054</v>
      </c>
      <c r="B9637" s="141" t="s">
        <v>1112</v>
      </c>
      <c r="C9637" s="141" t="s">
        <v>53</v>
      </c>
    </row>
    <row r="9638" spans="1:3" x14ac:dyDescent="0.35">
      <c r="A9638" s="141" t="s">
        <v>1106</v>
      </c>
      <c r="B9638" s="141" t="s">
        <v>1112</v>
      </c>
      <c r="C9638" s="141" t="s">
        <v>53</v>
      </c>
    </row>
    <row r="9639" spans="1:3" x14ac:dyDescent="0.35">
      <c r="A9639" s="141" t="s">
        <v>1107</v>
      </c>
      <c r="B9639" s="141" t="s">
        <v>1112</v>
      </c>
      <c r="C9639" s="141" t="s">
        <v>53</v>
      </c>
    </row>
    <row r="9640" spans="1:3" x14ac:dyDescent="0.35">
      <c r="A9640" s="141" t="s">
        <v>880</v>
      </c>
      <c r="B9640" s="141" t="s">
        <v>1112</v>
      </c>
      <c r="C9640" s="141" t="s">
        <v>52</v>
      </c>
    </row>
    <row r="9641" spans="1:3" x14ac:dyDescent="0.35">
      <c r="A9641" s="141" t="s">
        <v>314</v>
      </c>
      <c r="B9641" s="141" t="s">
        <v>1112</v>
      </c>
      <c r="C9641" s="141" t="s">
        <v>16</v>
      </c>
    </row>
    <row r="9642" spans="1:3" x14ac:dyDescent="0.35">
      <c r="A9642" s="141" t="s">
        <v>316</v>
      </c>
      <c r="B9642" s="141" t="s">
        <v>1112</v>
      </c>
      <c r="C9642" s="141" t="s">
        <v>16</v>
      </c>
    </row>
    <row r="9643" spans="1:3" x14ac:dyDescent="0.35">
      <c r="A9643" s="141" t="s">
        <v>317</v>
      </c>
      <c r="B9643" s="141" t="s">
        <v>1112</v>
      </c>
      <c r="C9643" s="141" t="s">
        <v>16</v>
      </c>
    </row>
    <row r="9644" spans="1:3" x14ac:dyDescent="0.35">
      <c r="A9644" s="141" t="s">
        <v>318</v>
      </c>
      <c r="B9644" s="141" t="s">
        <v>1112</v>
      </c>
      <c r="C9644" s="141" t="s">
        <v>16</v>
      </c>
    </row>
    <row r="9645" spans="1:3" x14ac:dyDescent="0.35">
      <c r="A9645" s="141" t="s">
        <v>319</v>
      </c>
      <c r="B9645" s="141" t="s">
        <v>1112</v>
      </c>
      <c r="C9645" s="141" t="s">
        <v>16</v>
      </c>
    </row>
    <row r="9646" spans="1:3" x14ac:dyDescent="0.35">
      <c r="A9646" s="141" t="s">
        <v>320</v>
      </c>
      <c r="B9646" s="141" t="s">
        <v>1112</v>
      </c>
      <c r="C9646" s="141" t="s">
        <v>16</v>
      </c>
    </row>
    <row r="9647" spans="1:3" x14ac:dyDescent="0.35">
      <c r="A9647" s="141" t="s">
        <v>321</v>
      </c>
      <c r="B9647" s="141" t="s">
        <v>1112</v>
      </c>
      <c r="C9647" s="141" t="s">
        <v>16</v>
      </c>
    </row>
    <row r="9648" spans="1:3" x14ac:dyDescent="0.35">
      <c r="A9648" s="141" t="s">
        <v>322</v>
      </c>
      <c r="B9648" s="141" t="s">
        <v>1112</v>
      </c>
      <c r="C9648" s="141" t="s">
        <v>16</v>
      </c>
    </row>
    <row r="9649" spans="1:3" x14ac:dyDescent="0.35">
      <c r="A9649" s="141" t="s">
        <v>323</v>
      </c>
      <c r="B9649" s="141" t="s">
        <v>1112</v>
      </c>
      <c r="C9649" s="141" t="s">
        <v>16</v>
      </c>
    </row>
    <row r="9650" spans="1:3" x14ac:dyDescent="0.35">
      <c r="A9650" s="141" t="s">
        <v>324</v>
      </c>
      <c r="B9650" s="141" t="s">
        <v>1112</v>
      </c>
      <c r="C9650" s="141" t="s">
        <v>16</v>
      </c>
    </row>
    <row r="9651" spans="1:3" x14ac:dyDescent="0.35">
      <c r="A9651" s="141" t="s">
        <v>325</v>
      </c>
      <c r="B9651" s="141" t="s">
        <v>1112</v>
      </c>
      <c r="C9651" s="141" t="s">
        <v>16</v>
      </c>
    </row>
    <row r="9652" spans="1:3" x14ac:dyDescent="0.35">
      <c r="A9652" s="141" t="s">
        <v>326</v>
      </c>
      <c r="B9652" s="141" t="s">
        <v>1112</v>
      </c>
      <c r="C9652" s="141" t="s">
        <v>16</v>
      </c>
    </row>
    <row r="9653" spans="1:3" x14ac:dyDescent="0.35">
      <c r="A9653" s="141" t="s">
        <v>971</v>
      </c>
      <c r="B9653" s="141" t="s">
        <v>1112</v>
      </c>
      <c r="C9653" s="141" t="s">
        <v>16</v>
      </c>
    </row>
    <row r="9654" spans="1:3" x14ac:dyDescent="0.35">
      <c r="A9654" s="141" t="s">
        <v>327</v>
      </c>
      <c r="B9654" s="141" t="s">
        <v>1112</v>
      </c>
      <c r="C9654" s="141" t="s">
        <v>16</v>
      </c>
    </row>
    <row r="9655" spans="1:3" x14ac:dyDescent="0.35">
      <c r="A9655" s="141" t="s">
        <v>972</v>
      </c>
      <c r="B9655" s="141" t="s">
        <v>1112</v>
      </c>
      <c r="C9655" s="141" t="s">
        <v>16</v>
      </c>
    </row>
    <row r="9656" spans="1:3" x14ac:dyDescent="0.35">
      <c r="A9656" s="141" t="s">
        <v>328</v>
      </c>
      <c r="B9656" s="141" t="s">
        <v>1112</v>
      </c>
      <c r="C9656" s="141" t="s">
        <v>16</v>
      </c>
    </row>
    <row r="9657" spans="1:3" x14ac:dyDescent="0.35">
      <c r="A9657" s="141" t="s">
        <v>1004</v>
      </c>
      <c r="B9657" s="141" t="s">
        <v>1112</v>
      </c>
      <c r="C9657" s="141" t="s">
        <v>16</v>
      </c>
    </row>
    <row r="9658" spans="1:3" x14ac:dyDescent="0.35">
      <c r="A9658" s="141" t="s">
        <v>330</v>
      </c>
      <c r="B9658" s="141" t="s">
        <v>1112</v>
      </c>
      <c r="C9658" s="141" t="s">
        <v>16</v>
      </c>
    </row>
    <row r="9659" spans="1:3" x14ac:dyDescent="0.35">
      <c r="A9659" s="141" t="s">
        <v>331</v>
      </c>
      <c r="B9659" s="141" t="s">
        <v>1112</v>
      </c>
      <c r="C9659" s="141" t="s">
        <v>16</v>
      </c>
    </row>
    <row r="9660" spans="1:3" x14ac:dyDescent="0.35">
      <c r="A9660" s="141" t="s">
        <v>332</v>
      </c>
      <c r="B9660" s="141" t="s">
        <v>1112</v>
      </c>
      <c r="C9660" s="141" t="s">
        <v>16</v>
      </c>
    </row>
    <row r="9661" spans="1:3" x14ac:dyDescent="0.35">
      <c r="A9661" s="141" t="s">
        <v>333</v>
      </c>
      <c r="B9661" s="141" t="s">
        <v>1112</v>
      </c>
      <c r="C9661" s="141" t="s">
        <v>16</v>
      </c>
    </row>
    <row r="9662" spans="1:3" x14ac:dyDescent="0.35">
      <c r="A9662" s="141" t="s">
        <v>1005</v>
      </c>
      <c r="B9662" s="141" t="s">
        <v>1112</v>
      </c>
      <c r="C9662" s="141" t="s">
        <v>16</v>
      </c>
    </row>
    <row r="9663" spans="1:3" x14ac:dyDescent="0.35">
      <c r="A9663" s="141" t="s">
        <v>1039</v>
      </c>
      <c r="B9663" s="141" t="s">
        <v>1112</v>
      </c>
      <c r="C9663" s="141" t="s">
        <v>16</v>
      </c>
    </row>
    <row r="9664" spans="1:3" x14ac:dyDescent="0.35">
      <c r="A9664" s="141" t="s">
        <v>974</v>
      </c>
      <c r="B9664" s="141" t="s">
        <v>1112</v>
      </c>
      <c r="C9664" s="141" t="s">
        <v>16</v>
      </c>
    </row>
    <row r="9665" spans="1:3" x14ac:dyDescent="0.35">
      <c r="A9665" s="141" t="s">
        <v>806</v>
      </c>
      <c r="B9665" s="141" t="s">
        <v>1112</v>
      </c>
      <c r="C9665" s="141" t="s">
        <v>32</v>
      </c>
    </row>
    <row r="9666" spans="1:3" x14ac:dyDescent="0.35">
      <c r="A9666" s="141" t="s">
        <v>579</v>
      </c>
      <c r="B9666" s="141" t="s">
        <v>1112</v>
      </c>
      <c r="C9666" s="141" t="s">
        <v>32</v>
      </c>
    </row>
    <row r="9667" spans="1:3" x14ac:dyDescent="0.35">
      <c r="A9667" s="141" t="s">
        <v>556</v>
      </c>
      <c r="B9667" s="141" t="s">
        <v>1112</v>
      </c>
      <c r="C9667" s="141" t="s">
        <v>32</v>
      </c>
    </row>
    <row r="9668" spans="1:3" x14ac:dyDescent="0.35">
      <c r="A9668" s="141" t="s">
        <v>557</v>
      </c>
      <c r="B9668" s="141" t="s">
        <v>1112</v>
      </c>
      <c r="C9668" s="141" t="s">
        <v>32</v>
      </c>
    </row>
    <row r="9669" spans="1:3" x14ac:dyDescent="0.35">
      <c r="A9669" s="141" t="s">
        <v>558</v>
      </c>
      <c r="B9669" s="141" t="s">
        <v>1112</v>
      </c>
      <c r="C9669" s="141" t="s">
        <v>32</v>
      </c>
    </row>
    <row r="9670" spans="1:3" x14ac:dyDescent="0.35">
      <c r="A9670" s="141" t="s">
        <v>580</v>
      </c>
      <c r="B9670" s="141" t="s">
        <v>1112</v>
      </c>
      <c r="C9670" s="141" t="s">
        <v>32</v>
      </c>
    </row>
    <row r="9671" spans="1:3" x14ac:dyDescent="0.35">
      <c r="A9671" s="141" t="s">
        <v>612</v>
      </c>
      <c r="B9671" s="141" t="s">
        <v>1112</v>
      </c>
      <c r="C9671" s="141" t="s">
        <v>43</v>
      </c>
    </row>
    <row r="9672" spans="1:3" x14ac:dyDescent="0.35">
      <c r="A9672" s="141" t="s">
        <v>1009</v>
      </c>
      <c r="B9672" s="141" t="s">
        <v>1112</v>
      </c>
      <c r="C9672" s="141" t="s">
        <v>43</v>
      </c>
    </row>
    <row r="9673" spans="1:3" x14ac:dyDescent="0.35">
      <c r="A9673" s="141" t="s">
        <v>615</v>
      </c>
      <c r="B9673" s="141" t="s">
        <v>1112</v>
      </c>
      <c r="C9673" s="141" t="s">
        <v>43</v>
      </c>
    </row>
    <row r="9674" spans="1:3" x14ac:dyDescent="0.35">
      <c r="A9674" s="141" t="s">
        <v>616</v>
      </c>
      <c r="B9674" s="141" t="s">
        <v>1112</v>
      </c>
      <c r="C9674" s="141" t="s">
        <v>43</v>
      </c>
    </row>
    <row r="9675" spans="1:3" x14ac:dyDescent="0.35">
      <c r="A9675" s="141" t="s">
        <v>854</v>
      </c>
      <c r="B9675" s="141" t="s">
        <v>1112</v>
      </c>
      <c r="C9675" s="141" t="s">
        <v>43</v>
      </c>
    </row>
    <row r="9676" spans="1:3" x14ac:dyDescent="0.35">
      <c r="A9676" s="141" t="s">
        <v>605</v>
      </c>
      <c r="B9676" s="141" t="s">
        <v>1112</v>
      </c>
      <c r="C9676" s="141" t="s">
        <v>43</v>
      </c>
    </row>
    <row r="9677" spans="1:3" x14ac:dyDescent="0.35">
      <c r="A9677" s="141" t="s">
        <v>1008</v>
      </c>
      <c r="B9677" s="141" t="s">
        <v>1112</v>
      </c>
      <c r="C9677" s="141" t="s">
        <v>43</v>
      </c>
    </row>
    <row r="9678" spans="1:3" x14ac:dyDescent="0.35">
      <c r="A9678" s="141" t="s">
        <v>608</v>
      </c>
      <c r="B9678" s="141" t="s">
        <v>1112</v>
      </c>
      <c r="C9678" s="141" t="s">
        <v>43</v>
      </c>
    </row>
    <row r="9679" spans="1:3" x14ac:dyDescent="0.35">
      <c r="A9679" s="141" t="s">
        <v>609</v>
      </c>
      <c r="B9679" s="141" t="s">
        <v>1112</v>
      </c>
      <c r="C9679" s="141" t="s">
        <v>43</v>
      </c>
    </row>
    <row r="9680" spans="1:3" x14ac:dyDescent="0.35">
      <c r="A9680" s="141" t="s">
        <v>610</v>
      </c>
      <c r="B9680" s="141" t="s">
        <v>1112</v>
      </c>
      <c r="C9680" s="141" t="s">
        <v>43</v>
      </c>
    </row>
    <row r="9681" spans="1:3" x14ac:dyDescent="0.35">
      <c r="A9681" s="141" t="s">
        <v>618</v>
      </c>
      <c r="B9681" s="141" t="s">
        <v>1112</v>
      </c>
      <c r="C9681" s="141" t="s">
        <v>43</v>
      </c>
    </row>
    <row r="9682" spans="1:3" x14ac:dyDescent="0.35">
      <c r="A9682" s="141" t="s">
        <v>619</v>
      </c>
      <c r="B9682" s="141" t="s">
        <v>1112</v>
      </c>
      <c r="C9682" s="141" t="s">
        <v>44</v>
      </c>
    </row>
    <row r="9683" spans="1:3" x14ac:dyDescent="0.35">
      <c r="A9683" s="141" t="s">
        <v>1010</v>
      </c>
      <c r="B9683" s="141" t="s">
        <v>1112</v>
      </c>
      <c r="C9683" s="141" t="s">
        <v>43</v>
      </c>
    </row>
    <row r="9684" spans="1:3" x14ac:dyDescent="0.35">
      <c r="A9684" s="141" t="s">
        <v>1011</v>
      </c>
      <c r="B9684" s="141" t="s">
        <v>1112</v>
      </c>
      <c r="C9684" s="141" t="s">
        <v>43</v>
      </c>
    </row>
    <row r="9685" spans="1:3" x14ac:dyDescent="0.35">
      <c r="A9685" s="141" t="s">
        <v>1012</v>
      </c>
      <c r="B9685" s="141" t="s">
        <v>1112</v>
      </c>
      <c r="C9685" s="141" t="s">
        <v>43</v>
      </c>
    </row>
    <row r="9686" spans="1:3" x14ac:dyDescent="0.35">
      <c r="A9686" s="141" t="s">
        <v>1013</v>
      </c>
      <c r="B9686" s="141" t="s">
        <v>1112</v>
      </c>
      <c r="C9686" s="141" t="s">
        <v>43</v>
      </c>
    </row>
    <row r="9687" spans="1:3" x14ac:dyDescent="0.35">
      <c r="A9687" s="141" t="s">
        <v>1014</v>
      </c>
      <c r="B9687" s="141" t="s">
        <v>1112</v>
      </c>
      <c r="C9687" s="141" t="s">
        <v>43</v>
      </c>
    </row>
    <row r="9688" spans="1:3" x14ac:dyDescent="0.35">
      <c r="A9688" s="141" t="s">
        <v>1015</v>
      </c>
      <c r="B9688" s="141" t="s">
        <v>1112</v>
      </c>
      <c r="C9688" s="141" t="s">
        <v>43</v>
      </c>
    </row>
    <row r="9689" spans="1:3" x14ac:dyDescent="0.35">
      <c r="A9689" s="141" t="s">
        <v>337</v>
      </c>
      <c r="B9689" s="141" t="s">
        <v>1112</v>
      </c>
      <c r="C9689" s="141" t="s">
        <v>47</v>
      </c>
    </row>
    <row r="9690" spans="1:3" x14ac:dyDescent="0.35">
      <c r="A9690" s="141" t="s">
        <v>962</v>
      </c>
      <c r="B9690" s="141" t="s">
        <v>1112</v>
      </c>
      <c r="C9690" s="141" t="s">
        <v>47</v>
      </c>
    </row>
    <row r="9691" spans="1:3" x14ac:dyDescent="0.35">
      <c r="A9691" s="141" t="s">
        <v>981</v>
      </c>
      <c r="B9691" s="141" t="s">
        <v>1112</v>
      </c>
      <c r="C9691" s="141" t="s">
        <v>47</v>
      </c>
    </row>
    <row r="9692" spans="1:3" x14ac:dyDescent="0.35">
      <c r="A9692" s="141" t="s">
        <v>982</v>
      </c>
      <c r="B9692" s="141" t="s">
        <v>1112</v>
      </c>
      <c r="C9692" s="141" t="s">
        <v>47</v>
      </c>
    </row>
    <row r="9693" spans="1:3" x14ac:dyDescent="0.35">
      <c r="A9693" s="141" t="s">
        <v>1108</v>
      </c>
      <c r="B9693" s="141" t="s">
        <v>1112</v>
      </c>
      <c r="C9693" s="141" t="s">
        <v>47</v>
      </c>
    </row>
    <row r="9694" spans="1:3" x14ac:dyDescent="0.35">
      <c r="A9694" s="141" t="s">
        <v>1038</v>
      </c>
      <c r="B9694" s="141" t="s">
        <v>1112</v>
      </c>
      <c r="C9694" s="141" t="s">
        <v>48</v>
      </c>
    </row>
    <row r="9695" spans="1:3" x14ac:dyDescent="0.35">
      <c r="A9695" s="141" t="s">
        <v>563</v>
      </c>
      <c r="B9695" s="141" t="s">
        <v>1112</v>
      </c>
      <c r="C9695" s="141" t="s">
        <v>47</v>
      </c>
    </row>
    <row r="9696" spans="1:3" x14ac:dyDescent="0.35">
      <c r="A9696" s="141" t="s">
        <v>1110</v>
      </c>
      <c r="B9696" s="141" t="s">
        <v>1112</v>
      </c>
      <c r="C9696" s="141" t="s">
        <v>30</v>
      </c>
    </row>
    <row r="9697" spans="1:3" x14ac:dyDescent="0.35">
      <c r="A9697" s="141" t="s">
        <v>1113</v>
      </c>
      <c r="B9697" s="141" t="s">
        <v>289</v>
      </c>
      <c r="C9697" s="141" t="s">
        <v>12</v>
      </c>
    </row>
    <row r="9698" spans="1:3" x14ac:dyDescent="0.35">
      <c r="A9698" s="141" t="s">
        <v>1113</v>
      </c>
      <c r="B9698" s="141" t="s">
        <v>279</v>
      </c>
      <c r="C9698" s="141" t="s">
        <v>12</v>
      </c>
    </row>
    <row r="9699" spans="1:3" x14ac:dyDescent="0.35">
      <c r="A9699" s="141" t="s">
        <v>1113</v>
      </c>
      <c r="B9699" s="141" t="s">
        <v>280</v>
      </c>
      <c r="C9699" s="141" t="s">
        <v>12</v>
      </c>
    </row>
    <row r="9700" spans="1:3" x14ac:dyDescent="0.35">
      <c r="A9700" s="141" t="s">
        <v>1113</v>
      </c>
      <c r="B9700" s="141" t="s">
        <v>281</v>
      </c>
      <c r="C9700" s="141" t="s">
        <v>12</v>
      </c>
    </row>
    <row r="9701" spans="1:3" x14ac:dyDescent="0.35">
      <c r="A9701" s="141" t="s">
        <v>1113</v>
      </c>
      <c r="B9701" s="141" t="s">
        <v>282</v>
      </c>
      <c r="C9701" s="141" t="s">
        <v>12</v>
      </c>
    </row>
    <row r="9702" spans="1:3" x14ac:dyDescent="0.35">
      <c r="A9702" s="141" t="s">
        <v>1113</v>
      </c>
      <c r="B9702" s="141" t="s">
        <v>263</v>
      </c>
      <c r="C9702" s="141" t="s">
        <v>12</v>
      </c>
    </row>
    <row r="9703" spans="1:3" x14ac:dyDescent="0.35">
      <c r="A9703" s="141" t="s">
        <v>1113</v>
      </c>
      <c r="B9703" s="141" t="s">
        <v>264</v>
      </c>
      <c r="C9703" s="141" t="s">
        <v>12</v>
      </c>
    </row>
    <row r="9704" spans="1:3" x14ac:dyDescent="0.35">
      <c r="A9704" s="141" t="s">
        <v>1113</v>
      </c>
      <c r="B9704" s="141" t="s">
        <v>265</v>
      </c>
      <c r="C9704" s="141" t="s">
        <v>12</v>
      </c>
    </row>
    <row r="9705" spans="1:3" x14ac:dyDescent="0.35">
      <c r="A9705" s="141" t="s">
        <v>1113</v>
      </c>
      <c r="B9705" s="141" t="s">
        <v>266</v>
      </c>
      <c r="C9705" s="141" t="s">
        <v>12</v>
      </c>
    </row>
    <row r="9706" spans="1:3" x14ac:dyDescent="0.35">
      <c r="A9706" s="141" t="s">
        <v>1113</v>
      </c>
      <c r="B9706" s="141" t="s">
        <v>267</v>
      </c>
      <c r="C9706" s="141" t="s">
        <v>12</v>
      </c>
    </row>
    <row r="9707" spans="1:3" x14ac:dyDescent="0.35">
      <c r="A9707" s="141" t="s">
        <v>1113</v>
      </c>
      <c r="B9707" s="141" t="s">
        <v>268</v>
      </c>
      <c r="C9707" s="141" t="s">
        <v>12</v>
      </c>
    </row>
    <row r="9708" spans="1:3" x14ac:dyDescent="0.35">
      <c r="A9708" s="141" t="s">
        <v>1113</v>
      </c>
      <c r="B9708" s="141" t="s">
        <v>269</v>
      </c>
      <c r="C9708" s="141" t="s">
        <v>12</v>
      </c>
    </row>
    <row r="9709" spans="1:3" x14ac:dyDescent="0.35">
      <c r="A9709" s="141" t="s">
        <v>1113</v>
      </c>
      <c r="B9709" s="141" t="s">
        <v>270</v>
      </c>
      <c r="C9709" s="141" t="s">
        <v>12</v>
      </c>
    </row>
    <row r="9710" spans="1:3" x14ac:dyDescent="0.35">
      <c r="A9710" s="141" t="s">
        <v>1113</v>
      </c>
      <c r="B9710" s="141" t="s">
        <v>272</v>
      </c>
      <c r="C9710" s="141" t="s">
        <v>12</v>
      </c>
    </row>
    <row r="9711" spans="1:3" x14ac:dyDescent="0.35">
      <c r="A9711" s="141" t="s">
        <v>1113</v>
      </c>
      <c r="B9711" s="141" t="s">
        <v>273</v>
      </c>
      <c r="C9711" s="141" t="s">
        <v>12</v>
      </c>
    </row>
    <row r="9712" spans="1:3" x14ac:dyDescent="0.35">
      <c r="A9712" s="141" t="s">
        <v>1113</v>
      </c>
      <c r="B9712" s="141" t="s">
        <v>274</v>
      </c>
      <c r="C9712" s="141" t="s">
        <v>12</v>
      </c>
    </row>
    <row r="9713" spans="1:3" x14ac:dyDescent="0.35">
      <c r="A9713" s="141" t="s">
        <v>1113</v>
      </c>
      <c r="B9713" s="141" t="s">
        <v>275</v>
      </c>
      <c r="C9713" s="141" t="s">
        <v>12</v>
      </c>
    </row>
    <row r="9714" spans="1:3" x14ac:dyDescent="0.35">
      <c r="A9714" s="141" t="s">
        <v>1113</v>
      </c>
      <c r="B9714" s="141" t="s">
        <v>342</v>
      </c>
      <c r="C9714" s="141" t="s">
        <v>12</v>
      </c>
    </row>
    <row r="9715" spans="1:3" x14ac:dyDescent="0.35">
      <c r="A9715" s="141" t="s">
        <v>1113</v>
      </c>
      <c r="B9715" s="141" t="s">
        <v>341</v>
      </c>
      <c r="C9715" s="141" t="s">
        <v>12</v>
      </c>
    </row>
    <row r="9716" spans="1:3" x14ac:dyDescent="0.35">
      <c r="A9716" s="141" t="s">
        <v>1113</v>
      </c>
      <c r="B9716" s="141" t="s">
        <v>340</v>
      </c>
      <c r="C9716" s="141" t="s">
        <v>12</v>
      </c>
    </row>
    <row r="9717" spans="1:3" x14ac:dyDescent="0.35">
      <c r="A9717" s="141" t="s">
        <v>1113</v>
      </c>
      <c r="B9717" s="141" t="s">
        <v>339</v>
      </c>
      <c r="C9717" s="141" t="s">
        <v>12</v>
      </c>
    </row>
    <row r="9718" spans="1:3" x14ac:dyDescent="0.35">
      <c r="A9718" s="141" t="s">
        <v>1113</v>
      </c>
      <c r="B9718" s="141" t="s">
        <v>1051</v>
      </c>
      <c r="C9718" s="141" t="s">
        <v>12</v>
      </c>
    </row>
    <row r="9719" spans="1:3" x14ac:dyDescent="0.35">
      <c r="A9719" s="141" t="s">
        <v>1113</v>
      </c>
      <c r="B9719" s="141" t="s">
        <v>1059</v>
      </c>
      <c r="C9719" s="141" t="s">
        <v>12</v>
      </c>
    </row>
    <row r="9720" spans="1:3" x14ac:dyDescent="0.35">
      <c r="A9720" s="141" t="s">
        <v>1113</v>
      </c>
      <c r="B9720" s="141" t="s">
        <v>1109</v>
      </c>
      <c r="C9720" s="141" t="s">
        <v>12</v>
      </c>
    </row>
    <row r="9721" spans="1:3" x14ac:dyDescent="0.35">
      <c r="A9721" s="141" t="s">
        <v>1113</v>
      </c>
      <c r="B9721" s="141" t="s">
        <v>1111</v>
      </c>
      <c r="C9721" s="141" t="s">
        <v>12</v>
      </c>
    </row>
    <row r="9722" spans="1:3" x14ac:dyDescent="0.35">
      <c r="A9722" s="141" t="s">
        <v>1113</v>
      </c>
      <c r="B9722" s="141" t="s">
        <v>1112</v>
      </c>
      <c r="C9722" s="141" t="s">
        <v>12</v>
      </c>
    </row>
    <row r="9723" spans="1:3" x14ac:dyDescent="0.35">
      <c r="A9723" s="141" t="s">
        <v>1114</v>
      </c>
      <c r="B9723" s="141" t="s">
        <v>289</v>
      </c>
      <c r="C9723" s="141" t="s">
        <v>45</v>
      </c>
    </row>
    <row r="9724" spans="1:3" x14ac:dyDescent="0.35">
      <c r="A9724" s="141" t="s">
        <v>1114</v>
      </c>
      <c r="B9724" s="141" t="s">
        <v>279</v>
      </c>
      <c r="C9724" s="141" t="s">
        <v>45</v>
      </c>
    </row>
    <row r="9725" spans="1:3" x14ac:dyDescent="0.35">
      <c r="A9725" s="141" t="s">
        <v>1114</v>
      </c>
      <c r="B9725" s="141" t="s">
        <v>280</v>
      </c>
      <c r="C9725" s="141" t="s">
        <v>45</v>
      </c>
    </row>
    <row r="9726" spans="1:3" x14ac:dyDescent="0.35">
      <c r="A9726" s="141" t="s">
        <v>1114</v>
      </c>
      <c r="B9726" s="141" t="s">
        <v>281</v>
      </c>
      <c r="C9726" s="141" t="s">
        <v>45</v>
      </c>
    </row>
    <row r="9727" spans="1:3" x14ac:dyDescent="0.35">
      <c r="A9727" s="141" t="s">
        <v>1114</v>
      </c>
      <c r="B9727" s="141" t="s">
        <v>282</v>
      </c>
      <c r="C9727" s="141" t="s">
        <v>45</v>
      </c>
    </row>
    <row r="9728" spans="1:3" x14ac:dyDescent="0.35">
      <c r="A9728" s="141" t="s">
        <v>1114</v>
      </c>
      <c r="B9728" s="141" t="s">
        <v>263</v>
      </c>
      <c r="C9728" s="141" t="s">
        <v>45</v>
      </c>
    </row>
    <row r="9729" spans="1:3" x14ac:dyDescent="0.35">
      <c r="A9729" s="141" t="s">
        <v>1114</v>
      </c>
      <c r="B9729" s="141" t="s">
        <v>264</v>
      </c>
      <c r="C9729" s="141" t="s">
        <v>45</v>
      </c>
    </row>
    <row r="9730" spans="1:3" x14ac:dyDescent="0.35">
      <c r="A9730" s="141" t="s">
        <v>1114</v>
      </c>
      <c r="B9730" s="141" t="s">
        <v>265</v>
      </c>
      <c r="C9730" s="141" t="s">
        <v>45</v>
      </c>
    </row>
    <row r="9731" spans="1:3" x14ac:dyDescent="0.35">
      <c r="A9731" s="141" t="s">
        <v>1114</v>
      </c>
      <c r="B9731" s="141" t="s">
        <v>266</v>
      </c>
      <c r="C9731" s="141" t="s">
        <v>45</v>
      </c>
    </row>
    <row r="9732" spans="1:3" x14ac:dyDescent="0.35">
      <c r="A9732" s="141" t="s">
        <v>1114</v>
      </c>
      <c r="B9732" s="141" t="s">
        <v>267</v>
      </c>
      <c r="C9732" s="141" t="s">
        <v>45</v>
      </c>
    </row>
    <row r="9733" spans="1:3" x14ac:dyDescent="0.35">
      <c r="A9733" s="141" t="s">
        <v>1114</v>
      </c>
      <c r="B9733" s="141" t="s">
        <v>268</v>
      </c>
      <c r="C9733" s="141" t="s">
        <v>45</v>
      </c>
    </row>
    <row r="9734" spans="1:3" x14ac:dyDescent="0.35">
      <c r="A9734" s="141" t="s">
        <v>1114</v>
      </c>
      <c r="B9734" s="141" t="s">
        <v>269</v>
      </c>
      <c r="C9734" s="141" t="s">
        <v>45</v>
      </c>
    </row>
    <row r="9735" spans="1:3" x14ac:dyDescent="0.35">
      <c r="A9735" s="141" t="s">
        <v>1114</v>
      </c>
      <c r="B9735" s="141" t="s">
        <v>270</v>
      </c>
      <c r="C9735" s="141" t="s">
        <v>45</v>
      </c>
    </row>
    <row r="9736" spans="1:3" x14ac:dyDescent="0.35">
      <c r="A9736" s="141" t="s">
        <v>1114</v>
      </c>
      <c r="B9736" s="141" t="s">
        <v>272</v>
      </c>
      <c r="C9736" s="141" t="s">
        <v>45</v>
      </c>
    </row>
    <row r="9737" spans="1:3" x14ac:dyDescent="0.35">
      <c r="A9737" s="141" t="s">
        <v>1114</v>
      </c>
      <c r="B9737" s="141" t="s">
        <v>273</v>
      </c>
      <c r="C9737" s="141" t="s">
        <v>45</v>
      </c>
    </row>
    <row r="9738" spans="1:3" x14ac:dyDescent="0.35">
      <c r="A9738" s="141" t="s">
        <v>1114</v>
      </c>
      <c r="B9738" s="141" t="s">
        <v>274</v>
      </c>
      <c r="C9738" s="141" t="s">
        <v>45</v>
      </c>
    </row>
    <row r="9739" spans="1:3" x14ac:dyDescent="0.35">
      <c r="A9739" s="141" t="s">
        <v>1114</v>
      </c>
      <c r="B9739" s="141" t="s">
        <v>275</v>
      </c>
      <c r="C9739" s="141" t="s">
        <v>45</v>
      </c>
    </row>
    <row r="9740" spans="1:3" x14ac:dyDescent="0.35">
      <c r="A9740" s="141" t="s">
        <v>1114</v>
      </c>
      <c r="B9740" s="141" t="s">
        <v>342</v>
      </c>
      <c r="C9740" s="141" t="s">
        <v>45</v>
      </c>
    </row>
    <row r="9741" spans="1:3" x14ac:dyDescent="0.35">
      <c r="A9741" s="141" t="s">
        <v>1114</v>
      </c>
      <c r="B9741" s="141" t="s">
        <v>341</v>
      </c>
      <c r="C9741" s="141" t="s">
        <v>45</v>
      </c>
    </row>
    <row r="9742" spans="1:3" x14ac:dyDescent="0.35">
      <c r="A9742" s="141" t="s">
        <v>1114</v>
      </c>
      <c r="B9742" s="141" t="s">
        <v>340</v>
      </c>
      <c r="C9742" s="141" t="s">
        <v>45</v>
      </c>
    </row>
    <row r="9743" spans="1:3" x14ac:dyDescent="0.35">
      <c r="A9743" s="141" t="s">
        <v>1114</v>
      </c>
      <c r="B9743" s="141" t="s">
        <v>339</v>
      </c>
      <c r="C9743" s="141" t="s">
        <v>45</v>
      </c>
    </row>
    <row r="9744" spans="1:3" x14ac:dyDescent="0.35">
      <c r="A9744" s="141" t="s">
        <v>1114</v>
      </c>
      <c r="B9744" s="141" t="s">
        <v>1051</v>
      </c>
      <c r="C9744" s="141" t="s">
        <v>45</v>
      </c>
    </row>
    <row r="9745" spans="1:3" x14ac:dyDescent="0.35">
      <c r="A9745" s="141" t="s">
        <v>1114</v>
      </c>
      <c r="B9745" s="141" t="s">
        <v>1059</v>
      </c>
      <c r="C9745" s="141" t="s">
        <v>45</v>
      </c>
    </row>
    <row r="9746" spans="1:3" x14ac:dyDescent="0.35">
      <c r="A9746" s="141" t="s">
        <v>1114</v>
      </c>
      <c r="B9746" s="141" t="s">
        <v>1109</v>
      </c>
      <c r="C9746" s="141" t="s">
        <v>45</v>
      </c>
    </row>
    <row r="9747" spans="1:3" x14ac:dyDescent="0.35">
      <c r="A9747" s="141" t="s">
        <v>1114</v>
      </c>
      <c r="B9747" s="141" t="s">
        <v>1111</v>
      </c>
      <c r="C9747" s="141" t="s">
        <v>45</v>
      </c>
    </row>
    <row r="9748" spans="1:3" x14ac:dyDescent="0.35">
      <c r="A9748" s="141" t="s">
        <v>1114</v>
      </c>
      <c r="B9748" s="141" t="s">
        <v>1112</v>
      </c>
      <c r="C9748" s="141" t="s">
        <v>45</v>
      </c>
    </row>
    <row r="9749" spans="1:3" x14ac:dyDescent="0.35">
      <c r="A9749" s="141" t="s">
        <v>1115</v>
      </c>
      <c r="B9749" s="141" t="s">
        <v>289</v>
      </c>
      <c r="C9749" s="141" t="s">
        <v>45</v>
      </c>
    </row>
    <row r="9750" spans="1:3" x14ac:dyDescent="0.35">
      <c r="A9750" s="141" t="s">
        <v>1115</v>
      </c>
      <c r="B9750" s="141" t="s">
        <v>279</v>
      </c>
      <c r="C9750" s="141" t="s">
        <v>45</v>
      </c>
    </row>
    <row r="9751" spans="1:3" x14ac:dyDescent="0.35">
      <c r="A9751" s="141" t="s">
        <v>1115</v>
      </c>
      <c r="B9751" s="141" t="s">
        <v>280</v>
      </c>
      <c r="C9751" s="141" t="s">
        <v>45</v>
      </c>
    </row>
    <row r="9752" spans="1:3" x14ac:dyDescent="0.35">
      <c r="A9752" s="141" t="s">
        <v>1115</v>
      </c>
      <c r="B9752" s="141" t="s">
        <v>281</v>
      </c>
      <c r="C9752" s="141" t="s">
        <v>45</v>
      </c>
    </row>
    <row r="9753" spans="1:3" x14ac:dyDescent="0.35">
      <c r="A9753" s="141" t="s">
        <v>1115</v>
      </c>
      <c r="B9753" s="141" t="s">
        <v>282</v>
      </c>
      <c r="C9753" s="141" t="s">
        <v>45</v>
      </c>
    </row>
    <row r="9754" spans="1:3" x14ac:dyDescent="0.35">
      <c r="A9754" s="141" t="s">
        <v>1115</v>
      </c>
      <c r="B9754" s="141" t="s">
        <v>263</v>
      </c>
      <c r="C9754" s="141" t="s">
        <v>45</v>
      </c>
    </row>
    <row r="9755" spans="1:3" x14ac:dyDescent="0.35">
      <c r="A9755" s="141" t="s">
        <v>1115</v>
      </c>
      <c r="B9755" s="141" t="s">
        <v>264</v>
      </c>
      <c r="C9755" s="141" t="s">
        <v>45</v>
      </c>
    </row>
    <row r="9756" spans="1:3" x14ac:dyDescent="0.35">
      <c r="A9756" s="141" t="s">
        <v>1115</v>
      </c>
      <c r="B9756" s="141" t="s">
        <v>265</v>
      </c>
      <c r="C9756" s="141" t="s">
        <v>45</v>
      </c>
    </row>
    <row r="9757" spans="1:3" x14ac:dyDescent="0.35">
      <c r="A9757" s="141" t="s">
        <v>1115</v>
      </c>
      <c r="B9757" s="141" t="s">
        <v>266</v>
      </c>
      <c r="C9757" s="141" t="s">
        <v>45</v>
      </c>
    </row>
    <row r="9758" spans="1:3" x14ac:dyDescent="0.35">
      <c r="A9758" s="141" t="s">
        <v>1115</v>
      </c>
      <c r="B9758" s="141" t="s">
        <v>267</v>
      </c>
      <c r="C9758" s="141" t="s">
        <v>45</v>
      </c>
    </row>
    <row r="9759" spans="1:3" x14ac:dyDescent="0.35">
      <c r="A9759" s="141" t="s">
        <v>1115</v>
      </c>
      <c r="B9759" s="141" t="s">
        <v>268</v>
      </c>
      <c r="C9759" s="141" t="s">
        <v>45</v>
      </c>
    </row>
    <row r="9760" spans="1:3" x14ac:dyDescent="0.35">
      <c r="A9760" s="141" t="s">
        <v>1115</v>
      </c>
      <c r="B9760" s="141" t="s">
        <v>269</v>
      </c>
      <c r="C9760" s="141" t="s">
        <v>45</v>
      </c>
    </row>
    <row r="9761" spans="1:3" x14ac:dyDescent="0.35">
      <c r="A9761" s="141" t="s">
        <v>1115</v>
      </c>
      <c r="B9761" s="141" t="s">
        <v>270</v>
      </c>
      <c r="C9761" s="141" t="s">
        <v>45</v>
      </c>
    </row>
    <row r="9762" spans="1:3" x14ac:dyDescent="0.35">
      <c r="A9762" s="141" t="s">
        <v>1115</v>
      </c>
      <c r="B9762" s="141" t="s">
        <v>272</v>
      </c>
      <c r="C9762" s="141" t="s">
        <v>45</v>
      </c>
    </row>
    <row r="9763" spans="1:3" x14ac:dyDescent="0.35">
      <c r="A9763" s="141" t="s">
        <v>1115</v>
      </c>
      <c r="B9763" s="141" t="s">
        <v>273</v>
      </c>
      <c r="C9763" s="141" t="s">
        <v>45</v>
      </c>
    </row>
    <row r="9764" spans="1:3" x14ac:dyDescent="0.35">
      <c r="A9764" s="141" t="s">
        <v>1115</v>
      </c>
      <c r="B9764" s="141" t="s">
        <v>274</v>
      </c>
      <c r="C9764" s="141" t="s">
        <v>45</v>
      </c>
    </row>
    <row r="9765" spans="1:3" x14ac:dyDescent="0.35">
      <c r="A9765" s="141" t="s">
        <v>1115</v>
      </c>
      <c r="B9765" s="141" t="s">
        <v>275</v>
      </c>
      <c r="C9765" s="141" t="s">
        <v>45</v>
      </c>
    </row>
    <row r="9766" spans="1:3" x14ac:dyDescent="0.35">
      <c r="A9766" s="141" t="s">
        <v>1115</v>
      </c>
      <c r="B9766" s="141" t="s">
        <v>342</v>
      </c>
      <c r="C9766" s="141" t="s">
        <v>45</v>
      </c>
    </row>
    <row r="9767" spans="1:3" x14ac:dyDescent="0.35">
      <c r="A9767" s="141" t="s">
        <v>1115</v>
      </c>
      <c r="B9767" s="141" t="s">
        <v>341</v>
      </c>
      <c r="C9767" s="141" t="s">
        <v>45</v>
      </c>
    </row>
    <row r="9768" spans="1:3" x14ac:dyDescent="0.35">
      <c r="A9768" s="141" t="s">
        <v>1115</v>
      </c>
      <c r="B9768" s="141" t="s">
        <v>340</v>
      </c>
      <c r="C9768" s="141" t="s">
        <v>45</v>
      </c>
    </row>
    <row r="9769" spans="1:3" x14ac:dyDescent="0.35">
      <c r="A9769" s="141" t="s">
        <v>1115</v>
      </c>
      <c r="B9769" s="141" t="s">
        <v>339</v>
      </c>
      <c r="C9769" s="141" t="s">
        <v>45</v>
      </c>
    </row>
    <row r="9770" spans="1:3" x14ac:dyDescent="0.35">
      <c r="A9770" s="141" t="s">
        <v>1115</v>
      </c>
      <c r="B9770" s="141" t="s">
        <v>1051</v>
      </c>
      <c r="C9770" s="141" t="s">
        <v>45</v>
      </c>
    </row>
    <row r="9771" spans="1:3" x14ac:dyDescent="0.35">
      <c r="A9771" s="141" t="s">
        <v>1115</v>
      </c>
      <c r="B9771" s="141" t="s">
        <v>1059</v>
      </c>
      <c r="C9771" s="141" t="s">
        <v>45</v>
      </c>
    </row>
    <row r="9772" spans="1:3" x14ac:dyDescent="0.35">
      <c r="A9772" s="141" t="s">
        <v>1115</v>
      </c>
      <c r="B9772" s="141" t="s">
        <v>1109</v>
      </c>
      <c r="C9772" s="141" t="s">
        <v>45</v>
      </c>
    </row>
    <row r="9773" spans="1:3" x14ac:dyDescent="0.35">
      <c r="A9773" s="141" t="s">
        <v>1115</v>
      </c>
      <c r="B9773" s="141" t="s">
        <v>1111</v>
      </c>
      <c r="C9773" s="141" t="s">
        <v>45</v>
      </c>
    </row>
    <row r="9774" spans="1:3" x14ac:dyDescent="0.35">
      <c r="A9774" s="141" t="s">
        <v>1115</v>
      </c>
      <c r="B9774" s="141" t="s">
        <v>1112</v>
      </c>
      <c r="C9774" s="141" t="s">
        <v>45</v>
      </c>
    </row>
    <row r="9775" spans="1:3" x14ac:dyDescent="0.35">
      <c r="A9775" s="141" t="s">
        <v>1116</v>
      </c>
      <c r="B9775" s="141" t="s">
        <v>289</v>
      </c>
      <c r="C9775" s="141" t="s">
        <v>16</v>
      </c>
    </row>
    <row r="9776" spans="1:3" x14ac:dyDescent="0.35">
      <c r="A9776" s="141" t="s">
        <v>1116</v>
      </c>
      <c r="B9776" s="141" t="s">
        <v>279</v>
      </c>
      <c r="C9776" s="141" t="s">
        <v>16</v>
      </c>
    </row>
    <row r="9777" spans="1:3" x14ac:dyDescent="0.35">
      <c r="A9777" s="141" t="s">
        <v>1116</v>
      </c>
      <c r="B9777" s="141" t="s">
        <v>280</v>
      </c>
      <c r="C9777" s="141" t="s">
        <v>16</v>
      </c>
    </row>
    <row r="9778" spans="1:3" x14ac:dyDescent="0.35">
      <c r="A9778" s="141" t="s">
        <v>1116</v>
      </c>
      <c r="B9778" s="141" t="s">
        <v>281</v>
      </c>
      <c r="C9778" s="141" t="s">
        <v>16</v>
      </c>
    </row>
    <row r="9779" spans="1:3" x14ac:dyDescent="0.35">
      <c r="A9779" s="141" t="s">
        <v>1116</v>
      </c>
      <c r="B9779" s="141" t="s">
        <v>282</v>
      </c>
      <c r="C9779" s="141" t="s">
        <v>16</v>
      </c>
    </row>
    <row r="9780" spans="1:3" x14ac:dyDescent="0.35">
      <c r="A9780" s="141" t="s">
        <v>1116</v>
      </c>
      <c r="B9780" s="141" t="s">
        <v>263</v>
      </c>
      <c r="C9780" s="141" t="s">
        <v>16</v>
      </c>
    </row>
    <row r="9781" spans="1:3" x14ac:dyDescent="0.35">
      <c r="A9781" s="141" t="s">
        <v>1116</v>
      </c>
      <c r="B9781" s="141" t="s">
        <v>264</v>
      </c>
      <c r="C9781" s="141" t="s">
        <v>16</v>
      </c>
    </row>
    <row r="9782" spans="1:3" x14ac:dyDescent="0.35">
      <c r="A9782" s="141" t="s">
        <v>1116</v>
      </c>
      <c r="B9782" s="141" t="s">
        <v>265</v>
      </c>
      <c r="C9782" s="141" t="s">
        <v>16</v>
      </c>
    </row>
    <row r="9783" spans="1:3" x14ac:dyDescent="0.35">
      <c r="A9783" s="141" t="s">
        <v>1116</v>
      </c>
      <c r="B9783" s="141" t="s">
        <v>266</v>
      </c>
      <c r="C9783" s="141" t="s">
        <v>16</v>
      </c>
    </row>
    <row r="9784" spans="1:3" x14ac:dyDescent="0.35">
      <c r="A9784" s="141" t="s">
        <v>1116</v>
      </c>
      <c r="B9784" s="141" t="s">
        <v>267</v>
      </c>
      <c r="C9784" s="141" t="s">
        <v>16</v>
      </c>
    </row>
    <row r="9785" spans="1:3" x14ac:dyDescent="0.35">
      <c r="A9785" s="141" t="s">
        <v>1116</v>
      </c>
      <c r="B9785" s="141" t="s">
        <v>268</v>
      </c>
      <c r="C9785" s="141" t="s">
        <v>16</v>
      </c>
    </row>
    <row r="9786" spans="1:3" x14ac:dyDescent="0.35">
      <c r="A9786" s="141" t="s">
        <v>1116</v>
      </c>
      <c r="B9786" s="141" t="s">
        <v>269</v>
      </c>
      <c r="C9786" s="141" t="s">
        <v>16</v>
      </c>
    </row>
    <row r="9787" spans="1:3" x14ac:dyDescent="0.35">
      <c r="A9787" s="141" t="s">
        <v>1116</v>
      </c>
      <c r="B9787" s="141" t="s">
        <v>270</v>
      </c>
      <c r="C9787" s="141" t="s">
        <v>16</v>
      </c>
    </row>
    <row r="9788" spans="1:3" x14ac:dyDescent="0.35">
      <c r="A9788" s="141" t="s">
        <v>1116</v>
      </c>
      <c r="B9788" s="141" t="s">
        <v>272</v>
      </c>
      <c r="C9788" s="141" t="s">
        <v>16</v>
      </c>
    </row>
    <row r="9789" spans="1:3" x14ac:dyDescent="0.35">
      <c r="A9789" s="141" t="s">
        <v>1116</v>
      </c>
      <c r="B9789" s="141" t="s">
        <v>273</v>
      </c>
      <c r="C9789" s="141" t="s">
        <v>16</v>
      </c>
    </row>
    <row r="9790" spans="1:3" x14ac:dyDescent="0.35">
      <c r="A9790" s="141" t="s">
        <v>1116</v>
      </c>
      <c r="B9790" s="141" t="s">
        <v>274</v>
      </c>
      <c r="C9790" s="141" t="s">
        <v>16</v>
      </c>
    </row>
    <row r="9791" spans="1:3" x14ac:dyDescent="0.35">
      <c r="A9791" s="141" t="s">
        <v>1116</v>
      </c>
      <c r="B9791" s="141" t="s">
        <v>275</v>
      </c>
      <c r="C9791" s="141" t="s">
        <v>16</v>
      </c>
    </row>
    <row r="9792" spans="1:3" x14ac:dyDescent="0.35">
      <c r="A9792" s="141" t="s">
        <v>1116</v>
      </c>
      <c r="B9792" s="141" t="s">
        <v>342</v>
      </c>
      <c r="C9792" s="141" t="s">
        <v>16</v>
      </c>
    </row>
    <row r="9793" spans="1:3" x14ac:dyDescent="0.35">
      <c r="A9793" s="141" t="s">
        <v>1116</v>
      </c>
      <c r="B9793" s="141" t="s">
        <v>341</v>
      </c>
      <c r="C9793" s="141" t="s">
        <v>16</v>
      </c>
    </row>
    <row r="9794" spans="1:3" x14ac:dyDescent="0.35">
      <c r="A9794" s="141" t="s">
        <v>1116</v>
      </c>
      <c r="B9794" s="141" t="s">
        <v>340</v>
      </c>
      <c r="C9794" s="141" t="s">
        <v>16</v>
      </c>
    </row>
    <row r="9795" spans="1:3" x14ac:dyDescent="0.35">
      <c r="A9795" s="141" t="s">
        <v>1116</v>
      </c>
      <c r="B9795" s="141" t="s">
        <v>339</v>
      </c>
      <c r="C9795" s="141" t="s">
        <v>16</v>
      </c>
    </row>
    <row r="9796" spans="1:3" x14ac:dyDescent="0.35">
      <c r="A9796" s="141" t="s">
        <v>1116</v>
      </c>
      <c r="B9796" s="141" t="s">
        <v>1051</v>
      </c>
      <c r="C9796" s="141" t="s">
        <v>16</v>
      </c>
    </row>
    <row r="9797" spans="1:3" x14ac:dyDescent="0.35">
      <c r="A9797" s="141" t="s">
        <v>1116</v>
      </c>
      <c r="B9797" s="141" t="s">
        <v>1059</v>
      </c>
      <c r="C9797" s="141" t="s">
        <v>16</v>
      </c>
    </row>
    <row r="9798" spans="1:3" x14ac:dyDescent="0.35">
      <c r="A9798" s="141" t="s">
        <v>1116</v>
      </c>
      <c r="B9798" s="141" t="s">
        <v>1109</v>
      </c>
      <c r="C9798" s="141" t="s">
        <v>16</v>
      </c>
    </row>
    <row r="9799" spans="1:3" x14ac:dyDescent="0.35">
      <c r="A9799" s="141" t="s">
        <v>1116</v>
      </c>
      <c r="B9799" s="141" t="s">
        <v>1111</v>
      </c>
      <c r="C9799" s="141" t="s">
        <v>16</v>
      </c>
    </row>
    <row r="9800" spans="1:3" x14ac:dyDescent="0.35">
      <c r="A9800" s="141" t="s">
        <v>1116</v>
      </c>
      <c r="B9800" s="141" t="s">
        <v>1112</v>
      </c>
      <c r="C9800" s="141" t="s">
        <v>16</v>
      </c>
    </row>
    <row r="9801" spans="1:3" x14ac:dyDescent="0.35">
      <c r="A9801" s="141" t="s">
        <v>1117</v>
      </c>
      <c r="B9801" s="141" t="s">
        <v>289</v>
      </c>
      <c r="C9801" s="141" t="s">
        <v>16</v>
      </c>
    </row>
    <row r="9802" spans="1:3" x14ac:dyDescent="0.35">
      <c r="A9802" s="141" t="s">
        <v>1117</v>
      </c>
      <c r="B9802" s="141" t="s">
        <v>279</v>
      </c>
      <c r="C9802" s="141" t="s">
        <v>16</v>
      </c>
    </row>
    <row r="9803" spans="1:3" x14ac:dyDescent="0.35">
      <c r="A9803" s="141" t="s">
        <v>1117</v>
      </c>
      <c r="B9803" s="141" t="s">
        <v>280</v>
      </c>
      <c r="C9803" s="141" t="s">
        <v>16</v>
      </c>
    </row>
    <row r="9804" spans="1:3" x14ac:dyDescent="0.35">
      <c r="A9804" s="141" t="s">
        <v>1117</v>
      </c>
      <c r="B9804" s="141" t="s">
        <v>281</v>
      </c>
      <c r="C9804" s="141" t="s">
        <v>16</v>
      </c>
    </row>
    <row r="9805" spans="1:3" x14ac:dyDescent="0.35">
      <c r="A9805" s="141" t="s">
        <v>1117</v>
      </c>
      <c r="B9805" s="141" t="s">
        <v>282</v>
      </c>
      <c r="C9805" s="141" t="s">
        <v>16</v>
      </c>
    </row>
    <row r="9806" spans="1:3" x14ac:dyDescent="0.35">
      <c r="A9806" s="141" t="s">
        <v>1117</v>
      </c>
      <c r="B9806" s="141" t="s">
        <v>263</v>
      </c>
      <c r="C9806" s="141" t="s">
        <v>16</v>
      </c>
    </row>
    <row r="9807" spans="1:3" x14ac:dyDescent="0.35">
      <c r="A9807" s="141" t="s">
        <v>1117</v>
      </c>
      <c r="B9807" s="141" t="s">
        <v>264</v>
      </c>
      <c r="C9807" s="141" t="s">
        <v>16</v>
      </c>
    </row>
    <row r="9808" spans="1:3" x14ac:dyDescent="0.35">
      <c r="A9808" s="141" t="s">
        <v>1117</v>
      </c>
      <c r="B9808" s="141" t="s">
        <v>265</v>
      </c>
      <c r="C9808" s="141" t="s">
        <v>16</v>
      </c>
    </row>
    <row r="9809" spans="1:3" x14ac:dyDescent="0.35">
      <c r="A9809" s="141" t="s">
        <v>1117</v>
      </c>
      <c r="B9809" s="141" t="s">
        <v>266</v>
      </c>
      <c r="C9809" s="141" t="s">
        <v>16</v>
      </c>
    </row>
    <row r="9810" spans="1:3" x14ac:dyDescent="0.35">
      <c r="A9810" s="141" t="s">
        <v>1117</v>
      </c>
      <c r="B9810" s="141" t="s">
        <v>267</v>
      </c>
      <c r="C9810" s="141" t="s">
        <v>16</v>
      </c>
    </row>
    <row r="9811" spans="1:3" x14ac:dyDescent="0.35">
      <c r="A9811" s="141" t="s">
        <v>1117</v>
      </c>
      <c r="B9811" s="141" t="s">
        <v>268</v>
      </c>
      <c r="C9811" s="141" t="s">
        <v>16</v>
      </c>
    </row>
    <row r="9812" spans="1:3" x14ac:dyDescent="0.35">
      <c r="A9812" s="141" t="s">
        <v>1117</v>
      </c>
      <c r="B9812" s="141" t="s">
        <v>269</v>
      </c>
      <c r="C9812" s="141" t="s">
        <v>16</v>
      </c>
    </row>
    <row r="9813" spans="1:3" x14ac:dyDescent="0.35">
      <c r="A9813" s="141" t="s">
        <v>1117</v>
      </c>
      <c r="B9813" s="141" t="s">
        <v>270</v>
      </c>
      <c r="C9813" s="141" t="s">
        <v>16</v>
      </c>
    </row>
    <row r="9814" spans="1:3" x14ac:dyDescent="0.35">
      <c r="A9814" s="141" t="s">
        <v>1117</v>
      </c>
      <c r="B9814" s="141" t="s">
        <v>272</v>
      </c>
      <c r="C9814" s="141" t="s">
        <v>16</v>
      </c>
    </row>
    <row r="9815" spans="1:3" x14ac:dyDescent="0.35">
      <c r="A9815" s="141" t="s">
        <v>1117</v>
      </c>
      <c r="B9815" s="141" t="s">
        <v>273</v>
      </c>
      <c r="C9815" s="141" t="s">
        <v>16</v>
      </c>
    </row>
    <row r="9816" spans="1:3" x14ac:dyDescent="0.35">
      <c r="A9816" s="141" t="s">
        <v>1117</v>
      </c>
      <c r="B9816" s="141" t="s">
        <v>274</v>
      </c>
      <c r="C9816" s="141" t="s">
        <v>16</v>
      </c>
    </row>
    <row r="9817" spans="1:3" x14ac:dyDescent="0.35">
      <c r="A9817" s="141" t="s">
        <v>1117</v>
      </c>
      <c r="B9817" s="141" t="s">
        <v>275</v>
      </c>
      <c r="C9817" s="141" t="s">
        <v>16</v>
      </c>
    </row>
    <row r="9818" spans="1:3" x14ac:dyDescent="0.35">
      <c r="A9818" s="141" t="s">
        <v>1117</v>
      </c>
      <c r="B9818" s="141" t="s">
        <v>342</v>
      </c>
      <c r="C9818" s="141" t="s">
        <v>16</v>
      </c>
    </row>
    <row r="9819" spans="1:3" x14ac:dyDescent="0.35">
      <c r="A9819" s="141" t="s">
        <v>1117</v>
      </c>
      <c r="B9819" s="141" t="s">
        <v>341</v>
      </c>
      <c r="C9819" s="141" t="s">
        <v>16</v>
      </c>
    </row>
    <row r="9820" spans="1:3" x14ac:dyDescent="0.35">
      <c r="A9820" s="141" t="s">
        <v>1117</v>
      </c>
      <c r="B9820" s="141" t="s">
        <v>340</v>
      </c>
      <c r="C9820" s="141" t="s">
        <v>16</v>
      </c>
    </row>
    <row r="9821" spans="1:3" x14ac:dyDescent="0.35">
      <c r="A9821" s="141" t="s">
        <v>1117</v>
      </c>
      <c r="B9821" s="141" t="s">
        <v>339</v>
      </c>
      <c r="C9821" s="141" t="s">
        <v>16</v>
      </c>
    </row>
    <row r="9822" spans="1:3" x14ac:dyDescent="0.35">
      <c r="A9822" s="141" t="s">
        <v>1117</v>
      </c>
      <c r="B9822" s="141" t="s">
        <v>1051</v>
      </c>
      <c r="C9822" s="141" t="s">
        <v>16</v>
      </c>
    </row>
    <row r="9823" spans="1:3" x14ac:dyDescent="0.35">
      <c r="A9823" s="141" t="s">
        <v>1117</v>
      </c>
      <c r="B9823" s="141" t="s">
        <v>1059</v>
      </c>
      <c r="C9823" s="141" t="s">
        <v>16</v>
      </c>
    </row>
    <row r="9824" spans="1:3" x14ac:dyDescent="0.35">
      <c r="A9824" s="141" t="s">
        <v>1117</v>
      </c>
      <c r="B9824" s="141" t="s">
        <v>1109</v>
      </c>
      <c r="C9824" s="141" t="s">
        <v>16</v>
      </c>
    </row>
    <row r="9825" spans="1:3" x14ac:dyDescent="0.35">
      <c r="A9825" s="141" t="s">
        <v>1117</v>
      </c>
      <c r="B9825" s="141" t="s">
        <v>1111</v>
      </c>
      <c r="C9825" s="141" t="s">
        <v>16</v>
      </c>
    </row>
    <row r="9826" spans="1:3" x14ac:dyDescent="0.35">
      <c r="A9826" s="141" t="s">
        <v>1117</v>
      </c>
      <c r="B9826" s="141" t="s">
        <v>1112</v>
      </c>
      <c r="C9826" s="141" t="s">
        <v>16</v>
      </c>
    </row>
    <row r="9827" spans="1:3" x14ac:dyDescent="0.35">
      <c r="A9827" s="141" t="s">
        <v>1118</v>
      </c>
      <c r="B9827" s="141" t="s">
        <v>289</v>
      </c>
      <c r="C9827" s="141" t="s">
        <v>16</v>
      </c>
    </row>
    <row r="9828" spans="1:3" x14ac:dyDescent="0.35">
      <c r="A9828" s="141" t="s">
        <v>1118</v>
      </c>
      <c r="B9828" s="141" t="s">
        <v>279</v>
      </c>
      <c r="C9828" s="141" t="s">
        <v>16</v>
      </c>
    </row>
    <row r="9829" spans="1:3" x14ac:dyDescent="0.35">
      <c r="A9829" s="141" t="s">
        <v>1118</v>
      </c>
      <c r="B9829" s="141" t="s">
        <v>280</v>
      </c>
      <c r="C9829" s="141" t="s">
        <v>16</v>
      </c>
    </row>
    <row r="9830" spans="1:3" x14ac:dyDescent="0.35">
      <c r="A9830" s="141" t="s">
        <v>1118</v>
      </c>
      <c r="B9830" s="141" t="s">
        <v>281</v>
      </c>
      <c r="C9830" s="141" t="s">
        <v>16</v>
      </c>
    </row>
    <row r="9831" spans="1:3" x14ac:dyDescent="0.35">
      <c r="A9831" s="141" t="s">
        <v>1118</v>
      </c>
      <c r="B9831" s="141" t="s">
        <v>282</v>
      </c>
      <c r="C9831" s="141" t="s">
        <v>16</v>
      </c>
    </row>
    <row r="9832" spans="1:3" x14ac:dyDescent="0.35">
      <c r="A9832" s="141" t="s">
        <v>1118</v>
      </c>
      <c r="B9832" s="141" t="s">
        <v>263</v>
      </c>
      <c r="C9832" s="141" t="s">
        <v>16</v>
      </c>
    </row>
    <row r="9833" spans="1:3" x14ac:dyDescent="0.35">
      <c r="A9833" s="141" t="s">
        <v>1118</v>
      </c>
      <c r="B9833" s="141" t="s">
        <v>264</v>
      </c>
      <c r="C9833" s="141" t="s">
        <v>16</v>
      </c>
    </row>
    <row r="9834" spans="1:3" x14ac:dyDescent="0.35">
      <c r="A9834" s="141" t="s">
        <v>1118</v>
      </c>
      <c r="B9834" s="141" t="s">
        <v>265</v>
      </c>
      <c r="C9834" s="141" t="s">
        <v>16</v>
      </c>
    </row>
    <row r="9835" spans="1:3" x14ac:dyDescent="0.35">
      <c r="A9835" s="141" t="s">
        <v>1118</v>
      </c>
      <c r="B9835" s="141" t="s">
        <v>266</v>
      </c>
      <c r="C9835" s="141" t="s">
        <v>16</v>
      </c>
    </row>
    <row r="9836" spans="1:3" x14ac:dyDescent="0.35">
      <c r="A9836" s="141" t="s">
        <v>1118</v>
      </c>
      <c r="B9836" s="141" t="s">
        <v>267</v>
      </c>
      <c r="C9836" s="141" t="s">
        <v>16</v>
      </c>
    </row>
    <row r="9837" spans="1:3" x14ac:dyDescent="0.35">
      <c r="A9837" s="141" t="s">
        <v>1118</v>
      </c>
      <c r="B9837" s="141" t="s">
        <v>268</v>
      </c>
      <c r="C9837" s="141" t="s">
        <v>16</v>
      </c>
    </row>
    <row r="9838" spans="1:3" x14ac:dyDescent="0.35">
      <c r="A9838" s="141" t="s">
        <v>1118</v>
      </c>
      <c r="B9838" s="141" t="s">
        <v>269</v>
      </c>
      <c r="C9838" s="141" t="s">
        <v>16</v>
      </c>
    </row>
    <row r="9839" spans="1:3" x14ac:dyDescent="0.35">
      <c r="A9839" s="141" t="s">
        <v>1118</v>
      </c>
      <c r="B9839" s="141" t="s">
        <v>270</v>
      </c>
      <c r="C9839" s="141" t="s">
        <v>16</v>
      </c>
    </row>
    <row r="9840" spans="1:3" x14ac:dyDescent="0.35">
      <c r="A9840" s="141" t="s">
        <v>1118</v>
      </c>
      <c r="B9840" s="141" t="s">
        <v>272</v>
      </c>
      <c r="C9840" s="141" t="s">
        <v>16</v>
      </c>
    </row>
    <row r="9841" spans="1:3" x14ac:dyDescent="0.35">
      <c r="A9841" s="141" t="s">
        <v>1118</v>
      </c>
      <c r="B9841" s="141" t="s">
        <v>273</v>
      </c>
      <c r="C9841" s="141" t="s">
        <v>16</v>
      </c>
    </row>
    <row r="9842" spans="1:3" x14ac:dyDescent="0.35">
      <c r="A9842" s="141" t="s">
        <v>1118</v>
      </c>
      <c r="B9842" s="141" t="s">
        <v>274</v>
      </c>
      <c r="C9842" s="141" t="s">
        <v>16</v>
      </c>
    </row>
    <row r="9843" spans="1:3" x14ac:dyDescent="0.35">
      <c r="A9843" s="141" t="s">
        <v>1118</v>
      </c>
      <c r="B9843" s="141" t="s">
        <v>275</v>
      </c>
      <c r="C9843" s="141" t="s">
        <v>16</v>
      </c>
    </row>
    <row r="9844" spans="1:3" x14ac:dyDescent="0.35">
      <c r="A9844" s="141" t="s">
        <v>1118</v>
      </c>
      <c r="B9844" s="141" t="s">
        <v>342</v>
      </c>
      <c r="C9844" s="141" t="s">
        <v>16</v>
      </c>
    </row>
    <row r="9845" spans="1:3" x14ac:dyDescent="0.35">
      <c r="A9845" s="141" t="s">
        <v>1118</v>
      </c>
      <c r="B9845" s="141" t="s">
        <v>341</v>
      </c>
      <c r="C9845" s="141" t="s">
        <v>16</v>
      </c>
    </row>
    <row r="9846" spans="1:3" x14ac:dyDescent="0.35">
      <c r="A9846" s="141" t="s">
        <v>1118</v>
      </c>
      <c r="B9846" s="141" t="s">
        <v>340</v>
      </c>
      <c r="C9846" s="141" t="s">
        <v>16</v>
      </c>
    </row>
    <row r="9847" spans="1:3" x14ac:dyDescent="0.35">
      <c r="A9847" s="141" t="s">
        <v>1118</v>
      </c>
      <c r="B9847" s="141" t="s">
        <v>339</v>
      </c>
      <c r="C9847" s="141" t="s">
        <v>16</v>
      </c>
    </row>
    <row r="9848" spans="1:3" x14ac:dyDescent="0.35">
      <c r="A9848" s="141" t="s">
        <v>1118</v>
      </c>
      <c r="B9848" s="141" t="s">
        <v>1051</v>
      </c>
      <c r="C9848" s="141" t="s">
        <v>16</v>
      </c>
    </row>
    <row r="9849" spans="1:3" x14ac:dyDescent="0.35">
      <c r="A9849" s="141" t="s">
        <v>1118</v>
      </c>
      <c r="B9849" s="141" t="s">
        <v>1059</v>
      </c>
      <c r="C9849" s="141" t="s">
        <v>16</v>
      </c>
    </row>
    <row r="9850" spans="1:3" x14ac:dyDescent="0.35">
      <c r="A9850" s="141" t="s">
        <v>1118</v>
      </c>
      <c r="B9850" s="141" t="s">
        <v>1109</v>
      </c>
      <c r="C9850" s="141" t="s">
        <v>16</v>
      </c>
    </row>
    <row r="9851" spans="1:3" x14ac:dyDescent="0.35">
      <c r="A9851" s="141" t="s">
        <v>1118</v>
      </c>
      <c r="B9851" s="141" t="s">
        <v>1111</v>
      </c>
      <c r="C9851" s="141" t="s">
        <v>16</v>
      </c>
    </row>
    <row r="9852" spans="1:3" x14ac:dyDescent="0.35">
      <c r="A9852" s="141" t="s">
        <v>1118</v>
      </c>
      <c r="B9852" s="141" t="s">
        <v>1112</v>
      </c>
      <c r="C9852" s="141" t="s">
        <v>16</v>
      </c>
    </row>
    <row r="9853" spans="1:3" x14ac:dyDescent="0.35">
      <c r="A9853" s="141" t="s">
        <v>1119</v>
      </c>
      <c r="B9853" s="141" t="s">
        <v>289</v>
      </c>
      <c r="C9853" s="141" t="s">
        <v>24</v>
      </c>
    </row>
    <row r="9854" spans="1:3" x14ac:dyDescent="0.35">
      <c r="A9854" s="141" t="s">
        <v>1119</v>
      </c>
      <c r="B9854" s="141" t="s">
        <v>279</v>
      </c>
      <c r="C9854" s="141" t="s">
        <v>24</v>
      </c>
    </row>
    <row r="9855" spans="1:3" x14ac:dyDescent="0.35">
      <c r="A9855" s="141" t="s">
        <v>1119</v>
      </c>
      <c r="B9855" s="141" t="s">
        <v>280</v>
      </c>
      <c r="C9855" s="141" t="s">
        <v>24</v>
      </c>
    </row>
    <row r="9856" spans="1:3" x14ac:dyDescent="0.35">
      <c r="A9856" s="141" t="s">
        <v>1119</v>
      </c>
      <c r="B9856" s="141" t="s">
        <v>281</v>
      </c>
      <c r="C9856" s="141" t="s">
        <v>24</v>
      </c>
    </row>
    <row r="9857" spans="1:3" x14ac:dyDescent="0.35">
      <c r="A9857" s="141" t="s">
        <v>1119</v>
      </c>
      <c r="B9857" s="141" t="s">
        <v>282</v>
      </c>
      <c r="C9857" s="141" t="s">
        <v>24</v>
      </c>
    </row>
    <row r="9858" spans="1:3" x14ac:dyDescent="0.35">
      <c r="A9858" s="141" t="s">
        <v>1119</v>
      </c>
      <c r="B9858" s="141" t="s">
        <v>263</v>
      </c>
      <c r="C9858" s="141" t="s">
        <v>24</v>
      </c>
    </row>
    <row r="9859" spans="1:3" x14ac:dyDescent="0.35">
      <c r="A9859" s="141" t="s">
        <v>1119</v>
      </c>
      <c r="B9859" s="141" t="s">
        <v>264</v>
      </c>
      <c r="C9859" s="141" t="s">
        <v>24</v>
      </c>
    </row>
    <row r="9860" spans="1:3" x14ac:dyDescent="0.35">
      <c r="A9860" s="141" t="s">
        <v>1119</v>
      </c>
      <c r="B9860" s="141" t="s">
        <v>265</v>
      </c>
      <c r="C9860" s="141" t="s">
        <v>24</v>
      </c>
    </row>
    <row r="9861" spans="1:3" x14ac:dyDescent="0.35">
      <c r="A9861" s="141" t="s">
        <v>1119</v>
      </c>
      <c r="B9861" s="141" t="s">
        <v>266</v>
      </c>
      <c r="C9861" s="141" t="s">
        <v>24</v>
      </c>
    </row>
    <row r="9862" spans="1:3" x14ac:dyDescent="0.35">
      <c r="A9862" s="141" t="s">
        <v>1119</v>
      </c>
      <c r="B9862" s="141" t="s">
        <v>267</v>
      </c>
      <c r="C9862" s="141" t="s">
        <v>24</v>
      </c>
    </row>
    <row r="9863" spans="1:3" x14ac:dyDescent="0.35">
      <c r="A9863" s="141" t="s">
        <v>1119</v>
      </c>
      <c r="B9863" s="141" t="s">
        <v>268</v>
      </c>
      <c r="C9863" s="141" t="s">
        <v>24</v>
      </c>
    </row>
    <row r="9864" spans="1:3" x14ac:dyDescent="0.35">
      <c r="A9864" s="141" t="s">
        <v>1119</v>
      </c>
      <c r="B9864" s="141" t="s">
        <v>269</v>
      </c>
      <c r="C9864" s="141" t="s">
        <v>24</v>
      </c>
    </row>
    <row r="9865" spans="1:3" x14ac:dyDescent="0.35">
      <c r="A9865" s="141" t="s">
        <v>1119</v>
      </c>
      <c r="B9865" s="141" t="s">
        <v>270</v>
      </c>
      <c r="C9865" s="141" t="s">
        <v>24</v>
      </c>
    </row>
    <row r="9866" spans="1:3" x14ac:dyDescent="0.35">
      <c r="A9866" s="141" t="s">
        <v>1119</v>
      </c>
      <c r="B9866" s="141" t="s">
        <v>272</v>
      </c>
      <c r="C9866" s="141" t="s">
        <v>24</v>
      </c>
    </row>
    <row r="9867" spans="1:3" x14ac:dyDescent="0.35">
      <c r="A9867" s="141" t="s">
        <v>1119</v>
      </c>
      <c r="B9867" s="141" t="s">
        <v>273</v>
      </c>
      <c r="C9867" s="141" t="s">
        <v>24</v>
      </c>
    </row>
    <row r="9868" spans="1:3" x14ac:dyDescent="0.35">
      <c r="A9868" s="141" t="s">
        <v>1119</v>
      </c>
      <c r="B9868" s="141" t="s">
        <v>274</v>
      </c>
      <c r="C9868" s="141" t="s">
        <v>24</v>
      </c>
    </row>
    <row r="9869" spans="1:3" x14ac:dyDescent="0.35">
      <c r="A9869" s="141" t="s">
        <v>1119</v>
      </c>
      <c r="B9869" s="141" t="s">
        <v>275</v>
      </c>
      <c r="C9869" s="141" t="s">
        <v>24</v>
      </c>
    </row>
    <row r="9870" spans="1:3" x14ac:dyDescent="0.35">
      <c r="A9870" s="141" t="s">
        <v>1119</v>
      </c>
      <c r="B9870" s="141" t="s">
        <v>342</v>
      </c>
      <c r="C9870" s="141" t="s">
        <v>24</v>
      </c>
    </row>
    <row r="9871" spans="1:3" x14ac:dyDescent="0.35">
      <c r="A9871" s="141" t="s">
        <v>1119</v>
      </c>
      <c r="B9871" s="141" t="s">
        <v>341</v>
      </c>
      <c r="C9871" s="141" t="s">
        <v>24</v>
      </c>
    </row>
    <row r="9872" spans="1:3" x14ac:dyDescent="0.35">
      <c r="A9872" s="141" t="s">
        <v>1119</v>
      </c>
      <c r="B9872" s="141" t="s">
        <v>340</v>
      </c>
      <c r="C9872" s="141" t="s">
        <v>24</v>
      </c>
    </row>
    <row r="9873" spans="1:3" x14ac:dyDescent="0.35">
      <c r="A9873" s="141" t="s">
        <v>1119</v>
      </c>
      <c r="B9873" s="141" t="s">
        <v>339</v>
      </c>
      <c r="C9873" s="141" t="s">
        <v>24</v>
      </c>
    </row>
    <row r="9874" spans="1:3" x14ac:dyDescent="0.35">
      <c r="A9874" s="141" t="s">
        <v>1119</v>
      </c>
      <c r="B9874" s="141" t="s">
        <v>1051</v>
      </c>
      <c r="C9874" s="141" t="s">
        <v>24</v>
      </c>
    </row>
    <row r="9875" spans="1:3" x14ac:dyDescent="0.35">
      <c r="A9875" s="141" t="s">
        <v>1119</v>
      </c>
      <c r="B9875" s="141" t="s">
        <v>1059</v>
      </c>
      <c r="C9875" s="141" t="s">
        <v>24</v>
      </c>
    </row>
    <row r="9876" spans="1:3" x14ac:dyDescent="0.35">
      <c r="A9876" s="141" t="s">
        <v>1119</v>
      </c>
      <c r="B9876" s="141" t="s">
        <v>1109</v>
      </c>
      <c r="C9876" s="141" t="s">
        <v>24</v>
      </c>
    </row>
    <row r="9877" spans="1:3" x14ac:dyDescent="0.35">
      <c r="A9877" s="141" t="s">
        <v>1119</v>
      </c>
      <c r="B9877" s="141" t="s">
        <v>1111</v>
      </c>
      <c r="C9877" s="141" t="s">
        <v>24</v>
      </c>
    </row>
    <row r="9878" spans="1:3" x14ac:dyDescent="0.35">
      <c r="A9878" s="141" t="s">
        <v>1119</v>
      </c>
      <c r="B9878" s="141" t="s">
        <v>1112</v>
      </c>
      <c r="C9878" s="141" t="s">
        <v>24</v>
      </c>
    </row>
    <row r="9879" spans="1:3" x14ac:dyDescent="0.35">
      <c r="A9879" s="141" t="s">
        <v>1120</v>
      </c>
      <c r="B9879" s="141" t="s">
        <v>289</v>
      </c>
      <c r="C9879" s="141" t="s">
        <v>19</v>
      </c>
    </row>
    <row r="9880" spans="1:3" x14ac:dyDescent="0.35">
      <c r="A9880" s="141" t="s">
        <v>1120</v>
      </c>
      <c r="B9880" s="141" t="s">
        <v>279</v>
      </c>
      <c r="C9880" s="141" t="s">
        <v>19</v>
      </c>
    </row>
    <row r="9881" spans="1:3" x14ac:dyDescent="0.35">
      <c r="A9881" s="141" t="s">
        <v>1120</v>
      </c>
      <c r="B9881" s="141" t="s">
        <v>280</v>
      </c>
      <c r="C9881" s="141" t="s">
        <v>19</v>
      </c>
    </row>
    <row r="9882" spans="1:3" x14ac:dyDescent="0.35">
      <c r="A9882" s="141" t="s">
        <v>1120</v>
      </c>
      <c r="B9882" s="141" t="s">
        <v>281</v>
      </c>
      <c r="C9882" s="141" t="s">
        <v>19</v>
      </c>
    </row>
    <row r="9883" spans="1:3" x14ac:dyDescent="0.35">
      <c r="A9883" s="141" t="s">
        <v>1120</v>
      </c>
      <c r="B9883" s="141" t="s">
        <v>282</v>
      </c>
      <c r="C9883" s="141" t="s">
        <v>19</v>
      </c>
    </row>
    <row r="9884" spans="1:3" x14ac:dyDescent="0.35">
      <c r="A9884" s="141" t="s">
        <v>1120</v>
      </c>
      <c r="B9884" s="141" t="s">
        <v>263</v>
      </c>
      <c r="C9884" s="141" t="s">
        <v>19</v>
      </c>
    </row>
    <row r="9885" spans="1:3" x14ac:dyDescent="0.35">
      <c r="A9885" s="141" t="s">
        <v>1120</v>
      </c>
      <c r="B9885" s="141" t="s">
        <v>264</v>
      </c>
      <c r="C9885" s="141" t="s">
        <v>19</v>
      </c>
    </row>
    <row r="9886" spans="1:3" x14ac:dyDescent="0.35">
      <c r="A9886" s="141" t="s">
        <v>1120</v>
      </c>
      <c r="B9886" s="141" t="s">
        <v>265</v>
      </c>
      <c r="C9886" s="141" t="s">
        <v>19</v>
      </c>
    </row>
    <row r="9887" spans="1:3" x14ac:dyDescent="0.35">
      <c r="A9887" s="141" t="s">
        <v>1120</v>
      </c>
      <c r="B9887" s="141" t="s">
        <v>266</v>
      </c>
      <c r="C9887" s="141" t="s">
        <v>19</v>
      </c>
    </row>
    <row r="9888" spans="1:3" x14ac:dyDescent="0.35">
      <c r="A9888" s="141" t="s">
        <v>1120</v>
      </c>
      <c r="B9888" s="141" t="s">
        <v>267</v>
      </c>
      <c r="C9888" s="141" t="s">
        <v>19</v>
      </c>
    </row>
    <row r="9889" spans="1:3" x14ac:dyDescent="0.35">
      <c r="A9889" s="141" t="s">
        <v>1120</v>
      </c>
      <c r="B9889" s="141" t="s">
        <v>268</v>
      </c>
      <c r="C9889" s="141" t="s">
        <v>19</v>
      </c>
    </row>
    <row r="9890" spans="1:3" x14ac:dyDescent="0.35">
      <c r="A9890" s="141" t="s">
        <v>1120</v>
      </c>
      <c r="B9890" s="141" t="s">
        <v>269</v>
      </c>
      <c r="C9890" s="141" t="s">
        <v>19</v>
      </c>
    </row>
    <row r="9891" spans="1:3" x14ac:dyDescent="0.35">
      <c r="A9891" s="141" t="s">
        <v>1120</v>
      </c>
      <c r="B9891" s="141" t="s">
        <v>270</v>
      </c>
      <c r="C9891" s="141" t="s">
        <v>19</v>
      </c>
    </row>
    <row r="9892" spans="1:3" x14ac:dyDescent="0.35">
      <c r="A9892" s="141" t="s">
        <v>1120</v>
      </c>
      <c r="B9892" s="141" t="s">
        <v>272</v>
      </c>
      <c r="C9892" s="141" t="s">
        <v>19</v>
      </c>
    </row>
    <row r="9893" spans="1:3" x14ac:dyDescent="0.35">
      <c r="A9893" s="141" t="s">
        <v>1120</v>
      </c>
      <c r="B9893" s="141" t="s">
        <v>273</v>
      </c>
      <c r="C9893" s="141" t="s">
        <v>19</v>
      </c>
    </row>
    <row r="9894" spans="1:3" x14ac:dyDescent="0.35">
      <c r="A9894" s="141" t="s">
        <v>1120</v>
      </c>
      <c r="B9894" s="141" t="s">
        <v>274</v>
      </c>
      <c r="C9894" s="141" t="s">
        <v>19</v>
      </c>
    </row>
    <row r="9895" spans="1:3" x14ac:dyDescent="0.35">
      <c r="A9895" s="141" t="s">
        <v>1120</v>
      </c>
      <c r="B9895" s="141" t="s">
        <v>275</v>
      </c>
      <c r="C9895" s="141" t="s">
        <v>19</v>
      </c>
    </row>
    <row r="9896" spans="1:3" x14ac:dyDescent="0.35">
      <c r="A9896" s="141" t="s">
        <v>1120</v>
      </c>
      <c r="B9896" s="141" t="s">
        <v>342</v>
      </c>
      <c r="C9896" s="141" t="s">
        <v>19</v>
      </c>
    </row>
    <row r="9897" spans="1:3" x14ac:dyDescent="0.35">
      <c r="A9897" s="141" t="s">
        <v>1120</v>
      </c>
      <c r="B9897" s="141" t="s">
        <v>341</v>
      </c>
      <c r="C9897" s="141" t="s">
        <v>19</v>
      </c>
    </row>
    <row r="9898" spans="1:3" x14ac:dyDescent="0.35">
      <c r="A9898" s="141" t="s">
        <v>1120</v>
      </c>
      <c r="B9898" s="141" t="s">
        <v>340</v>
      </c>
      <c r="C9898" s="141" t="s">
        <v>19</v>
      </c>
    </row>
    <row r="9899" spans="1:3" x14ac:dyDescent="0.35">
      <c r="A9899" s="141" t="s">
        <v>1120</v>
      </c>
      <c r="B9899" s="141" t="s">
        <v>339</v>
      </c>
      <c r="C9899" s="141" t="s">
        <v>19</v>
      </c>
    </row>
    <row r="9900" spans="1:3" x14ac:dyDescent="0.35">
      <c r="A9900" s="141" t="s">
        <v>1120</v>
      </c>
      <c r="B9900" s="141" t="s">
        <v>1051</v>
      </c>
      <c r="C9900" s="141" t="s">
        <v>19</v>
      </c>
    </row>
    <row r="9901" spans="1:3" x14ac:dyDescent="0.35">
      <c r="A9901" s="141" t="s">
        <v>1120</v>
      </c>
      <c r="B9901" s="141" t="s">
        <v>1059</v>
      </c>
      <c r="C9901" s="141" t="s">
        <v>19</v>
      </c>
    </row>
    <row r="9902" spans="1:3" x14ac:dyDescent="0.35">
      <c r="A9902" s="141" t="s">
        <v>1120</v>
      </c>
      <c r="B9902" s="141" t="s">
        <v>1109</v>
      </c>
      <c r="C9902" s="141" t="s">
        <v>19</v>
      </c>
    </row>
    <row r="9903" spans="1:3" x14ac:dyDescent="0.35">
      <c r="A9903" s="141" t="s">
        <v>1120</v>
      </c>
      <c r="B9903" s="141" t="s">
        <v>1111</v>
      </c>
      <c r="C9903" s="141" t="s">
        <v>19</v>
      </c>
    </row>
    <row r="9904" spans="1:3" x14ac:dyDescent="0.35">
      <c r="A9904" s="141" t="s">
        <v>1120</v>
      </c>
      <c r="B9904" s="141" t="s">
        <v>1112</v>
      </c>
      <c r="C9904" s="141" t="s">
        <v>19</v>
      </c>
    </row>
    <row r="9905" spans="1:3" x14ac:dyDescent="0.35">
      <c r="A9905" s="141" t="s">
        <v>1121</v>
      </c>
      <c r="B9905" s="141" t="s">
        <v>289</v>
      </c>
      <c r="C9905" s="141" t="s">
        <v>31</v>
      </c>
    </row>
    <row r="9906" spans="1:3" x14ac:dyDescent="0.35">
      <c r="A9906" s="141" t="s">
        <v>1121</v>
      </c>
      <c r="B9906" s="141" t="s">
        <v>279</v>
      </c>
      <c r="C9906" s="141" t="s">
        <v>31</v>
      </c>
    </row>
    <row r="9907" spans="1:3" x14ac:dyDescent="0.35">
      <c r="A9907" s="141" t="s">
        <v>1121</v>
      </c>
      <c r="B9907" s="141" t="s">
        <v>280</v>
      </c>
      <c r="C9907" s="141" t="s">
        <v>31</v>
      </c>
    </row>
    <row r="9908" spans="1:3" x14ac:dyDescent="0.35">
      <c r="A9908" s="141" t="s">
        <v>1121</v>
      </c>
      <c r="B9908" s="141" t="s">
        <v>281</v>
      </c>
      <c r="C9908" s="141" t="s">
        <v>31</v>
      </c>
    </row>
    <row r="9909" spans="1:3" x14ac:dyDescent="0.35">
      <c r="A9909" s="141" t="s">
        <v>1121</v>
      </c>
      <c r="B9909" s="141" t="s">
        <v>282</v>
      </c>
      <c r="C9909" s="141" t="s">
        <v>31</v>
      </c>
    </row>
    <row r="9910" spans="1:3" x14ac:dyDescent="0.35">
      <c r="A9910" s="141" t="s">
        <v>1121</v>
      </c>
      <c r="B9910" s="141" t="s">
        <v>263</v>
      </c>
      <c r="C9910" s="141" t="s">
        <v>31</v>
      </c>
    </row>
    <row r="9911" spans="1:3" x14ac:dyDescent="0.35">
      <c r="A9911" s="141" t="s">
        <v>1121</v>
      </c>
      <c r="B9911" s="141" t="s">
        <v>264</v>
      </c>
      <c r="C9911" s="141" t="s">
        <v>31</v>
      </c>
    </row>
    <row r="9912" spans="1:3" x14ac:dyDescent="0.35">
      <c r="A9912" s="141" t="s">
        <v>1121</v>
      </c>
      <c r="B9912" s="141" t="s">
        <v>265</v>
      </c>
      <c r="C9912" s="141" t="s">
        <v>31</v>
      </c>
    </row>
    <row r="9913" spans="1:3" x14ac:dyDescent="0.35">
      <c r="A9913" s="141" t="s">
        <v>1121</v>
      </c>
      <c r="B9913" s="141" t="s">
        <v>266</v>
      </c>
      <c r="C9913" s="141" t="s">
        <v>31</v>
      </c>
    </row>
    <row r="9914" spans="1:3" x14ac:dyDescent="0.35">
      <c r="A9914" s="141" t="s">
        <v>1121</v>
      </c>
      <c r="B9914" s="141" t="s">
        <v>267</v>
      </c>
      <c r="C9914" s="141" t="s">
        <v>31</v>
      </c>
    </row>
    <row r="9915" spans="1:3" x14ac:dyDescent="0.35">
      <c r="A9915" s="141" t="s">
        <v>1121</v>
      </c>
      <c r="B9915" s="141" t="s">
        <v>268</v>
      </c>
      <c r="C9915" s="141" t="s">
        <v>31</v>
      </c>
    </row>
    <row r="9916" spans="1:3" x14ac:dyDescent="0.35">
      <c r="A9916" s="141" t="s">
        <v>1121</v>
      </c>
      <c r="B9916" s="141" t="s">
        <v>269</v>
      </c>
      <c r="C9916" s="141" t="s">
        <v>31</v>
      </c>
    </row>
    <row r="9917" spans="1:3" x14ac:dyDescent="0.35">
      <c r="A9917" s="141" t="s">
        <v>1121</v>
      </c>
      <c r="B9917" s="141" t="s">
        <v>270</v>
      </c>
      <c r="C9917" s="141" t="s">
        <v>31</v>
      </c>
    </row>
    <row r="9918" spans="1:3" x14ac:dyDescent="0.35">
      <c r="A9918" s="141" t="s">
        <v>1121</v>
      </c>
      <c r="B9918" s="141" t="s">
        <v>272</v>
      </c>
      <c r="C9918" s="141" t="s">
        <v>31</v>
      </c>
    </row>
    <row r="9919" spans="1:3" x14ac:dyDescent="0.35">
      <c r="A9919" s="141" t="s">
        <v>1121</v>
      </c>
      <c r="B9919" s="141" t="s">
        <v>273</v>
      </c>
      <c r="C9919" s="141" t="s">
        <v>31</v>
      </c>
    </row>
    <row r="9920" spans="1:3" x14ac:dyDescent="0.35">
      <c r="A9920" s="141" t="s">
        <v>1121</v>
      </c>
      <c r="B9920" s="141" t="s">
        <v>274</v>
      </c>
      <c r="C9920" s="141" t="s">
        <v>31</v>
      </c>
    </row>
    <row r="9921" spans="1:3" x14ac:dyDescent="0.35">
      <c r="A9921" s="141" t="s">
        <v>1121</v>
      </c>
      <c r="B9921" s="141" t="s">
        <v>275</v>
      </c>
      <c r="C9921" s="141" t="s">
        <v>31</v>
      </c>
    </row>
    <row r="9922" spans="1:3" x14ac:dyDescent="0.35">
      <c r="A9922" s="141" t="s">
        <v>1121</v>
      </c>
      <c r="B9922" s="141" t="s">
        <v>342</v>
      </c>
      <c r="C9922" s="141" t="s">
        <v>31</v>
      </c>
    </row>
    <row r="9923" spans="1:3" x14ac:dyDescent="0.35">
      <c r="A9923" s="141" t="s">
        <v>1121</v>
      </c>
      <c r="B9923" s="141" t="s">
        <v>341</v>
      </c>
      <c r="C9923" s="141" t="s">
        <v>31</v>
      </c>
    </row>
    <row r="9924" spans="1:3" x14ac:dyDescent="0.35">
      <c r="A9924" s="141" t="s">
        <v>1121</v>
      </c>
      <c r="B9924" s="141" t="s">
        <v>340</v>
      </c>
      <c r="C9924" s="141" t="s">
        <v>31</v>
      </c>
    </row>
    <row r="9925" spans="1:3" x14ac:dyDescent="0.35">
      <c r="A9925" s="141" t="s">
        <v>1121</v>
      </c>
      <c r="B9925" s="141" t="s">
        <v>339</v>
      </c>
      <c r="C9925" s="141" t="s">
        <v>31</v>
      </c>
    </row>
    <row r="9926" spans="1:3" x14ac:dyDescent="0.35">
      <c r="A9926" s="141" t="s">
        <v>1121</v>
      </c>
      <c r="B9926" s="141" t="s">
        <v>1051</v>
      </c>
      <c r="C9926" s="141" t="s">
        <v>31</v>
      </c>
    </row>
    <row r="9927" spans="1:3" x14ac:dyDescent="0.35">
      <c r="A9927" s="141" t="s">
        <v>1121</v>
      </c>
      <c r="B9927" s="141" t="s">
        <v>1059</v>
      </c>
      <c r="C9927" s="141" t="s">
        <v>31</v>
      </c>
    </row>
    <row r="9928" spans="1:3" x14ac:dyDescent="0.35">
      <c r="A9928" s="141" t="s">
        <v>1121</v>
      </c>
      <c r="B9928" s="141" t="s">
        <v>1109</v>
      </c>
      <c r="C9928" s="141" t="s">
        <v>31</v>
      </c>
    </row>
    <row r="9929" spans="1:3" x14ac:dyDescent="0.35">
      <c r="A9929" s="141" t="s">
        <v>1121</v>
      </c>
      <c r="B9929" s="141" t="s">
        <v>1111</v>
      </c>
      <c r="C9929" s="141" t="s">
        <v>31</v>
      </c>
    </row>
    <row r="9930" spans="1:3" x14ac:dyDescent="0.35">
      <c r="A9930" s="141" t="s">
        <v>1121</v>
      </c>
      <c r="B9930" s="141" t="s">
        <v>1112</v>
      </c>
      <c r="C9930" s="141" t="s">
        <v>31</v>
      </c>
    </row>
    <row r="9931" spans="1:3" x14ac:dyDescent="0.35">
      <c r="A9931" s="141" t="s">
        <v>1122</v>
      </c>
      <c r="B9931" s="141" t="s">
        <v>289</v>
      </c>
      <c r="C9931" s="141" t="s">
        <v>30</v>
      </c>
    </row>
    <row r="9932" spans="1:3" x14ac:dyDescent="0.35">
      <c r="A9932" s="141" t="s">
        <v>1122</v>
      </c>
      <c r="B9932" s="141" t="s">
        <v>279</v>
      </c>
      <c r="C9932" s="141" t="s">
        <v>30</v>
      </c>
    </row>
    <row r="9933" spans="1:3" x14ac:dyDescent="0.35">
      <c r="A9933" s="141" t="s">
        <v>1122</v>
      </c>
      <c r="B9933" s="141" t="s">
        <v>280</v>
      </c>
      <c r="C9933" s="141" t="s">
        <v>30</v>
      </c>
    </row>
    <row r="9934" spans="1:3" x14ac:dyDescent="0.35">
      <c r="A9934" s="141" t="s">
        <v>1122</v>
      </c>
      <c r="B9934" s="141" t="s">
        <v>281</v>
      </c>
      <c r="C9934" s="141" t="s">
        <v>30</v>
      </c>
    </row>
    <row r="9935" spans="1:3" x14ac:dyDescent="0.35">
      <c r="A9935" s="141" t="s">
        <v>1122</v>
      </c>
      <c r="B9935" s="141" t="s">
        <v>282</v>
      </c>
      <c r="C9935" s="141" t="s">
        <v>30</v>
      </c>
    </row>
    <row r="9936" spans="1:3" x14ac:dyDescent="0.35">
      <c r="A9936" s="141" t="s">
        <v>1122</v>
      </c>
      <c r="B9936" s="141" t="s">
        <v>263</v>
      </c>
      <c r="C9936" s="141" t="s">
        <v>30</v>
      </c>
    </row>
    <row r="9937" spans="1:3" x14ac:dyDescent="0.35">
      <c r="A9937" s="141" t="s">
        <v>1122</v>
      </c>
      <c r="B9937" s="141" t="s">
        <v>264</v>
      </c>
      <c r="C9937" s="141" t="s">
        <v>30</v>
      </c>
    </row>
    <row r="9938" spans="1:3" x14ac:dyDescent="0.35">
      <c r="A9938" s="141" t="s">
        <v>1122</v>
      </c>
      <c r="B9938" s="141" t="s">
        <v>265</v>
      </c>
      <c r="C9938" s="141" t="s">
        <v>30</v>
      </c>
    </row>
    <row r="9939" spans="1:3" x14ac:dyDescent="0.35">
      <c r="A9939" s="141" t="s">
        <v>1122</v>
      </c>
      <c r="B9939" s="141" t="s">
        <v>266</v>
      </c>
      <c r="C9939" s="141" t="s">
        <v>30</v>
      </c>
    </row>
    <row r="9940" spans="1:3" x14ac:dyDescent="0.35">
      <c r="A9940" s="141" t="s">
        <v>1122</v>
      </c>
      <c r="B9940" s="141" t="s">
        <v>267</v>
      </c>
      <c r="C9940" s="141" t="s">
        <v>30</v>
      </c>
    </row>
    <row r="9941" spans="1:3" x14ac:dyDescent="0.35">
      <c r="A9941" s="141" t="s">
        <v>1122</v>
      </c>
      <c r="B9941" s="141" t="s">
        <v>268</v>
      </c>
      <c r="C9941" s="141" t="s">
        <v>30</v>
      </c>
    </row>
    <row r="9942" spans="1:3" x14ac:dyDescent="0.35">
      <c r="A9942" s="141" t="s">
        <v>1122</v>
      </c>
      <c r="B9942" s="141" t="s">
        <v>269</v>
      </c>
      <c r="C9942" s="141" t="s">
        <v>30</v>
      </c>
    </row>
    <row r="9943" spans="1:3" x14ac:dyDescent="0.35">
      <c r="A9943" s="141" t="s">
        <v>1122</v>
      </c>
      <c r="B9943" s="141" t="s">
        <v>270</v>
      </c>
      <c r="C9943" s="141" t="s">
        <v>30</v>
      </c>
    </row>
    <row r="9944" spans="1:3" x14ac:dyDescent="0.35">
      <c r="A9944" s="141" t="s">
        <v>1122</v>
      </c>
      <c r="B9944" s="141" t="s">
        <v>272</v>
      </c>
      <c r="C9944" s="141" t="s">
        <v>30</v>
      </c>
    </row>
    <row r="9945" spans="1:3" x14ac:dyDescent="0.35">
      <c r="A9945" s="141" t="s">
        <v>1122</v>
      </c>
      <c r="B9945" s="141" t="s">
        <v>273</v>
      </c>
      <c r="C9945" s="141" t="s">
        <v>30</v>
      </c>
    </row>
    <row r="9946" spans="1:3" x14ac:dyDescent="0.35">
      <c r="A9946" s="141" t="s">
        <v>1122</v>
      </c>
      <c r="B9946" s="141" t="s">
        <v>274</v>
      </c>
      <c r="C9946" s="141" t="s">
        <v>30</v>
      </c>
    </row>
    <row r="9947" spans="1:3" x14ac:dyDescent="0.35">
      <c r="A9947" s="141" t="s">
        <v>1122</v>
      </c>
      <c r="B9947" s="141" t="s">
        <v>275</v>
      </c>
      <c r="C9947" s="141" t="s">
        <v>30</v>
      </c>
    </row>
    <row r="9948" spans="1:3" x14ac:dyDescent="0.35">
      <c r="A9948" s="141" t="s">
        <v>1122</v>
      </c>
      <c r="B9948" s="141" t="s">
        <v>342</v>
      </c>
      <c r="C9948" s="141" t="s">
        <v>30</v>
      </c>
    </row>
    <row r="9949" spans="1:3" x14ac:dyDescent="0.35">
      <c r="A9949" s="141" t="s">
        <v>1122</v>
      </c>
      <c r="B9949" s="141" t="s">
        <v>341</v>
      </c>
      <c r="C9949" s="141" t="s">
        <v>30</v>
      </c>
    </row>
    <row r="9950" spans="1:3" x14ac:dyDescent="0.35">
      <c r="A9950" s="141" t="s">
        <v>1122</v>
      </c>
      <c r="B9950" s="141" t="s">
        <v>340</v>
      </c>
      <c r="C9950" s="141" t="s">
        <v>30</v>
      </c>
    </row>
    <row r="9951" spans="1:3" x14ac:dyDescent="0.35">
      <c r="A9951" s="141" t="s">
        <v>1122</v>
      </c>
      <c r="B9951" s="141" t="s">
        <v>339</v>
      </c>
      <c r="C9951" s="141" t="s">
        <v>30</v>
      </c>
    </row>
    <row r="9952" spans="1:3" x14ac:dyDescent="0.35">
      <c r="A9952" s="141" t="s">
        <v>1122</v>
      </c>
      <c r="B9952" s="141" t="s">
        <v>1051</v>
      </c>
      <c r="C9952" s="141" t="s">
        <v>30</v>
      </c>
    </row>
    <row r="9953" spans="1:3" x14ac:dyDescent="0.35">
      <c r="A9953" s="141" t="s">
        <v>1122</v>
      </c>
      <c r="B9953" s="141" t="s">
        <v>1059</v>
      </c>
      <c r="C9953" s="141" t="s">
        <v>30</v>
      </c>
    </row>
    <row r="9954" spans="1:3" x14ac:dyDescent="0.35">
      <c r="A9954" s="141" t="s">
        <v>1122</v>
      </c>
      <c r="B9954" s="141" t="s">
        <v>1109</v>
      </c>
      <c r="C9954" s="141" t="s">
        <v>30</v>
      </c>
    </row>
    <row r="9955" spans="1:3" x14ac:dyDescent="0.35">
      <c r="A9955" s="141" t="s">
        <v>1122</v>
      </c>
      <c r="B9955" s="141" t="s">
        <v>1111</v>
      </c>
      <c r="C9955" s="141" t="s">
        <v>30</v>
      </c>
    </row>
    <row r="9956" spans="1:3" x14ac:dyDescent="0.35">
      <c r="A9956" s="141" t="s">
        <v>1122</v>
      </c>
      <c r="B9956" s="141" t="s">
        <v>1112</v>
      </c>
      <c r="C9956" s="141" t="s">
        <v>30</v>
      </c>
    </row>
    <row r="9957" spans="1:3" x14ac:dyDescent="0.35">
      <c r="A9957" s="141" t="s">
        <v>1123</v>
      </c>
      <c r="B9957" s="141" t="s">
        <v>289</v>
      </c>
      <c r="C9957" s="141" t="s">
        <v>33</v>
      </c>
    </row>
    <row r="9958" spans="1:3" x14ac:dyDescent="0.35">
      <c r="A9958" s="141" t="s">
        <v>1123</v>
      </c>
      <c r="B9958" s="141" t="s">
        <v>279</v>
      </c>
      <c r="C9958" s="141" t="s">
        <v>33</v>
      </c>
    </row>
    <row r="9959" spans="1:3" x14ac:dyDescent="0.35">
      <c r="A9959" s="141" t="s">
        <v>1123</v>
      </c>
      <c r="B9959" s="141" t="s">
        <v>280</v>
      </c>
      <c r="C9959" s="141" t="s">
        <v>33</v>
      </c>
    </row>
    <row r="9960" spans="1:3" x14ac:dyDescent="0.35">
      <c r="A9960" s="141" t="s">
        <v>1123</v>
      </c>
      <c r="B9960" s="141" t="s">
        <v>281</v>
      </c>
      <c r="C9960" s="141" t="s">
        <v>33</v>
      </c>
    </row>
    <row r="9961" spans="1:3" x14ac:dyDescent="0.35">
      <c r="A9961" s="141" t="s">
        <v>1123</v>
      </c>
      <c r="B9961" s="141" t="s">
        <v>282</v>
      </c>
      <c r="C9961" s="141" t="s">
        <v>33</v>
      </c>
    </row>
    <row r="9962" spans="1:3" x14ac:dyDescent="0.35">
      <c r="A9962" s="141" t="s">
        <v>1123</v>
      </c>
      <c r="B9962" s="141" t="s">
        <v>263</v>
      </c>
      <c r="C9962" s="141" t="s">
        <v>33</v>
      </c>
    </row>
    <row r="9963" spans="1:3" x14ac:dyDescent="0.35">
      <c r="A9963" s="141" t="s">
        <v>1123</v>
      </c>
      <c r="B9963" s="141" t="s">
        <v>264</v>
      </c>
      <c r="C9963" s="141" t="s">
        <v>33</v>
      </c>
    </row>
    <row r="9964" spans="1:3" x14ac:dyDescent="0.35">
      <c r="A9964" s="141" t="s">
        <v>1123</v>
      </c>
      <c r="B9964" s="141" t="s">
        <v>265</v>
      </c>
      <c r="C9964" s="141" t="s">
        <v>33</v>
      </c>
    </row>
    <row r="9965" spans="1:3" x14ac:dyDescent="0.35">
      <c r="A9965" s="141" t="s">
        <v>1123</v>
      </c>
      <c r="B9965" s="141" t="s">
        <v>266</v>
      </c>
      <c r="C9965" s="141" t="s">
        <v>33</v>
      </c>
    </row>
    <row r="9966" spans="1:3" x14ac:dyDescent="0.35">
      <c r="A9966" s="141" t="s">
        <v>1123</v>
      </c>
      <c r="B9966" s="141" t="s">
        <v>267</v>
      </c>
      <c r="C9966" s="141" t="s">
        <v>33</v>
      </c>
    </row>
    <row r="9967" spans="1:3" x14ac:dyDescent="0.35">
      <c r="A9967" s="141" t="s">
        <v>1123</v>
      </c>
      <c r="B9967" s="141" t="s">
        <v>268</v>
      </c>
      <c r="C9967" s="141" t="s">
        <v>33</v>
      </c>
    </row>
    <row r="9968" spans="1:3" x14ac:dyDescent="0.35">
      <c r="A9968" s="141" t="s">
        <v>1123</v>
      </c>
      <c r="B9968" s="141" t="s">
        <v>269</v>
      </c>
      <c r="C9968" s="141" t="s">
        <v>33</v>
      </c>
    </row>
    <row r="9969" spans="1:3" x14ac:dyDescent="0.35">
      <c r="A9969" s="141" t="s">
        <v>1123</v>
      </c>
      <c r="B9969" s="141" t="s">
        <v>270</v>
      </c>
      <c r="C9969" s="141" t="s">
        <v>33</v>
      </c>
    </row>
    <row r="9970" spans="1:3" x14ac:dyDescent="0.35">
      <c r="A9970" s="141" t="s">
        <v>1123</v>
      </c>
      <c r="B9970" s="141" t="s">
        <v>272</v>
      </c>
      <c r="C9970" s="141" t="s">
        <v>33</v>
      </c>
    </row>
    <row r="9971" spans="1:3" x14ac:dyDescent="0.35">
      <c r="A9971" s="141" t="s">
        <v>1123</v>
      </c>
      <c r="B9971" s="141" t="s">
        <v>273</v>
      </c>
      <c r="C9971" s="141" t="s">
        <v>33</v>
      </c>
    </row>
    <row r="9972" spans="1:3" x14ac:dyDescent="0.35">
      <c r="A9972" s="141" t="s">
        <v>1123</v>
      </c>
      <c r="B9972" s="141" t="s">
        <v>274</v>
      </c>
      <c r="C9972" s="141" t="s">
        <v>33</v>
      </c>
    </row>
    <row r="9973" spans="1:3" x14ac:dyDescent="0.35">
      <c r="A9973" s="141" t="s">
        <v>1123</v>
      </c>
      <c r="B9973" s="141" t="s">
        <v>275</v>
      </c>
      <c r="C9973" s="141" t="s">
        <v>33</v>
      </c>
    </row>
    <row r="9974" spans="1:3" x14ac:dyDescent="0.35">
      <c r="A9974" s="141" t="s">
        <v>1123</v>
      </c>
      <c r="B9974" s="141" t="s">
        <v>342</v>
      </c>
      <c r="C9974" s="141" t="s">
        <v>33</v>
      </c>
    </row>
    <row r="9975" spans="1:3" x14ac:dyDescent="0.35">
      <c r="A9975" s="141" t="s">
        <v>1123</v>
      </c>
      <c r="B9975" s="141" t="s">
        <v>341</v>
      </c>
      <c r="C9975" s="141" t="s">
        <v>33</v>
      </c>
    </row>
    <row r="9976" spans="1:3" x14ac:dyDescent="0.35">
      <c r="A9976" s="141" t="s">
        <v>1123</v>
      </c>
      <c r="B9976" s="141" t="s">
        <v>340</v>
      </c>
      <c r="C9976" s="141" t="s">
        <v>33</v>
      </c>
    </row>
    <row r="9977" spans="1:3" x14ac:dyDescent="0.35">
      <c r="A9977" s="141" t="s">
        <v>1123</v>
      </c>
      <c r="B9977" s="141" t="s">
        <v>339</v>
      </c>
      <c r="C9977" s="141" t="s">
        <v>33</v>
      </c>
    </row>
    <row r="9978" spans="1:3" x14ac:dyDescent="0.35">
      <c r="A9978" s="141" t="s">
        <v>1123</v>
      </c>
      <c r="B9978" s="141" t="s">
        <v>1051</v>
      </c>
      <c r="C9978" s="141" t="s">
        <v>33</v>
      </c>
    </row>
    <row r="9979" spans="1:3" x14ac:dyDescent="0.35">
      <c r="A9979" s="141" t="s">
        <v>1123</v>
      </c>
      <c r="B9979" s="141" t="s">
        <v>1059</v>
      </c>
      <c r="C9979" s="141" t="s">
        <v>33</v>
      </c>
    </row>
    <row r="9980" spans="1:3" x14ac:dyDescent="0.35">
      <c r="A9980" s="141" t="s">
        <v>1123</v>
      </c>
      <c r="B9980" s="141" t="s">
        <v>1109</v>
      </c>
      <c r="C9980" s="141" t="s">
        <v>33</v>
      </c>
    </row>
    <row r="9981" spans="1:3" x14ac:dyDescent="0.35">
      <c r="A9981" s="141" t="s">
        <v>1123</v>
      </c>
      <c r="B9981" s="141" t="s">
        <v>1111</v>
      </c>
      <c r="C9981" s="141" t="s">
        <v>33</v>
      </c>
    </row>
    <row r="9982" spans="1:3" x14ac:dyDescent="0.35">
      <c r="A9982" s="141" t="s">
        <v>1123</v>
      </c>
      <c r="B9982" s="141" t="s">
        <v>1112</v>
      </c>
      <c r="C9982" s="141" t="s">
        <v>33</v>
      </c>
    </row>
    <row r="9983" spans="1:3" x14ac:dyDescent="0.35">
      <c r="A9983" s="141" t="s">
        <v>1124</v>
      </c>
      <c r="B9983" s="141" t="s">
        <v>289</v>
      </c>
      <c r="C9983" s="141" t="s">
        <v>33</v>
      </c>
    </row>
    <row r="9984" spans="1:3" x14ac:dyDescent="0.35">
      <c r="A9984" s="141" t="s">
        <v>1124</v>
      </c>
      <c r="B9984" s="141" t="s">
        <v>279</v>
      </c>
      <c r="C9984" s="141" t="s">
        <v>33</v>
      </c>
    </row>
    <row r="9985" spans="1:3" x14ac:dyDescent="0.35">
      <c r="A9985" s="141" t="s">
        <v>1124</v>
      </c>
      <c r="B9985" s="141" t="s">
        <v>280</v>
      </c>
      <c r="C9985" s="141" t="s">
        <v>33</v>
      </c>
    </row>
    <row r="9986" spans="1:3" x14ac:dyDescent="0.35">
      <c r="A9986" s="141" t="s">
        <v>1124</v>
      </c>
      <c r="B9986" s="141" t="s">
        <v>281</v>
      </c>
      <c r="C9986" s="141" t="s">
        <v>33</v>
      </c>
    </row>
    <row r="9987" spans="1:3" x14ac:dyDescent="0.35">
      <c r="A9987" s="141" t="s">
        <v>1124</v>
      </c>
      <c r="B9987" s="141" t="s">
        <v>282</v>
      </c>
      <c r="C9987" s="141" t="s">
        <v>33</v>
      </c>
    </row>
    <row r="9988" spans="1:3" x14ac:dyDescent="0.35">
      <c r="A9988" s="141" t="s">
        <v>1124</v>
      </c>
      <c r="B9988" s="141" t="s">
        <v>263</v>
      </c>
      <c r="C9988" s="141" t="s">
        <v>33</v>
      </c>
    </row>
    <row r="9989" spans="1:3" x14ac:dyDescent="0.35">
      <c r="A9989" s="141" t="s">
        <v>1124</v>
      </c>
      <c r="B9989" s="141" t="s">
        <v>264</v>
      </c>
      <c r="C9989" s="141" t="s">
        <v>33</v>
      </c>
    </row>
    <row r="9990" spans="1:3" x14ac:dyDescent="0.35">
      <c r="A9990" s="141" t="s">
        <v>1124</v>
      </c>
      <c r="B9990" s="141" t="s">
        <v>265</v>
      </c>
      <c r="C9990" s="141" t="s">
        <v>33</v>
      </c>
    </row>
    <row r="9991" spans="1:3" x14ac:dyDescent="0.35">
      <c r="A9991" s="141" t="s">
        <v>1124</v>
      </c>
      <c r="B9991" s="141" t="s">
        <v>266</v>
      </c>
      <c r="C9991" s="141" t="s">
        <v>33</v>
      </c>
    </row>
    <row r="9992" spans="1:3" x14ac:dyDescent="0.35">
      <c r="A9992" s="141" t="s">
        <v>1124</v>
      </c>
      <c r="B9992" s="141" t="s">
        <v>267</v>
      </c>
      <c r="C9992" s="141" t="s">
        <v>33</v>
      </c>
    </row>
    <row r="9993" spans="1:3" x14ac:dyDescent="0.35">
      <c r="A9993" s="141" t="s">
        <v>1124</v>
      </c>
      <c r="B9993" s="141" t="s">
        <v>268</v>
      </c>
      <c r="C9993" s="141" t="s">
        <v>33</v>
      </c>
    </row>
    <row r="9994" spans="1:3" x14ac:dyDescent="0.35">
      <c r="A9994" s="141" t="s">
        <v>1124</v>
      </c>
      <c r="B9994" s="141" t="s">
        <v>269</v>
      </c>
      <c r="C9994" s="141" t="s">
        <v>33</v>
      </c>
    </row>
    <row r="9995" spans="1:3" x14ac:dyDescent="0.35">
      <c r="A9995" s="141" t="s">
        <v>1124</v>
      </c>
      <c r="B9995" s="141" t="s">
        <v>270</v>
      </c>
      <c r="C9995" s="141" t="s">
        <v>33</v>
      </c>
    </row>
    <row r="9996" spans="1:3" x14ac:dyDescent="0.35">
      <c r="A9996" s="141" t="s">
        <v>1124</v>
      </c>
      <c r="B9996" s="141" t="s">
        <v>272</v>
      </c>
      <c r="C9996" s="141" t="s">
        <v>33</v>
      </c>
    </row>
    <row r="9997" spans="1:3" x14ac:dyDescent="0.35">
      <c r="A9997" s="141" t="s">
        <v>1124</v>
      </c>
      <c r="B9997" s="141" t="s">
        <v>273</v>
      </c>
      <c r="C9997" s="141" t="s">
        <v>33</v>
      </c>
    </row>
    <row r="9998" spans="1:3" x14ac:dyDescent="0.35">
      <c r="A9998" s="141" t="s">
        <v>1124</v>
      </c>
      <c r="B9998" s="141" t="s">
        <v>274</v>
      </c>
      <c r="C9998" s="141" t="s">
        <v>33</v>
      </c>
    </row>
    <row r="9999" spans="1:3" x14ac:dyDescent="0.35">
      <c r="A9999" s="141" t="s">
        <v>1124</v>
      </c>
      <c r="B9999" s="141" t="s">
        <v>275</v>
      </c>
      <c r="C9999" s="141" t="s">
        <v>33</v>
      </c>
    </row>
    <row r="10000" spans="1:3" x14ac:dyDescent="0.35">
      <c r="A10000" s="141" t="s">
        <v>1124</v>
      </c>
      <c r="B10000" s="141" t="s">
        <v>342</v>
      </c>
      <c r="C10000" s="141" t="s">
        <v>33</v>
      </c>
    </row>
    <row r="10001" spans="1:3" x14ac:dyDescent="0.35">
      <c r="A10001" s="141" t="s">
        <v>1124</v>
      </c>
      <c r="B10001" s="141" t="s">
        <v>341</v>
      </c>
      <c r="C10001" s="141" t="s">
        <v>33</v>
      </c>
    </row>
    <row r="10002" spans="1:3" x14ac:dyDescent="0.35">
      <c r="A10002" s="141" t="s">
        <v>1124</v>
      </c>
      <c r="B10002" s="141" t="s">
        <v>340</v>
      </c>
      <c r="C10002" s="141" t="s">
        <v>33</v>
      </c>
    </row>
    <row r="10003" spans="1:3" x14ac:dyDescent="0.35">
      <c r="A10003" s="141" t="s">
        <v>1124</v>
      </c>
      <c r="B10003" s="141" t="s">
        <v>339</v>
      </c>
      <c r="C10003" s="141" t="s">
        <v>33</v>
      </c>
    </row>
    <row r="10004" spans="1:3" x14ac:dyDescent="0.35">
      <c r="A10004" s="141" t="s">
        <v>1124</v>
      </c>
      <c r="B10004" s="141" t="s">
        <v>1051</v>
      </c>
      <c r="C10004" s="141" t="s">
        <v>33</v>
      </c>
    </row>
    <row r="10005" spans="1:3" x14ac:dyDescent="0.35">
      <c r="A10005" s="141" t="s">
        <v>1124</v>
      </c>
      <c r="B10005" s="141" t="s">
        <v>1059</v>
      </c>
      <c r="C10005" s="141" t="s">
        <v>33</v>
      </c>
    </row>
    <row r="10006" spans="1:3" x14ac:dyDescent="0.35">
      <c r="A10006" s="141" t="s">
        <v>1124</v>
      </c>
      <c r="B10006" s="141" t="s">
        <v>1109</v>
      </c>
      <c r="C10006" s="141" t="s">
        <v>33</v>
      </c>
    </row>
    <row r="10007" spans="1:3" x14ac:dyDescent="0.35">
      <c r="A10007" s="141" t="s">
        <v>1124</v>
      </c>
      <c r="B10007" s="141" t="s">
        <v>1111</v>
      </c>
      <c r="C10007" s="141" t="s">
        <v>33</v>
      </c>
    </row>
    <row r="10008" spans="1:3" x14ac:dyDescent="0.35">
      <c r="A10008" s="141" t="s">
        <v>1124</v>
      </c>
      <c r="B10008" s="141" t="s">
        <v>1112</v>
      </c>
      <c r="C10008" s="141" t="s">
        <v>33</v>
      </c>
    </row>
    <row r="10009" spans="1:3" x14ac:dyDescent="0.35">
      <c r="A10009" s="141" t="s">
        <v>1125</v>
      </c>
      <c r="B10009" s="141" t="s">
        <v>289</v>
      </c>
      <c r="C10009" s="141" t="s">
        <v>33</v>
      </c>
    </row>
    <row r="10010" spans="1:3" x14ac:dyDescent="0.35">
      <c r="A10010" s="141" t="s">
        <v>1125</v>
      </c>
      <c r="B10010" s="141" t="s">
        <v>279</v>
      </c>
      <c r="C10010" s="141" t="s">
        <v>33</v>
      </c>
    </row>
    <row r="10011" spans="1:3" x14ac:dyDescent="0.35">
      <c r="A10011" s="141" t="s">
        <v>1125</v>
      </c>
      <c r="B10011" s="141" t="s">
        <v>280</v>
      </c>
      <c r="C10011" s="141" t="s">
        <v>33</v>
      </c>
    </row>
    <row r="10012" spans="1:3" x14ac:dyDescent="0.35">
      <c r="A10012" s="141" t="s">
        <v>1125</v>
      </c>
      <c r="B10012" s="141" t="s">
        <v>281</v>
      </c>
      <c r="C10012" s="141" t="s">
        <v>33</v>
      </c>
    </row>
    <row r="10013" spans="1:3" x14ac:dyDescent="0.35">
      <c r="A10013" s="141" t="s">
        <v>1125</v>
      </c>
      <c r="B10013" s="141" t="s">
        <v>282</v>
      </c>
      <c r="C10013" s="141" t="s">
        <v>33</v>
      </c>
    </row>
    <row r="10014" spans="1:3" x14ac:dyDescent="0.35">
      <c r="A10014" s="141" t="s">
        <v>1125</v>
      </c>
      <c r="B10014" s="141" t="s">
        <v>263</v>
      </c>
      <c r="C10014" s="141" t="s">
        <v>33</v>
      </c>
    </row>
    <row r="10015" spans="1:3" x14ac:dyDescent="0.35">
      <c r="A10015" s="141" t="s">
        <v>1125</v>
      </c>
      <c r="B10015" s="141" t="s">
        <v>264</v>
      </c>
      <c r="C10015" s="141" t="s">
        <v>33</v>
      </c>
    </row>
    <row r="10016" spans="1:3" x14ac:dyDescent="0.35">
      <c r="A10016" s="141" t="s">
        <v>1125</v>
      </c>
      <c r="B10016" s="141" t="s">
        <v>265</v>
      </c>
      <c r="C10016" s="141" t="s">
        <v>33</v>
      </c>
    </row>
    <row r="10017" spans="1:3" x14ac:dyDescent="0.35">
      <c r="A10017" s="141" t="s">
        <v>1125</v>
      </c>
      <c r="B10017" s="141" t="s">
        <v>266</v>
      </c>
      <c r="C10017" s="141" t="s">
        <v>33</v>
      </c>
    </row>
    <row r="10018" spans="1:3" x14ac:dyDescent="0.35">
      <c r="A10018" s="141" t="s">
        <v>1125</v>
      </c>
      <c r="B10018" s="141" t="s">
        <v>267</v>
      </c>
      <c r="C10018" s="141" t="s">
        <v>33</v>
      </c>
    </row>
    <row r="10019" spans="1:3" x14ac:dyDescent="0.35">
      <c r="A10019" s="141" t="s">
        <v>1125</v>
      </c>
      <c r="B10019" s="141" t="s">
        <v>268</v>
      </c>
      <c r="C10019" s="141" t="s">
        <v>33</v>
      </c>
    </row>
    <row r="10020" spans="1:3" x14ac:dyDescent="0.35">
      <c r="A10020" s="141" t="s">
        <v>1125</v>
      </c>
      <c r="B10020" s="141" t="s">
        <v>269</v>
      </c>
      <c r="C10020" s="141" t="s">
        <v>33</v>
      </c>
    </row>
    <row r="10021" spans="1:3" x14ac:dyDescent="0.35">
      <c r="A10021" s="141" t="s">
        <v>1125</v>
      </c>
      <c r="B10021" s="141" t="s">
        <v>270</v>
      </c>
      <c r="C10021" s="141" t="s">
        <v>33</v>
      </c>
    </row>
    <row r="10022" spans="1:3" x14ac:dyDescent="0.35">
      <c r="A10022" s="141" t="s">
        <v>1125</v>
      </c>
      <c r="B10022" s="141" t="s">
        <v>272</v>
      </c>
      <c r="C10022" s="141" t="s">
        <v>33</v>
      </c>
    </row>
    <row r="10023" spans="1:3" x14ac:dyDescent="0.35">
      <c r="A10023" s="141" t="s">
        <v>1125</v>
      </c>
      <c r="B10023" s="141" t="s">
        <v>273</v>
      </c>
      <c r="C10023" s="141" t="s">
        <v>33</v>
      </c>
    </row>
    <row r="10024" spans="1:3" x14ac:dyDescent="0.35">
      <c r="A10024" s="141" t="s">
        <v>1125</v>
      </c>
      <c r="B10024" s="141" t="s">
        <v>274</v>
      </c>
      <c r="C10024" s="141" t="s">
        <v>33</v>
      </c>
    </row>
    <row r="10025" spans="1:3" x14ac:dyDescent="0.35">
      <c r="A10025" s="141" t="s">
        <v>1125</v>
      </c>
      <c r="B10025" s="141" t="s">
        <v>275</v>
      </c>
      <c r="C10025" s="141" t="s">
        <v>33</v>
      </c>
    </row>
    <row r="10026" spans="1:3" x14ac:dyDescent="0.35">
      <c r="A10026" s="141" t="s">
        <v>1125</v>
      </c>
      <c r="B10026" s="141" t="s">
        <v>342</v>
      </c>
      <c r="C10026" s="141" t="s">
        <v>33</v>
      </c>
    </row>
    <row r="10027" spans="1:3" x14ac:dyDescent="0.35">
      <c r="A10027" s="141" t="s">
        <v>1125</v>
      </c>
      <c r="B10027" s="141" t="s">
        <v>341</v>
      </c>
      <c r="C10027" s="141" t="s">
        <v>33</v>
      </c>
    </row>
    <row r="10028" spans="1:3" x14ac:dyDescent="0.35">
      <c r="A10028" s="141" t="s">
        <v>1125</v>
      </c>
      <c r="B10028" s="141" t="s">
        <v>340</v>
      </c>
      <c r="C10028" s="141" t="s">
        <v>33</v>
      </c>
    </row>
    <row r="10029" spans="1:3" x14ac:dyDescent="0.35">
      <c r="A10029" s="141" t="s">
        <v>1125</v>
      </c>
      <c r="B10029" s="141" t="s">
        <v>339</v>
      </c>
      <c r="C10029" s="141" t="s">
        <v>33</v>
      </c>
    </row>
    <row r="10030" spans="1:3" x14ac:dyDescent="0.35">
      <c r="A10030" s="141" t="s">
        <v>1125</v>
      </c>
      <c r="B10030" s="141" t="s">
        <v>1051</v>
      </c>
      <c r="C10030" s="141" t="s">
        <v>33</v>
      </c>
    </row>
    <row r="10031" spans="1:3" x14ac:dyDescent="0.35">
      <c r="A10031" s="141" t="s">
        <v>1125</v>
      </c>
      <c r="B10031" s="141" t="s">
        <v>1059</v>
      </c>
      <c r="C10031" s="141" t="s">
        <v>33</v>
      </c>
    </row>
    <row r="10032" spans="1:3" x14ac:dyDescent="0.35">
      <c r="A10032" s="141" t="s">
        <v>1125</v>
      </c>
      <c r="B10032" s="141" t="s">
        <v>1109</v>
      </c>
      <c r="C10032" s="141" t="s">
        <v>33</v>
      </c>
    </row>
    <row r="10033" spans="1:3" x14ac:dyDescent="0.35">
      <c r="A10033" s="141" t="s">
        <v>1125</v>
      </c>
      <c r="B10033" s="141" t="s">
        <v>1111</v>
      </c>
      <c r="C10033" s="141" t="s">
        <v>33</v>
      </c>
    </row>
    <row r="10034" spans="1:3" x14ac:dyDescent="0.35">
      <c r="A10034" s="141" t="s">
        <v>1125</v>
      </c>
      <c r="B10034" s="141" t="s">
        <v>1112</v>
      </c>
      <c r="C10034" s="141" t="s">
        <v>33</v>
      </c>
    </row>
    <row r="10035" spans="1:3" x14ac:dyDescent="0.35">
      <c r="A10035" s="141" t="s">
        <v>1126</v>
      </c>
      <c r="B10035" s="141" t="s">
        <v>289</v>
      </c>
      <c r="C10035" s="141" t="s">
        <v>31</v>
      </c>
    </row>
    <row r="10036" spans="1:3" x14ac:dyDescent="0.35">
      <c r="A10036" s="141" t="s">
        <v>1126</v>
      </c>
      <c r="B10036" s="141" t="s">
        <v>279</v>
      </c>
      <c r="C10036" s="141" t="s">
        <v>31</v>
      </c>
    </row>
    <row r="10037" spans="1:3" x14ac:dyDescent="0.35">
      <c r="A10037" s="141" t="s">
        <v>1126</v>
      </c>
      <c r="B10037" s="141" t="s">
        <v>280</v>
      </c>
      <c r="C10037" s="141" t="s">
        <v>31</v>
      </c>
    </row>
    <row r="10038" spans="1:3" x14ac:dyDescent="0.35">
      <c r="A10038" s="141" t="s">
        <v>1126</v>
      </c>
      <c r="B10038" s="141" t="s">
        <v>281</v>
      </c>
      <c r="C10038" s="141" t="s">
        <v>31</v>
      </c>
    </row>
    <row r="10039" spans="1:3" x14ac:dyDescent="0.35">
      <c r="A10039" s="141" t="s">
        <v>1126</v>
      </c>
      <c r="B10039" s="141" t="s">
        <v>282</v>
      </c>
      <c r="C10039" s="141" t="s">
        <v>31</v>
      </c>
    </row>
    <row r="10040" spans="1:3" x14ac:dyDescent="0.35">
      <c r="A10040" s="141" t="s">
        <v>1126</v>
      </c>
      <c r="B10040" s="141" t="s">
        <v>263</v>
      </c>
      <c r="C10040" s="141" t="s">
        <v>31</v>
      </c>
    </row>
    <row r="10041" spans="1:3" x14ac:dyDescent="0.35">
      <c r="A10041" s="141" t="s">
        <v>1126</v>
      </c>
      <c r="B10041" s="141" t="s">
        <v>264</v>
      </c>
      <c r="C10041" s="141" t="s">
        <v>31</v>
      </c>
    </row>
    <row r="10042" spans="1:3" x14ac:dyDescent="0.35">
      <c r="A10042" s="141" t="s">
        <v>1126</v>
      </c>
      <c r="B10042" s="141" t="s">
        <v>265</v>
      </c>
      <c r="C10042" s="141" t="s">
        <v>31</v>
      </c>
    </row>
    <row r="10043" spans="1:3" x14ac:dyDescent="0.35">
      <c r="A10043" s="141" t="s">
        <v>1126</v>
      </c>
      <c r="B10043" s="141" t="s">
        <v>266</v>
      </c>
      <c r="C10043" s="141" t="s">
        <v>31</v>
      </c>
    </row>
    <row r="10044" spans="1:3" x14ac:dyDescent="0.35">
      <c r="A10044" s="141" t="s">
        <v>1126</v>
      </c>
      <c r="B10044" s="141" t="s">
        <v>267</v>
      </c>
      <c r="C10044" s="141" t="s">
        <v>31</v>
      </c>
    </row>
    <row r="10045" spans="1:3" x14ac:dyDescent="0.35">
      <c r="A10045" s="141" t="s">
        <v>1126</v>
      </c>
      <c r="B10045" s="141" t="s">
        <v>268</v>
      </c>
      <c r="C10045" s="141" t="s">
        <v>31</v>
      </c>
    </row>
    <row r="10046" spans="1:3" x14ac:dyDescent="0.35">
      <c r="A10046" s="141" t="s">
        <v>1126</v>
      </c>
      <c r="B10046" s="141" t="s">
        <v>269</v>
      </c>
      <c r="C10046" s="141" t="s">
        <v>31</v>
      </c>
    </row>
    <row r="10047" spans="1:3" x14ac:dyDescent="0.35">
      <c r="A10047" s="141" t="s">
        <v>1126</v>
      </c>
      <c r="B10047" s="141" t="s">
        <v>270</v>
      </c>
      <c r="C10047" s="141" t="s">
        <v>31</v>
      </c>
    </row>
    <row r="10048" spans="1:3" x14ac:dyDescent="0.35">
      <c r="A10048" s="141" t="s">
        <v>1126</v>
      </c>
      <c r="B10048" s="141" t="s">
        <v>272</v>
      </c>
      <c r="C10048" s="141" t="s">
        <v>31</v>
      </c>
    </row>
    <row r="10049" spans="1:3" x14ac:dyDescent="0.35">
      <c r="A10049" s="141" t="s">
        <v>1126</v>
      </c>
      <c r="B10049" s="141" t="s">
        <v>273</v>
      </c>
      <c r="C10049" s="141" t="s">
        <v>31</v>
      </c>
    </row>
    <row r="10050" spans="1:3" x14ac:dyDescent="0.35">
      <c r="A10050" s="141" t="s">
        <v>1126</v>
      </c>
      <c r="B10050" s="141" t="s">
        <v>274</v>
      </c>
      <c r="C10050" s="141" t="s">
        <v>31</v>
      </c>
    </row>
    <row r="10051" spans="1:3" x14ac:dyDescent="0.35">
      <c r="A10051" s="141" t="s">
        <v>1126</v>
      </c>
      <c r="B10051" s="141" t="s">
        <v>275</v>
      </c>
      <c r="C10051" s="141" t="s">
        <v>31</v>
      </c>
    </row>
    <row r="10052" spans="1:3" x14ac:dyDescent="0.35">
      <c r="A10052" s="141" t="s">
        <v>1126</v>
      </c>
      <c r="B10052" s="141" t="s">
        <v>342</v>
      </c>
      <c r="C10052" s="141" t="s">
        <v>31</v>
      </c>
    </row>
    <row r="10053" spans="1:3" x14ac:dyDescent="0.35">
      <c r="A10053" s="141" t="s">
        <v>1126</v>
      </c>
      <c r="B10053" s="141" t="s">
        <v>341</v>
      </c>
      <c r="C10053" s="141" t="s">
        <v>31</v>
      </c>
    </row>
    <row r="10054" spans="1:3" x14ac:dyDescent="0.35">
      <c r="A10054" s="141" t="s">
        <v>1126</v>
      </c>
      <c r="B10054" s="141" t="s">
        <v>340</v>
      </c>
      <c r="C10054" s="141" t="s">
        <v>31</v>
      </c>
    </row>
    <row r="10055" spans="1:3" x14ac:dyDescent="0.35">
      <c r="A10055" s="141" t="s">
        <v>1126</v>
      </c>
      <c r="B10055" s="141" t="s">
        <v>339</v>
      </c>
      <c r="C10055" s="141" t="s">
        <v>31</v>
      </c>
    </row>
    <row r="10056" spans="1:3" x14ac:dyDescent="0.35">
      <c r="A10056" s="141" t="s">
        <v>1126</v>
      </c>
      <c r="B10056" s="141" t="s">
        <v>1051</v>
      </c>
      <c r="C10056" s="141" t="s">
        <v>31</v>
      </c>
    </row>
    <row r="10057" spans="1:3" x14ac:dyDescent="0.35">
      <c r="A10057" s="141" t="s">
        <v>1126</v>
      </c>
      <c r="B10057" s="141" t="s">
        <v>1059</v>
      </c>
      <c r="C10057" s="141" t="s">
        <v>31</v>
      </c>
    </row>
    <row r="10058" spans="1:3" x14ac:dyDescent="0.35">
      <c r="A10058" s="141" t="s">
        <v>1126</v>
      </c>
      <c r="B10058" s="141" t="s">
        <v>1109</v>
      </c>
      <c r="C10058" s="141" t="s">
        <v>31</v>
      </c>
    </row>
    <row r="10059" spans="1:3" x14ac:dyDescent="0.35">
      <c r="A10059" s="141" t="s">
        <v>1126</v>
      </c>
      <c r="B10059" s="141" t="s">
        <v>1111</v>
      </c>
      <c r="C10059" s="141" t="s">
        <v>31</v>
      </c>
    </row>
    <row r="10060" spans="1:3" x14ac:dyDescent="0.35">
      <c r="A10060" s="141" t="s">
        <v>1126</v>
      </c>
      <c r="B10060" s="141" t="s">
        <v>1112</v>
      </c>
      <c r="C10060" s="141" t="s">
        <v>31</v>
      </c>
    </row>
    <row r="10061" spans="1:3" x14ac:dyDescent="0.35">
      <c r="A10061" s="141" t="s">
        <v>1127</v>
      </c>
      <c r="B10061" s="141" t="s">
        <v>289</v>
      </c>
      <c r="C10061" s="141" t="s">
        <v>45</v>
      </c>
    </row>
    <row r="10062" spans="1:3" x14ac:dyDescent="0.35">
      <c r="A10062" s="141" t="s">
        <v>1127</v>
      </c>
      <c r="B10062" s="141" t="s">
        <v>279</v>
      </c>
      <c r="C10062" s="141" t="s">
        <v>45</v>
      </c>
    </row>
    <row r="10063" spans="1:3" x14ac:dyDescent="0.35">
      <c r="A10063" s="141" t="s">
        <v>1127</v>
      </c>
      <c r="B10063" s="141" t="s">
        <v>280</v>
      </c>
      <c r="C10063" s="141" t="s">
        <v>45</v>
      </c>
    </row>
    <row r="10064" spans="1:3" x14ac:dyDescent="0.35">
      <c r="A10064" s="141" t="s">
        <v>1127</v>
      </c>
      <c r="B10064" s="141" t="s">
        <v>281</v>
      </c>
      <c r="C10064" s="141" t="s">
        <v>45</v>
      </c>
    </row>
    <row r="10065" spans="1:3" x14ac:dyDescent="0.35">
      <c r="A10065" s="141" t="s">
        <v>1127</v>
      </c>
      <c r="B10065" s="141" t="s">
        <v>282</v>
      </c>
      <c r="C10065" s="141" t="s">
        <v>45</v>
      </c>
    </row>
    <row r="10066" spans="1:3" x14ac:dyDescent="0.35">
      <c r="A10066" s="141" t="s">
        <v>1127</v>
      </c>
      <c r="B10066" s="141" t="s">
        <v>263</v>
      </c>
      <c r="C10066" s="141" t="s">
        <v>45</v>
      </c>
    </row>
    <row r="10067" spans="1:3" x14ac:dyDescent="0.35">
      <c r="A10067" s="141" t="s">
        <v>1127</v>
      </c>
      <c r="B10067" s="141" t="s">
        <v>264</v>
      </c>
      <c r="C10067" s="141" t="s">
        <v>45</v>
      </c>
    </row>
    <row r="10068" spans="1:3" x14ac:dyDescent="0.35">
      <c r="A10068" s="141" t="s">
        <v>1127</v>
      </c>
      <c r="B10068" s="141" t="s">
        <v>265</v>
      </c>
      <c r="C10068" s="141" t="s">
        <v>45</v>
      </c>
    </row>
    <row r="10069" spans="1:3" x14ac:dyDescent="0.35">
      <c r="A10069" s="141" t="s">
        <v>1127</v>
      </c>
      <c r="B10069" s="141" t="s">
        <v>266</v>
      </c>
      <c r="C10069" s="141" t="s">
        <v>45</v>
      </c>
    </row>
    <row r="10070" spans="1:3" x14ac:dyDescent="0.35">
      <c r="A10070" s="141" t="s">
        <v>1127</v>
      </c>
      <c r="B10070" s="141" t="s">
        <v>267</v>
      </c>
      <c r="C10070" s="141" t="s">
        <v>45</v>
      </c>
    </row>
    <row r="10071" spans="1:3" x14ac:dyDescent="0.35">
      <c r="A10071" s="141" t="s">
        <v>1127</v>
      </c>
      <c r="B10071" s="141" t="s">
        <v>268</v>
      </c>
      <c r="C10071" s="141" t="s">
        <v>45</v>
      </c>
    </row>
    <row r="10072" spans="1:3" x14ac:dyDescent="0.35">
      <c r="A10072" s="141" t="s">
        <v>1127</v>
      </c>
      <c r="B10072" s="141" t="s">
        <v>269</v>
      </c>
      <c r="C10072" s="141" t="s">
        <v>45</v>
      </c>
    </row>
    <row r="10073" spans="1:3" x14ac:dyDescent="0.35">
      <c r="A10073" s="141" t="s">
        <v>1127</v>
      </c>
      <c r="B10073" s="141" t="s">
        <v>270</v>
      </c>
      <c r="C10073" s="141" t="s">
        <v>45</v>
      </c>
    </row>
    <row r="10074" spans="1:3" x14ac:dyDescent="0.35">
      <c r="A10074" s="141" t="s">
        <v>1127</v>
      </c>
      <c r="B10074" s="141" t="s">
        <v>272</v>
      </c>
      <c r="C10074" s="141" t="s">
        <v>45</v>
      </c>
    </row>
    <row r="10075" spans="1:3" x14ac:dyDescent="0.35">
      <c r="A10075" s="141" t="s">
        <v>1127</v>
      </c>
      <c r="B10075" s="141" t="s">
        <v>273</v>
      </c>
      <c r="C10075" s="141" t="s">
        <v>45</v>
      </c>
    </row>
    <row r="10076" spans="1:3" x14ac:dyDescent="0.35">
      <c r="A10076" s="141" t="s">
        <v>1127</v>
      </c>
      <c r="B10076" s="141" t="s">
        <v>274</v>
      </c>
      <c r="C10076" s="141" t="s">
        <v>45</v>
      </c>
    </row>
    <row r="10077" spans="1:3" x14ac:dyDescent="0.35">
      <c r="A10077" s="141" t="s">
        <v>1127</v>
      </c>
      <c r="B10077" s="141" t="s">
        <v>275</v>
      </c>
      <c r="C10077" s="141" t="s">
        <v>45</v>
      </c>
    </row>
    <row r="10078" spans="1:3" x14ac:dyDescent="0.35">
      <c r="A10078" s="141" t="s">
        <v>1127</v>
      </c>
      <c r="B10078" s="141" t="s">
        <v>342</v>
      </c>
      <c r="C10078" s="141" t="s">
        <v>45</v>
      </c>
    </row>
    <row r="10079" spans="1:3" x14ac:dyDescent="0.35">
      <c r="A10079" s="141" t="s">
        <v>1127</v>
      </c>
      <c r="B10079" s="141" t="s">
        <v>341</v>
      </c>
      <c r="C10079" s="141" t="s">
        <v>45</v>
      </c>
    </row>
    <row r="10080" spans="1:3" x14ac:dyDescent="0.35">
      <c r="A10080" s="141" t="s">
        <v>1127</v>
      </c>
      <c r="B10080" s="141" t="s">
        <v>340</v>
      </c>
      <c r="C10080" s="141" t="s">
        <v>45</v>
      </c>
    </row>
    <row r="10081" spans="1:3" x14ac:dyDescent="0.35">
      <c r="A10081" s="141" t="s">
        <v>1127</v>
      </c>
      <c r="B10081" s="141" t="s">
        <v>339</v>
      </c>
      <c r="C10081" s="141" t="s">
        <v>45</v>
      </c>
    </row>
    <row r="10082" spans="1:3" x14ac:dyDescent="0.35">
      <c r="A10082" s="141" t="s">
        <v>1127</v>
      </c>
      <c r="B10082" s="141" t="s">
        <v>1051</v>
      </c>
      <c r="C10082" s="141" t="s">
        <v>45</v>
      </c>
    </row>
    <row r="10083" spans="1:3" x14ac:dyDescent="0.35">
      <c r="A10083" s="141" t="s">
        <v>1127</v>
      </c>
      <c r="B10083" s="141" t="s">
        <v>1059</v>
      </c>
      <c r="C10083" s="141" t="s">
        <v>45</v>
      </c>
    </row>
    <row r="10084" spans="1:3" x14ac:dyDescent="0.35">
      <c r="A10084" s="141" t="s">
        <v>1127</v>
      </c>
      <c r="B10084" s="141" t="s">
        <v>1109</v>
      </c>
      <c r="C10084" s="141" t="s">
        <v>45</v>
      </c>
    </row>
    <row r="10085" spans="1:3" x14ac:dyDescent="0.35">
      <c r="A10085" s="141" t="s">
        <v>1127</v>
      </c>
      <c r="B10085" s="141" t="s">
        <v>1111</v>
      </c>
      <c r="C10085" s="141" t="s">
        <v>45</v>
      </c>
    </row>
    <row r="10086" spans="1:3" x14ac:dyDescent="0.35">
      <c r="A10086" s="141" t="s">
        <v>1127</v>
      </c>
      <c r="B10086" s="141" t="s">
        <v>1112</v>
      </c>
      <c r="C10086" s="141" t="s">
        <v>45</v>
      </c>
    </row>
    <row r="10087" spans="1:3" x14ac:dyDescent="0.35">
      <c r="A10087" s="141" t="s">
        <v>1128</v>
      </c>
      <c r="B10087" s="141" t="s">
        <v>289</v>
      </c>
      <c r="C10087" s="141" t="s">
        <v>45</v>
      </c>
    </row>
    <row r="10088" spans="1:3" x14ac:dyDescent="0.35">
      <c r="A10088" s="141" t="s">
        <v>1128</v>
      </c>
      <c r="B10088" s="141" t="s">
        <v>279</v>
      </c>
      <c r="C10088" s="141" t="s">
        <v>45</v>
      </c>
    </row>
    <row r="10089" spans="1:3" x14ac:dyDescent="0.35">
      <c r="A10089" s="141" t="s">
        <v>1128</v>
      </c>
      <c r="B10089" s="141" t="s">
        <v>280</v>
      </c>
      <c r="C10089" s="141" t="s">
        <v>45</v>
      </c>
    </row>
    <row r="10090" spans="1:3" x14ac:dyDescent="0.35">
      <c r="A10090" s="141" t="s">
        <v>1128</v>
      </c>
      <c r="B10090" s="141" t="s">
        <v>281</v>
      </c>
      <c r="C10090" s="141" t="s">
        <v>45</v>
      </c>
    </row>
    <row r="10091" spans="1:3" x14ac:dyDescent="0.35">
      <c r="A10091" s="141" t="s">
        <v>1128</v>
      </c>
      <c r="B10091" s="141" t="s">
        <v>282</v>
      </c>
      <c r="C10091" s="141" t="s">
        <v>45</v>
      </c>
    </row>
    <row r="10092" spans="1:3" x14ac:dyDescent="0.35">
      <c r="A10092" s="141" t="s">
        <v>1128</v>
      </c>
      <c r="B10092" s="141" t="s">
        <v>263</v>
      </c>
      <c r="C10092" s="141" t="s">
        <v>45</v>
      </c>
    </row>
    <row r="10093" spans="1:3" x14ac:dyDescent="0.35">
      <c r="A10093" s="141" t="s">
        <v>1128</v>
      </c>
      <c r="B10093" s="141" t="s">
        <v>264</v>
      </c>
      <c r="C10093" s="141" t="s">
        <v>45</v>
      </c>
    </row>
    <row r="10094" spans="1:3" x14ac:dyDescent="0.35">
      <c r="A10094" s="141" t="s">
        <v>1128</v>
      </c>
      <c r="B10094" s="141" t="s">
        <v>265</v>
      </c>
      <c r="C10094" s="141" t="s">
        <v>45</v>
      </c>
    </row>
    <row r="10095" spans="1:3" x14ac:dyDescent="0.35">
      <c r="A10095" s="141" t="s">
        <v>1128</v>
      </c>
      <c r="B10095" s="141" t="s">
        <v>266</v>
      </c>
      <c r="C10095" s="141" t="s">
        <v>45</v>
      </c>
    </row>
    <row r="10096" spans="1:3" x14ac:dyDescent="0.35">
      <c r="A10096" s="141" t="s">
        <v>1128</v>
      </c>
      <c r="B10096" s="141" t="s">
        <v>267</v>
      </c>
      <c r="C10096" s="141" t="s">
        <v>45</v>
      </c>
    </row>
    <row r="10097" spans="1:3" x14ac:dyDescent="0.35">
      <c r="A10097" s="141" t="s">
        <v>1128</v>
      </c>
      <c r="B10097" s="141" t="s">
        <v>268</v>
      </c>
      <c r="C10097" s="141" t="s">
        <v>45</v>
      </c>
    </row>
    <row r="10098" spans="1:3" x14ac:dyDescent="0.35">
      <c r="A10098" s="141" t="s">
        <v>1128</v>
      </c>
      <c r="B10098" s="141" t="s">
        <v>269</v>
      </c>
      <c r="C10098" s="141" t="s">
        <v>45</v>
      </c>
    </row>
    <row r="10099" spans="1:3" x14ac:dyDescent="0.35">
      <c r="A10099" s="141" t="s">
        <v>1128</v>
      </c>
      <c r="B10099" s="141" t="s">
        <v>270</v>
      </c>
      <c r="C10099" s="141" t="s">
        <v>45</v>
      </c>
    </row>
    <row r="10100" spans="1:3" x14ac:dyDescent="0.35">
      <c r="A10100" s="141" t="s">
        <v>1128</v>
      </c>
      <c r="B10100" s="141" t="s">
        <v>272</v>
      </c>
      <c r="C10100" s="141" t="s">
        <v>45</v>
      </c>
    </row>
    <row r="10101" spans="1:3" x14ac:dyDescent="0.35">
      <c r="A10101" s="141" t="s">
        <v>1128</v>
      </c>
      <c r="B10101" s="141" t="s">
        <v>273</v>
      </c>
      <c r="C10101" s="141" t="s">
        <v>45</v>
      </c>
    </row>
    <row r="10102" spans="1:3" x14ac:dyDescent="0.35">
      <c r="A10102" s="141" t="s">
        <v>1128</v>
      </c>
      <c r="B10102" s="141" t="s">
        <v>274</v>
      </c>
      <c r="C10102" s="141" t="s">
        <v>45</v>
      </c>
    </row>
    <row r="10103" spans="1:3" x14ac:dyDescent="0.35">
      <c r="A10103" s="141" t="s">
        <v>1128</v>
      </c>
      <c r="B10103" s="141" t="s">
        <v>275</v>
      </c>
      <c r="C10103" s="141" t="s">
        <v>45</v>
      </c>
    </row>
    <row r="10104" spans="1:3" x14ac:dyDescent="0.35">
      <c r="A10104" s="141" t="s">
        <v>1128</v>
      </c>
      <c r="B10104" s="141" t="s">
        <v>342</v>
      </c>
      <c r="C10104" s="141" t="s">
        <v>45</v>
      </c>
    </row>
    <row r="10105" spans="1:3" x14ac:dyDescent="0.35">
      <c r="A10105" s="141" t="s">
        <v>1128</v>
      </c>
      <c r="B10105" s="141" t="s">
        <v>341</v>
      </c>
      <c r="C10105" s="141" t="s">
        <v>45</v>
      </c>
    </row>
    <row r="10106" spans="1:3" x14ac:dyDescent="0.35">
      <c r="A10106" s="141" t="s">
        <v>1128</v>
      </c>
      <c r="B10106" s="141" t="s">
        <v>340</v>
      </c>
      <c r="C10106" s="141" t="s">
        <v>45</v>
      </c>
    </row>
    <row r="10107" spans="1:3" x14ac:dyDescent="0.35">
      <c r="A10107" s="141" t="s">
        <v>1128</v>
      </c>
      <c r="B10107" s="141" t="s">
        <v>339</v>
      </c>
      <c r="C10107" s="141" t="s">
        <v>45</v>
      </c>
    </row>
    <row r="10108" spans="1:3" x14ac:dyDescent="0.35">
      <c r="A10108" s="141" t="s">
        <v>1128</v>
      </c>
      <c r="B10108" s="141" t="s">
        <v>1051</v>
      </c>
      <c r="C10108" s="141" t="s">
        <v>45</v>
      </c>
    </row>
    <row r="10109" spans="1:3" x14ac:dyDescent="0.35">
      <c r="A10109" s="141" t="s">
        <v>1128</v>
      </c>
      <c r="B10109" s="141" t="s">
        <v>1059</v>
      </c>
      <c r="C10109" s="141" t="s">
        <v>45</v>
      </c>
    </row>
    <row r="10110" spans="1:3" x14ac:dyDescent="0.35">
      <c r="A10110" s="141" t="s">
        <v>1128</v>
      </c>
      <c r="B10110" s="141" t="s">
        <v>1109</v>
      </c>
      <c r="C10110" s="141" t="s">
        <v>45</v>
      </c>
    </row>
    <row r="10111" spans="1:3" x14ac:dyDescent="0.35">
      <c r="A10111" s="141" t="s">
        <v>1128</v>
      </c>
      <c r="B10111" s="141" t="s">
        <v>1111</v>
      </c>
      <c r="C10111" s="141" t="s">
        <v>45</v>
      </c>
    </row>
    <row r="10112" spans="1:3" x14ac:dyDescent="0.35">
      <c r="A10112" s="141" t="s">
        <v>1128</v>
      </c>
      <c r="B10112" s="141" t="s">
        <v>1112</v>
      </c>
      <c r="C10112" s="141" t="s">
        <v>45</v>
      </c>
    </row>
    <row r="10113" spans="1:3" x14ac:dyDescent="0.35">
      <c r="A10113" s="141" t="s">
        <v>1129</v>
      </c>
      <c r="B10113" s="141" t="s">
        <v>289</v>
      </c>
      <c r="C10113" s="141" t="s">
        <v>46</v>
      </c>
    </row>
    <row r="10114" spans="1:3" x14ac:dyDescent="0.35">
      <c r="A10114" s="141" t="s">
        <v>1129</v>
      </c>
      <c r="B10114" s="141" t="s">
        <v>279</v>
      </c>
      <c r="C10114" s="141" t="s">
        <v>46</v>
      </c>
    </row>
    <row r="10115" spans="1:3" x14ac:dyDescent="0.35">
      <c r="A10115" s="141" t="s">
        <v>1129</v>
      </c>
      <c r="B10115" s="141" t="s">
        <v>280</v>
      </c>
      <c r="C10115" s="141" t="s">
        <v>46</v>
      </c>
    </row>
    <row r="10116" spans="1:3" x14ac:dyDescent="0.35">
      <c r="A10116" s="141" t="s">
        <v>1129</v>
      </c>
      <c r="B10116" s="141" t="s">
        <v>281</v>
      </c>
      <c r="C10116" s="141" t="s">
        <v>46</v>
      </c>
    </row>
    <row r="10117" spans="1:3" x14ac:dyDescent="0.35">
      <c r="A10117" s="141" t="s">
        <v>1129</v>
      </c>
      <c r="B10117" s="141" t="s">
        <v>282</v>
      </c>
      <c r="C10117" s="141" t="s">
        <v>46</v>
      </c>
    </row>
    <row r="10118" spans="1:3" x14ac:dyDescent="0.35">
      <c r="A10118" s="141" t="s">
        <v>1129</v>
      </c>
      <c r="B10118" s="141" t="s">
        <v>263</v>
      </c>
      <c r="C10118" s="141" t="s">
        <v>46</v>
      </c>
    </row>
    <row r="10119" spans="1:3" x14ac:dyDescent="0.35">
      <c r="A10119" s="141" t="s">
        <v>1129</v>
      </c>
      <c r="B10119" s="141" t="s">
        <v>264</v>
      </c>
      <c r="C10119" s="141" t="s">
        <v>46</v>
      </c>
    </row>
    <row r="10120" spans="1:3" x14ac:dyDescent="0.35">
      <c r="A10120" s="141" t="s">
        <v>1129</v>
      </c>
      <c r="B10120" s="141" t="s">
        <v>265</v>
      </c>
      <c r="C10120" s="141" t="s">
        <v>46</v>
      </c>
    </row>
    <row r="10121" spans="1:3" x14ac:dyDescent="0.35">
      <c r="A10121" s="141" t="s">
        <v>1129</v>
      </c>
      <c r="B10121" s="141" t="s">
        <v>266</v>
      </c>
      <c r="C10121" s="141" t="s">
        <v>46</v>
      </c>
    </row>
    <row r="10122" spans="1:3" x14ac:dyDescent="0.35">
      <c r="A10122" s="141" t="s">
        <v>1129</v>
      </c>
      <c r="B10122" s="141" t="s">
        <v>267</v>
      </c>
      <c r="C10122" s="141" t="s">
        <v>46</v>
      </c>
    </row>
    <row r="10123" spans="1:3" x14ac:dyDescent="0.35">
      <c r="A10123" s="141" t="s">
        <v>1129</v>
      </c>
      <c r="B10123" s="141" t="s">
        <v>268</v>
      </c>
      <c r="C10123" s="141" t="s">
        <v>46</v>
      </c>
    </row>
    <row r="10124" spans="1:3" x14ac:dyDescent="0.35">
      <c r="A10124" s="141" t="s">
        <v>1129</v>
      </c>
      <c r="B10124" s="141" t="s">
        <v>269</v>
      </c>
      <c r="C10124" s="141" t="s">
        <v>46</v>
      </c>
    </row>
    <row r="10125" spans="1:3" x14ac:dyDescent="0.35">
      <c r="A10125" s="141" t="s">
        <v>1129</v>
      </c>
      <c r="B10125" s="141" t="s">
        <v>270</v>
      </c>
      <c r="C10125" s="141" t="s">
        <v>46</v>
      </c>
    </row>
    <row r="10126" spans="1:3" x14ac:dyDescent="0.35">
      <c r="A10126" s="141" t="s">
        <v>1129</v>
      </c>
      <c r="B10126" s="141" t="s">
        <v>272</v>
      </c>
      <c r="C10126" s="141" t="s">
        <v>46</v>
      </c>
    </row>
    <row r="10127" spans="1:3" x14ac:dyDescent="0.35">
      <c r="A10127" s="141" t="s">
        <v>1129</v>
      </c>
      <c r="B10127" s="141" t="s">
        <v>273</v>
      </c>
      <c r="C10127" s="141" t="s">
        <v>46</v>
      </c>
    </row>
    <row r="10128" spans="1:3" x14ac:dyDescent="0.35">
      <c r="A10128" s="141" t="s">
        <v>1129</v>
      </c>
      <c r="B10128" s="141" t="s">
        <v>274</v>
      </c>
      <c r="C10128" s="141" t="s">
        <v>46</v>
      </c>
    </row>
    <row r="10129" spans="1:3" x14ac:dyDescent="0.35">
      <c r="A10129" s="141" t="s">
        <v>1129</v>
      </c>
      <c r="B10129" s="141" t="s">
        <v>275</v>
      </c>
      <c r="C10129" s="141" t="s">
        <v>46</v>
      </c>
    </row>
    <row r="10130" spans="1:3" x14ac:dyDescent="0.35">
      <c r="A10130" s="141" t="s">
        <v>1129</v>
      </c>
      <c r="B10130" s="141" t="s">
        <v>342</v>
      </c>
      <c r="C10130" s="141" t="s">
        <v>46</v>
      </c>
    </row>
    <row r="10131" spans="1:3" x14ac:dyDescent="0.35">
      <c r="A10131" s="141" t="s">
        <v>1129</v>
      </c>
      <c r="B10131" s="141" t="s">
        <v>341</v>
      </c>
      <c r="C10131" s="141" t="s">
        <v>46</v>
      </c>
    </row>
    <row r="10132" spans="1:3" x14ac:dyDescent="0.35">
      <c r="A10132" s="141" t="s">
        <v>1129</v>
      </c>
      <c r="B10132" s="141" t="s">
        <v>340</v>
      </c>
      <c r="C10132" s="141" t="s">
        <v>46</v>
      </c>
    </row>
    <row r="10133" spans="1:3" x14ac:dyDescent="0.35">
      <c r="A10133" s="141" t="s">
        <v>1129</v>
      </c>
      <c r="B10133" s="141" t="s">
        <v>339</v>
      </c>
      <c r="C10133" s="141" t="s">
        <v>46</v>
      </c>
    </row>
    <row r="10134" spans="1:3" x14ac:dyDescent="0.35">
      <c r="A10134" s="141" t="s">
        <v>1129</v>
      </c>
      <c r="B10134" s="141" t="s">
        <v>1051</v>
      </c>
      <c r="C10134" s="141" t="s">
        <v>46</v>
      </c>
    </row>
    <row r="10135" spans="1:3" x14ac:dyDescent="0.35">
      <c r="A10135" s="141" t="s">
        <v>1129</v>
      </c>
      <c r="B10135" s="141" t="s">
        <v>1059</v>
      </c>
      <c r="C10135" s="141" t="s">
        <v>46</v>
      </c>
    </row>
    <row r="10136" spans="1:3" x14ac:dyDescent="0.35">
      <c r="A10136" s="141" t="s">
        <v>1129</v>
      </c>
      <c r="B10136" s="141" t="s">
        <v>1109</v>
      </c>
      <c r="C10136" s="141" t="s">
        <v>46</v>
      </c>
    </row>
    <row r="10137" spans="1:3" x14ac:dyDescent="0.35">
      <c r="A10137" s="141" t="s">
        <v>1129</v>
      </c>
      <c r="B10137" s="141" t="s">
        <v>1111</v>
      </c>
      <c r="C10137" s="141" t="s">
        <v>46</v>
      </c>
    </row>
    <row r="10138" spans="1:3" x14ac:dyDescent="0.35">
      <c r="A10138" s="141" t="s">
        <v>1129</v>
      </c>
      <c r="B10138" s="141" t="s">
        <v>1112</v>
      </c>
      <c r="C10138" s="141" t="s">
        <v>46</v>
      </c>
    </row>
    <row r="10139" spans="1:3" x14ac:dyDescent="0.35">
      <c r="A10139" s="141" t="s">
        <v>1130</v>
      </c>
      <c r="B10139" s="141" t="s">
        <v>289</v>
      </c>
      <c r="C10139" s="141" t="s">
        <v>46</v>
      </c>
    </row>
    <row r="10140" spans="1:3" x14ac:dyDescent="0.35">
      <c r="A10140" s="141" t="s">
        <v>1130</v>
      </c>
      <c r="B10140" s="141" t="s">
        <v>279</v>
      </c>
      <c r="C10140" s="141" t="s">
        <v>46</v>
      </c>
    </row>
    <row r="10141" spans="1:3" x14ac:dyDescent="0.35">
      <c r="A10141" s="141" t="s">
        <v>1130</v>
      </c>
      <c r="B10141" s="141" t="s">
        <v>280</v>
      </c>
      <c r="C10141" s="141" t="s">
        <v>46</v>
      </c>
    </row>
    <row r="10142" spans="1:3" x14ac:dyDescent="0.35">
      <c r="A10142" s="141" t="s">
        <v>1130</v>
      </c>
      <c r="B10142" s="141" t="s">
        <v>281</v>
      </c>
      <c r="C10142" s="141" t="s">
        <v>46</v>
      </c>
    </row>
    <row r="10143" spans="1:3" x14ac:dyDescent="0.35">
      <c r="A10143" s="141" t="s">
        <v>1130</v>
      </c>
      <c r="B10143" s="141" t="s">
        <v>282</v>
      </c>
      <c r="C10143" s="141" t="s">
        <v>46</v>
      </c>
    </row>
    <row r="10144" spans="1:3" x14ac:dyDescent="0.35">
      <c r="A10144" s="141" t="s">
        <v>1130</v>
      </c>
      <c r="B10144" s="141" t="s">
        <v>263</v>
      </c>
      <c r="C10144" s="141" t="s">
        <v>46</v>
      </c>
    </row>
    <row r="10145" spans="1:3" x14ac:dyDescent="0.35">
      <c r="A10145" s="141" t="s">
        <v>1130</v>
      </c>
      <c r="B10145" s="141" t="s">
        <v>264</v>
      </c>
      <c r="C10145" s="141" t="s">
        <v>46</v>
      </c>
    </row>
    <row r="10146" spans="1:3" x14ac:dyDescent="0.35">
      <c r="A10146" s="141" t="s">
        <v>1130</v>
      </c>
      <c r="B10146" s="141" t="s">
        <v>265</v>
      </c>
      <c r="C10146" s="141" t="s">
        <v>46</v>
      </c>
    </row>
    <row r="10147" spans="1:3" x14ac:dyDescent="0.35">
      <c r="A10147" s="141" t="s">
        <v>1130</v>
      </c>
      <c r="B10147" s="141" t="s">
        <v>266</v>
      </c>
      <c r="C10147" s="141" t="s">
        <v>46</v>
      </c>
    </row>
    <row r="10148" spans="1:3" x14ac:dyDescent="0.35">
      <c r="A10148" s="141" t="s">
        <v>1130</v>
      </c>
      <c r="B10148" s="141" t="s">
        <v>267</v>
      </c>
      <c r="C10148" s="141" t="s">
        <v>46</v>
      </c>
    </row>
    <row r="10149" spans="1:3" x14ac:dyDescent="0.35">
      <c r="A10149" s="141" t="s">
        <v>1130</v>
      </c>
      <c r="B10149" s="141" t="s">
        <v>268</v>
      </c>
      <c r="C10149" s="141" t="s">
        <v>46</v>
      </c>
    </row>
    <row r="10150" spans="1:3" x14ac:dyDescent="0.35">
      <c r="A10150" s="141" t="s">
        <v>1130</v>
      </c>
      <c r="B10150" s="141" t="s">
        <v>269</v>
      </c>
      <c r="C10150" s="141" t="s">
        <v>46</v>
      </c>
    </row>
    <row r="10151" spans="1:3" x14ac:dyDescent="0.35">
      <c r="A10151" s="141" t="s">
        <v>1130</v>
      </c>
      <c r="B10151" s="141" t="s">
        <v>270</v>
      </c>
      <c r="C10151" s="141" t="s">
        <v>46</v>
      </c>
    </row>
    <row r="10152" spans="1:3" x14ac:dyDescent="0.35">
      <c r="A10152" s="141" t="s">
        <v>1130</v>
      </c>
      <c r="B10152" s="141" t="s">
        <v>272</v>
      </c>
      <c r="C10152" s="141" t="s">
        <v>46</v>
      </c>
    </row>
    <row r="10153" spans="1:3" x14ac:dyDescent="0.35">
      <c r="A10153" s="141" t="s">
        <v>1130</v>
      </c>
      <c r="B10153" s="141" t="s">
        <v>273</v>
      </c>
      <c r="C10153" s="141" t="s">
        <v>46</v>
      </c>
    </row>
    <row r="10154" spans="1:3" x14ac:dyDescent="0.35">
      <c r="A10154" s="141" t="s">
        <v>1130</v>
      </c>
      <c r="B10154" s="141" t="s">
        <v>274</v>
      </c>
      <c r="C10154" s="141" t="s">
        <v>46</v>
      </c>
    </row>
    <row r="10155" spans="1:3" x14ac:dyDescent="0.35">
      <c r="A10155" s="141" t="s">
        <v>1130</v>
      </c>
      <c r="B10155" s="141" t="s">
        <v>275</v>
      </c>
      <c r="C10155" s="141" t="s">
        <v>46</v>
      </c>
    </row>
    <row r="10156" spans="1:3" x14ac:dyDescent="0.35">
      <c r="A10156" s="141" t="s">
        <v>1130</v>
      </c>
      <c r="B10156" s="141" t="s">
        <v>342</v>
      </c>
      <c r="C10156" s="141" t="s">
        <v>46</v>
      </c>
    </row>
    <row r="10157" spans="1:3" x14ac:dyDescent="0.35">
      <c r="A10157" s="141" t="s">
        <v>1130</v>
      </c>
      <c r="B10157" s="141" t="s">
        <v>341</v>
      </c>
      <c r="C10157" s="141" t="s">
        <v>46</v>
      </c>
    </row>
    <row r="10158" spans="1:3" x14ac:dyDescent="0.35">
      <c r="A10158" s="141" t="s">
        <v>1130</v>
      </c>
      <c r="B10158" s="141" t="s">
        <v>340</v>
      </c>
      <c r="C10158" s="141" t="s">
        <v>46</v>
      </c>
    </row>
    <row r="10159" spans="1:3" x14ac:dyDescent="0.35">
      <c r="A10159" s="141" t="s">
        <v>1130</v>
      </c>
      <c r="B10159" s="141" t="s">
        <v>339</v>
      </c>
      <c r="C10159" s="141" t="s">
        <v>46</v>
      </c>
    </row>
    <row r="10160" spans="1:3" x14ac:dyDescent="0.35">
      <c r="A10160" s="141" t="s">
        <v>1130</v>
      </c>
      <c r="B10160" s="141" t="s">
        <v>1051</v>
      </c>
      <c r="C10160" s="141" t="s">
        <v>46</v>
      </c>
    </row>
    <row r="10161" spans="1:3" x14ac:dyDescent="0.35">
      <c r="A10161" s="141" t="s">
        <v>1130</v>
      </c>
      <c r="B10161" s="141" t="s">
        <v>1059</v>
      </c>
      <c r="C10161" s="141" t="s">
        <v>46</v>
      </c>
    </row>
    <row r="10162" spans="1:3" x14ac:dyDescent="0.35">
      <c r="A10162" s="141" t="s">
        <v>1130</v>
      </c>
      <c r="B10162" s="141" t="s">
        <v>1109</v>
      </c>
      <c r="C10162" s="141" t="s">
        <v>46</v>
      </c>
    </row>
    <row r="10163" spans="1:3" x14ac:dyDescent="0.35">
      <c r="A10163" s="141" t="s">
        <v>1130</v>
      </c>
      <c r="B10163" s="141" t="s">
        <v>1111</v>
      </c>
      <c r="C10163" s="141" t="s">
        <v>46</v>
      </c>
    </row>
    <row r="10164" spans="1:3" x14ac:dyDescent="0.35">
      <c r="A10164" s="141" t="s">
        <v>1130</v>
      </c>
      <c r="B10164" s="141" t="s">
        <v>1112</v>
      </c>
      <c r="C10164" s="141" t="s">
        <v>46</v>
      </c>
    </row>
    <row r="10165" spans="1:3" x14ac:dyDescent="0.35">
      <c r="A10165" s="141" t="s">
        <v>1131</v>
      </c>
      <c r="B10165" s="141" t="s">
        <v>289</v>
      </c>
      <c r="C10165" s="141" t="s">
        <v>45</v>
      </c>
    </row>
    <row r="10166" spans="1:3" x14ac:dyDescent="0.35">
      <c r="A10166" s="141" t="s">
        <v>1131</v>
      </c>
      <c r="B10166" s="141" t="s">
        <v>279</v>
      </c>
      <c r="C10166" s="141" t="s">
        <v>45</v>
      </c>
    </row>
    <row r="10167" spans="1:3" x14ac:dyDescent="0.35">
      <c r="A10167" s="141" t="s">
        <v>1131</v>
      </c>
      <c r="B10167" s="141" t="s">
        <v>280</v>
      </c>
      <c r="C10167" s="141" t="s">
        <v>45</v>
      </c>
    </row>
    <row r="10168" spans="1:3" x14ac:dyDescent="0.35">
      <c r="A10168" s="141" t="s">
        <v>1131</v>
      </c>
      <c r="B10168" s="141" t="s">
        <v>281</v>
      </c>
      <c r="C10168" s="141" t="s">
        <v>45</v>
      </c>
    </row>
    <row r="10169" spans="1:3" x14ac:dyDescent="0.35">
      <c r="A10169" s="141" t="s">
        <v>1131</v>
      </c>
      <c r="B10169" s="141" t="s">
        <v>282</v>
      </c>
      <c r="C10169" s="141" t="s">
        <v>45</v>
      </c>
    </row>
    <row r="10170" spans="1:3" x14ac:dyDescent="0.35">
      <c r="A10170" s="141" t="s">
        <v>1131</v>
      </c>
      <c r="B10170" s="141" t="s">
        <v>263</v>
      </c>
      <c r="C10170" s="141" t="s">
        <v>45</v>
      </c>
    </row>
    <row r="10171" spans="1:3" x14ac:dyDescent="0.35">
      <c r="A10171" s="141" t="s">
        <v>1131</v>
      </c>
      <c r="B10171" s="141" t="s">
        <v>264</v>
      </c>
      <c r="C10171" s="141" t="s">
        <v>45</v>
      </c>
    </row>
    <row r="10172" spans="1:3" x14ac:dyDescent="0.35">
      <c r="A10172" s="141" t="s">
        <v>1131</v>
      </c>
      <c r="B10172" s="141" t="s">
        <v>265</v>
      </c>
      <c r="C10172" s="141" t="s">
        <v>45</v>
      </c>
    </row>
    <row r="10173" spans="1:3" x14ac:dyDescent="0.35">
      <c r="A10173" s="141" t="s">
        <v>1131</v>
      </c>
      <c r="B10173" s="141" t="s">
        <v>266</v>
      </c>
      <c r="C10173" s="141" t="s">
        <v>45</v>
      </c>
    </row>
    <row r="10174" spans="1:3" x14ac:dyDescent="0.35">
      <c r="A10174" s="141" t="s">
        <v>1131</v>
      </c>
      <c r="B10174" s="141" t="s">
        <v>267</v>
      </c>
      <c r="C10174" s="141" t="s">
        <v>45</v>
      </c>
    </row>
    <row r="10175" spans="1:3" x14ac:dyDescent="0.35">
      <c r="A10175" s="141" t="s">
        <v>1131</v>
      </c>
      <c r="B10175" s="141" t="s">
        <v>268</v>
      </c>
      <c r="C10175" s="141" t="s">
        <v>45</v>
      </c>
    </row>
    <row r="10176" spans="1:3" x14ac:dyDescent="0.35">
      <c r="A10176" s="141" t="s">
        <v>1131</v>
      </c>
      <c r="B10176" s="141" t="s">
        <v>269</v>
      </c>
      <c r="C10176" s="141" t="s">
        <v>45</v>
      </c>
    </row>
    <row r="10177" spans="1:3" x14ac:dyDescent="0.35">
      <c r="A10177" s="141" t="s">
        <v>1131</v>
      </c>
      <c r="B10177" s="141" t="s">
        <v>270</v>
      </c>
      <c r="C10177" s="141" t="s">
        <v>45</v>
      </c>
    </row>
    <row r="10178" spans="1:3" x14ac:dyDescent="0.35">
      <c r="A10178" s="141" t="s">
        <v>1131</v>
      </c>
      <c r="B10178" s="141" t="s">
        <v>272</v>
      </c>
      <c r="C10178" s="141" t="s">
        <v>45</v>
      </c>
    </row>
    <row r="10179" spans="1:3" x14ac:dyDescent="0.35">
      <c r="A10179" s="141" t="s">
        <v>1131</v>
      </c>
      <c r="B10179" s="141" t="s">
        <v>273</v>
      </c>
      <c r="C10179" s="141" t="s">
        <v>45</v>
      </c>
    </row>
    <row r="10180" spans="1:3" x14ac:dyDescent="0.35">
      <c r="A10180" s="141" t="s">
        <v>1131</v>
      </c>
      <c r="B10180" s="141" t="s">
        <v>274</v>
      </c>
      <c r="C10180" s="141" t="s">
        <v>45</v>
      </c>
    </row>
    <row r="10181" spans="1:3" x14ac:dyDescent="0.35">
      <c r="A10181" s="141" t="s">
        <v>1131</v>
      </c>
      <c r="B10181" s="141" t="s">
        <v>275</v>
      </c>
      <c r="C10181" s="141" t="s">
        <v>45</v>
      </c>
    </row>
    <row r="10182" spans="1:3" x14ac:dyDescent="0.35">
      <c r="A10182" s="141" t="s">
        <v>1131</v>
      </c>
      <c r="B10182" s="141" t="s">
        <v>342</v>
      </c>
      <c r="C10182" s="141" t="s">
        <v>45</v>
      </c>
    </row>
    <row r="10183" spans="1:3" x14ac:dyDescent="0.35">
      <c r="A10183" s="141" t="s">
        <v>1131</v>
      </c>
      <c r="B10183" s="141" t="s">
        <v>341</v>
      </c>
      <c r="C10183" s="141" t="s">
        <v>45</v>
      </c>
    </row>
    <row r="10184" spans="1:3" x14ac:dyDescent="0.35">
      <c r="A10184" s="141" t="s">
        <v>1131</v>
      </c>
      <c r="B10184" s="141" t="s">
        <v>340</v>
      </c>
      <c r="C10184" s="141" t="s">
        <v>45</v>
      </c>
    </row>
    <row r="10185" spans="1:3" x14ac:dyDescent="0.35">
      <c r="A10185" s="141" t="s">
        <v>1131</v>
      </c>
      <c r="B10185" s="141" t="s">
        <v>339</v>
      </c>
      <c r="C10185" s="141" t="s">
        <v>45</v>
      </c>
    </row>
    <row r="10186" spans="1:3" x14ac:dyDescent="0.35">
      <c r="A10186" s="141" t="s">
        <v>1131</v>
      </c>
      <c r="B10186" s="141" t="s">
        <v>1051</v>
      </c>
      <c r="C10186" s="141" t="s">
        <v>45</v>
      </c>
    </row>
    <row r="10187" spans="1:3" x14ac:dyDescent="0.35">
      <c r="A10187" s="141" t="s">
        <v>1131</v>
      </c>
      <c r="B10187" s="141" t="s">
        <v>1059</v>
      </c>
      <c r="C10187" s="141" t="s">
        <v>45</v>
      </c>
    </row>
    <row r="10188" spans="1:3" x14ac:dyDescent="0.35">
      <c r="A10188" s="141" t="s">
        <v>1131</v>
      </c>
      <c r="B10188" s="141" t="s">
        <v>1109</v>
      </c>
      <c r="C10188" s="141" t="s">
        <v>45</v>
      </c>
    </row>
    <row r="10189" spans="1:3" x14ac:dyDescent="0.35">
      <c r="A10189" s="141" t="s">
        <v>1131</v>
      </c>
      <c r="B10189" s="141" t="s">
        <v>1111</v>
      </c>
      <c r="C10189" s="141" t="s">
        <v>45</v>
      </c>
    </row>
    <row r="10190" spans="1:3" x14ac:dyDescent="0.35">
      <c r="A10190" s="141" t="s">
        <v>1131</v>
      </c>
      <c r="B10190" s="141" t="s">
        <v>1112</v>
      </c>
      <c r="C10190" s="141" t="s">
        <v>45</v>
      </c>
    </row>
    <row r="10191" spans="1:3" x14ac:dyDescent="0.35">
      <c r="A10191" s="141" t="s">
        <v>1132</v>
      </c>
      <c r="B10191" s="141" t="s">
        <v>289</v>
      </c>
      <c r="C10191" s="141" t="s">
        <v>46</v>
      </c>
    </row>
    <row r="10192" spans="1:3" x14ac:dyDescent="0.35">
      <c r="A10192" s="141" t="s">
        <v>1132</v>
      </c>
      <c r="B10192" s="141" t="s">
        <v>279</v>
      </c>
      <c r="C10192" s="141" t="s">
        <v>46</v>
      </c>
    </row>
    <row r="10193" spans="1:3" x14ac:dyDescent="0.35">
      <c r="A10193" s="141" t="s">
        <v>1132</v>
      </c>
      <c r="B10193" s="141" t="s">
        <v>280</v>
      </c>
      <c r="C10193" s="141" t="s">
        <v>46</v>
      </c>
    </row>
    <row r="10194" spans="1:3" x14ac:dyDescent="0.35">
      <c r="A10194" s="141" t="s">
        <v>1132</v>
      </c>
      <c r="B10194" s="141" t="s">
        <v>281</v>
      </c>
      <c r="C10194" s="141" t="s">
        <v>46</v>
      </c>
    </row>
    <row r="10195" spans="1:3" x14ac:dyDescent="0.35">
      <c r="A10195" s="141" t="s">
        <v>1132</v>
      </c>
      <c r="B10195" s="141" t="s">
        <v>282</v>
      </c>
      <c r="C10195" s="141" t="s">
        <v>46</v>
      </c>
    </row>
    <row r="10196" spans="1:3" x14ac:dyDescent="0.35">
      <c r="A10196" s="141" t="s">
        <v>1132</v>
      </c>
      <c r="B10196" s="141" t="s">
        <v>263</v>
      </c>
      <c r="C10196" s="141" t="s">
        <v>46</v>
      </c>
    </row>
    <row r="10197" spans="1:3" x14ac:dyDescent="0.35">
      <c r="A10197" s="141" t="s">
        <v>1132</v>
      </c>
      <c r="B10197" s="141" t="s">
        <v>264</v>
      </c>
      <c r="C10197" s="141" t="s">
        <v>46</v>
      </c>
    </row>
    <row r="10198" spans="1:3" x14ac:dyDescent="0.35">
      <c r="A10198" s="141" t="s">
        <v>1132</v>
      </c>
      <c r="B10198" s="141" t="s">
        <v>265</v>
      </c>
      <c r="C10198" s="141" t="s">
        <v>46</v>
      </c>
    </row>
    <row r="10199" spans="1:3" x14ac:dyDescent="0.35">
      <c r="A10199" s="141" t="s">
        <v>1132</v>
      </c>
      <c r="B10199" s="141" t="s">
        <v>266</v>
      </c>
      <c r="C10199" s="141" t="s">
        <v>46</v>
      </c>
    </row>
    <row r="10200" spans="1:3" x14ac:dyDescent="0.35">
      <c r="A10200" s="141" t="s">
        <v>1132</v>
      </c>
      <c r="B10200" s="141" t="s">
        <v>267</v>
      </c>
      <c r="C10200" s="141" t="s">
        <v>46</v>
      </c>
    </row>
    <row r="10201" spans="1:3" x14ac:dyDescent="0.35">
      <c r="A10201" s="141" t="s">
        <v>1132</v>
      </c>
      <c r="B10201" s="141" t="s">
        <v>268</v>
      </c>
      <c r="C10201" s="141" t="s">
        <v>46</v>
      </c>
    </row>
    <row r="10202" spans="1:3" x14ac:dyDescent="0.35">
      <c r="A10202" s="141" t="s">
        <v>1132</v>
      </c>
      <c r="B10202" s="141" t="s">
        <v>269</v>
      </c>
      <c r="C10202" s="141" t="s">
        <v>46</v>
      </c>
    </row>
    <row r="10203" spans="1:3" x14ac:dyDescent="0.35">
      <c r="A10203" s="141" t="s">
        <v>1132</v>
      </c>
      <c r="B10203" s="141" t="s">
        <v>270</v>
      </c>
      <c r="C10203" s="141" t="s">
        <v>46</v>
      </c>
    </row>
    <row r="10204" spans="1:3" x14ac:dyDescent="0.35">
      <c r="A10204" s="141" t="s">
        <v>1132</v>
      </c>
      <c r="B10204" s="141" t="s">
        <v>272</v>
      </c>
      <c r="C10204" s="141" t="s">
        <v>46</v>
      </c>
    </row>
    <row r="10205" spans="1:3" x14ac:dyDescent="0.35">
      <c r="A10205" s="141" t="s">
        <v>1132</v>
      </c>
      <c r="B10205" s="141" t="s">
        <v>273</v>
      </c>
      <c r="C10205" s="141" t="s">
        <v>46</v>
      </c>
    </row>
    <row r="10206" spans="1:3" x14ac:dyDescent="0.35">
      <c r="A10206" s="141" t="s">
        <v>1132</v>
      </c>
      <c r="B10206" s="141" t="s">
        <v>274</v>
      </c>
      <c r="C10206" s="141" t="s">
        <v>46</v>
      </c>
    </row>
    <row r="10207" spans="1:3" x14ac:dyDescent="0.35">
      <c r="A10207" s="141" t="s">
        <v>1132</v>
      </c>
      <c r="B10207" s="141" t="s">
        <v>275</v>
      </c>
      <c r="C10207" s="141" t="s">
        <v>46</v>
      </c>
    </row>
    <row r="10208" spans="1:3" x14ac:dyDescent="0.35">
      <c r="A10208" s="141" t="s">
        <v>1132</v>
      </c>
      <c r="B10208" s="141" t="s">
        <v>342</v>
      </c>
      <c r="C10208" s="141" t="s">
        <v>46</v>
      </c>
    </row>
    <row r="10209" spans="1:3" x14ac:dyDescent="0.35">
      <c r="A10209" s="141" t="s">
        <v>1132</v>
      </c>
      <c r="B10209" s="141" t="s">
        <v>341</v>
      </c>
      <c r="C10209" s="141" t="s">
        <v>46</v>
      </c>
    </row>
    <row r="10210" spans="1:3" x14ac:dyDescent="0.35">
      <c r="A10210" s="141" t="s">
        <v>1132</v>
      </c>
      <c r="B10210" s="141" t="s">
        <v>340</v>
      </c>
      <c r="C10210" s="141" t="s">
        <v>46</v>
      </c>
    </row>
    <row r="10211" spans="1:3" x14ac:dyDescent="0.35">
      <c r="A10211" s="141" t="s">
        <v>1132</v>
      </c>
      <c r="B10211" s="141" t="s">
        <v>339</v>
      </c>
      <c r="C10211" s="141" t="s">
        <v>46</v>
      </c>
    </row>
    <row r="10212" spans="1:3" x14ac:dyDescent="0.35">
      <c r="A10212" s="141" t="s">
        <v>1132</v>
      </c>
      <c r="B10212" s="141" t="s">
        <v>1051</v>
      </c>
      <c r="C10212" s="141" t="s">
        <v>46</v>
      </c>
    </row>
    <row r="10213" spans="1:3" x14ac:dyDescent="0.35">
      <c r="A10213" s="141" t="s">
        <v>1132</v>
      </c>
      <c r="B10213" s="141" t="s">
        <v>1059</v>
      </c>
      <c r="C10213" s="141" t="s">
        <v>46</v>
      </c>
    </row>
    <row r="10214" spans="1:3" x14ac:dyDescent="0.35">
      <c r="A10214" s="141" t="s">
        <v>1132</v>
      </c>
      <c r="B10214" s="141" t="s">
        <v>1109</v>
      </c>
      <c r="C10214" s="141" t="s">
        <v>46</v>
      </c>
    </row>
    <row r="10215" spans="1:3" x14ac:dyDescent="0.35">
      <c r="A10215" s="141" t="s">
        <v>1132</v>
      </c>
      <c r="B10215" s="141" t="s">
        <v>1111</v>
      </c>
      <c r="C10215" s="141" t="s">
        <v>46</v>
      </c>
    </row>
    <row r="10216" spans="1:3" x14ac:dyDescent="0.35">
      <c r="A10216" s="141" t="s">
        <v>1132</v>
      </c>
      <c r="B10216" s="141" t="s">
        <v>1112</v>
      </c>
      <c r="C10216" s="141" t="s">
        <v>46</v>
      </c>
    </row>
    <row r="10217" spans="1:3" x14ac:dyDescent="0.35">
      <c r="A10217" s="141" t="s">
        <v>1133</v>
      </c>
      <c r="B10217" s="141" t="s">
        <v>289</v>
      </c>
      <c r="C10217" s="141" t="s">
        <v>45</v>
      </c>
    </row>
    <row r="10218" spans="1:3" x14ac:dyDescent="0.35">
      <c r="A10218" s="141" t="s">
        <v>1133</v>
      </c>
      <c r="B10218" s="141" t="s">
        <v>279</v>
      </c>
      <c r="C10218" s="141" t="s">
        <v>45</v>
      </c>
    </row>
    <row r="10219" spans="1:3" x14ac:dyDescent="0.35">
      <c r="A10219" s="141" t="s">
        <v>1133</v>
      </c>
      <c r="B10219" s="141" t="s">
        <v>280</v>
      </c>
      <c r="C10219" s="141" t="s">
        <v>45</v>
      </c>
    </row>
    <row r="10220" spans="1:3" x14ac:dyDescent="0.35">
      <c r="A10220" s="141" t="s">
        <v>1133</v>
      </c>
      <c r="B10220" s="141" t="s">
        <v>281</v>
      </c>
      <c r="C10220" s="141" t="s">
        <v>45</v>
      </c>
    </row>
    <row r="10221" spans="1:3" x14ac:dyDescent="0.35">
      <c r="A10221" s="141" t="s">
        <v>1133</v>
      </c>
      <c r="B10221" s="141" t="s">
        <v>282</v>
      </c>
      <c r="C10221" s="141" t="s">
        <v>45</v>
      </c>
    </row>
    <row r="10222" spans="1:3" x14ac:dyDescent="0.35">
      <c r="A10222" s="141" t="s">
        <v>1133</v>
      </c>
      <c r="B10222" s="141" t="s">
        <v>263</v>
      </c>
      <c r="C10222" s="141" t="s">
        <v>45</v>
      </c>
    </row>
    <row r="10223" spans="1:3" x14ac:dyDescent="0.35">
      <c r="A10223" s="141" t="s">
        <v>1133</v>
      </c>
      <c r="B10223" s="141" t="s">
        <v>264</v>
      </c>
      <c r="C10223" s="141" t="s">
        <v>45</v>
      </c>
    </row>
    <row r="10224" spans="1:3" x14ac:dyDescent="0.35">
      <c r="A10224" s="141" t="s">
        <v>1133</v>
      </c>
      <c r="B10224" s="141" t="s">
        <v>265</v>
      </c>
      <c r="C10224" s="141" t="s">
        <v>45</v>
      </c>
    </row>
    <row r="10225" spans="1:3" x14ac:dyDescent="0.35">
      <c r="A10225" s="141" t="s">
        <v>1133</v>
      </c>
      <c r="B10225" s="141" t="s">
        <v>266</v>
      </c>
      <c r="C10225" s="141" t="s">
        <v>45</v>
      </c>
    </row>
    <row r="10226" spans="1:3" x14ac:dyDescent="0.35">
      <c r="A10226" s="141" t="s">
        <v>1133</v>
      </c>
      <c r="B10226" s="141" t="s">
        <v>267</v>
      </c>
      <c r="C10226" s="141" t="s">
        <v>45</v>
      </c>
    </row>
    <row r="10227" spans="1:3" x14ac:dyDescent="0.35">
      <c r="A10227" s="141" t="s">
        <v>1133</v>
      </c>
      <c r="B10227" s="141" t="s">
        <v>268</v>
      </c>
      <c r="C10227" s="141" t="s">
        <v>45</v>
      </c>
    </row>
    <row r="10228" spans="1:3" x14ac:dyDescent="0.35">
      <c r="A10228" s="141" t="s">
        <v>1133</v>
      </c>
      <c r="B10228" s="141" t="s">
        <v>269</v>
      </c>
      <c r="C10228" s="141" t="s">
        <v>45</v>
      </c>
    </row>
    <row r="10229" spans="1:3" x14ac:dyDescent="0.35">
      <c r="A10229" s="141" t="s">
        <v>1133</v>
      </c>
      <c r="B10229" s="141" t="s">
        <v>270</v>
      </c>
      <c r="C10229" s="141" t="s">
        <v>45</v>
      </c>
    </row>
    <row r="10230" spans="1:3" x14ac:dyDescent="0.35">
      <c r="A10230" s="141" t="s">
        <v>1133</v>
      </c>
      <c r="B10230" s="141" t="s">
        <v>272</v>
      </c>
      <c r="C10230" s="141" t="s">
        <v>45</v>
      </c>
    </row>
    <row r="10231" spans="1:3" x14ac:dyDescent="0.35">
      <c r="A10231" s="141" t="s">
        <v>1133</v>
      </c>
      <c r="B10231" s="141" t="s">
        <v>273</v>
      </c>
      <c r="C10231" s="141" t="s">
        <v>45</v>
      </c>
    </row>
    <row r="10232" spans="1:3" x14ac:dyDescent="0.35">
      <c r="A10232" s="141" t="s">
        <v>1133</v>
      </c>
      <c r="B10232" s="141" t="s">
        <v>274</v>
      </c>
      <c r="C10232" s="141" t="s">
        <v>45</v>
      </c>
    </row>
    <row r="10233" spans="1:3" x14ac:dyDescent="0.35">
      <c r="A10233" s="141" t="s">
        <v>1133</v>
      </c>
      <c r="B10233" s="141" t="s">
        <v>275</v>
      </c>
      <c r="C10233" s="141" t="s">
        <v>45</v>
      </c>
    </row>
    <row r="10234" spans="1:3" x14ac:dyDescent="0.35">
      <c r="A10234" s="141" t="s">
        <v>1133</v>
      </c>
      <c r="B10234" s="141" t="s">
        <v>342</v>
      </c>
      <c r="C10234" s="141" t="s">
        <v>45</v>
      </c>
    </row>
    <row r="10235" spans="1:3" x14ac:dyDescent="0.35">
      <c r="A10235" s="141" t="s">
        <v>1133</v>
      </c>
      <c r="B10235" s="141" t="s">
        <v>341</v>
      </c>
      <c r="C10235" s="141" t="s">
        <v>45</v>
      </c>
    </row>
    <row r="10236" spans="1:3" x14ac:dyDescent="0.35">
      <c r="A10236" s="141" t="s">
        <v>1133</v>
      </c>
      <c r="B10236" s="141" t="s">
        <v>340</v>
      </c>
      <c r="C10236" s="141" t="s">
        <v>45</v>
      </c>
    </row>
    <row r="10237" spans="1:3" x14ac:dyDescent="0.35">
      <c r="A10237" s="141" t="s">
        <v>1133</v>
      </c>
      <c r="B10237" s="141" t="s">
        <v>339</v>
      </c>
      <c r="C10237" s="141" t="s">
        <v>45</v>
      </c>
    </row>
    <row r="10238" spans="1:3" x14ac:dyDescent="0.35">
      <c r="A10238" s="141" t="s">
        <v>1133</v>
      </c>
      <c r="B10238" s="141" t="s">
        <v>1051</v>
      </c>
      <c r="C10238" s="141" t="s">
        <v>45</v>
      </c>
    </row>
    <row r="10239" spans="1:3" x14ac:dyDescent="0.35">
      <c r="A10239" s="141" t="s">
        <v>1133</v>
      </c>
      <c r="B10239" s="141" t="s">
        <v>1059</v>
      </c>
      <c r="C10239" s="141" t="s">
        <v>45</v>
      </c>
    </row>
    <row r="10240" spans="1:3" x14ac:dyDescent="0.35">
      <c r="A10240" s="141" t="s">
        <v>1133</v>
      </c>
      <c r="B10240" s="141" t="s">
        <v>1109</v>
      </c>
      <c r="C10240" s="141" t="s">
        <v>45</v>
      </c>
    </row>
    <row r="10241" spans="1:3" x14ac:dyDescent="0.35">
      <c r="A10241" s="141" t="s">
        <v>1133</v>
      </c>
      <c r="B10241" s="141" t="s">
        <v>1111</v>
      </c>
      <c r="C10241" s="141" t="s">
        <v>45</v>
      </c>
    </row>
    <row r="10242" spans="1:3" x14ac:dyDescent="0.35">
      <c r="A10242" s="141" t="s">
        <v>1133</v>
      </c>
      <c r="B10242" s="141" t="s">
        <v>1112</v>
      </c>
      <c r="C10242" s="141" t="s">
        <v>45</v>
      </c>
    </row>
    <row r="10243" spans="1:3" x14ac:dyDescent="0.35">
      <c r="A10243" s="141" t="s">
        <v>1134</v>
      </c>
      <c r="B10243" s="141" t="s">
        <v>289</v>
      </c>
      <c r="C10243" s="141" t="s">
        <v>45</v>
      </c>
    </row>
    <row r="10244" spans="1:3" x14ac:dyDescent="0.35">
      <c r="A10244" s="141" t="s">
        <v>1134</v>
      </c>
      <c r="B10244" s="141" t="s">
        <v>279</v>
      </c>
      <c r="C10244" s="141" t="s">
        <v>45</v>
      </c>
    </row>
    <row r="10245" spans="1:3" x14ac:dyDescent="0.35">
      <c r="A10245" s="141" t="s">
        <v>1134</v>
      </c>
      <c r="B10245" s="141" t="s">
        <v>280</v>
      </c>
      <c r="C10245" s="141" t="s">
        <v>45</v>
      </c>
    </row>
    <row r="10246" spans="1:3" x14ac:dyDescent="0.35">
      <c r="A10246" s="141" t="s">
        <v>1134</v>
      </c>
      <c r="B10246" s="141" t="s">
        <v>281</v>
      </c>
      <c r="C10246" s="141" t="s">
        <v>45</v>
      </c>
    </row>
    <row r="10247" spans="1:3" x14ac:dyDescent="0.35">
      <c r="A10247" s="141" t="s">
        <v>1134</v>
      </c>
      <c r="B10247" s="141" t="s">
        <v>282</v>
      </c>
      <c r="C10247" s="141" t="s">
        <v>45</v>
      </c>
    </row>
    <row r="10248" spans="1:3" x14ac:dyDescent="0.35">
      <c r="A10248" s="141" t="s">
        <v>1134</v>
      </c>
      <c r="B10248" s="141" t="s">
        <v>263</v>
      </c>
      <c r="C10248" s="141" t="s">
        <v>45</v>
      </c>
    </row>
    <row r="10249" spans="1:3" x14ac:dyDescent="0.35">
      <c r="A10249" s="141" t="s">
        <v>1134</v>
      </c>
      <c r="B10249" s="141" t="s">
        <v>264</v>
      </c>
      <c r="C10249" s="141" t="s">
        <v>45</v>
      </c>
    </row>
    <row r="10250" spans="1:3" x14ac:dyDescent="0.35">
      <c r="A10250" s="141" t="s">
        <v>1134</v>
      </c>
      <c r="B10250" s="141" t="s">
        <v>265</v>
      </c>
      <c r="C10250" s="141" t="s">
        <v>45</v>
      </c>
    </row>
    <row r="10251" spans="1:3" x14ac:dyDescent="0.35">
      <c r="A10251" s="141" t="s">
        <v>1134</v>
      </c>
      <c r="B10251" s="141" t="s">
        <v>266</v>
      </c>
      <c r="C10251" s="141" t="s">
        <v>45</v>
      </c>
    </row>
    <row r="10252" spans="1:3" x14ac:dyDescent="0.35">
      <c r="A10252" s="141" t="s">
        <v>1134</v>
      </c>
      <c r="B10252" s="141" t="s">
        <v>267</v>
      </c>
      <c r="C10252" s="141" t="s">
        <v>45</v>
      </c>
    </row>
    <row r="10253" spans="1:3" x14ac:dyDescent="0.35">
      <c r="A10253" s="141" t="s">
        <v>1134</v>
      </c>
      <c r="B10253" s="141" t="s">
        <v>268</v>
      </c>
      <c r="C10253" s="141" t="s">
        <v>45</v>
      </c>
    </row>
    <row r="10254" spans="1:3" x14ac:dyDescent="0.35">
      <c r="A10254" s="141" t="s">
        <v>1134</v>
      </c>
      <c r="B10254" s="141" t="s">
        <v>269</v>
      </c>
      <c r="C10254" s="141" t="s">
        <v>45</v>
      </c>
    </row>
    <row r="10255" spans="1:3" x14ac:dyDescent="0.35">
      <c r="A10255" s="141" t="s">
        <v>1134</v>
      </c>
      <c r="B10255" s="141" t="s">
        <v>270</v>
      </c>
      <c r="C10255" s="141" t="s">
        <v>45</v>
      </c>
    </row>
    <row r="10256" spans="1:3" x14ac:dyDescent="0.35">
      <c r="A10256" s="141" t="s">
        <v>1134</v>
      </c>
      <c r="B10256" s="141" t="s">
        <v>272</v>
      </c>
      <c r="C10256" s="141" t="s">
        <v>45</v>
      </c>
    </row>
    <row r="10257" spans="1:3" x14ac:dyDescent="0.35">
      <c r="A10257" s="141" t="s">
        <v>1134</v>
      </c>
      <c r="B10257" s="141" t="s">
        <v>273</v>
      </c>
      <c r="C10257" s="141" t="s">
        <v>45</v>
      </c>
    </row>
    <row r="10258" spans="1:3" x14ac:dyDescent="0.35">
      <c r="A10258" s="141" t="s">
        <v>1134</v>
      </c>
      <c r="B10258" s="141" t="s">
        <v>274</v>
      </c>
      <c r="C10258" s="141" t="s">
        <v>45</v>
      </c>
    </row>
    <row r="10259" spans="1:3" x14ac:dyDescent="0.35">
      <c r="A10259" s="141" t="s">
        <v>1134</v>
      </c>
      <c r="B10259" s="141" t="s">
        <v>275</v>
      </c>
      <c r="C10259" s="141" t="s">
        <v>45</v>
      </c>
    </row>
    <row r="10260" spans="1:3" x14ac:dyDescent="0.35">
      <c r="A10260" s="141" t="s">
        <v>1134</v>
      </c>
      <c r="B10260" s="141" t="s">
        <v>342</v>
      </c>
      <c r="C10260" s="141" t="s">
        <v>45</v>
      </c>
    </row>
    <row r="10261" spans="1:3" x14ac:dyDescent="0.35">
      <c r="A10261" s="141" t="s">
        <v>1134</v>
      </c>
      <c r="B10261" s="141" t="s">
        <v>341</v>
      </c>
      <c r="C10261" s="141" t="s">
        <v>45</v>
      </c>
    </row>
    <row r="10262" spans="1:3" x14ac:dyDescent="0.35">
      <c r="A10262" s="141" t="s">
        <v>1134</v>
      </c>
      <c r="B10262" s="141" t="s">
        <v>340</v>
      </c>
      <c r="C10262" s="141" t="s">
        <v>45</v>
      </c>
    </row>
    <row r="10263" spans="1:3" x14ac:dyDescent="0.35">
      <c r="A10263" s="141" t="s">
        <v>1134</v>
      </c>
      <c r="B10263" s="141" t="s">
        <v>339</v>
      </c>
      <c r="C10263" s="141" t="s">
        <v>45</v>
      </c>
    </row>
    <row r="10264" spans="1:3" x14ac:dyDescent="0.35">
      <c r="A10264" s="141" t="s">
        <v>1134</v>
      </c>
      <c r="B10264" s="141" t="s">
        <v>1051</v>
      </c>
      <c r="C10264" s="141" t="s">
        <v>45</v>
      </c>
    </row>
    <row r="10265" spans="1:3" x14ac:dyDescent="0.35">
      <c r="A10265" s="141" t="s">
        <v>1134</v>
      </c>
      <c r="B10265" s="141" t="s">
        <v>1059</v>
      </c>
      <c r="C10265" s="141" t="s">
        <v>45</v>
      </c>
    </row>
    <row r="10266" spans="1:3" x14ac:dyDescent="0.35">
      <c r="A10266" s="141" t="s">
        <v>1134</v>
      </c>
      <c r="B10266" s="141" t="s">
        <v>1109</v>
      </c>
      <c r="C10266" s="141" t="s">
        <v>45</v>
      </c>
    </row>
    <row r="10267" spans="1:3" x14ac:dyDescent="0.35">
      <c r="A10267" s="141" t="s">
        <v>1134</v>
      </c>
      <c r="B10267" s="141" t="s">
        <v>1111</v>
      </c>
      <c r="C10267" s="141" t="s">
        <v>45</v>
      </c>
    </row>
    <row r="10268" spans="1:3" x14ac:dyDescent="0.35">
      <c r="A10268" s="141" t="s">
        <v>1134</v>
      </c>
      <c r="B10268" s="141" t="s">
        <v>1112</v>
      </c>
      <c r="C10268" s="141" t="s">
        <v>45</v>
      </c>
    </row>
    <row r="10269" spans="1:3" x14ac:dyDescent="0.35">
      <c r="A10269" s="141" t="s">
        <v>1135</v>
      </c>
      <c r="B10269" s="141" t="s">
        <v>289</v>
      </c>
      <c r="C10269" s="141" t="s">
        <v>46</v>
      </c>
    </row>
    <row r="10270" spans="1:3" x14ac:dyDescent="0.35">
      <c r="A10270" s="141" t="s">
        <v>1135</v>
      </c>
      <c r="B10270" s="141" t="s">
        <v>279</v>
      </c>
      <c r="C10270" s="141" t="s">
        <v>46</v>
      </c>
    </row>
    <row r="10271" spans="1:3" x14ac:dyDescent="0.35">
      <c r="A10271" s="141" t="s">
        <v>1135</v>
      </c>
      <c r="B10271" s="141" t="s">
        <v>280</v>
      </c>
      <c r="C10271" s="141" t="s">
        <v>46</v>
      </c>
    </row>
    <row r="10272" spans="1:3" x14ac:dyDescent="0.35">
      <c r="A10272" s="141" t="s">
        <v>1135</v>
      </c>
      <c r="B10272" s="141" t="s">
        <v>281</v>
      </c>
      <c r="C10272" s="141" t="s">
        <v>46</v>
      </c>
    </row>
    <row r="10273" spans="1:3" x14ac:dyDescent="0.35">
      <c r="A10273" s="141" t="s">
        <v>1135</v>
      </c>
      <c r="B10273" s="141" t="s">
        <v>282</v>
      </c>
      <c r="C10273" s="141" t="s">
        <v>46</v>
      </c>
    </row>
    <row r="10274" spans="1:3" x14ac:dyDescent="0.35">
      <c r="A10274" s="141" t="s">
        <v>1135</v>
      </c>
      <c r="B10274" s="141" t="s">
        <v>263</v>
      </c>
      <c r="C10274" s="141" t="s">
        <v>46</v>
      </c>
    </row>
    <row r="10275" spans="1:3" x14ac:dyDescent="0.35">
      <c r="A10275" s="141" t="s">
        <v>1135</v>
      </c>
      <c r="B10275" s="141" t="s">
        <v>264</v>
      </c>
      <c r="C10275" s="141" t="s">
        <v>46</v>
      </c>
    </row>
    <row r="10276" spans="1:3" x14ac:dyDescent="0.35">
      <c r="A10276" s="141" t="s">
        <v>1135</v>
      </c>
      <c r="B10276" s="141" t="s">
        <v>265</v>
      </c>
      <c r="C10276" s="141" t="s">
        <v>46</v>
      </c>
    </row>
    <row r="10277" spans="1:3" x14ac:dyDescent="0.35">
      <c r="A10277" s="141" t="s">
        <v>1135</v>
      </c>
      <c r="B10277" s="141" t="s">
        <v>266</v>
      </c>
      <c r="C10277" s="141" t="s">
        <v>46</v>
      </c>
    </row>
    <row r="10278" spans="1:3" x14ac:dyDescent="0.35">
      <c r="A10278" s="141" t="s">
        <v>1135</v>
      </c>
      <c r="B10278" s="141" t="s">
        <v>267</v>
      </c>
      <c r="C10278" s="141" t="s">
        <v>46</v>
      </c>
    </row>
    <row r="10279" spans="1:3" x14ac:dyDescent="0.35">
      <c r="A10279" s="141" t="s">
        <v>1135</v>
      </c>
      <c r="B10279" s="141" t="s">
        <v>268</v>
      </c>
      <c r="C10279" s="141" t="s">
        <v>46</v>
      </c>
    </row>
    <row r="10280" spans="1:3" x14ac:dyDescent="0.35">
      <c r="A10280" s="141" t="s">
        <v>1135</v>
      </c>
      <c r="B10280" s="141" t="s">
        <v>269</v>
      </c>
      <c r="C10280" s="141" t="s">
        <v>46</v>
      </c>
    </row>
    <row r="10281" spans="1:3" x14ac:dyDescent="0.35">
      <c r="A10281" s="141" t="s">
        <v>1135</v>
      </c>
      <c r="B10281" s="141" t="s">
        <v>270</v>
      </c>
      <c r="C10281" s="141" t="s">
        <v>46</v>
      </c>
    </row>
    <row r="10282" spans="1:3" x14ac:dyDescent="0.35">
      <c r="A10282" s="141" t="s">
        <v>1135</v>
      </c>
      <c r="B10282" s="141" t="s">
        <v>272</v>
      </c>
      <c r="C10282" s="141" t="s">
        <v>46</v>
      </c>
    </row>
    <row r="10283" spans="1:3" x14ac:dyDescent="0.35">
      <c r="A10283" s="141" t="s">
        <v>1135</v>
      </c>
      <c r="B10283" s="141" t="s">
        <v>273</v>
      </c>
      <c r="C10283" s="141" t="s">
        <v>46</v>
      </c>
    </row>
    <row r="10284" spans="1:3" x14ac:dyDescent="0.35">
      <c r="A10284" s="141" t="s">
        <v>1135</v>
      </c>
      <c r="B10284" s="141" t="s">
        <v>274</v>
      </c>
      <c r="C10284" s="141" t="s">
        <v>46</v>
      </c>
    </row>
    <row r="10285" spans="1:3" x14ac:dyDescent="0.35">
      <c r="A10285" s="141" t="s">
        <v>1135</v>
      </c>
      <c r="B10285" s="141" t="s">
        <v>275</v>
      </c>
      <c r="C10285" s="141" t="s">
        <v>46</v>
      </c>
    </row>
    <row r="10286" spans="1:3" x14ac:dyDescent="0.35">
      <c r="A10286" s="141" t="s">
        <v>1135</v>
      </c>
      <c r="B10286" s="141" t="s">
        <v>342</v>
      </c>
      <c r="C10286" s="141" t="s">
        <v>46</v>
      </c>
    </row>
    <row r="10287" spans="1:3" x14ac:dyDescent="0.35">
      <c r="A10287" s="141" t="s">
        <v>1135</v>
      </c>
      <c r="B10287" s="141" t="s">
        <v>341</v>
      </c>
      <c r="C10287" s="141" t="s">
        <v>46</v>
      </c>
    </row>
    <row r="10288" spans="1:3" x14ac:dyDescent="0.35">
      <c r="A10288" s="141" t="s">
        <v>1135</v>
      </c>
      <c r="B10288" s="141" t="s">
        <v>340</v>
      </c>
      <c r="C10288" s="141" t="s">
        <v>46</v>
      </c>
    </row>
    <row r="10289" spans="1:3" x14ac:dyDescent="0.35">
      <c r="A10289" s="141" t="s">
        <v>1135</v>
      </c>
      <c r="B10289" s="141" t="s">
        <v>339</v>
      </c>
      <c r="C10289" s="141" t="s">
        <v>46</v>
      </c>
    </row>
    <row r="10290" spans="1:3" x14ac:dyDescent="0.35">
      <c r="A10290" s="141" t="s">
        <v>1135</v>
      </c>
      <c r="B10290" s="141" t="s">
        <v>1051</v>
      </c>
      <c r="C10290" s="141" t="s">
        <v>46</v>
      </c>
    </row>
    <row r="10291" spans="1:3" x14ac:dyDescent="0.35">
      <c r="A10291" s="141" t="s">
        <v>1135</v>
      </c>
      <c r="B10291" s="141" t="s">
        <v>1059</v>
      </c>
      <c r="C10291" s="141" t="s">
        <v>46</v>
      </c>
    </row>
    <row r="10292" spans="1:3" x14ac:dyDescent="0.35">
      <c r="A10292" s="141" t="s">
        <v>1135</v>
      </c>
      <c r="B10292" s="141" t="s">
        <v>1109</v>
      </c>
      <c r="C10292" s="141" t="s">
        <v>46</v>
      </c>
    </row>
    <row r="10293" spans="1:3" x14ac:dyDescent="0.35">
      <c r="A10293" s="141" t="s">
        <v>1135</v>
      </c>
      <c r="B10293" s="141" t="s">
        <v>1111</v>
      </c>
      <c r="C10293" s="141" t="s">
        <v>46</v>
      </c>
    </row>
    <row r="10294" spans="1:3" x14ac:dyDescent="0.35">
      <c r="A10294" s="141" t="s">
        <v>1135</v>
      </c>
      <c r="B10294" s="141" t="s">
        <v>1112</v>
      </c>
      <c r="C10294" s="141" t="s">
        <v>46</v>
      </c>
    </row>
    <row r="10295" spans="1:3" x14ac:dyDescent="0.35">
      <c r="A10295" s="141" t="s">
        <v>1136</v>
      </c>
      <c r="B10295" s="141" t="s">
        <v>289</v>
      </c>
      <c r="C10295" s="141" t="s">
        <v>46</v>
      </c>
    </row>
    <row r="10296" spans="1:3" x14ac:dyDescent="0.35">
      <c r="A10296" s="141" t="s">
        <v>1136</v>
      </c>
      <c r="B10296" s="141" t="s">
        <v>279</v>
      </c>
      <c r="C10296" s="141" t="s">
        <v>46</v>
      </c>
    </row>
    <row r="10297" spans="1:3" x14ac:dyDescent="0.35">
      <c r="A10297" s="141" t="s">
        <v>1136</v>
      </c>
      <c r="B10297" s="141" t="s">
        <v>280</v>
      </c>
      <c r="C10297" s="141" t="s">
        <v>46</v>
      </c>
    </row>
    <row r="10298" spans="1:3" x14ac:dyDescent="0.35">
      <c r="A10298" s="141" t="s">
        <v>1136</v>
      </c>
      <c r="B10298" s="141" t="s">
        <v>281</v>
      </c>
      <c r="C10298" s="141" t="s">
        <v>46</v>
      </c>
    </row>
    <row r="10299" spans="1:3" x14ac:dyDescent="0.35">
      <c r="A10299" s="141" t="s">
        <v>1136</v>
      </c>
      <c r="B10299" s="141" t="s">
        <v>282</v>
      </c>
      <c r="C10299" s="141" t="s">
        <v>46</v>
      </c>
    </row>
    <row r="10300" spans="1:3" x14ac:dyDescent="0.35">
      <c r="A10300" s="141" t="s">
        <v>1136</v>
      </c>
      <c r="B10300" s="141" t="s">
        <v>263</v>
      </c>
      <c r="C10300" s="141" t="s">
        <v>46</v>
      </c>
    </row>
    <row r="10301" spans="1:3" x14ac:dyDescent="0.35">
      <c r="A10301" s="141" t="s">
        <v>1136</v>
      </c>
      <c r="B10301" s="141" t="s">
        <v>264</v>
      </c>
      <c r="C10301" s="141" t="s">
        <v>46</v>
      </c>
    </row>
    <row r="10302" spans="1:3" x14ac:dyDescent="0.35">
      <c r="A10302" s="141" t="s">
        <v>1136</v>
      </c>
      <c r="B10302" s="141" t="s">
        <v>265</v>
      </c>
      <c r="C10302" s="141" t="s">
        <v>46</v>
      </c>
    </row>
    <row r="10303" spans="1:3" x14ac:dyDescent="0.35">
      <c r="A10303" s="141" t="s">
        <v>1136</v>
      </c>
      <c r="B10303" s="141" t="s">
        <v>266</v>
      </c>
      <c r="C10303" s="141" t="s">
        <v>46</v>
      </c>
    </row>
    <row r="10304" spans="1:3" x14ac:dyDescent="0.35">
      <c r="A10304" s="141" t="s">
        <v>1136</v>
      </c>
      <c r="B10304" s="141" t="s">
        <v>267</v>
      </c>
      <c r="C10304" s="141" t="s">
        <v>46</v>
      </c>
    </row>
    <row r="10305" spans="1:3" x14ac:dyDescent="0.35">
      <c r="A10305" s="141" t="s">
        <v>1136</v>
      </c>
      <c r="B10305" s="141" t="s">
        <v>268</v>
      </c>
      <c r="C10305" s="141" t="s">
        <v>46</v>
      </c>
    </row>
    <row r="10306" spans="1:3" x14ac:dyDescent="0.35">
      <c r="A10306" s="141" t="s">
        <v>1136</v>
      </c>
      <c r="B10306" s="141" t="s">
        <v>269</v>
      </c>
      <c r="C10306" s="141" t="s">
        <v>46</v>
      </c>
    </row>
    <row r="10307" spans="1:3" x14ac:dyDescent="0.35">
      <c r="A10307" s="141" t="s">
        <v>1136</v>
      </c>
      <c r="B10307" s="141" t="s">
        <v>270</v>
      </c>
      <c r="C10307" s="141" t="s">
        <v>46</v>
      </c>
    </row>
    <row r="10308" spans="1:3" x14ac:dyDescent="0.35">
      <c r="A10308" s="141" t="s">
        <v>1136</v>
      </c>
      <c r="B10308" s="141" t="s">
        <v>272</v>
      </c>
      <c r="C10308" s="141" t="s">
        <v>46</v>
      </c>
    </row>
    <row r="10309" spans="1:3" x14ac:dyDescent="0.35">
      <c r="A10309" s="141" t="s">
        <v>1136</v>
      </c>
      <c r="B10309" s="141" t="s">
        <v>273</v>
      </c>
      <c r="C10309" s="141" t="s">
        <v>46</v>
      </c>
    </row>
    <row r="10310" spans="1:3" x14ac:dyDescent="0.35">
      <c r="A10310" s="141" t="s">
        <v>1136</v>
      </c>
      <c r="B10310" s="141" t="s">
        <v>274</v>
      </c>
      <c r="C10310" s="141" t="s">
        <v>46</v>
      </c>
    </row>
    <row r="10311" spans="1:3" x14ac:dyDescent="0.35">
      <c r="A10311" s="141" t="s">
        <v>1136</v>
      </c>
      <c r="B10311" s="141" t="s">
        <v>275</v>
      </c>
      <c r="C10311" s="141" t="s">
        <v>46</v>
      </c>
    </row>
    <row r="10312" spans="1:3" x14ac:dyDescent="0.35">
      <c r="A10312" s="141" t="s">
        <v>1136</v>
      </c>
      <c r="B10312" s="141" t="s">
        <v>342</v>
      </c>
      <c r="C10312" s="141" t="s">
        <v>46</v>
      </c>
    </row>
    <row r="10313" spans="1:3" x14ac:dyDescent="0.35">
      <c r="A10313" s="141" t="s">
        <v>1136</v>
      </c>
      <c r="B10313" s="141" t="s">
        <v>341</v>
      </c>
      <c r="C10313" s="141" t="s">
        <v>46</v>
      </c>
    </row>
    <row r="10314" spans="1:3" x14ac:dyDescent="0.35">
      <c r="A10314" s="141" t="s">
        <v>1136</v>
      </c>
      <c r="B10314" s="141" t="s">
        <v>340</v>
      </c>
      <c r="C10314" s="141" t="s">
        <v>46</v>
      </c>
    </row>
    <row r="10315" spans="1:3" x14ac:dyDescent="0.35">
      <c r="A10315" s="141" t="s">
        <v>1136</v>
      </c>
      <c r="B10315" s="141" t="s">
        <v>339</v>
      </c>
      <c r="C10315" s="141" t="s">
        <v>46</v>
      </c>
    </row>
    <row r="10316" spans="1:3" x14ac:dyDescent="0.35">
      <c r="A10316" s="141" t="s">
        <v>1136</v>
      </c>
      <c r="B10316" s="141" t="s">
        <v>1051</v>
      </c>
      <c r="C10316" s="141" t="s">
        <v>46</v>
      </c>
    </row>
    <row r="10317" spans="1:3" x14ac:dyDescent="0.35">
      <c r="A10317" s="141" t="s">
        <v>1136</v>
      </c>
      <c r="B10317" s="141" t="s">
        <v>1059</v>
      </c>
      <c r="C10317" s="141" t="s">
        <v>46</v>
      </c>
    </row>
    <row r="10318" spans="1:3" x14ac:dyDescent="0.35">
      <c r="A10318" s="141" t="s">
        <v>1136</v>
      </c>
      <c r="B10318" s="141" t="s">
        <v>1109</v>
      </c>
      <c r="C10318" s="141" t="s">
        <v>46</v>
      </c>
    </row>
    <row r="10319" spans="1:3" x14ac:dyDescent="0.35">
      <c r="A10319" s="141" t="s">
        <v>1136</v>
      </c>
      <c r="B10319" s="141" t="s">
        <v>1111</v>
      </c>
      <c r="C10319" s="141" t="s">
        <v>46</v>
      </c>
    </row>
    <row r="10320" spans="1:3" x14ac:dyDescent="0.35">
      <c r="A10320" s="141" t="s">
        <v>1136</v>
      </c>
      <c r="B10320" s="141" t="s">
        <v>1112</v>
      </c>
      <c r="C10320" s="141" t="s">
        <v>46</v>
      </c>
    </row>
    <row r="10321" spans="1:3" x14ac:dyDescent="0.35">
      <c r="A10321" s="141" t="s">
        <v>1137</v>
      </c>
      <c r="B10321" s="141" t="s">
        <v>289</v>
      </c>
      <c r="C10321" s="141" t="s">
        <v>45</v>
      </c>
    </row>
    <row r="10322" spans="1:3" x14ac:dyDescent="0.35">
      <c r="A10322" s="141" t="s">
        <v>1137</v>
      </c>
      <c r="B10322" s="141" t="s">
        <v>279</v>
      </c>
      <c r="C10322" s="141" t="s">
        <v>45</v>
      </c>
    </row>
    <row r="10323" spans="1:3" x14ac:dyDescent="0.35">
      <c r="A10323" s="141" t="s">
        <v>1137</v>
      </c>
      <c r="B10323" s="141" t="s">
        <v>280</v>
      </c>
      <c r="C10323" s="141" t="s">
        <v>45</v>
      </c>
    </row>
    <row r="10324" spans="1:3" x14ac:dyDescent="0.35">
      <c r="A10324" s="141" t="s">
        <v>1137</v>
      </c>
      <c r="B10324" s="141" t="s">
        <v>281</v>
      </c>
      <c r="C10324" s="141" t="s">
        <v>45</v>
      </c>
    </row>
    <row r="10325" spans="1:3" x14ac:dyDescent="0.35">
      <c r="A10325" s="141" t="s">
        <v>1137</v>
      </c>
      <c r="B10325" s="141" t="s">
        <v>282</v>
      </c>
      <c r="C10325" s="141" t="s">
        <v>45</v>
      </c>
    </row>
    <row r="10326" spans="1:3" x14ac:dyDescent="0.35">
      <c r="A10326" s="141" t="s">
        <v>1137</v>
      </c>
      <c r="B10326" s="141" t="s">
        <v>263</v>
      </c>
      <c r="C10326" s="141" t="s">
        <v>45</v>
      </c>
    </row>
    <row r="10327" spans="1:3" x14ac:dyDescent="0.35">
      <c r="A10327" s="141" t="s">
        <v>1137</v>
      </c>
      <c r="B10327" s="141" t="s">
        <v>264</v>
      </c>
      <c r="C10327" s="141" t="s">
        <v>45</v>
      </c>
    </row>
    <row r="10328" spans="1:3" x14ac:dyDescent="0.35">
      <c r="A10328" s="141" t="s">
        <v>1137</v>
      </c>
      <c r="B10328" s="141" t="s">
        <v>265</v>
      </c>
      <c r="C10328" s="141" t="s">
        <v>45</v>
      </c>
    </row>
    <row r="10329" spans="1:3" x14ac:dyDescent="0.35">
      <c r="A10329" s="141" t="s">
        <v>1137</v>
      </c>
      <c r="B10329" s="141" t="s">
        <v>266</v>
      </c>
      <c r="C10329" s="141" t="s">
        <v>45</v>
      </c>
    </row>
    <row r="10330" spans="1:3" x14ac:dyDescent="0.35">
      <c r="A10330" s="141" t="s">
        <v>1137</v>
      </c>
      <c r="B10330" s="141" t="s">
        <v>267</v>
      </c>
      <c r="C10330" s="141" t="s">
        <v>45</v>
      </c>
    </row>
    <row r="10331" spans="1:3" x14ac:dyDescent="0.35">
      <c r="A10331" s="141" t="s">
        <v>1137</v>
      </c>
      <c r="B10331" s="141" t="s">
        <v>268</v>
      </c>
      <c r="C10331" s="141" t="s">
        <v>45</v>
      </c>
    </row>
    <row r="10332" spans="1:3" x14ac:dyDescent="0.35">
      <c r="A10332" s="141" t="s">
        <v>1137</v>
      </c>
      <c r="B10332" s="141" t="s">
        <v>269</v>
      </c>
      <c r="C10332" s="141" t="s">
        <v>45</v>
      </c>
    </row>
    <row r="10333" spans="1:3" x14ac:dyDescent="0.35">
      <c r="A10333" s="141" t="s">
        <v>1137</v>
      </c>
      <c r="B10333" s="141" t="s">
        <v>270</v>
      </c>
      <c r="C10333" s="141" t="s">
        <v>45</v>
      </c>
    </row>
    <row r="10334" spans="1:3" x14ac:dyDescent="0.35">
      <c r="A10334" s="141" t="s">
        <v>1137</v>
      </c>
      <c r="B10334" s="141" t="s">
        <v>272</v>
      </c>
      <c r="C10334" s="141" t="s">
        <v>45</v>
      </c>
    </row>
    <row r="10335" spans="1:3" x14ac:dyDescent="0.35">
      <c r="A10335" s="141" t="s">
        <v>1137</v>
      </c>
      <c r="B10335" s="141" t="s">
        <v>273</v>
      </c>
      <c r="C10335" s="141" t="s">
        <v>45</v>
      </c>
    </row>
    <row r="10336" spans="1:3" x14ac:dyDescent="0.35">
      <c r="A10336" s="141" t="s">
        <v>1137</v>
      </c>
      <c r="B10336" s="141" t="s">
        <v>274</v>
      </c>
      <c r="C10336" s="141" t="s">
        <v>45</v>
      </c>
    </row>
    <row r="10337" spans="1:3" x14ac:dyDescent="0.35">
      <c r="A10337" s="141" t="s">
        <v>1137</v>
      </c>
      <c r="B10337" s="141" t="s">
        <v>275</v>
      </c>
      <c r="C10337" s="141" t="s">
        <v>45</v>
      </c>
    </row>
    <row r="10338" spans="1:3" x14ac:dyDescent="0.35">
      <c r="A10338" s="141" t="s">
        <v>1137</v>
      </c>
      <c r="B10338" s="141" t="s">
        <v>342</v>
      </c>
      <c r="C10338" s="141" t="s">
        <v>45</v>
      </c>
    </row>
    <row r="10339" spans="1:3" x14ac:dyDescent="0.35">
      <c r="A10339" s="141" t="s">
        <v>1137</v>
      </c>
      <c r="B10339" s="141" t="s">
        <v>341</v>
      </c>
      <c r="C10339" s="141" t="s">
        <v>45</v>
      </c>
    </row>
    <row r="10340" spans="1:3" x14ac:dyDescent="0.35">
      <c r="A10340" s="141" t="s">
        <v>1137</v>
      </c>
      <c r="B10340" s="141" t="s">
        <v>340</v>
      </c>
      <c r="C10340" s="141" t="s">
        <v>45</v>
      </c>
    </row>
    <row r="10341" spans="1:3" x14ac:dyDescent="0.35">
      <c r="A10341" s="141" t="s">
        <v>1137</v>
      </c>
      <c r="B10341" s="141" t="s">
        <v>339</v>
      </c>
      <c r="C10341" s="141" t="s">
        <v>45</v>
      </c>
    </row>
    <row r="10342" spans="1:3" x14ac:dyDescent="0.35">
      <c r="A10342" s="141" t="s">
        <v>1137</v>
      </c>
      <c r="B10342" s="141" t="s">
        <v>1051</v>
      </c>
      <c r="C10342" s="141" t="s">
        <v>45</v>
      </c>
    </row>
    <row r="10343" spans="1:3" x14ac:dyDescent="0.35">
      <c r="A10343" s="141" t="s">
        <v>1137</v>
      </c>
      <c r="B10343" s="141" t="s">
        <v>1059</v>
      </c>
      <c r="C10343" s="141" t="s">
        <v>45</v>
      </c>
    </row>
    <row r="10344" spans="1:3" x14ac:dyDescent="0.35">
      <c r="A10344" s="141" t="s">
        <v>1137</v>
      </c>
      <c r="B10344" s="141" t="s">
        <v>1109</v>
      </c>
      <c r="C10344" s="141" t="s">
        <v>45</v>
      </c>
    </row>
    <row r="10345" spans="1:3" x14ac:dyDescent="0.35">
      <c r="A10345" s="141" t="s">
        <v>1137</v>
      </c>
      <c r="B10345" s="141" t="s">
        <v>1111</v>
      </c>
      <c r="C10345" s="141" t="s">
        <v>45</v>
      </c>
    </row>
    <row r="10346" spans="1:3" x14ac:dyDescent="0.35">
      <c r="A10346" s="141" t="s">
        <v>1137</v>
      </c>
      <c r="B10346" s="141" t="s">
        <v>1112</v>
      </c>
      <c r="C10346" s="141" t="s">
        <v>45</v>
      </c>
    </row>
    <row r="10347" spans="1:3" x14ac:dyDescent="0.35">
      <c r="A10347" s="141" t="s">
        <v>1138</v>
      </c>
      <c r="B10347" s="141" t="s">
        <v>289</v>
      </c>
      <c r="C10347" s="141" t="s">
        <v>45</v>
      </c>
    </row>
    <row r="10348" spans="1:3" x14ac:dyDescent="0.35">
      <c r="A10348" s="141" t="s">
        <v>1138</v>
      </c>
      <c r="B10348" s="141" t="s">
        <v>279</v>
      </c>
      <c r="C10348" s="141" t="s">
        <v>45</v>
      </c>
    </row>
    <row r="10349" spans="1:3" x14ac:dyDescent="0.35">
      <c r="A10349" s="141" t="s">
        <v>1138</v>
      </c>
      <c r="B10349" s="141" t="s">
        <v>280</v>
      </c>
      <c r="C10349" s="141" t="s">
        <v>45</v>
      </c>
    </row>
    <row r="10350" spans="1:3" x14ac:dyDescent="0.35">
      <c r="A10350" s="141" t="s">
        <v>1138</v>
      </c>
      <c r="B10350" s="141" t="s">
        <v>281</v>
      </c>
      <c r="C10350" s="141" t="s">
        <v>45</v>
      </c>
    </row>
    <row r="10351" spans="1:3" x14ac:dyDescent="0.35">
      <c r="A10351" s="141" t="s">
        <v>1138</v>
      </c>
      <c r="B10351" s="141" t="s">
        <v>282</v>
      </c>
      <c r="C10351" s="141" t="s">
        <v>45</v>
      </c>
    </row>
    <row r="10352" spans="1:3" x14ac:dyDescent="0.35">
      <c r="A10352" s="141" t="s">
        <v>1138</v>
      </c>
      <c r="B10352" s="141" t="s">
        <v>263</v>
      </c>
      <c r="C10352" s="141" t="s">
        <v>45</v>
      </c>
    </row>
    <row r="10353" spans="1:3" x14ac:dyDescent="0.35">
      <c r="A10353" s="141" t="s">
        <v>1138</v>
      </c>
      <c r="B10353" s="141" t="s">
        <v>264</v>
      </c>
      <c r="C10353" s="141" t="s">
        <v>45</v>
      </c>
    </row>
    <row r="10354" spans="1:3" x14ac:dyDescent="0.35">
      <c r="A10354" s="141" t="s">
        <v>1138</v>
      </c>
      <c r="B10354" s="141" t="s">
        <v>265</v>
      </c>
      <c r="C10354" s="141" t="s">
        <v>45</v>
      </c>
    </row>
    <row r="10355" spans="1:3" x14ac:dyDescent="0.35">
      <c r="A10355" s="141" t="s">
        <v>1138</v>
      </c>
      <c r="B10355" s="141" t="s">
        <v>266</v>
      </c>
      <c r="C10355" s="141" t="s">
        <v>45</v>
      </c>
    </row>
    <row r="10356" spans="1:3" x14ac:dyDescent="0.35">
      <c r="A10356" s="141" t="s">
        <v>1138</v>
      </c>
      <c r="B10356" s="141" t="s">
        <v>267</v>
      </c>
      <c r="C10356" s="141" t="s">
        <v>45</v>
      </c>
    </row>
    <row r="10357" spans="1:3" x14ac:dyDescent="0.35">
      <c r="A10357" s="141" t="s">
        <v>1138</v>
      </c>
      <c r="B10357" s="141" t="s">
        <v>268</v>
      </c>
      <c r="C10357" s="141" t="s">
        <v>45</v>
      </c>
    </row>
    <row r="10358" spans="1:3" x14ac:dyDescent="0.35">
      <c r="A10358" s="141" t="s">
        <v>1138</v>
      </c>
      <c r="B10358" s="141" t="s">
        <v>269</v>
      </c>
      <c r="C10358" s="141" t="s">
        <v>45</v>
      </c>
    </row>
    <row r="10359" spans="1:3" x14ac:dyDescent="0.35">
      <c r="A10359" s="141" t="s">
        <v>1138</v>
      </c>
      <c r="B10359" s="141" t="s">
        <v>270</v>
      </c>
      <c r="C10359" s="141" t="s">
        <v>45</v>
      </c>
    </row>
    <row r="10360" spans="1:3" x14ac:dyDescent="0.35">
      <c r="A10360" s="141" t="s">
        <v>1138</v>
      </c>
      <c r="B10360" s="141" t="s">
        <v>272</v>
      </c>
      <c r="C10360" s="141" t="s">
        <v>45</v>
      </c>
    </row>
    <row r="10361" spans="1:3" x14ac:dyDescent="0.35">
      <c r="A10361" s="141" t="s">
        <v>1138</v>
      </c>
      <c r="B10361" s="141" t="s">
        <v>273</v>
      </c>
      <c r="C10361" s="141" t="s">
        <v>45</v>
      </c>
    </row>
    <row r="10362" spans="1:3" x14ac:dyDescent="0.35">
      <c r="A10362" s="141" t="s">
        <v>1138</v>
      </c>
      <c r="B10362" s="141" t="s">
        <v>274</v>
      </c>
      <c r="C10362" s="141" t="s">
        <v>45</v>
      </c>
    </row>
    <row r="10363" spans="1:3" x14ac:dyDescent="0.35">
      <c r="A10363" s="141" t="s">
        <v>1138</v>
      </c>
      <c r="B10363" s="141" t="s">
        <v>275</v>
      </c>
      <c r="C10363" s="141" t="s">
        <v>45</v>
      </c>
    </row>
    <row r="10364" spans="1:3" x14ac:dyDescent="0.35">
      <c r="A10364" s="141" t="s">
        <v>1138</v>
      </c>
      <c r="B10364" s="141" t="s">
        <v>342</v>
      </c>
      <c r="C10364" s="141" t="s">
        <v>45</v>
      </c>
    </row>
    <row r="10365" spans="1:3" x14ac:dyDescent="0.35">
      <c r="A10365" s="141" t="s">
        <v>1138</v>
      </c>
      <c r="B10365" s="141" t="s">
        <v>341</v>
      </c>
      <c r="C10365" s="141" t="s">
        <v>45</v>
      </c>
    </row>
    <row r="10366" spans="1:3" x14ac:dyDescent="0.35">
      <c r="A10366" s="141" t="s">
        <v>1138</v>
      </c>
      <c r="B10366" s="141" t="s">
        <v>340</v>
      </c>
      <c r="C10366" s="141" t="s">
        <v>45</v>
      </c>
    </row>
    <row r="10367" spans="1:3" x14ac:dyDescent="0.35">
      <c r="A10367" s="141" t="s">
        <v>1138</v>
      </c>
      <c r="B10367" s="141" t="s">
        <v>339</v>
      </c>
      <c r="C10367" s="141" t="s">
        <v>45</v>
      </c>
    </row>
    <row r="10368" spans="1:3" x14ac:dyDescent="0.35">
      <c r="A10368" s="141" t="s">
        <v>1138</v>
      </c>
      <c r="B10368" s="141" t="s">
        <v>1051</v>
      </c>
      <c r="C10368" s="141" t="s">
        <v>45</v>
      </c>
    </row>
    <row r="10369" spans="1:3" x14ac:dyDescent="0.35">
      <c r="A10369" s="141" t="s">
        <v>1138</v>
      </c>
      <c r="B10369" s="141" t="s">
        <v>1059</v>
      </c>
      <c r="C10369" s="141" t="s">
        <v>45</v>
      </c>
    </row>
    <row r="10370" spans="1:3" x14ac:dyDescent="0.35">
      <c r="A10370" s="141" t="s">
        <v>1138</v>
      </c>
      <c r="B10370" s="141" t="s">
        <v>1109</v>
      </c>
      <c r="C10370" s="141" t="s">
        <v>45</v>
      </c>
    </row>
    <row r="10371" spans="1:3" x14ac:dyDescent="0.35">
      <c r="A10371" s="141" t="s">
        <v>1138</v>
      </c>
      <c r="B10371" s="141" t="s">
        <v>1111</v>
      </c>
      <c r="C10371" s="141" t="s">
        <v>45</v>
      </c>
    </row>
    <row r="10372" spans="1:3" x14ac:dyDescent="0.35">
      <c r="A10372" s="141" t="s">
        <v>1138</v>
      </c>
      <c r="B10372" s="141" t="s">
        <v>1112</v>
      </c>
      <c r="C10372" s="141" t="s">
        <v>45</v>
      </c>
    </row>
    <row r="10373" spans="1:3" x14ac:dyDescent="0.35">
      <c r="A10373" s="141" t="s">
        <v>1139</v>
      </c>
      <c r="B10373" s="141" t="s">
        <v>289</v>
      </c>
      <c r="C10373" s="141" t="s">
        <v>45</v>
      </c>
    </row>
    <row r="10374" spans="1:3" x14ac:dyDescent="0.35">
      <c r="A10374" s="141" t="s">
        <v>1139</v>
      </c>
      <c r="B10374" s="141" t="s">
        <v>279</v>
      </c>
      <c r="C10374" s="141" t="s">
        <v>45</v>
      </c>
    </row>
    <row r="10375" spans="1:3" x14ac:dyDescent="0.35">
      <c r="A10375" s="141" t="s">
        <v>1139</v>
      </c>
      <c r="B10375" s="141" t="s">
        <v>280</v>
      </c>
      <c r="C10375" s="141" t="s">
        <v>45</v>
      </c>
    </row>
    <row r="10376" spans="1:3" x14ac:dyDescent="0.35">
      <c r="A10376" s="141" t="s">
        <v>1139</v>
      </c>
      <c r="B10376" s="141" t="s">
        <v>281</v>
      </c>
      <c r="C10376" s="141" t="s">
        <v>45</v>
      </c>
    </row>
    <row r="10377" spans="1:3" x14ac:dyDescent="0.35">
      <c r="A10377" s="141" t="s">
        <v>1139</v>
      </c>
      <c r="B10377" s="141" t="s">
        <v>282</v>
      </c>
      <c r="C10377" s="141" t="s">
        <v>45</v>
      </c>
    </row>
    <row r="10378" spans="1:3" x14ac:dyDescent="0.35">
      <c r="A10378" s="141" t="s">
        <v>1139</v>
      </c>
      <c r="B10378" s="141" t="s">
        <v>263</v>
      </c>
      <c r="C10378" s="141" t="s">
        <v>45</v>
      </c>
    </row>
    <row r="10379" spans="1:3" x14ac:dyDescent="0.35">
      <c r="A10379" s="141" t="s">
        <v>1139</v>
      </c>
      <c r="B10379" s="141" t="s">
        <v>264</v>
      </c>
      <c r="C10379" s="141" t="s">
        <v>45</v>
      </c>
    </row>
    <row r="10380" spans="1:3" x14ac:dyDescent="0.35">
      <c r="A10380" s="141" t="s">
        <v>1139</v>
      </c>
      <c r="B10380" s="141" t="s">
        <v>265</v>
      </c>
      <c r="C10380" s="141" t="s">
        <v>45</v>
      </c>
    </row>
    <row r="10381" spans="1:3" x14ac:dyDescent="0.35">
      <c r="A10381" s="141" t="s">
        <v>1139</v>
      </c>
      <c r="B10381" s="141" t="s">
        <v>266</v>
      </c>
      <c r="C10381" s="141" t="s">
        <v>45</v>
      </c>
    </row>
    <row r="10382" spans="1:3" x14ac:dyDescent="0.35">
      <c r="A10382" s="141" t="s">
        <v>1139</v>
      </c>
      <c r="B10382" s="141" t="s">
        <v>267</v>
      </c>
      <c r="C10382" s="141" t="s">
        <v>45</v>
      </c>
    </row>
    <row r="10383" spans="1:3" x14ac:dyDescent="0.35">
      <c r="A10383" s="141" t="s">
        <v>1139</v>
      </c>
      <c r="B10383" s="141" t="s">
        <v>268</v>
      </c>
      <c r="C10383" s="141" t="s">
        <v>45</v>
      </c>
    </row>
    <row r="10384" spans="1:3" x14ac:dyDescent="0.35">
      <c r="A10384" s="141" t="s">
        <v>1139</v>
      </c>
      <c r="B10384" s="141" t="s">
        <v>269</v>
      </c>
      <c r="C10384" s="141" t="s">
        <v>45</v>
      </c>
    </row>
    <row r="10385" spans="1:3" x14ac:dyDescent="0.35">
      <c r="A10385" s="141" t="s">
        <v>1139</v>
      </c>
      <c r="B10385" s="141" t="s">
        <v>270</v>
      </c>
      <c r="C10385" s="141" t="s">
        <v>45</v>
      </c>
    </row>
    <row r="10386" spans="1:3" x14ac:dyDescent="0.35">
      <c r="A10386" s="141" t="s">
        <v>1139</v>
      </c>
      <c r="B10386" s="141" t="s">
        <v>272</v>
      </c>
      <c r="C10386" s="141" t="s">
        <v>45</v>
      </c>
    </row>
    <row r="10387" spans="1:3" x14ac:dyDescent="0.35">
      <c r="A10387" s="141" t="s">
        <v>1139</v>
      </c>
      <c r="B10387" s="141" t="s">
        <v>273</v>
      </c>
      <c r="C10387" s="141" t="s">
        <v>45</v>
      </c>
    </row>
    <row r="10388" spans="1:3" x14ac:dyDescent="0.35">
      <c r="A10388" s="141" t="s">
        <v>1139</v>
      </c>
      <c r="B10388" s="141" t="s">
        <v>274</v>
      </c>
      <c r="C10388" s="141" t="s">
        <v>45</v>
      </c>
    </row>
    <row r="10389" spans="1:3" x14ac:dyDescent="0.35">
      <c r="A10389" s="141" t="s">
        <v>1139</v>
      </c>
      <c r="B10389" s="141" t="s">
        <v>275</v>
      </c>
      <c r="C10389" s="141" t="s">
        <v>45</v>
      </c>
    </row>
    <row r="10390" spans="1:3" x14ac:dyDescent="0.35">
      <c r="A10390" s="141" t="s">
        <v>1139</v>
      </c>
      <c r="B10390" s="141" t="s">
        <v>342</v>
      </c>
      <c r="C10390" s="141" t="s">
        <v>45</v>
      </c>
    </row>
    <row r="10391" spans="1:3" x14ac:dyDescent="0.35">
      <c r="A10391" s="141" t="s">
        <v>1139</v>
      </c>
      <c r="B10391" s="141" t="s">
        <v>341</v>
      </c>
      <c r="C10391" s="141" t="s">
        <v>45</v>
      </c>
    </row>
    <row r="10392" spans="1:3" x14ac:dyDescent="0.35">
      <c r="A10392" s="141" t="s">
        <v>1139</v>
      </c>
      <c r="B10392" s="141" t="s">
        <v>340</v>
      </c>
      <c r="C10392" s="141" t="s">
        <v>45</v>
      </c>
    </row>
    <row r="10393" spans="1:3" x14ac:dyDescent="0.35">
      <c r="A10393" s="141" t="s">
        <v>1139</v>
      </c>
      <c r="B10393" s="141" t="s">
        <v>339</v>
      </c>
      <c r="C10393" s="141" t="s">
        <v>45</v>
      </c>
    </row>
    <row r="10394" spans="1:3" x14ac:dyDescent="0.35">
      <c r="A10394" s="141" t="s">
        <v>1139</v>
      </c>
      <c r="B10394" s="141" t="s">
        <v>1051</v>
      </c>
      <c r="C10394" s="141" t="s">
        <v>45</v>
      </c>
    </row>
    <row r="10395" spans="1:3" x14ac:dyDescent="0.35">
      <c r="A10395" s="141" t="s">
        <v>1139</v>
      </c>
      <c r="B10395" s="141" t="s">
        <v>1059</v>
      </c>
      <c r="C10395" s="141" t="s">
        <v>45</v>
      </c>
    </row>
    <row r="10396" spans="1:3" x14ac:dyDescent="0.35">
      <c r="A10396" s="141" t="s">
        <v>1139</v>
      </c>
      <c r="B10396" s="141" t="s">
        <v>1109</v>
      </c>
      <c r="C10396" s="141" t="s">
        <v>45</v>
      </c>
    </row>
    <row r="10397" spans="1:3" x14ac:dyDescent="0.35">
      <c r="A10397" s="141" t="s">
        <v>1139</v>
      </c>
      <c r="B10397" s="141" t="s">
        <v>1111</v>
      </c>
      <c r="C10397" s="141" t="s">
        <v>45</v>
      </c>
    </row>
    <row r="10398" spans="1:3" x14ac:dyDescent="0.35">
      <c r="A10398" s="141" t="s">
        <v>1139</v>
      </c>
      <c r="B10398" s="141" t="s">
        <v>1112</v>
      </c>
      <c r="C10398" s="141" t="s">
        <v>45</v>
      </c>
    </row>
    <row r="10399" spans="1:3" x14ac:dyDescent="0.35">
      <c r="A10399" s="141" t="s">
        <v>1140</v>
      </c>
      <c r="B10399" s="141" t="s">
        <v>289</v>
      </c>
      <c r="C10399" s="141" t="s">
        <v>45</v>
      </c>
    </row>
    <row r="10400" spans="1:3" x14ac:dyDescent="0.35">
      <c r="A10400" s="141" t="s">
        <v>1140</v>
      </c>
      <c r="B10400" s="141" t="s">
        <v>279</v>
      </c>
      <c r="C10400" s="141" t="s">
        <v>45</v>
      </c>
    </row>
    <row r="10401" spans="1:3" x14ac:dyDescent="0.35">
      <c r="A10401" s="141" t="s">
        <v>1140</v>
      </c>
      <c r="B10401" s="141" t="s">
        <v>280</v>
      </c>
      <c r="C10401" s="141" t="s">
        <v>45</v>
      </c>
    </row>
    <row r="10402" spans="1:3" x14ac:dyDescent="0.35">
      <c r="A10402" s="141" t="s">
        <v>1140</v>
      </c>
      <c r="B10402" s="141" t="s">
        <v>281</v>
      </c>
      <c r="C10402" s="141" t="s">
        <v>45</v>
      </c>
    </row>
    <row r="10403" spans="1:3" x14ac:dyDescent="0.35">
      <c r="A10403" s="141" t="s">
        <v>1140</v>
      </c>
      <c r="B10403" s="141" t="s">
        <v>282</v>
      </c>
      <c r="C10403" s="141" t="s">
        <v>45</v>
      </c>
    </row>
    <row r="10404" spans="1:3" x14ac:dyDescent="0.35">
      <c r="A10404" s="141" t="s">
        <v>1140</v>
      </c>
      <c r="B10404" s="141" t="s">
        <v>263</v>
      </c>
      <c r="C10404" s="141" t="s">
        <v>45</v>
      </c>
    </row>
    <row r="10405" spans="1:3" x14ac:dyDescent="0.35">
      <c r="A10405" s="141" t="s">
        <v>1140</v>
      </c>
      <c r="B10405" s="141" t="s">
        <v>264</v>
      </c>
      <c r="C10405" s="141" t="s">
        <v>45</v>
      </c>
    </row>
    <row r="10406" spans="1:3" x14ac:dyDescent="0.35">
      <c r="A10406" s="141" t="s">
        <v>1140</v>
      </c>
      <c r="B10406" s="141" t="s">
        <v>265</v>
      </c>
      <c r="C10406" s="141" t="s">
        <v>45</v>
      </c>
    </row>
    <row r="10407" spans="1:3" x14ac:dyDescent="0.35">
      <c r="A10407" s="141" t="s">
        <v>1140</v>
      </c>
      <c r="B10407" s="141" t="s">
        <v>266</v>
      </c>
      <c r="C10407" s="141" t="s">
        <v>45</v>
      </c>
    </row>
    <row r="10408" spans="1:3" x14ac:dyDescent="0.35">
      <c r="A10408" s="141" t="s">
        <v>1140</v>
      </c>
      <c r="B10408" s="141" t="s">
        <v>267</v>
      </c>
      <c r="C10408" s="141" t="s">
        <v>45</v>
      </c>
    </row>
    <row r="10409" spans="1:3" x14ac:dyDescent="0.35">
      <c r="A10409" s="141" t="s">
        <v>1140</v>
      </c>
      <c r="B10409" s="141" t="s">
        <v>268</v>
      </c>
      <c r="C10409" s="141" t="s">
        <v>45</v>
      </c>
    </row>
    <row r="10410" spans="1:3" x14ac:dyDescent="0.35">
      <c r="A10410" s="141" t="s">
        <v>1140</v>
      </c>
      <c r="B10410" s="141" t="s">
        <v>269</v>
      </c>
      <c r="C10410" s="141" t="s">
        <v>45</v>
      </c>
    </row>
    <row r="10411" spans="1:3" x14ac:dyDescent="0.35">
      <c r="A10411" s="141" t="s">
        <v>1140</v>
      </c>
      <c r="B10411" s="141" t="s">
        <v>270</v>
      </c>
      <c r="C10411" s="141" t="s">
        <v>45</v>
      </c>
    </row>
    <row r="10412" spans="1:3" x14ac:dyDescent="0.35">
      <c r="A10412" s="141" t="s">
        <v>1140</v>
      </c>
      <c r="B10412" s="141" t="s">
        <v>272</v>
      </c>
      <c r="C10412" s="141" t="s">
        <v>45</v>
      </c>
    </row>
    <row r="10413" spans="1:3" x14ac:dyDescent="0.35">
      <c r="A10413" s="141" t="s">
        <v>1140</v>
      </c>
      <c r="B10413" s="141" t="s">
        <v>273</v>
      </c>
      <c r="C10413" s="141" t="s">
        <v>45</v>
      </c>
    </row>
    <row r="10414" spans="1:3" x14ac:dyDescent="0.35">
      <c r="A10414" s="141" t="s">
        <v>1140</v>
      </c>
      <c r="B10414" s="141" t="s">
        <v>274</v>
      </c>
      <c r="C10414" s="141" t="s">
        <v>45</v>
      </c>
    </row>
    <row r="10415" spans="1:3" x14ac:dyDescent="0.35">
      <c r="A10415" s="141" t="s">
        <v>1140</v>
      </c>
      <c r="B10415" s="141" t="s">
        <v>275</v>
      </c>
      <c r="C10415" s="141" t="s">
        <v>45</v>
      </c>
    </row>
    <row r="10416" spans="1:3" x14ac:dyDescent="0.35">
      <c r="A10416" s="141" t="s">
        <v>1140</v>
      </c>
      <c r="B10416" s="141" t="s">
        <v>342</v>
      </c>
      <c r="C10416" s="141" t="s">
        <v>45</v>
      </c>
    </row>
    <row r="10417" spans="1:3" x14ac:dyDescent="0.35">
      <c r="A10417" s="141" t="s">
        <v>1140</v>
      </c>
      <c r="B10417" s="141" t="s">
        <v>341</v>
      </c>
      <c r="C10417" s="141" t="s">
        <v>45</v>
      </c>
    </row>
    <row r="10418" spans="1:3" x14ac:dyDescent="0.35">
      <c r="A10418" s="141" t="s">
        <v>1140</v>
      </c>
      <c r="B10418" s="141" t="s">
        <v>340</v>
      </c>
      <c r="C10418" s="141" t="s">
        <v>45</v>
      </c>
    </row>
    <row r="10419" spans="1:3" x14ac:dyDescent="0.35">
      <c r="A10419" s="141" t="s">
        <v>1140</v>
      </c>
      <c r="B10419" s="141" t="s">
        <v>339</v>
      </c>
      <c r="C10419" s="141" t="s">
        <v>45</v>
      </c>
    </row>
    <row r="10420" spans="1:3" x14ac:dyDescent="0.35">
      <c r="A10420" s="141" t="s">
        <v>1140</v>
      </c>
      <c r="B10420" s="141" t="s">
        <v>1051</v>
      </c>
      <c r="C10420" s="141" t="s">
        <v>45</v>
      </c>
    </row>
    <row r="10421" spans="1:3" x14ac:dyDescent="0.35">
      <c r="A10421" s="141" t="s">
        <v>1140</v>
      </c>
      <c r="B10421" s="141" t="s">
        <v>1059</v>
      </c>
      <c r="C10421" s="141" t="s">
        <v>45</v>
      </c>
    </row>
    <row r="10422" spans="1:3" x14ac:dyDescent="0.35">
      <c r="A10422" s="141" t="s">
        <v>1140</v>
      </c>
      <c r="B10422" s="141" t="s">
        <v>1109</v>
      </c>
      <c r="C10422" s="141" t="s">
        <v>45</v>
      </c>
    </row>
    <row r="10423" spans="1:3" x14ac:dyDescent="0.35">
      <c r="A10423" s="141" t="s">
        <v>1140</v>
      </c>
      <c r="B10423" s="141" t="s">
        <v>1111</v>
      </c>
      <c r="C10423" s="141" t="s">
        <v>45</v>
      </c>
    </row>
    <row r="10424" spans="1:3" x14ac:dyDescent="0.35">
      <c r="A10424" s="141" t="s">
        <v>1140</v>
      </c>
      <c r="B10424" s="141" t="s">
        <v>1112</v>
      </c>
      <c r="C10424" s="141" t="s">
        <v>45</v>
      </c>
    </row>
    <row r="10425" spans="1:3" x14ac:dyDescent="0.35">
      <c r="A10425" s="141" t="s">
        <v>1141</v>
      </c>
      <c r="B10425" s="141" t="s">
        <v>289</v>
      </c>
      <c r="C10425" s="141" t="s">
        <v>46</v>
      </c>
    </row>
    <row r="10426" spans="1:3" x14ac:dyDescent="0.35">
      <c r="A10426" s="141" t="s">
        <v>1141</v>
      </c>
      <c r="B10426" s="141" t="s">
        <v>279</v>
      </c>
      <c r="C10426" s="141" t="s">
        <v>46</v>
      </c>
    </row>
    <row r="10427" spans="1:3" x14ac:dyDescent="0.35">
      <c r="A10427" s="141" t="s">
        <v>1141</v>
      </c>
      <c r="B10427" s="141" t="s">
        <v>280</v>
      </c>
      <c r="C10427" s="141" t="s">
        <v>46</v>
      </c>
    </row>
    <row r="10428" spans="1:3" x14ac:dyDescent="0.35">
      <c r="A10428" s="141" t="s">
        <v>1141</v>
      </c>
      <c r="B10428" s="141" t="s">
        <v>281</v>
      </c>
      <c r="C10428" s="141" t="s">
        <v>46</v>
      </c>
    </row>
    <row r="10429" spans="1:3" x14ac:dyDescent="0.35">
      <c r="A10429" s="141" t="s">
        <v>1141</v>
      </c>
      <c r="B10429" s="141" t="s">
        <v>282</v>
      </c>
      <c r="C10429" s="141" t="s">
        <v>46</v>
      </c>
    </row>
    <row r="10430" spans="1:3" x14ac:dyDescent="0.35">
      <c r="A10430" s="141" t="s">
        <v>1141</v>
      </c>
      <c r="B10430" s="141" t="s">
        <v>263</v>
      </c>
      <c r="C10430" s="141" t="s">
        <v>46</v>
      </c>
    </row>
    <row r="10431" spans="1:3" x14ac:dyDescent="0.35">
      <c r="A10431" s="141" t="s">
        <v>1141</v>
      </c>
      <c r="B10431" s="141" t="s">
        <v>264</v>
      </c>
      <c r="C10431" s="141" t="s">
        <v>46</v>
      </c>
    </row>
    <row r="10432" spans="1:3" x14ac:dyDescent="0.35">
      <c r="A10432" s="141" t="s">
        <v>1141</v>
      </c>
      <c r="B10432" s="141" t="s">
        <v>265</v>
      </c>
      <c r="C10432" s="141" t="s">
        <v>46</v>
      </c>
    </row>
    <row r="10433" spans="1:3" x14ac:dyDescent="0.35">
      <c r="A10433" s="141" t="s">
        <v>1141</v>
      </c>
      <c r="B10433" s="141" t="s">
        <v>266</v>
      </c>
      <c r="C10433" s="141" t="s">
        <v>46</v>
      </c>
    </row>
    <row r="10434" spans="1:3" x14ac:dyDescent="0.35">
      <c r="A10434" s="141" t="s">
        <v>1141</v>
      </c>
      <c r="B10434" s="141" t="s">
        <v>267</v>
      </c>
      <c r="C10434" s="141" t="s">
        <v>46</v>
      </c>
    </row>
    <row r="10435" spans="1:3" x14ac:dyDescent="0.35">
      <c r="A10435" s="141" t="s">
        <v>1141</v>
      </c>
      <c r="B10435" s="141" t="s">
        <v>268</v>
      </c>
      <c r="C10435" s="141" t="s">
        <v>46</v>
      </c>
    </row>
    <row r="10436" spans="1:3" x14ac:dyDescent="0.35">
      <c r="A10436" s="141" t="s">
        <v>1141</v>
      </c>
      <c r="B10436" s="141" t="s">
        <v>269</v>
      </c>
      <c r="C10436" s="141" t="s">
        <v>46</v>
      </c>
    </row>
    <row r="10437" spans="1:3" x14ac:dyDescent="0.35">
      <c r="A10437" s="141" t="s">
        <v>1141</v>
      </c>
      <c r="B10437" s="141" t="s">
        <v>270</v>
      </c>
      <c r="C10437" s="141" t="s">
        <v>46</v>
      </c>
    </row>
    <row r="10438" spans="1:3" x14ac:dyDescent="0.35">
      <c r="A10438" s="141" t="s">
        <v>1141</v>
      </c>
      <c r="B10438" s="141" t="s">
        <v>272</v>
      </c>
      <c r="C10438" s="141" t="s">
        <v>46</v>
      </c>
    </row>
    <row r="10439" spans="1:3" x14ac:dyDescent="0.35">
      <c r="A10439" s="141" t="s">
        <v>1141</v>
      </c>
      <c r="B10439" s="141" t="s">
        <v>273</v>
      </c>
      <c r="C10439" s="141" t="s">
        <v>46</v>
      </c>
    </row>
    <row r="10440" spans="1:3" x14ac:dyDescent="0.35">
      <c r="A10440" s="141" t="s">
        <v>1141</v>
      </c>
      <c r="B10440" s="141" t="s">
        <v>274</v>
      </c>
      <c r="C10440" s="141" t="s">
        <v>46</v>
      </c>
    </row>
    <row r="10441" spans="1:3" x14ac:dyDescent="0.35">
      <c r="A10441" s="141" t="s">
        <v>1141</v>
      </c>
      <c r="B10441" s="141" t="s">
        <v>275</v>
      </c>
      <c r="C10441" s="141" t="s">
        <v>46</v>
      </c>
    </row>
    <row r="10442" spans="1:3" x14ac:dyDescent="0.35">
      <c r="A10442" s="141" t="s">
        <v>1141</v>
      </c>
      <c r="B10442" s="141" t="s">
        <v>342</v>
      </c>
      <c r="C10442" s="141" t="s">
        <v>46</v>
      </c>
    </row>
    <row r="10443" spans="1:3" x14ac:dyDescent="0.35">
      <c r="A10443" s="141" t="s">
        <v>1141</v>
      </c>
      <c r="B10443" s="141" t="s">
        <v>341</v>
      </c>
      <c r="C10443" s="141" t="s">
        <v>46</v>
      </c>
    </row>
    <row r="10444" spans="1:3" x14ac:dyDescent="0.35">
      <c r="A10444" s="141" t="s">
        <v>1141</v>
      </c>
      <c r="B10444" s="141" t="s">
        <v>340</v>
      </c>
      <c r="C10444" s="141" t="s">
        <v>46</v>
      </c>
    </row>
    <row r="10445" spans="1:3" x14ac:dyDescent="0.35">
      <c r="A10445" s="141" t="s">
        <v>1141</v>
      </c>
      <c r="B10445" s="141" t="s">
        <v>339</v>
      </c>
      <c r="C10445" s="141" t="s">
        <v>46</v>
      </c>
    </row>
    <row r="10446" spans="1:3" x14ac:dyDescent="0.35">
      <c r="A10446" s="141" t="s">
        <v>1141</v>
      </c>
      <c r="B10446" s="141" t="s">
        <v>1051</v>
      </c>
      <c r="C10446" s="141" t="s">
        <v>46</v>
      </c>
    </row>
    <row r="10447" spans="1:3" x14ac:dyDescent="0.35">
      <c r="A10447" s="141" t="s">
        <v>1141</v>
      </c>
      <c r="B10447" s="141" t="s">
        <v>1059</v>
      </c>
      <c r="C10447" s="141" t="s">
        <v>46</v>
      </c>
    </row>
    <row r="10448" spans="1:3" x14ac:dyDescent="0.35">
      <c r="A10448" s="141" t="s">
        <v>1141</v>
      </c>
      <c r="B10448" s="141" t="s">
        <v>1109</v>
      </c>
      <c r="C10448" s="141" t="s">
        <v>46</v>
      </c>
    </row>
    <row r="10449" spans="1:3" x14ac:dyDescent="0.35">
      <c r="A10449" s="141" t="s">
        <v>1141</v>
      </c>
      <c r="B10449" s="141" t="s">
        <v>1111</v>
      </c>
      <c r="C10449" s="141" t="s">
        <v>46</v>
      </c>
    </row>
    <row r="10450" spans="1:3" x14ac:dyDescent="0.35">
      <c r="A10450" s="141" t="s">
        <v>1141</v>
      </c>
      <c r="B10450" s="141" t="s">
        <v>1112</v>
      </c>
      <c r="C10450" s="141" t="s">
        <v>46</v>
      </c>
    </row>
    <row r="10451" spans="1:3" x14ac:dyDescent="0.35">
      <c r="A10451" s="141" t="s">
        <v>1142</v>
      </c>
      <c r="B10451" s="141" t="s">
        <v>289</v>
      </c>
      <c r="C10451" s="141" t="s">
        <v>45</v>
      </c>
    </row>
    <row r="10452" spans="1:3" x14ac:dyDescent="0.35">
      <c r="A10452" s="141" t="s">
        <v>1142</v>
      </c>
      <c r="B10452" s="141" t="s">
        <v>279</v>
      </c>
      <c r="C10452" s="141" t="s">
        <v>45</v>
      </c>
    </row>
    <row r="10453" spans="1:3" x14ac:dyDescent="0.35">
      <c r="A10453" s="141" t="s">
        <v>1142</v>
      </c>
      <c r="B10453" s="141" t="s">
        <v>280</v>
      </c>
      <c r="C10453" s="141" t="s">
        <v>45</v>
      </c>
    </row>
    <row r="10454" spans="1:3" x14ac:dyDescent="0.35">
      <c r="A10454" s="141" t="s">
        <v>1142</v>
      </c>
      <c r="B10454" s="141" t="s">
        <v>281</v>
      </c>
      <c r="C10454" s="141" t="s">
        <v>45</v>
      </c>
    </row>
    <row r="10455" spans="1:3" x14ac:dyDescent="0.35">
      <c r="A10455" s="141" t="s">
        <v>1142</v>
      </c>
      <c r="B10455" s="141" t="s">
        <v>282</v>
      </c>
      <c r="C10455" s="141" t="s">
        <v>45</v>
      </c>
    </row>
    <row r="10456" spans="1:3" x14ac:dyDescent="0.35">
      <c r="A10456" s="141" t="s">
        <v>1142</v>
      </c>
      <c r="B10456" s="141" t="s">
        <v>263</v>
      </c>
      <c r="C10456" s="141" t="s">
        <v>45</v>
      </c>
    </row>
    <row r="10457" spans="1:3" x14ac:dyDescent="0.35">
      <c r="A10457" s="141" t="s">
        <v>1142</v>
      </c>
      <c r="B10457" s="141" t="s">
        <v>264</v>
      </c>
      <c r="C10457" s="141" t="s">
        <v>45</v>
      </c>
    </row>
    <row r="10458" spans="1:3" x14ac:dyDescent="0.35">
      <c r="A10458" s="141" t="s">
        <v>1142</v>
      </c>
      <c r="B10458" s="141" t="s">
        <v>265</v>
      </c>
      <c r="C10458" s="141" t="s">
        <v>45</v>
      </c>
    </row>
    <row r="10459" spans="1:3" x14ac:dyDescent="0.35">
      <c r="A10459" s="141" t="s">
        <v>1142</v>
      </c>
      <c r="B10459" s="141" t="s">
        <v>266</v>
      </c>
      <c r="C10459" s="141" t="s">
        <v>45</v>
      </c>
    </row>
    <row r="10460" spans="1:3" x14ac:dyDescent="0.35">
      <c r="A10460" s="141" t="s">
        <v>1142</v>
      </c>
      <c r="B10460" s="141" t="s">
        <v>267</v>
      </c>
      <c r="C10460" s="141" t="s">
        <v>45</v>
      </c>
    </row>
    <row r="10461" spans="1:3" x14ac:dyDescent="0.35">
      <c r="A10461" s="141" t="s">
        <v>1142</v>
      </c>
      <c r="B10461" s="141" t="s">
        <v>268</v>
      </c>
      <c r="C10461" s="141" t="s">
        <v>45</v>
      </c>
    </row>
    <row r="10462" spans="1:3" x14ac:dyDescent="0.35">
      <c r="A10462" s="141" t="s">
        <v>1142</v>
      </c>
      <c r="B10462" s="141" t="s">
        <v>269</v>
      </c>
      <c r="C10462" s="141" t="s">
        <v>45</v>
      </c>
    </row>
    <row r="10463" spans="1:3" x14ac:dyDescent="0.35">
      <c r="A10463" s="141" t="s">
        <v>1142</v>
      </c>
      <c r="B10463" s="141" t="s">
        <v>270</v>
      </c>
      <c r="C10463" s="141" t="s">
        <v>45</v>
      </c>
    </row>
    <row r="10464" spans="1:3" x14ac:dyDescent="0.35">
      <c r="A10464" s="141" t="s">
        <v>1142</v>
      </c>
      <c r="B10464" s="141" t="s">
        <v>272</v>
      </c>
      <c r="C10464" s="141" t="s">
        <v>45</v>
      </c>
    </row>
    <row r="10465" spans="1:3" x14ac:dyDescent="0.35">
      <c r="A10465" s="141" t="s">
        <v>1142</v>
      </c>
      <c r="B10465" s="141" t="s">
        <v>273</v>
      </c>
      <c r="C10465" s="141" t="s">
        <v>45</v>
      </c>
    </row>
    <row r="10466" spans="1:3" x14ac:dyDescent="0.35">
      <c r="A10466" s="141" t="s">
        <v>1142</v>
      </c>
      <c r="B10466" s="141" t="s">
        <v>274</v>
      </c>
      <c r="C10466" s="141" t="s">
        <v>45</v>
      </c>
    </row>
    <row r="10467" spans="1:3" x14ac:dyDescent="0.35">
      <c r="A10467" s="141" t="s">
        <v>1142</v>
      </c>
      <c r="B10467" s="141" t="s">
        <v>275</v>
      </c>
      <c r="C10467" s="141" t="s">
        <v>45</v>
      </c>
    </row>
    <row r="10468" spans="1:3" x14ac:dyDescent="0.35">
      <c r="A10468" s="141" t="s">
        <v>1142</v>
      </c>
      <c r="B10468" s="141" t="s">
        <v>342</v>
      </c>
      <c r="C10468" s="141" t="s">
        <v>45</v>
      </c>
    </row>
    <row r="10469" spans="1:3" x14ac:dyDescent="0.35">
      <c r="A10469" s="141" t="s">
        <v>1142</v>
      </c>
      <c r="B10469" s="141" t="s">
        <v>341</v>
      </c>
      <c r="C10469" s="141" t="s">
        <v>45</v>
      </c>
    </row>
    <row r="10470" spans="1:3" x14ac:dyDescent="0.35">
      <c r="A10470" s="141" t="s">
        <v>1142</v>
      </c>
      <c r="B10470" s="141" t="s">
        <v>340</v>
      </c>
      <c r="C10470" s="141" t="s">
        <v>45</v>
      </c>
    </row>
    <row r="10471" spans="1:3" x14ac:dyDescent="0.35">
      <c r="A10471" s="141" t="s">
        <v>1142</v>
      </c>
      <c r="B10471" s="141" t="s">
        <v>339</v>
      </c>
      <c r="C10471" s="141" t="s">
        <v>45</v>
      </c>
    </row>
    <row r="10472" spans="1:3" x14ac:dyDescent="0.35">
      <c r="A10472" s="141" t="s">
        <v>1142</v>
      </c>
      <c r="B10472" s="141" t="s">
        <v>1051</v>
      </c>
      <c r="C10472" s="141" t="s">
        <v>45</v>
      </c>
    </row>
    <row r="10473" spans="1:3" x14ac:dyDescent="0.35">
      <c r="A10473" s="141" t="s">
        <v>1142</v>
      </c>
      <c r="B10473" s="141" t="s">
        <v>1059</v>
      </c>
      <c r="C10473" s="141" t="s">
        <v>45</v>
      </c>
    </row>
    <row r="10474" spans="1:3" x14ac:dyDescent="0.35">
      <c r="A10474" s="141" t="s">
        <v>1142</v>
      </c>
      <c r="B10474" s="141" t="s">
        <v>1109</v>
      </c>
      <c r="C10474" s="141" t="s">
        <v>45</v>
      </c>
    </row>
    <row r="10475" spans="1:3" x14ac:dyDescent="0.35">
      <c r="A10475" s="141" t="s">
        <v>1142</v>
      </c>
      <c r="B10475" s="141" t="s">
        <v>1111</v>
      </c>
      <c r="C10475" s="141" t="s">
        <v>45</v>
      </c>
    </row>
    <row r="10476" spans="1:3" x14ac:dyDescent="0.35">
      <c r="A10476" s="141" t="s">
        <v>1142</v>
      </c>
      <c r="B10476" s="141" t="s">
        <v>1112</v>
      </c>
      <c r="C10476" s="141" t="s">
        <v>45</v>
      </c>
    </row>
    <row r="10477" spans="1:3" x14ac:dyDescent="0.35">
      <c r="A10477" s="141" t="s">
        <v>1095</v>
      </c>
      <c r="B10477" s="141" t="s">
        <v>289</v>
      </c>
      <c r="C10477" s="141" t="s">
        <v>49</v>
      </c>
    </row>
    <row r="10478" spans="1:3" x14ac:dyDescent="0.35">
      <c r="A10478" s="141" t="s">
        <v>1095</v>
      </c>
      <c r="B10478" s="141" t="s">
        <v>279</v>
      </c>
      <c r="C10478" s="141" t="s">
        <v>49</v>
      </c>
    </row>
    <row r="10479" spans="1:3" x14ac:dyDescent="0.35">
      <c r="A10479" s="141" t="s">
        <v>1095</v>
      </c>
      <c r="B10479" s="141" t="s">
        <v>280</v>
      </c>
      <c r="C10479" s="141" t="s">
        <v>49</v>
      </c>
    </row>
    <row r="10480" spans="1:3" x14ac:dyDescent="0.35">
      <c r="A10480" s="141" t="s">
        <v>1095</v>
      </c>
      <c r="B10480" s="141" t="s">
        <v>281</v>
      </c>
      <c r="C10480" s="141" t="s">
        <v>49</v>
      </c>
    </row>
    <row r="10481" spans="1:3" x14ac:dyDescent="0.35">
      <c r="A10481" s="141" t="s">
        <v>1095</v>
      </c>
      <c r="B10481" s="141" t="s">
        <v>282</v>
      </c>
      <c r="C10481" s="141" t="s">
        <v>49</v>
      </c>
    </row>
    <row r="10482" spans="1:3" x14ac:dyDescent="0.35">
      <c r="A10482" s="141" t="s">
        <v>1095</v>
      </c>
      <c r="B10482" s="141" t="s">
        <v>263</v>
      </c>
      <c r="C10482" s="141" t="s">
        <v>49</v>
      </c>
    </row>
    <row r="10483" spans="1:3" x14ac:dyDescent="0.35">
      <c r="A10483" s="141" t="s">
        <v>1095</v>
      </c>
      <c r="B10483" s="141" t="s">
        <v>264</v>
      </c>
      <c r="C10483" s="141" t="s">
        <v>49</v>
      </c>
    </row>
    <row r="10484" spans="1:3" x14ac:dyDescent="0.35">
      <c r="A10484" s="141" t="s">
        <v>1095</v>
      </c>
      <c r="B10484" s="141" t="s">
        <v>265</v>
      </c>
      <c r="C10484" s="141" t="s">
        <v>49</v>
      </c>
    </row>
    <row r="10485" spans="1:3" x14ac:dyDescent="0.35">
      <c r="A10485" s="141" t="s">
        <v>1095</v>
      </c>
      <c r="B10485" s="141" t="s">
        <v>266</v>
      </c>
      <c r="C10485" s="141" t="s">
        <v>49</v>
      </c>
    </row>
    <row r="10486" spans="1:3" x14ac:dyDescent="0.35">
      <c r="A10486" s="141" t="s">
        <v>1095</v>
      </c>
      <c r="B10486" s="141" t="s">
        <v>267</v>
      </c>
      <c r="C10486" s="141" t="s">
        <v>49</v>
      </c>
    </row>
    <row r="10487" spans="1:3" x14ac:dyDescent="0.35">
      <c r="A10487" s="141" t="s">
        <v>1095</v>
      </c>
      <c r="B10487" s="141" t="s">
        <v>268</v>
      </c>
      <c r="C10487" s="141" t="s">
        <v>49</v>
      </c>
    </row>
    <row r="10488" spans="1:3" x14ac:dyDescent="0.35">
      <c r="A10488" s="141" t="s">
        <v>1095</v>
      </c>
      <c r="B10488" s="141" t="s">
        <v>269</v>
      </c>
      <c r="C10488" s="141" t="s">
        <v>49</v>
      </c>
    </row>
    <row r="10489" spans="1:3" x14ac:dyDescent="0.35">
      <c r="A10489" s="141" t="s">
        <v>1095</v>
      </c>
      <c r="B10489" s="141" t="s">
        <v>270</v>
      </c>
      <c r="C10489" s="141" t="s">
        <v>49</v>
      </c>
    </row>
    <row r="10490" spans="1:3" x14ac:dyDescent="0.35">
      <c r="A10490" s="141" t="s">
        <v>1095</v>
      </c>
      <c r="B10490" s="141" t="s">
        <v>272</v>
      </c>
      <c r="C10490" s="141" t="s">
        <v>49</v>
      </c>
    </row>
    <row r="10491" spans="1:3" x14ac:dyDescent="0.35">
      <c r="A10491" s="141" t="s">
        <v>1095</v>
      </c>
      <c r="B10491" s="141" t="s">
        <v>273</v>
      </c>
      <c r="C10491" s="141" t="s">
        <v>49</v>
      </c>
    </row>
    <row r="10492" spans="1:3" x14ac:dyDescent="0.35">
      <c r="A10492" s="141" t="s">
        <v>1095</v>
      </c>
      <c r="B10492" s="141" t="s">
        <v>274</v>
      </c>
      <c r="C10492" s="141" t="s">
        <v>49</v>
      </c>
    </row>
    <row r="10493" spans="1:3" x14ac:dyDescent="0.35">
      <c r="A10493" s="141" t="s">
        <v>1095</v>
      </c>
      <c r="B10493" s="141" t="s">
        <v>275</v>
      </c>
      <c r="C10493" s="141" t="s">
        <v>49</v>
      </c>
    </row>
    <row r="10494" spans="1:3" x14ac:dyDescent="0.35">
      <c r="A10494" s="141" t="s">
        <v>1095</v>
      </c>
      <c r="B10494" s="141" t="s">
        <v>342</v>
      </c>
      <c r="C10494" s="141" t="s">
        <v>49</v>
      </c>
    </row>
    <row r="10495" spans="1:3" x14ac:dyDescent="0.35">
      <c r="A10495" s="141" t="s">
        <v>1095</v>
      </c>
      <c r="B10495" s="141" t="s">
        <v>341</v>
      </c>
      <c r="C10495" s="141" t="s">
        <v>49</v>
      </c>
    </row>
    <row r="10496" spans="1:3" x14ac:dyDescent="0.35">
      <c r="A10496" s="141" t="s">
        <v>1095</v>
      </c>
      <c r="B10496" s="141" t="s">
        <v>340</v>
      </c>
      <c r="C10496" s="141" t="s">
        <v>49</v>
      </c>
    </row>
    <row r="10497" spans="1:3" x14ac:dyDescent="0.35">
      <c r="A10497" s="141" t="s">
        <v>1095</v>
      </c>
      <c r="B10497" s="141" t="s">
        <v>339</v>
      </c>
      <c r="C10497" s="141" t="s">
        <v>49</v>
      </c>
    </row>
    <row r="10498" spans="1:3" x14ac:dyDescent="0.35">
      <c r="A10498" s="141" t="s">
        <v>1095</v>
      </c>
      <c r="B10498" s="141" t="s">
        <v>1051</v>
      </c>
      <c r="C10498" s="141" t="s">
        <v>49</v>
      </c>
    </row>
    <row r="10499" spans="1:3" x14ac:dyDescent="0.35">
      <c r="A10499" s="141" t="s">
        <v>1095</v>
      </c>
      <c r="B10499" s="141" t="s">
        <v>1059</v>
      </c>
      <c r="C10499" s="141" t="s">
        <v>49</v>
      </c>
    </row>
    <row r="10500" spans="1:3" x14ac:dyDescent="0.35">
      <c r="A10500" s="141" t="s">
        <v>1095</v>
      </c>
      <c r="B10500" s="141" t="s">
        <v>1109</v>
      </c>
      <c r="C10500" s="141" t="s">
        <v>49</v>
      </c>
    </row>
    <row r="10501" spans="1:3" x14ac:dyDescent="0.35">
      <c r="A10501" s="141" t="s">
        <v>1095</v>
      </c>
      <c r="B10501" s="141" t="s">
        <v>1111</v>
      </c>
      <c r="C10501" s="141" t="s">
        <v>49</v>
      </c>
    </row>
    <row r="10502" spans="1:3" x14ac:dyDescent="0.35">
      <c r="A10502" s="141" t="s">
        <v>1095</v>
      </c>
      <c r="B10502" s="141" t="s">
        <v>1112</v>
      </c>
      <c r="C10502" s="141" t="s">
        <v>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4" tint="-0.249977111117893"/>
  </sheetPr>
  <dimension ref="A1:I3067"/>
  <sheetViews>
    <sheetView zoomScaleNormal="100" workbookViewId="0"/>
  </sheetViews>
  <sheetFormatPr defaultColWidth="8.81640625" defaultRowHeight="14.5" x14ac:dyDescent="0.35"/>
  <cols>
    <col min="1" max="1" width="22.81640625" style="18" customWidth="1"/>
    <col min="2" max="7" width="8.81640625" style="18"/>
    <col min="8" max="8" width="7.81640625" style="25" customWidth="1"/>
    <col min="9" max="9" width="109.1796875" style="25" customWidth="1"/>
    <col min="10" max="16384" width="8.81640625" style="18"/>
  </cols>
  <sheetData>
    <row r="1" spans="1:9" ht="23.5" x14ac:dyDescent="0.55000000000000004">
      <c r="A1" s="19" t="s">
        <v>243</v>
      </c>
      <c r="H1" s="18"/>
      <c r="I1" s="18"/>
    </row>
    <row r="2" spans="1:9" ht="15" thickBot="1" x14ac:dyDescent="0.4">
      <c r="H2" s="18"/>
      <c r="I2" s="18"/>
    </row>
    <row r="3" spans="1:9" ht="15.5" x14ac:dyDescent="0.35">
      <c r="A3" s="116" t="s">
        <v>176</v>
      </c>
      <c r="B3" s="116" t="s">
        <v>58</v>
      </c>
      <c r="C3" s="116" t="s">
        <v>177</v>
      </c>
      <c r="H3" s="118" t="s">
        <v>180</v>
      </c>
      <c r="I3" s="119" t="s">
        <v>181</v>
      </c>
    </row>
    <row r="4" spans="1:9" ht="15.5" x14ac:dyDescent="0.35">
      <c r="A4" s="71" t="s">
        <v>2</v>
      </c>
      <c r="B4" s="71">
        <v>1980</v>
      </c>
      <c r="C4" s="71">
        <v>70</v>
      </c>
      <c r="H4" s="120">
        <v>0</v>
      </c>
      <c r="I4" s="121" t="s">
        <v>182</v>
      </c>
    </row>
    <row r="5" spans="1:9" ht="15.5" x14ac:dyDescent="0.35">
      <c r="A5" s="71" t="s">
        <v>2</v>
      </c>
      <c r="B5" s="71">
        <v>1981</v>
      </c>
      <c r="C5" s="71">
        <v>70</v>
      </c>
      <c r="H5" s="120">
        <v>11</v>
      </c>
      <c r="I5" s="121" t="s">
        <v>183</v>
      </c>
    </row>
    <row r="6" spans="1:9" ht="15.5" x14ac:dyDescent="0.35">
      <c r="A6" s="71" t="s">
        <v>2</v>
      </c>
      <c r="B6" s="71">
        <v>1982</v>
      </c>
      <c r="C6" s="71">
        <v>70</v>
      </c>
      <c r="H6" s="120">
        <v>12</v>
      </c>
      <c r="I6" s="121" t="s">
        <v>184</v>
      </c>
    </row>
    <row r="7" spans="1:9" ht="15.5" x14ac:dyDescent="0.35">
      <c r="A7" s="71" t="s">
        <v>2</v>
      </c>
      <c r="B7" s="71">
        <v>1983</v>
      </c>
      <c r="C7" s="71">
        <v>70</v>
      </c>
      <c r="H7" s="120">
        <v>13</v>
      </c>
      <c r="I7" s="121" t="s">
        <v>185</v>
      </c>
    </row>
    <row r="8" spans="1:9" ht="15.5" x14ac:dyDescent="0.35">
      <c r="A8" s="71" t="s">
        <v>2</v>
      </c>
      <c r="B8" s="71">
        <v>1984</v>
      </c>
      <c r="C8" s="71">
        <v>70</v>
      </c>
      <c r="H8" s="120">
        <v>14</v>
      </c>
      <c r="I8" s="121" t="s">
        <v>186</v>
      </c>
    </row>
    <row r="9" spans="1:9" ht="15.5" x14ac:dyDescent="0.35">
      <c r="A9" s="71" t="s">
        <v>2</v>
      </c>
      <c r="B9" s="71">
        <v>1985</v>
      </c>
      <c r="C9" s="71">
        <v>70</v>
      </c>
      <c r="H9" s="120">
        <v>15</v>
      </c>
      <c r="I9" s="121" t="s">
        <v>187</v>
      </c>
    </row>
    <row r="10" spans="1:9" ht="15.5" x14ac:dyDescent="0.35">
      <c r="A10" s="71" t="s">
        <v>2</v>
      </c>
      <c r="B10" s="71">
        <v>1986</v>
      </c>
      <c r="C10" s="71">
        <v>70</v>
      </c>
      <c r="H10" s="120">
        <v>21</v>
      </c>
      <c r="I10" s="121" t="s">
        <v>188</v>
      </c>
    </row>
    <row r="11" spans="1:9" ht="15.5" x14ac:dyDescent="0.35">
      <c r="A11" s="71" t="s">
        <v>2</v>
      </c>
      <c r="B11" s="71">
        <v>1987</v>
      </c>
      <c r="C11" s="71">
        <v>70</v>
      </c>
      <c r="H11" s="120">
        <v>22</v>
      </c>
      <c r="I11" s="121" t="s">
        <v>189</v>
      </c>
    </row>
    <row r="12" spans="1:9" ht="15.5" x14ac:dyDescent="0.35">
      <c r="A12" s="71" t="s">
        <v>2</v>
      </c>
      <c r="B12" s="71">
        <v>1988</v>
      </c>
      <c r="C12" s="71">
        <v>70</v>
      </c>
      <c r="H12" s="120">
        <v>23</v>
      </c>
      <c r="I12" s="121" t="s">
        <v>190</v>
      </c>
    </row>
    <row r="13" spans="1:9" ht="15.5" x14ac:dyDescent="0.35">
      <c r="A13" s="71" t="s">
        <v>2</v>
      </c>
      <c r="B13" s="71">
        <v>1989</v>
      </c>
      <c r="C13" s="71">
        <v>70</v>
      </c>
      <c r="H13" s="120">
        <v>24</v>
      </c>
      <c r="I13" s="121" t="s">
        <v>191</v>
      </c>
    </row>
    <row r="14" spans="1:9" ht="15.5" x14ac:dyDescent="0.35">
      <c r="A14" s="71" t="s">
        <v>2</v>
      </c>
      <c r="B14" s="71">
        <v>1990</v>
      </c>
      <c r="C14" s="71">
        <v>70</v>
      </c>
      <c r="H14" s="120">
        <v>25</v>
      </c>
      <c r="I14" s="121" t="s">
        <v>192</v>
      </c>
    </row>
    <row r="15" spans="1:9" ht="15.5" x14ac:dyDescent="0.35">
      <c r="A15" s="71" t="s">
        <v>2</v>
      </c>
      <c r="B15" s="71">
        <v>1991</v>
      </c>
      <c r="C15" s="71">
        <v>70</v>
      </c>
      <c r="H15" s="120">
        <v>41</v>
      </c>
      <c r="I15" s="121" t="s">
        <v>193</v>
      </c>
    </row>
    <row r="16" spans="1:9" ht="15.5" x14ac:dyDescent="0.35">
      <c r="A16" s="71" t="s">
        <v>2</v>
      </c>
      <c r="B16" s="71">
        <v>1992</v>
      </c>
      <c r="C16" s="71">
        <v>70</v>
      </c>
      <c r="H16" s="120">
        <v>42</v>
      </c>
      <c r="I16" s="121" t="s">
        <v>193</v>
      </c>
    </row>
    <row r="17" spans="1:9" ht="15.5" x14ac:dyDescent="0.35">
      <c r="A17" s="71" t="s">
        <v>2</v>
      </c>
      <c r="B17" s="71">
        <v>1993</v>
      </c>
      <c r="C17" s="71">
        <v>70</v>
      </c>
      <c r="H17" s="120">
        <v>43</v>
      </c>
      <c r="I17" s="121" t="s">
        <v>193</v>
      </c>
    </row>
    <row r="18" spans="1:9" ht="15.5" x14ac:dyDescent="0.35">
      <c r="A18" s="71" t="s">
        <v>2</v>
      </c>
      <c r="B18" s="71">
        <v>1994</v>
      </c>
      <c r="C18" s="71">
        <v>70</v>
      </c>
      <c r="H18" s="120">
        <v>52</v>
      </c>
      <c r="I18" s="121" t="s">
        <v>194</v>
      </c>
    </row>
    <row r="19" spans="1:9" ht="15.5" x14ac:dyDescent="0.35">
      <c r="A19" s="71" t="s">
        <v>2</v>
      </c>
      <c r="B19" s="71">
        <v>1995</v>
      </c>
      <c r="C19" s="71">
        <v>70</v>
      </c>
      <c r="H19" s="120">
        <v>53</v>
      </c>
      <c r="I19" s="121" t="s">
        <v>195</v>
      </c>
    </row>
    <row r="20" spans="1:9" ht="15.5" x14ac:dyDescent="0.35">
      <c r="A20" s="71" t="s">
        <v>2</v>
      </c>
      <c r="B20" s="71">
        <v>1996</v>
      </c>
      <c r="C20" s="71">
        <v>70</v>
      </c>
      <c r="H20" s="120">
        <v>54</v>
      </c>
      <c r="I20" s="121" t="s">
        <v>196</v>
      </c>
    </row>
    <row r="21" spans="1:9" ht="15.5" x14ac:dyDescent="0.35">
      <c r="A21" s="71" t="s">
        <v>2</v>
      </c>
      <c r="B21" s="71">
        <v>1997</v>
      </c>
      <c r="C21" s="71">
        <v>70</v>
      </c>
      <c r="H21" s="120">
        <v>60</v>
      </c>
      <c r="I21" s="121" t="s">
        <v>197</v>
      </c>
    </row>
    <row r="22" spans="1:9" ht="15.5" x14ac:dyDescent="0.35">
      <c r="A22" s="71" t="s">
        <v>2</v>
      </c>
      <c r="B22" s="71">
        <v>1998</v>
      </c>
      <c r="C22" s="71">
        <v>70</v>
      </c>
      <c r="H22" s="120">
        <v>100</v>
      </c>
      <c r="I22" s="121" t="s">
        <v>198</v>
      </c>
    </row>
    <row r="23" spans="1:9" ht="15.5" x14ac:dyDescent="0.35">
      <c r="A23" s="71" t="s">
        <v>2</v>
      </c>
      <c r="B23" s="71">
        <v>1999</v>
      </c>
      <c r="C23" s="71">
        <v>70</v>
      </c>
      <c r="H23" s="120">
        <v>111</v>
      </c>
      <c r="I23" s="121" t="s">
        <v>199</v>
      </c>
    </row>
    <row r="24" spans="1:9" ht="15.5" x14ac:dyDescent="0.35">
      <c r="A24" s="71" t="s">
        <v>2</v>
      </c>
      <c r="B24" s="71">
        <v>2000</v>
      </c>
      <c r="C24" s="71">
        <v>70</v>
      </c>
      <c r="H24" s="120">
        <v>121</v>
      </c>
      <c r="I24" s="121" t="s">
        <v>200</v>
      </c>
    </row>
    <row r="25" spans="1:9" ht="15.5" x14ac:dyDescent="0.35">
      <c r="A25" s="71" t="s">
        <v>2</v>
      </c>
      <c r="B25" s="71">
        <v>2001</v>
      </c>
      <c r="C25" s="71">
        <v>70</v>
      </c>
      <c r="H25" s="120">
        <v>122</v>
      </c>
      <c r="I25" s="121" t="s">
        <v>201</v>
      </c>
    </row>
    <row r="26" spans="1:9" ht="15.5" x14ac:dyDescent="0.35">
      <c r="A26" s="71" t="s">
        <v>2</v>
      </c>
      <c r="B26" s="71">
        <v>2002</v>
      </c>
      <c r="C26" s="71">
        <v>70</v>
      </c>
      <c r="H26" s="120">
        <v>123</v>
      </c>
      <c r="I26" s="121" t="s">
        <v>202</v>
      </c>
    </row>
    <row r="27" spans="1:9" ht="15.5" x14ac:dyDescent="0.35">
      <c r="A27" s="71" t="s">
        <v>2</v>
      </c>
      <c r="B27" s="71">
        <v>2003</v>
      </c>
      <c r="C27" s="71">
        <v>70</v>
      </c>
      <c r="H27" s="120">
        <v>124</v>
      </c>
      <c r="I27" s="121" t="s">
        <v>203</v>
      </c>
    </row>
    <row r="28" spans="1:9" ht="15.5" x14ac:dyDescent="0.35">
      <c r="A28" s="71" t="s">
        <v>2</v>
      </c>
      <c r="B28" s="71">
        <v>2004</v>
      </c>
      <c r="C28" s="71">
        <v>70</v>
      </c>
      <c r="H28" s="120">
        <v>125</v>
      </c>
      <c r="I28" s="121" t="s">
        <v>204</v>
      </c>
    </row>
    <row r="29" spans="1:9" ht="15.5" x14ac:dyDescent="0.35">
      <c r="A29" s="71" t="s">
        <v>2</v>
      </c>
      <c r="B29" s="71">
        <v>2005</v>
      </c>
      <c r="C29" s="71">
        <v>70</v>
      </c>
      <c r="H29" s="120">
        <v>200</v>
      </c>
      <c r="I29" s="121" t="s">
        <v>205</v>
      </c>
    </row>
    <row r="30" spans="1:9" ht="15.5" x14ac:dyDescent="0.35">
      <c r="A30" s="71" t="s">
        <v>2</v>
      </c>
      <c r="B30" s="71">
        <v>2006</v>
      </c>
      <c r="C30" s="71">
        <v>70</v>
      </c>
      <c r="H30" s="120">
        <v>215</v>
      </c>
      <c r="I30" s="121" t="s">
        <v>206</v>
      </c>
    </row>
    <row r="31" spans="1:9" ht="15.5" x14ac:dyDescent="0.35">
      <c r="A31" s="71" t="s">
        <v>2</v>
      </c>
      <c r="B31" s="71">
        <v>2007</v>
      </c>
      <c r="C31" s="71">
        <v>70</v>
      </c>
      <c r="H31" s="120">
        <v>216</v>
      </c>
      <c r="I31" s="121" t="s">
        <v>207</v>
      </c>
    </row>
    <row r="32" spans="1:9" ht="15.5" x14ac:dyDescent="0.35">
      <c r="A32" s="71" t="s">
        <v>2</v>
      </c>
      <c r="B32" s="71">
        <v>2008</v>
      </c>
      <c r="C32" s="71">
        <v>70</v>
      </c>
      <c r="H32" s="120">
        <v>313</v>
      </c>
      <c r="I32" s="121" t="s">
        <v>208</v>
      </c>
    </row>
    <row r="33" spans="1:9" ht="15.5" x14ac:dyDescent="0.35">
      <c r="A33" s="71" t="s">
        <v>2</v>
      </c>
      <c r="B33" s="71">
        <v>2009</v>
      </c>
      <c r="C33" s="71">
        <v>70</v>
      </c>
      <c r="H33" s="120">
        <v>314</v>
      </c>
      <c r="I33" s="121" t="s">
        <v>209</v>
      </c>
    </row>
    <row r="34" spans="1:9" ht="15.5" x14ac:dyDescent="0.35">
      <c r="A34" s="71" t="s">
        <v>2</v>
      </c>
      <c r="B34" s="71">
        <v>2010</v>
      </c>
      <c r="C34" s="71">
        <v>70</v>
      </c>
      <c r="H34" s="120">
        <v>315</v>
      </c>
      <c r="I34" s="121" t="s">
        <v>210</v>
      </c>
    </row>
    <row r="35" spans="1:9" ht="15.5" x14ac:dyDescent="0.35">
      <c r="A35" s="71" t="s">
        <v>2</v>
      </c>
      <c r="B35" s="71">
        <v>2011</v>
      </c>
      <c r="C35" s="71">
        <v>70</v>
      </c>
      <c r="H35" s="120">
        <v>415</v>
      </c>
      <c r="I35" s="121" t="s">
        <v>211</v>
      </c>
    </row>
    <row r="36" spans="1:9" ht="15.5" x14ac:dyDescent="0.35">
      <c r="A36" s="71" t="s">
        <v>2</v>
      </c>
      <c r="B36" s="71">
        <v>2012</v>
      </c>
      <c r="C36" s="71">
        <v>70</v>
      </c>
      <c r="H36" s="120">
        <v>416</v>
      </c>
      <c r="I36" s="121" t="s">
        <v>212</v>
      </c>
    </row>
    <row r="37" spans="1:9" ht="15.5" x14ac:dyDescent="0.35">
      <c r="A37" s="71" t="s">
        <v>2</v>
      </c>
      <c r="B37" s="71">
        <v>2013</v>
      </c>
      <c r="C37" s="71">
        <v>70</v>
      </c>
      <c r="H37" s="120">
        <v>500</v>
      </c>
      <c r="I37" s="121" t="s">
        <v>213</v>
      </c>
    </row>
    <row r="38" spans="1:9" ht="15.5" x14ac:dyDescent="0.35">
      <c r="A38" s="71" t="s">
        <v>2</v>
      </c>
      <c r="B38" s="71">
        <v>2014</v>
      </c>
      <c r="C38" s="71">
        <v>70</v>
      </c>
      <c r="H38" s="120">
        <v>507</v>
      </c>
      <c r="I38" s="121" t="s">
        <v>214</v>
      </c>
    </row>
    <row r="39" spans="1:9" ht="15.5" x14ac:dyDescent="0.35">
      <c r="A39" s="71" t="s">
        <v>2</v>
      </c>
      <c r="B39" s="71">
        <v>2015</v>
      </c>
      <c r="C39" s="71">
        <v>70</v>
      </c>
      <c r="H39" s="120">
        <v>511</v>
      </c>
      <c r="I39" s="121" t="s">
        <v>215</v>
      </c>
    </row>
    <row r="40" spans="1:9" ht="15.5" x14ac:dyDescent="0.35">
      <c r="A40" s="71" t="s">
        <v>2</v>
      </c>
      <c r="B40" s="71">
        <v>2016</v>
      </c>
      <c r="C40" s="71">
        <v>70</v>
      </c>
      <c r="H40" s="120">
        <v>512</v>
      </c>
      <c r="I40" s="121" t="s">
        <v>216</v>
      </c>
    </row>
    <row r="41" spans="1:9" ht="15.5" x14ac:dyDescent="0.35">
      <c r="A41" s="71" t="s">
        <v>2</v>
      </c>
      <c r="B41" s="71">
        <v>2017</v>
      </c>
      <c r="C41" s="71">
        <v>70</v>
      </c>
      <c r="H41" s="120">
        <v>513</v>
      </c>
      <c r="I41" s="121" t="s">
        <v>217</v>
      </c>
    </row>
    <row r="42" spans="1:9" ht="15.5" x14ac:dyDescent="0.35">
      <c r="A42" s="71" t="s">
        <v>2</v>
      </c>
      <c r="B42" s="71">
        <v>2018</v>
      </c>
      <c r="C42" s="71">
        <v>70</v>
      </c>
      <c r="H42" s="120">
        <v>514</v>
      </c>
      <c r="I42" s="121" t="s">
        <v>218</v>
      </c>
    </row>
    <row r="43" spans="1:9" ht="15.5" x14ac:dyDescent="0.35">
      <c r="A43" s="71" t="s">
        <v>2</v>
      </c>
      <c r="B43" s="71">
        <v>2019</v>
      </c>
      <c r="C43" s="71">
        <v>70</v>
      </c>
      <c r="H43" s="120">
        <v>515</v>
      </c>
      <c r="I43" s="121" t="s">
        <v>219</v>
      </c>
    </row>
    <row r="44" spans="1:9" ht="16" thickBot="1" x14ac:dyDescent="0.4">
      <c r="A44" s="71" t="s">
        <v>2</v>
      </c>
      <c r="B44" s="71">
        <v>2020</v>
      </c>
      <c r="C44" s="71">
        <v>70</v>
      </c>
      <c r="H44" s="122">
        <v>516</v>
      </c>
      <c r="I44" s="123" t="s">
        <v>220</v>
      </c>
    </row>
    <row r="45" spans="1:9" ht="15.5" x14ac:dyDescent="0.35">
      <c r="A45" s="71" t="s">
        <v>2</v>
      </c>
      <c r="B45" s="71">
        <v>2021</v>
      </c>
      <c r="C45" s="71">
        <v>70</v>
      </c>
    </row>
    <row r="46" spans="1:9" ht="15.5" x14ac:dyDescent="0.35">
      <c r="A46" s="71" t="s">
        <v>2</v>
      </c>
      <c r="B46" s="71">
        <v>2022</v>
      </c>
      <c r="C46" s="71">
        <v>70</v>
      </c>
    </row>
    <row r="47" spans="1:9" ht="15.5" x14ac:dyDescent="0.35">
      <c r="A47" s="71" t="s">
        <v>3</v>
      </c>
      <c r="B47" s="71">
        <v>1980</v>
      </c>
      <c r="C47" s="71">
        <v>70</v>
      </c>
    </row>
    <row r="48" spans="1:9" ht="15.5" x14ac:dyDescent="0.35">
      <c r="A48" s="71" t="s">
        <v>3</v>
      </c>
      <c r="B48" s="71">
        <v>1981</v>
      </c>
      <c r="C48" s="71">
        <v>70</v>
      </c>
    </row>
    <row r="49" spans="1:3" ht="15.5" x14ac:dyDescent="0.35">
      <c r="A49" s="71" t="s">
        <v>3</v>
      </c>
      <c r="B49" s="71">
        <v>1982</v>
      </c>
      <c r="C49" s="71">
        <v>70</v>
      </c>
    </row>
    <row r="50" spans="1:3" ht="15.5" x14ac:dyDescent="0.35">
      <c r="A50" s="71" t="s">
        <v>3</v>
      </c>
      <c r="B50" s="71">
        <v>1983</v>
      </c>
      <c r="C50" s="71">
        <v>70</v>
      </c>
    </row>
    <row r="51" spans="1:3" ht="15.5" x14ac:dyDescent="0.35">
      <c r="A51" s="71" t="s">
        <v>3</v>
      </c>
      <c r="B51" s="71">
        <v>1984</v>
      </c>
      <c r="C51" s="71">
        <v>70</v>
      </c>
    </row>
    <row r="52" spans="1:3" ht="15.5" x14ac:dyDescent="0.35">
      <c r="A52" s="71" t="s">
        <v>3</v>
      </c>
      <c r="B52" s="71">
        <v>1985</v>
      </c>
      <c r="C52" s="71">
        <v>70</v>
      </c>
    </row>
    <row r="53" spans="1:3" ht="15.5" x14ac:dyDescent="0.35">
      <c r="A53" s="71" t="s">
        <v>3</v>
      </c>
      <c r="B53" s="71">
        <v>1986</v>
      </c>
      <c r="C53" s="71">
        <v>70</v>
      </c>
    </row>
    <row r="54" spans="1:3" ht="15.5" x14ac:dyDescent="0.35">
      <c r="A54" s="71" t="s">
        <v>3</v>
      </c>
      <c r="B54" s="71">
        <v>1987</v>
      </c>
      <c r="C54" s="71">
        <v>70</v>
      </c>
    </row>
    <row r="55" spans="1:3" ht="15.5" x14ac:dyDescent="0.35">
      <c r="A55" s="71" t="s">
        <v>3</v>
      </c>
      <c r="B55" s="71">
        <v>1988</v>
      </c>
      <c r="C55" s="71">
        <v>70</v>
      </c>
    </row>
    <row r="56" spans="1:3" ht="15.5" x14ac:dyDescent="0.35">
      <c r="A56" s="71" t="s">
        <v>3</v>
      </c>
      <c r="B56" s="71">
        <v>1989</v>
      </c>
      <c r="C56" s="71">
        <v>70</v>
      </c>
    </row>
    <row r="57" spans="1:3" ht="15.5" x14ac:dyDescent="0.35">
      <c r="A57" s="71" t="s">
        <v>3</v>
      </c>
      <c r="B57" s="71">
        <v>1990</v>
      </c>
      <c r="C57" s="71">
        <v>70</v>
      </c>
    </row>
    <row r="58" spans="1:3" ht="15.5" x14ac:dyDescent="0.35">
      <c r="A58" s="71" t="s">
        <v>3</v>
      </c>
      <c r="B58" s="71">
        <v>1991</v>
      </c>
      <c r="C58" s="71">
        <v>70</v>
      </c>
    </row>
    <row r="59" spans="1:3" ht="15.5" x14ac:dyDescent="0.35">
      <c r="A59" s="71" t="s">
        <v>3</v>
      </c>
      <c r="B59" s="71">
        <v>1992</v>
      </c>
      <c r="C59" s="71">
        <v>70</v>
      </c>
    </row>
    <row r="60" spans="1:3" ht="15.5" x14ac:dyDescent="0.35">
      <c r="A60" s="71" t="s">
        <v>3</v>
      </c>
      <c r="B60" s="71">
        <v>1993</v>
      </c>
      <c r="C60" s="71">
        <v>70</v>
      </c>
    </row>
    <row r="61" spans="1:3" ht="15.5" x14ac:dyDescent="0.35">
      <c r="A61" s="71" t="s">
        <v>3</v>
      </c>
      <c r="B61" s="71">
        <v>1994</v>
      </c>
      <c r="C61" s="71">
        <v>70</v>
      </c>
    </row>
    <row r="62" spans="1:3" ht="15.5" x14ac:dyDescent="0.35">
      <c r="A62" s="71" t="s">
        <v>3</v>
      </c>
      <c r="B62" s="71">
        <v>1995</v>
      </c>
      <c r="C62" s="71">
        <v>70</v>
      </c>
    </row>
    <row r="63" spans="1:3" ht="15.5" x14ac:dyDescent="0.35">
      <c r="A63" s="71" t="s">
        <v>3</v>
      </c>
      <c r="B63" s="71">
        <v>1996</v>
      </c>
      <c r="C63" s="71">
        <v>70</v>
      </c>
    </row>
    <row r="64" spans="1:3" ht="15.5" x14ac:dyDescent="0.35">
      <c r="A64" s="71" t="s">
        <v>3</v>
      </c>
      <c r="B64" s="71">
        <v>1997</v>
      </c>
      <c r="C64" s="71">
        <v>70</v>
      </c>
    </row>
    <row r="65" spans="1:3" ht="15.5" x14ac:dyDescent="0.35">
      <c r="A65" s="71" t="s">
        <v>3</v>
      </c>
      <c r="B65" s="71">
        <v>1998</v>
      </c>
      <c r="C65" s="71">
        <v>70</v>
      </c>
    </row>
    <row r="66" spans="1:3" ht="15.5" x14ac:dyDescent="0.35">
      <c r="A66" s="71" t="s">
        <v>3</v>
      </c>
      <c r="B66" s="71">
        <v>1999</v>
      </c>
      <c r="C66" s="71">
        <v>70</v>
      </c>
    </row>
    <row r="67" spans="1:3" ht="15.5" x14ac:dyDescent="0.35">
      <c r="A67" s="71" t="s">
        <v>3</v>
      </c>
      <c r="B67" s="71">
        <v>2000</v>
      </c>
      <c r="C67" s="71">
        <v>70</v>
      </c>
    </row>
    <row r="68" spans="1:3" ht="15.5" x14ac:dyDescent="0.35">
      <c r="A68" s="71" t="s">
        <v>3</v>
      </c>
      <c r="B68" s="71">
        <v>2001</v>
      </c>
      <c r="C68" s="71">
        <v>70</v>
      </c>
    </row>
    <row r="69" spans="1:3" ht="15.5" x14ac:dyDescent="0.35">
      <c r="A69" s="71" t="s">
        <v>3</v>
      </c>
      <c r="B69" s="71">
        <v>2002</v>
      </c>
      <c r="C69" s="71">
        <v>70</v>
      </c>
    </row>
    <row r="70" spans="1:3" ht="15.5" x14ac:dyDescent="0.35">
      <c r="A70" s="71" t="s">
        <v>3</v>
      </c>
      <c r="B70" s="71">
        <v>2003</v>
      </c>
      <c r="C70" s="71">
        <v>70</v>
      </c>
    </row>
    <row r="71" spans="1:3" ht="15.5" x14ac:dyDescent="0.35">
      <c r="A71" s="71" t="s">
        <v>3</v>
      </c>
      <c r="B71" s="71">
        <v>2004</v>
      </c>
      <c r="C71" s="71">
        <v>70</v>
      </c>
    </row>
    <row r="72" spans="1:3" ht="15.5" x14ac:dyDescent="0.35">
      <c r="A72" s="71" t="s">
        <v>3</v>
      </c>
      <c r="B72" s="71">
        <v>2005</v>
      </c>
      <c r="C72" s="71">
        <v>70</v>
      </c>
    </row>
    <row r="73" spans="1:3" ht="15.5" x14ac:dyDescent="0.35">
      <c r="A73" s="71" t="s">
        <v>3</v>
      </c>
      <c r="B73" s="71">
        <v>2006</v>
      </c>
      <c r="C73" s="71">
        <v>70</v>
      </c>
    </row>
    <row r="74" spans="1:3" ht="15.5" x14ac:dyDescent="0.35">
      <c r="A74" s="71" t="s">
        <v>3</v>
      </c>
      <c r="B74" s="71">
        <v>2007</v>
      </c>
      <c r="C74" s="71">
        <v>70</v>
      </c>
    </row>
    <row r="75" spans="1:3" ht="15.5" x14ac:dyDescent="0.35">
      <c r="A75" s="71" t="s">
        <v>3</v>
      </c>
      <c r="B75" s="71">
        <v>2008</v>
      </c>
      <c r="C75" s="71">
        <v>70</v>
      </c>
    </row>
    <row r="76" spans="1:3" ht="15.5" x14ac:dyDescent="0.35">
      <c r="A76" s="71" t="s">
        <v>3</v>
      </c>
      <c r="B76" s="71">
        <v>2009</v>
      </c>
      <c r="C76" s="71">
        <v>70</v>
      </c>
    </row>
    <row r="77" spans="1:3" ht="15.5" x14ac:dyDescent="0.35">
      <c r="A77" s="71" t="s">
        <v>3</v>
      </c>
      <c r="B77" s="71">
        <v>2010</v>
      </c>
      <c r="C77" s="71">
        <v>70</v>
      </c>
    </row>
    <row r="78" spans="1:3" ht="15.5" x14ac:dyDescent="0.35">
      <c r="A78" s="71" t="s">
        <v>3</v>
      </c>
      <c r="B78" s="71">
        <v>2011</v>
      </c>
      <c r="C78" s="71">
        <v>70</v>
      </c>
    </row>
    <row r="79" spans="1:3" ht="15.5" x14ac:dyDescent="0.35">
      <c r="A79" s="71" t="s">
        <v>3</v>
      </c>
      <c r="B79" s="71">
        <v>2012</v>
      </c>
      <c r="C79" s="71">
        <v>70</v>
      </c>
    </row>
    <row r="80" spans="1:3" ht="15.5" x14ac:dyDescent="0.35">
      <c r="A80" s="71" t="s">
        <v>3</v>
      </c>
      <c r="B80" s="71">
        <v>2013</v>
      </c>
      <c r="C80" s="71">
        <v>70</v>
      </c>
    </row>
    <row r="81" spans="1:3" ht="15.5" x14ac:dyDescent="0.35">
      <c r="A81" s="71" t="s">
        <v>3</v>
      </c>
      <c r="B81" s="71">
        <v>2014</v>
      </c>
      <c r="C81" s="71">
        <v>70</v>
      </c>
    </row>
    <row r="82" spans="1:3" ht="15.5" x14ac:dyDescent="0.35">
      <c r="A82" s="71" t="s">
        <v>3</v>
      </c>
      <c r="B82" s="71">
        <v>2015</v>
      </c>
      <c r="C82" s="71">
        <v>70</v>
      </c>
    </row>
    <row r="83" spans="1:3" ht="15.5" x14ac:dyDescent="0.35">
      <c r="A83" s="71" t="s">
        <v>3</v>
      </c>
      <c r="B83" s="71">
        <v>2016</v>
      </c>
      <c r="C83" s="71">
        <v>70</v>
      </c>
    </row>
    <row r="84" spans="1:3" ht="15.5" x14ac:dyDescent="0.35">
      <c r="A84" s="71" t="s">
        <v>3</v>
      </c>
      <c r="B84" s="71">
        <v>2017</v>
      </c>
      <c r="C84" s="71">
        <v>70</v>
      </c>
    </row>
    <row r="85" spans="1:3" ht="15.5" x14ac:dyDescent="0.35">
      <c r="A85" s="71" t="s">
        <v>3</v>
      </c>
      <c r="B85" s="71">
        <v>2018</v>
      </c>
      <c r="C85" s="71">
        <v>70</v>
      </c>
    </row>
    <row r="86" spans="1:3" ht="15.5" x14ac:dyDescent="0.35">
      <c r="A86" s="71" t="s">
        <v>3</v>
      </c>
      <c r="B86" s="71">
        <v>2019</v>
      </c>
      <c r="C86" s="71">
        <v>70</v>
      </c>
    </row>
    <row r="87" spans="1:3" ht="15.5" x14ac:dyDescent="0.35">
      <c r="A87" s="71" t="s">
        <v>3</v>
      </c>
      <c r="B87" s="71">
        <v>2020</v>
      </c>
      <c r="C87" s="71">
        <v>70</v>
      </c>
    </row>
    <row r="88" spans="1:3" ht="15.5" x14ac:dyDescent="0.35">
      <c r="A88" s="71" t="s">
        <v>3</v>
      </c>
      <c r="B88" s="71">
        <v>2021</v>
      </c>
      <c r="C88" s="71">
        <v>60</v>
      </c>
    </row>
    <row r="89" spans="1:3" ht="15.5" x14ac:dyDescent="0.35">
      <c r="A89" s="71" t="s">
        <v>3</v>
      </c>
      <c r="B89" s="71">
        <v>2022</v>
      </c>
      <c r="C89" s="71">
        <v>60</v>
      </c>
    </row>
    <row r="90" spans="1:3" ht="15.5" x14ac:dyDescent="0.35">
      <c r="A90" s="71" t="s">
        <v>4</v>
      </c>
      <c r="B90" s="71">
        <v>1980</v>
      </c>
      <c r="C90" s="71">
        <v>70</v>
      </c>
    </row>
    <row r="91" spans="1:3" ht="15.5" x14ac:dyDescent="0.35">
      <c r="A91" s="71" t="s">
        <v>4</v>
      </c>
      <c r="B91" s="71">
        <v>1981</v>
      </c>
      <c r="C91" s="71">
        <v>70</v>
      </c>
    </row>
    <row r="92" spans="1:3" ht="15.5" x14ac:dyDescent="0.35">
      <c r="A92" s="71" t="s">
        <v>4</v>
      </c>
      <c r="B92" s="71">
        <v>1982</v>
      </c>
      <c r="C92" s="71">
        <v>70</v>
      </c>
    </row>
    <row r="93" spans="1:3" ht="15.5" x14ac:dyDescent="0.35">
      <c r="A93" s="71" t="s">
        <v>4</v>
      </c>
      <c r="B93" s="71">
        <v>1983</v>
      </c>
      <c r="C93" s="71">
        <v>70</v>
      </c>
    </row>
    <row r="94" spans="1:3" ht="15.5" x14ac:dyDescent="0.35">
      <c r="A94" s="71" t="s">
        <v>4</v>
      </c>
      <c r="B94" s="71">
        <v>1984</v>
      </c>
      <c r="C94" s="71">
        <v>70</v>
      </c>
    </row>
    <row r="95" spans="1:3" ht="15.5" x14ac:dyDescent="0.35">
      <c r="A95" s="71" t="s">
        <v>4</v>
      </c>
      <c r="B95" s="71">
        <v>1985</v>
      </c>
      <c r="C95" s="71">
        <v>70</v>
      </c>
    </row>
    <row r="96" spans="1:3" ht="15.5" x14ac:dyDescent="0.35">
      <c r="A96" s="71" t="s">
        <v>4</v>
      </c>
      <c r="B96" s="71">
        <v>1986</v>
      </c>
      <c r="C96" s="71">
        <v>70</v>
      </c>
    </row>
    <row r="97" spans="1:3" ht="15.5" x14ac:dyDescent="0.35">
      <c r="A97" s="71" t="s">
        <v>4</v>
      </c>
      <c r="B97" s="71">
        <v>1987</v>
      </c>
      <c r="C97" s="71">
        <v>70</v>
      </c>
    </row>
    <row r="98" spans="1:3" ht="15.5" x14ac:dyDescent="0.35">
      <c r="A98" s="71" t="s">
        <v>4</v>
      </c>
      <c r="B98" s="71">
        <v>1988</v>
      </c>
      <c r="C98" s="71">
        <v>70</v>
      </c>
    </row>
    <row r="99" spans="1:3" ht="15.5" x14ac:dyDescent="0.35">
      <c r="A99" s="71" t="s">
        <v>4</v>
      </c>
      <c r="B99" s="71">
        <v>1989</v>
      </c>
      <c r="C99" s="71">
        <v>70</v>
      </c>
    </row>
    <row r="100" spans="1:3" ht="15.5" x14ac:dyDescent="0.35">
      <c r="A100" s="71" t="s">
        <v>4</v>
      </c>
      <c r="B100" s="71">
        <v>1990</v>
      </c>
      <c r="C100" s="71">
        <v>70</v>
      </c>
    </row>
    <row r="101" spans="1:3" ht="15.5" x14ac:dyDescent="0.35">
      <c r="A101" s="71" t="s">
        <v>4</v>
      </c>
      <c r="B101" s="71">
        <v>1991</v>
      </c>
      <c r="C101" s="71">
        <v>70</v>
      </c>
    </row>
    <row r="102" spans="1:3" ht="15.5" x14ac:dyDescent="0.35">
      <c r="A102" s="71" t="s">
        <v>4</v>
      </c>
      <c r="B102" s="71">
        <v>1992</v>
      </c>
      <c r="C102" s="71">
        <v>70</v>
      </c>
    </row>
    <row r="103" spans="1:3" ht="15.5" x14ac:dyDescent="0.35">
      <c r="A103" s="71" t="s">
        <v>4</v>
      </c>
      <c r="B103" s="71">
        <v>1993</v>
      </c>
      <c r="C103" s="71">
        <v>70</v>
      </c>
    </row>
    <row r="104" spans="1:3" ht="15.5" x14ac:dyDescent="0.35">
      <c r="A104" s="71" t="s">
        <v>4</v>
      </c>
      <c r="B104" s="71">
        <v>1994</v>
      </c>
      <c r="C104" s="71">
        <v>70</v>
      </c>
    </row>
    <row r="105" spans="1:3" ht="15.5" x14ac:dyDescent="0.35">
      <c r="A105" s="71" t="s">
        <v>4</v>
      </c>
      <c r="B105" s="71">
        <v>1995</v>
      </c>
      <c r="C105" s="71">
        <v>70</v>
      </c>
    </row>
    <row r="106" spans="1:3" ht="15.5" x14ac:dyDescent="0.35">
      <c r="A106" s="71" t="s">
        <v>4</v>
      </c>
      <c r="B106" s="71">
        <v>1996</v>
      </c>
      <c r="C106" s="71">
        <v>70</v>
      </c>
    </row>
    <row r="107" spans="1:3" ht="15.5" x14ac:dyDescent="0.35">
      <c r="A107" s="71" t="s">
        <v>4</v>
      </c>
      <c r="B107" s="71">
        <v>1997</v>
      </c>
      <c r="C107" s="71">
        <v>70</v>
      </c>
    </row>
    <row r="108" spans="1:3" ht="15.5" x14ac:dyDescent="0.35">
      <c r="A108" s="71" t="s">
        <v>4</v>
      </c>
      <c r="B108" s="71">
        <v>1998</v>
      </c>
      <c r="C108" s="71">
        <v>70</v>
      </c>
    </row>
    <row r="109" spans="1:3" ht="15.5" x14ac:dyDescent="0.35">
      <c r="A109" s="71" t="s">
        <v>4</v>
      </c>
      <c r="B109" s="71">
        <v>1999</v>
      </c>
      <c r="C109" s="71">
        <v>70</v>
      </c>
    </row>
    <row r="110" spans="1:3" ht="15.5" x14ac:dyDescent="0.35">
      <c r="A110" s="71" t="s">
        <v>4</v>
      </c>
      <c r="B110" s="71">
        <v>2000</v>
      </c>
      <c r="C110" s="71">
        <v>70</v>
      </c>
    </row>
    <row r="111" spans="1:3" ht="15.5" x14ac:dyDescent="0.35">
      <c r="A111" s="71" t="s">
        <v>4</v>
      </c>
      <c r="B111" s="71">
        <v>2001</v>
      </c>
      <c r="C111" s="71">
        <v>70</v>
      </c>
    </row>
    <row r="112" spans="1:3" ht="15.5" x14ac:dyDescent="0.35">
      <c r="A112" s="71" t="s">
        <v>4</v>
      </c>
      <c r="B112" s="71">
        <v>2002</v>
      </c>
      <c r="C112" s="71">
        <v>70</v>
      </c>
    </row>
    <row r="113" spans="1:3" ht="15.5" x14ac:dyDescent="0.35">
      <c r="A113" s="71" t="s">
        <v>4</v>
      </c>
      <c r="B113" s="71">
        <v>2003</v>
      </c>
      <c r="C113" s="71">
        <v>70</v>
      </c>
    </row>
    <row r="114" spans="1:3" ht="15.5" x14ac:dyDescent="0.35">
      <c r="A114" s="71" t="s">
        <v>4</v>
      </c>
      <c r="B114" s="71">
        <v>2004</v>
      </c>
      <c r="C114" s="71">
        <v>70</v>
      </c>
    </row>
    <row r="115" spans="1:3" ht="15.5" x14ac:dyDescent="0.35">
      <c r="A115" s="71" t="s">
        <v>4</v>
      </c>
      <c r="B115" s="71">
        <v>2005</v>
      </c>
      <c r="C115" s="71">
        <v>70</v>
      </c>
    </row>
    <row r="116" spans="1:3" ht="15.5" x14ac:dyDescent="0.35">
      <c r="A116" s="71" t="s">
        <v>4</v>
      </c>
      <c r="B116" s="71">
        <v>2006</v>
      </c>
      <c r="C116" s="71">
        <v>70</v>
      </c>
    </row>
    <row r="117" spans="1:3" ht="15.5" x14ac:dyDescent="0.35">
      <c r="A117" s="71" t="s">
        <v>4</v>
      </c>
      <c r="B117" s="71">
        <v>2007</v>
      </c>
      <c r="C117" s="71">
        <v>70</v>
      </c>
    </row>
    <row r="118" spans="1:3" ht="15.5" x14ac:dyDescent="0.35">
      <c r="A118" s="71" t="s">
        <v>4</v>
      </c>
      <c r="B118" s="71">
        <v>2008</v>
      </c>
      <c r="C118" s="71">
        <v>70</v>
      </c>
    </row>
    <row r="119" spans="1:3" ht="15.5" x14ac:dyDescent="0.35">
      <c r="A119" s="71" t="s">
        <v>4</v>
      </c>
      <c r="B119" s="71">
        <v>2009</v>
      </c>
      <c r="C119" s="71">
        <v>70</v>
      </c>
    </row>
    <row r="120" spans="1:3" ht="15.5" x14ac:dyDescent="0.35">
      <c r="A120" s="71" t="s">
        <v>4</v>
      </c>
      <c r="B120" s="71">
        <v>2010</v>
      </c>
      <c r="C120" s="71">
        <v>70</v>
      </c>
    </row>
    <row r="121" spans="1:3" ht="15.5" x14ac:dyDescent="0.35">
      <c r="A121" s="71" t="s">
        <v>4</v>
      </c>
      <c r="B121" s="71">
        <v>2011</v>
      </c>
      <c r="C121" s="71">
        <v>70</v>
      </c>
    </row>
    <row r="122" spans="1:3" ht="15.5" x14ac:dyDescent="0.35">
      <c r="A122" s="71" t="s">
        <v>4</v>
      </c>
      <c r="B122" s="71">
        <v>2012</v>
      </c>
      <c r="C122" s="71">
        <v>70</v>
      </c>
    </row>
    <row r="123" spans="1:3" ht="15.5" x14ac:dyDescent="0.35">
      <c r="A123" s="71" t="s">
        <v>4</v>
      </c>
      <c r="B123" s="71">
        <v>2013</v>
      </c>
      <c r="C123" s="71">
        <v>70</v>
      </c>
    </row>
    <row r="124" spans="1:3" ht="15.5" x14ac:dyDescent="0.35">
      <c r="A124" s="71" t="s">
        <v>4</v>
      </c>
      <c r="B124" s="71">
        <v>2014</v>
      </c>
      <c r="C124" s="71">
        <v>70</v>
      </c>
    </row>
    <row r="125" spans="1:3" ht="15.5" x14ac:dyDescent="0.35">
      <c r="A125" s="71" t="s">
        <v>4</v>
      </c>
      <c r="B125" s="71">
        <v>2015</v>
      </c>
      <c r="C125" s="71">
        <v>70</v>
      </c>
    </row>
    <row r="126" spans="1:3" ht="15.5" x14ac:dyDescent="0.35">
      <c r="A126" s="71" t="s">
        <v>4</v>
      </c>
      <c r="B126" s="71">
        <v>2016</v>
      </c>
      <c r="C126" s="71">
        <v>70</v>
      </c>
    </row>
    <row r="127" spans="1:3" ht="15.5" x14ac:dyDescent="0.35">
      <c r="A127" s="71" t="s">
        <v>4</v>
      </c>
      <c r="B127" s="71">
        <v>2017</v>
      </c>
      <c r="C127" s="71">
        <v>70</v>
      </c>
    </row>
    <row r="128" spans="1:3" ht="15.5" x14ac:dyDescent="0.35">
      <c r="A128" s="71" t="s">
        <v>4</v>
      </c>
      <c r="B128" s="71">
        <v>2018</v>
      </c>
      <c r="C128" s="71">
        <v>70</v>
      </c>
    </row>
    <row r="129" spans="1:3" ht="15.5" x14ac:dyDescent="0.35">
      <c r="A129" s="71" t="s">
        <v>4</v>
      </c>
      <c r="B129" s="71">
        <v>2019</v>
      </c>
      <c r="C129" s="71">
        <v>70</v>
      </c>
    </row>
    <row r="130" spans="1:3" ht="15.5" x14ac:dyDescent="0.35">
      <c r="A130" s="71" t="s">
        <v>4</v>
      </c>
      <c r="B130" s="71">
        <v>2020</v>
      </c>
      <c r="C130" s="71">
        <v>70</v>
      </c>
    </row>
    <row r="131" spans="1:3" ht="15.5" x14ac:dyDescent="0.35">
      <c r="A131" s="71" t="s">
        <v>4</v>
      </c>
      <c r="B131" s="71">
        <v>2021</v>
      </c>
      <c r="C131" s="71">
        <v>70</v>
      </c>
    </row>
    <row r="132" spans="1:3" ht="15.5" x14ac:dyDescent="0.35">
      <c r="A132" s="71" t="s">
        <v>4</v>
      </c>
      <c r="B132" s="71">
        <v>2022</v>
      </c>
      <c r="C132" s="71">
        <v>70</v>
      </c>
    </row>
    <row r="133" spans="1:3" ht="15.5" x14ac:dyDescent="0.35">
      <c r="A133" s="71" t="s">
        <v>5</v>
      </c>
      <c r="B133" s="71">
        <v>1980</v>
      </c>
      <c r="C133" s="71">
        <v>70</v>
      </c>
    </row>
    <row r="134" spans="1:3" ht="15.5" x14ac:dyDescent="0.35">
      <c r="A134" s="71" t="s">
        <v>5</v>
      </c>
      <c r="B134" s="71">
        <v>1981</v>
      </c>
      <c r="C134" s="71">
        <v>70</v>
      </c>
    </row>
    <row r="135" spans="1:3" ht="15.5" x14ac:dyDescent="0.35">
      <c r="A135" s="71" t="s">
        <v>5</v>
      </c>
      <c r="B135" s="71">
        <v>1982</v>
      </c>
      <c r="C135" s="71">
        <v>70</v>
      </c>
    </row>
    <row r="136" spans="1:3" ht="15.5" x14ac:dyDescent="0.35">
      <c r="A136" s="71" t="s">
        <v>5</v>
      </c>
      <c r="B136" s="71">
        <v>1983</v>
      </c>
      <c r="C136" s="71">
        <v>70</v>
      </c>
    </row>
    <row r="137" spans="1:3" ht="15.5" x14ac:dyDescent="0.35">
      <c r="A137" s="71" t="s">
        <v>5</v>
      </c>
      <c r="B137" s="71">
        <v>1984</v>
      </c>
      <c r="C137" s="71">
        <v>70</v>
      </c>
    </row>
    <row r="138" spans="1:3" ht="15.5" x14ac:dyDescent="0.35">
      <c r="A138" s="71" t="s">
        <v>5</v>
      </c>
      <c r="B138" s="71">
        <v>1985</v>
      </c>
      <c r="C138" s="71">
        <v>70</v>
      </c>
    </row>
    <row r="139" spans="1:3" ht="15.5" x14ac:dyDescent="0.35">
      <c r="A139" s="71" t="s">
        <v>5</v>
      </c>
      <c r="B139" s="71">
        <v>1986</v>
      </c>
      <c r="C139" s="71">
        <v>70</v>
      </c>
    </row>
    <row r="140" spans="1:3" ht="15.5" x14ac:dyDescent="0.35">
      <c r="A140" s="71" t="s">
        <v>5</v>
      </c>
      <c r="B140" s="71">
        <v>1987</v>
      </c>
      <c r="C140" s="71">
        <v>70</v>
      </c>
    </row>
    <row r="141" spans="1:3" ht="15.5" x14ac:dyDescent="0.35">
      <c r="A141" s="71" t="s">
        <v>5</v>
      </c>
      <c r="B141" s="71">
        <v>1988</v>
      </c>
      <c r="C141" s="71">
        <v>70</v>
      </c>
    </row>
    <row r="142" spans="1:3" ht="15.5" x14ac:dyDescent="0.35">
      <c r="A142" s="71" t="s">
        <v>5</v>
      </c>
      <c r="B142" s="71">
        <v>1989</v>
      </c>
      <c r="C142" s="71">
        <v>70</v>
      </c>
    </row>
    <row r="143" spans="1:3" ht="15.5" x14ac:dyDescent="0.35">
      <c r="A143" s="71" t="s">
        <v>5</v>
      </c>
      <c r="B143" s="71">
        <v>1990</v>
      </c>
      <c r="C143" s="71">
        <v>70</v>
      </c>
    </row>
    <row r="144" spans="1:3" ht="15.5" x14ac:dyDescent="0.35">
      <c r="A144" s="71" t="s">
        <v>5</v>
      </c>
      <c r="B144" s="71">
        <v>1991</v>
      </c>
      <c r="C144" s="71">
        <v>70</v>
      </c>
    </row>
    <row r="145" spans="1:3" ht="15.5" x14ac:dyDescent="0.35">
      <c r="A145" s="71" t="s">
        <v>5</v>
      </c>
      <c r="B145" s="71">
        <v>1992</v>
      </c>
      <c r="C145" s="71">
        <v>70</v>
      </c>
    </row>
    <row r="146" spans="1:3" ht="15.5" x14ac:dyDescent="0.35">
      <c r="A146" s="71" t="s">
        <v>5</v>
      </c>
      <c r="B146" s="71">
        <v>1993</v>
      </c>
      <c r="C146" s="71">
        <v>70</v>
      </c>
    </row>
    <row r="147" spans="1:3" ht="15.5" x14ac:dyDescent="0.35">
      <c r="A147" s="71" t="s">
        <v>5</v>
      </c>
      <c r="B147" s="71">
        <v>1994</v>
      </c>
      <c r="C147" s="71">
        <v>70</v>
      </c>
    </row>
    <row r="148" spans="1:3" ht="15.5" x14ac:dyDescent="0.35">
      <c r="A148" s="71" t="s">
        <v>5</v>
      </c>
      <c r="B148" s="71">
        <v>1995</v>
      </c>
      <c r="C148" s="71">
        <v>70</v>
      </c>
    </row>
    <row r="149" spans="1:3" ht="15.5" x14ac:dyDescent="0.35">
      <c r="A149" s="71" t="s">
        <v>5</v>
      </c>
      <c r="B149" s="71">
        <v>1996</v>
      </c>
      <c r="C149" s="71">
        <v>70</v>
      </c>
    </row>
    <row r="150" spans="1:3" ht="15.5" x14ac:dyDescent="0.35">
      <c r="A150" s="71" t="s">
        <v>5</v>
      </c>
      <c r="B150" s="71">
        <v>1997</v>
      </c>
      <c r="C150" s="71">
        <v>70</v>
      </c>
    </row>
    <row r="151" spans="1:3" ht="15.5" x14ac:dyDescent="0.35">
      <c r="A151" s="71" t="s">
        <v>5</v>
      </c>
      <c r="B151" s="71">
        <v>1998</v>
      </c>
      <c r="C151" s="71">
        <v>70</v>
      </c>
    </row>
    <row r="152" spans="1:3" ht="15.5" x14ac:dyDescent="0.35">
      <c r="A152" s="71" t="s">
        <v>5</v>
      </c>
      <c r="B152" s="71">
        <v>1999</v>
      </c>
      <c r="C152" s="71">
        <v>70</v>
      </c>
    </row>
    <row r="153" spans="1:3" ht="15.5" x14ac:dyDescent="0.35">
      <c r="A153" s="71" t="s">
        <v>5</v>
      </c>
      <c r="B153" s="71">
        <v>2000</v>
      </c>
      <c r="C153" s="71">
        <v>70</v>
      </c>
    </row>
    <row r="154" spans="1:3" ht="15.5" x14ac:dyDescent="0.35">
      <c r="A154" s="71" t="s">
        <v>5</v>
      </c>
      <c r="B154" s="71">
        <v>2001</v>
      </c>
      <c r="C154" s="71">
        <v>70</v>
      </c>
    </row>
    <row r="155" spans="1:3" ht="15.5" x14ac:dyDescent="0.35">
      <c r="A155" s="71" t="s">
        <v>5</v>
      </c>
      <c r="B155" s="71">
        <v>2002</v>
      </c>
      <c r="C155" s="71">
        <v>70</v>
      </c>
    </row>
    <row r="156" spans="1:3" ht="15.5" x14ac:dyDescent="0.35">
      <c r="A156" s="71" t="s">
        <v>5</v>
      </c>
      <c r="B156" s="71">
        <v>2003</v>
      </c>
      <c r="C156" s="71">
        <v>70</v>
      </c>
    </row>
    <row r="157" spans="1:3" ht="15.5" x14ac:dyDescent="0.35">
      <c r="A157" s="71" t="s">
        <v>5</v>
      </c>
      <c r="B157" s="71">
        <v>2004</v>
      </c>
      <c r="C157" s="71">
        <v>70</v>
      </c>
    </row>
    <row r="158" spans="1:3" ht="15.5" x14ac:dyDescent="0.35">
      <c r="A158" s="71" t="s">
        <v>5</v>
      </c>
      <c r="B158" s="71">
        <v>2005</v>
      </c>
      <c r="C158" s="71">
        <v>70</v>
      </c>
    </row>
    <row r="159" spans="1:3" ht="15.5" x14ac:dyDescent="0.35">
      <c r="A159" s="71" t="s">
        <v>5</v>
      </c>
      <c r="B159" s="71">
        <v>2006</v>
      </c>
      <c r="C159" s="71">
        <v>70</v>
      </c>
    </row>
    <row r="160" spans="1:3" ht="15.5" x14ac:dyDescent="0.35">
      <c r="A160" s="71" t="s">
        <v>5</v>
      </c>
      <c r="B160" s="71">
        <v>2007</v>
      </c>
      <c r="C160" s="71">
        <v>70</v>
      </c>
    </row>
    <row r="161" spans="1:3" ht="15.5" x14ac:dyDescent="0.35">
      <c r="A161" s="71" t="s">
        <v>5</v>
      </c>
      <c r="B161" s="71">
        <v>2008</v>
      </c>
      <c r="C161" s="71">
        <v>70</v>
      </c>
    </row>
    <row r="162" spans="1:3" ht="15.5" x14ac:dyDescent="0.35">
      <c r="A162" s="71" t="s">
        <v>5</v>
      </c>
      <c r="B162" s="71">
        <v>2009</v>
      </c>
      <c r="C162" s="71">
        <v>70</v>
      </c>
    </row>
    <row r="163" spans="1:3" ht="15.5" x14ac:dyDescent="0.35">
      <c r="A163" s="71" t="s">
        <v>5</v>
      </c>
      <c r="B163" s="71">
        <v>2010</v>
      </c>
      <c r="C163" s="71">
        <v>70</v>
      </c>
    </row>
    <row r="164" spans="1:3" ht="15.5" x14ac:dyDescent="0.35">
      <c r="A164" s="71" t="s">
        <v>5</v>
      </c>
      <c r="B164" s="71">
        <v>2011</v>
      </c>
      <c r="C164" s="71">
        <v>70</v>
      </c>
    </row>
    <row r="165" spans="1:3" ht="15.5" x14ac:dyDescent="0.35">
      <c r="A165" s="71" t="s">
        <v>5</v>
      </c>
      <c r="B165" s="71">
        <v>2012</v>
      </c>
      <c r="C165" s="71">
        <v>70</v>
      </c>
    </row>
    <row r="166" spans="1:3" ht="15.5" x14ac:dyDescent="0.35">
      <c r="A166" s="71" t="s">
        <v>5</v>
      </c>
      <c r="B166" s="71">
        <v>2013</v>
      </c>
      <c r="C166" s="71">
        <v>70</v>
      </c>
    </row>
    <row r="167" spans="1:3" ht="15.5" x14ac:dyDescent="0.35">
      <c r="A167" s="71" t="s">
        <v>5</v>
      </c>
      <c r="B167" s="71">
        <v>2014</v>
      </c>
      <c r="C167" s="71">
        <v>70</v>
      </c>
    </row>
    <row r="168" spans="1:3" ht="15.5" x14ac:dyDescent="0.35">
      <c r="A168" s="71" t="s">
        <v>5</v>
      </c>
      <c r="B168" s="71">
        <v>2015</v>
      </c>
      <c r="C168" s="71">
        <v>70</v>
      </c>
    </row>
    <row r="169" spans="1:3" ht="15.5" x14ac:dyDescent="0.35">
      <c r="A169" s="71" t="s">
        <v>5</v>
      </c>
      <c r="B169" s="71">
        <v>2016</v>
      </c>
      <c r="C169" s="71">
        <v>70</v>
      </c>
    </row>
    <row r="170" spans="1:3" ht="15.5" x14ac:dyDescent="0.35">
      <c r="A170" s="71" t="s">
        <v>5</v>
      </c>
      <c r="B170" s="71">
        <v>2017</v>
      </c>
      <c r="C170" s="71">
        <v>70</v>
      </c>
    </row>
    <row r="171" spans="1:3" ht="15.5" x14ac:dyDescent="0.35">
      <c r="A171" s="71" t="s">
        <v>5</v>
      </c>
      <c r="B171" s="71">
        <v>2018</v>
      </c>
      <c r="C171" s="71">
        <v>70</v>
      </c>
    </row>
    <row r="172" spans="1:3" ht="15.5" x14ac:dyDescent="0.35">
      <c r="A172" s="71" t="s">
        <v>5</v>
      </c>
      <c r="B172" s="71">
        <v>2019</v>
      </c>
      <c r="C172" s="71">
        <v>70</v>
      </c>
    </row>
    <row r="173" spans="1:3" ht="15.5" x14ac:dyDescent="0.35">
      <c r="A173" s="71" t="s">
        <v>5</v>
      </c>
      <c r="B173" s="71">
        <v>2020</v>
      </c>
      <c r="C173" s="71">
        <v>70</v>
      </c>
    </row>
    <row r="174" spans="1:3" ht="15.5" x14ac:dyDescent="0.35">
      <c r="A174" s="71" t="s">
        <v>5</v>
      </c>
      <c r="B174" s="71">
        <v>2021</v>
      </c>
      <c r="C174" s="71">
        <v>70</v>
      </c>
    </row>
    <row r="175" spans="1:3" ht="15.5" x14ac:dyDescent="0.35">
      <c r="A175" s="71" t="s">
        <v>5</v>
      </c>
      <c r="B175" s="71">
        <v>2022</v>
      </c>
      <c r="C175" s="71">
        <v>70</v>
      </c>
    </row>
    <row r="176" spans="1:3" ht="15.5" x14ac:dyDescent="0.35">
      <c r="A176" s="71" t="s">
        <v>6</v>
      </c>
      <c r="B176" s="71">
        <v>1980</v>
      </c>
      <c r="C176" s="71">
        <v>70</v>
      </c>
    </row>
    <row r="177" spans="1:3" ht="15.5" x14ac:dyDescent="0.35">
      <c r="A177" s="71" t="s">
        <v>6</v>
      </c>
      <c r="B177" s="71">
        <v>1981</v>
      </c>
      <c r="C177" s="71">
        <v>70</v>
      </c>
    </row>
    <row r="178" spans="1:3" ht="15.5" x14ac:dyDescent="0.35">
      <c r="A178" s="71" t="s">
        <v>6</v>
      </c>
      <c r="B178" s="71">
        <v>1982</v>
      </c>
      <c r="C178" s="71">
        <v>70</v>
      </c>
    </row>
    <row r="179" spans="1:3" ht="15.5" x14ac:dyDescent="0.35">
      <c r="A179" s="71" t="s">
        <v>6</v>
      </c>
      <c r="B179" s="71">
        <v>1983</v>
      </c>
      <c r="C179" s="71">
        <v>70</v>
      </c>
    </row>
    <row r="180" spans="1:3" ht="15.5" x14ac:dyDescent="0.35">
      <c r="A180" s="71" t="s">
        <v>6</v>
      </c>
      <c r="B180" s="71">
        <v>1984</v>
      </c>
      <c r="C180" s="71">
        <v>70</v>
      </c>
    </row>
    <row r="181" spans="1:3" ht="15.5" x14ac:dyDescent="0.35">
      <c r="A181" s="71" t="s">
        <v>6</v>
      </c>
      <c r="B181" s="71">
        <v>1985</v>
      </c>
      <c r="C181" s="71">
        <v>70</v>
      </c>
    </row>
    <row r="182" spans="1:3" ht="15.5" x14ac:dyDescent="0.35">
      <c r="A182" s="71" t="s">
        <v>6</v>
      </c>
      <c r="B182" s="71">
        <v>1986</v>
      </c>
      <c r="C182" s="71">
        <v>70</v>
      </c>
    </row>
    <row r="183" spans="1:3" ht="15.5" x14ac:dyDescent="0.35">
      <c r="A183" s="71" t="s">
        <v>6</v>
      </c>
      <c r="B183" s="71">
        <v>1987</v>
      </c>
      <c r="C183" s="71">
        <v>70</v>
      </c>
    </row>
    <row r="184" spans="1:3" ht="15.5" x14ac:dyDescent="0.35">
      <c r="A184" s="71" t="s">
        <v>6</v>
      </c>
      <c r="B184" s="71">
        <v>1988</v>
      </c>
      <c r="C184" s="71">
        <v>70</v>
      </c>
    </row>
    <row r="185" spans="1:3" ht="15.5" x14ac:dyDescent="0.35">
      <c r="A185" s="71" t="s">
        <v>6</v>
      </c>
      <c r="B185" s="71">
        <v>1989</v>
      </c>
      <c r="C185" s="71">
        <v>70</v>
      </c>
    </row>
    <row r="186" spans="1:3" ht="15.5" x14ac:dyDescent="0.35">
      <c r="A186" s="71" t="s">
        <v>6</v>
      </c>
      <c r="B186" s="71">
        <v>1990</v>
      </c>
      <c r="C186" s="71">
        <v>70</v>
      </c>
    </row>
    <row r="187" spans="1:3" ht="15.5" x14ac:dyDescent="0.35">
      <c r="A187" s="71" t="s">
        <v>6</v>
      </c>
      <c r="B187" s="71">
        <v>1991</v>
      </c>
      <c r="C187" s="71">
        <v>70</v>
      </c>
    </row>
    <row r="188" spans="1:3" ht="15.5" x14ac:dyDescent="0.35">
      <c r="A188" s="71" t="s">
        <v>6</v>
      </c>
      <c r="B188" s="71">
        <v>1992</v>
      </c>
      <c r="C188" s="71">
        <v>70</v>
      </c>
    </row>
    <row r="189" spans="1:3" ht="15.5" x14ac:dyDescent="0.35">
      <c r="A189" s="71" t="s">
        <v>6</v>
      </c>
      <c r="B189" s="71">
        <v>1993</v>
      </c>
      <c r="C189" s="71">
        <v>70</v>
      </c>
    </row>
    <row r="190" spans="1:3" ht="15.5" x14ac:dyDescent="0.35">
      <c r="A190" s="71" t="s">
        <v>6</v>
      </c>
      <c r="B190" s="71">
        <v>1994</v>
      </c>
      <c r="C190" s="71">
        <v>70</v>
      </c>
    </row>
    <row r="191" spans="1:3" ht="15.5" x14ac:dyDescent="0.35">
      <c r="A191" s="71" t="s">
        <v>6</v>
      </c>
      <c r="B191" s="71">
        <v>1995</v>
      </c>
      <c r="C191" s="71">
        <v>70</v>
      </c>
    </row>
    <row r="192" spans="1:3" ht="15.5" x14ac:dyDescent="0.35">
      <c r="A192" s="71" t="s">
        <v>6</v>
      </c>
      <c r="B192" s="71">
        <v>1996</v>
      </c>
      <c r="C192" s="71">
        <v>70</v>
      </c>
    </row>
    <row r="193" spans="1:3" ht="15.5" x14ac:dyDescent="0.35">
      <c r="A193" s="71" t="s">
        <v>6</v>
      </c>
      <c r="B193" s="71">
        <v>1997</v>
      </c>
      <c r="C193" s="71">
        <v>70</v>
      </c>
    </row>
    <row r="194" spans="1:3" ht="15.5" x14ac:dyDescent="0.35">
      <c r="A194" s="71" t="s">
        <v>6</v>
      </c>
      <c r="B194" s="71">
        <v>1998</v>
      </c>
      <c r="C194" s="71">
        <v>70</v>
      </c>
    </row>
    <row r="195" spans="1:3" ht="15.5" x14ac:dyDescent="0.35">
      <c r="A195" s="71" t="s">
        <v>6</v>
      </c>
      <c r="B195" s="71">
        <v>1999</v>
      </c>
      <c r="C195" s="71">
        <v>70</v>
      </c>
    </row>
    <row r="196" spans="1:3" ht="15.5" x14ac:dyDescent="0.35">
      <c r="A196" s="71" t="s">
        <v>6</v>
      </c>
      <c r="B196" s="71">
        <v>2000</v>
      </c>
      <c r="C196" s="71">
        <v>70</v>
      </c>
    </row>
    <row r="197" spans="1:3" ht="15.5" x14ac:dyDescent="0.35">
      <c r="A197" s="71" t="s">
        <v>6</v>
      </c>
      <c r="B197" s="71">
        <v>2001</v>
      </c>
      <c r="C197" s="71">
        <v>70</v>
      </c>
    </row>
    <row r="198" spans="1:3" ht="15.5" x14ac:dyDescent="0.35">
      <c r="A198" s="71" t="s">
        <v>6</v>
      </c>
      <c r="B198" s="71">
        <v>2002</v>
      </c>
      <c r="C198" s="71">
        <v>70</v>
      </c>
    </row>
    <row r="199" spans="1:3" ht="15.5" x14ac:dyDescent="0.35">
      <c r="A199" s="71" t="s">
        <v>6</v>
      </c>
      <c r="B199" s="71">
        <v>2003</v>
      </c>
      <c r="C199" s="71">
        <v>70</v>
      </c>
    </row>
    <row r="200" spans="1:3" ht="15.5" x14ac:dyDescent="0.35">
      <c r="A200" s="71" t="s">
        <v>6</v>
      </c>
      <c r="B200" s="71">
        <v>2004</v>
      </c>
      <c r="C200" s="71">
        <v>70</v>
      </c>
    </row>
    <row r="201" spans="1:3" ht="15.5" x14ac:dyDescent="0.35">
      <c r="A201" s="71" t="s">
        <v>6</v>
      </c>
      <c r="B201" s="71">
        <v>2005</v>
      </c>
      <c r="C201" s="71">
        <v>70</v>
      </c>
    </row>
    <row r="202" spans="1:3" ht="15.5" x14ac:dyDescent="0.35">
      <c r="A202" s="71" t="s">
        <v>6</v>
      </c>
      <c r="B202" s="71">
        <v>2006</v>
      </c>
      <c r="C202" s="71">
        <v>70</v>
      </c>
    </row>
    <row r="203" spans="1:3" ht="15.5" x14ac:dyDescent="0.35">
      <c r="A203" s="71" t="s">
        <v>6</v>
      </c>
      <c r="B203" s="71">
        <v>2007</v>
      </c>
      <c r="C203" s="71">
        <v>70</v>
      </c>
    </row>
    <row r="204" spans="1:3" ht="15.5" x14ac:dyDescent="0.35">
      <c r="A204" s="71" t="s">
        <v>6</v>
      </c>
      <c r="B204" s="71">
        <v>2008</v>
      </c>
      <c r="C204" s="71">
        <v>70</v>
      </c>
    </row>
    <row r="205" spans="1:3" ht="15.5" x14ac:dyDescent="0.35">
      <c r="A205" s="71" t="s">
        <v>6</v>
      </c>
      <c r="B205" s="71">
        <v>2009</v>
      </c>
      <c r="C205" s="71">
        <v>70</v>
      </c>
    </row>
    <row r="206" spans="1:3" ht="15.5" x14ac:dyDescent="0.35">
      <c r="A206" s="71" t="s">
        <v>6</v>
      </c>
      <c r="B206" s="71">
        <v>2010</v>
      </c>
      <c r="C206" s="71">
        <v>70</v>
      </c>
    </row>
    <row r="207" spans="1:3" ht="15.5" x14ac:dyDescent="0.35">
      <c r="A207" s="71" t="s">
        <v>6</v>
      </c>
      <c r="B207" s="71">
        <v>2011</v>
      </c>
      <c r="C207" s="71">
        <v>70</v>
      </c>
    </row>
    <row r="208" spans="1:3" ht="15.5" x14ac:dyDescent="0.35">
      <c r="A208" s="71" t="s">
        <v>6</v>
      </c>
      <c r="B208" s="71">
        <v>2012</v>
      </c>
      <c r="C208" s="71">
        <v>70</v>
      </c>
    </row>
    <row r="209" spans="1:3" ht="15.5" x14ac:dyDescent="0.35">
      <c r="A209" s="71" t="s">
        <v>6</v>
      </c>
      <c r="B209" s="71">
        <v>2013</v>
      </c>
      <c r="C209" s="71">
        <v>70</v>
      </c>
    </row>
    <row r="210" spans="1:3" ht="15.5" x14ac:dyDescent="0.35">
      <c r="A210" s="71" t="s">
        <v>6</v>
      </c>
      <c r="B210" s="71">
        <v>2014</v>
      </c>
      <c r="C210" s="71">
        <v>70</v>
      </c>
    </row>
    <row r="211" spans="1:3" ht="15.5" x14ac:dyDescent="0.35">
      <c r="A211" s="71" t="s">
        <v>6</v>
      </c>
      <c r="B211" s="71">
        <v>2015</v>
      </c>
      <c r="C211" s="71">
        <v>70</v>
      </c>
    </row>
    <row r="212" spans="1:3" ht="15.5" x14ac:dyDescent="0.35">
      <c r="A212" s="71" t="s">
        <v>6</v>
      </c>
      <c r="B212" s="71">
        <v>2016</v>
      </c>
      <c r="C212" s="71">
        <v>70</v>
      </c>
    </row>
    <row r="213" spans="1:3" ht="15.5" x14ac:dyDescent="0.35">
      <c r="A213" s="71" t="s">
        <v>6</v>
      </c>
      <c r="B213" s="71">
        <v>2017</v>
      </c>
      <c r="C213" s="71">
        <v>70</v>
      </c>
    </row>
    <row r="214" spans="1:3" ht="15.5" x14ac:dyDescent="0.35">
      <c r="A214" s="71" t="s">
        <v>6</v>
      </c>
      <c r="B214" s="71">
        <v>2018</v>
      </c>
      <c r="C214" s="71">
        <v>70</v>
      </c>
    </row>
    <row r="215" spans="1:3" ht="15.5" x14ac:dyDescent="0.35">
      <c r="A215" s="71" t="s">
        <v>6</v>
      </c>
      <c r="B215" s="71">
        <v>2019</v>
      </c>
      <c r="C215" s="71">
        <v>70</v>
      </c>
    </row>
    <row r="216" spans="1:3" ht="15.5" x14ac:dyDescent="0.35">
      <c r="A216" s="71" t="s">
        <v>6</v>
      </c>
      <c r="B216" s="71">
        <v>2020</v>
      </c>
      <c r="C216" s="71">
        <v>70</v>
      </c>
    </row>
    <row r="217" spans="1:3" ht="15.5" x14ac:dyDescent="0.35">
      <c r="A217" s="71" t="s">
        <v>6</v>
      </c>
      <c r="B217" s="71">
        <v>2021</v>
      </c>
      <c r="C217" s="71">
        <v>70</v>
      </c>
    </row>
    <row r="218" spans="1:3" ht="15.5" x14ac:dyDescent="0.35">
      <c r="A218" s="71" t="s">
        <v>6</v>
      </c>
      <c r="B218" s="71">
        <v>2022</v>
      </c>
      <c r="C218" s="71">
        <v>70</v>
      </c>
    </row>
    <row r="219" spans="1:3" ht="15.5" x14ac:dyDescent="0.35">
      <c r="A219" s="71" t="s">
        <v>7</v>
      </c>
      <c r="B219" s="71">
        <v>1980</v>
      </c>
      <c r="C219" s="71">
        <v>70</v>
      </c>
    </row>
    <row r="220" spans="1:3" ht="15.5" x14ac:dyDescent="0.35">
      <c r="A220" s="71" t="s">
        <v>7</v>
      </c>
      <c r="B220" s="71">
        <v>1981</v>
      </c>
      <c r="C220" s="71">
        <v>70</v>
      </c>
    </row>
    <row r="221" spans="1:3" ht="15.5" x14ac:dyDescent="0.35">
      <c r="A221" s="71" t="s">
        <v>7</v>
      </c>
      <c r="B221" s="71">
        <v>1982</v>
      </c>
      <c r="C221" s="71">
        <v>70</v>
      </c>
    </row>
    <row r="222" spans="1:3" ht="15.5" x14ac:dyDescent="0.35">
      <c r="A222" s="71" t="s">
        <v>7</v>
      </c>
      <c r="B222" s="71">
        <v>1983</v>
      </c>
      <c r="C222" s="71">
        <v>70</v>
      </c>
    </row>
    <row r="223" spans="1:3" ht="15.5" x14ac:dyDescent="0.35">
      <c r="A223" s="71" t="s">
        <v>7</v>
      </c>
      <c r="B223" s="71">
        <v>1984</v>
      </c>
      <c r="C223" s="71">
        <v>70</v>
      </c>
    </row>
    <row r="224" spans="1:3" ht="15.5" x14ac:dyDescent="0.35">
      <c r="A224" s="71" t="s">
        <v>7</v>
      </c>
      <c r="B224" s="71">
        <v>1985</v>
      </c>
      <c r="C224" s="71">
        <v>70</v>
      </c>
    </row>
    <row r="225" spans="1:3" ht="15.5" x14ac:dyDescent="0.35">
      <c r="A225" s="71" t="s">
        <v>7</v>
      </c>
      <c r="B225" s="71">
        <v>1986</v>
      </c>
      <c r="C225" s="71">
        <v>70</v>
      </c>
    </row>
    <row r="226" spans="1:3" ht="15.5" x14ac:dyDescent="0.35">
      <c r="A226" s="71" t="s">
        <v>7</v>
      </c>
      <c r="B226" s="71">
        <v>1987</v>
      </c>
      <c r="C226" s="71">
        <v>70</v>
      </c>
    </row>
    <row r="227" spans="1:3" ht="15.5" x14ac:dyDescent="0.35">
      <c r="A227" s="71" t="s">
        <v>7</v>
      </c>
      <c r="B227" s="71">
        <v>1988</v>
      </c>
      <c r="C227" s="71">
        <v>70</v>
      </c>
    </row>
    <row r="228" spans="1:3" ht="15.5" x14ac:dyDescent="0.35">
      <c r="A228" s="71" t="s">
        <v>7</v>
      </c>
      <c r="B228" s="71">
        <v>1989</v>
      </c>
      <c r="C228" s="71">
        <v>70</v>
      </c>
    </row>
    <row r="229" spans="1:3" ht="15.5" x14ac:dyDescent="0.35">
      <c r="A229" s="71" t="s">
        <v>7</v>
      </c>
      <c r="B229" s="71">
        <v>1990</v>
      </c>
      <c r="C229" s="71">
        <v>70</v>
      </c>
    </row>
    <row r="230" spans="1:3" ht="15.5" x14ac:dyDescent="0.35">
      <c r="A230" s="71" t="s">
        <v>7</v>
      </c>
      <c r="B230" s="71">
        <v>1991</v>
      </c>
      <c r="C230" s="71">
        <v>70</v>
      </c>
    </row>
    <row r="231" spans="1:3" ht="15.5" x14ac:dyDescent="0.35">
      <c r="A231" s="71" t="s">
        <v>7</v>
      </c>
      <c r="B231" s="71">
        <v>1992</v>
      </c>
      <c r="C231" s="71">
        <v>70</v>
      </c>
    </row>
    <row r="232" spans="1:3" ht="15.5" x14ac:dyDescent="0.35">
      <c r="A232" s="71" t="s">
        <v>7</v>
      </c>
      <c r="B232" s="71">
        <v>1993</v>
      </c>
      <c r="C232" s="71">
        <v>70</v>
      </c>
    </row>
    <row r="233" spans="1:3" ht="15.5" x14ac:dyDescent="0.35">
      <c r="A233" s="71" t="s">
        <v>7</v>
      </c>
      <c r="B233" s="71">
        <v>1994</v>
      </c>
      <c r="C233" s="71">
        <v>70</v>
      </c>
    </row>
    <row r="234" spans="1:3" ht="15.5" x14ac:dyDescent="0.35">
      <c r="A234" s="71" t="s">
        <v>7</v>
      </c>
      <c r="B234" s="71">
        <v>1995</v>
      </c>
      <c r="C234" s="71">
        <v>70</v>
      </c>
    </row>
    <row r="235" spans="1:3" ht="15.5" x14ac:dyDescent="0.35">
      <c r="A235" s="71" t="s">
        <v>7</v>
      </c>
      <c r="B235" s="71">
        <v>1996</v>
      </c>
      <c r="C235" s="71">
        <v>70</v>
      </c>
    </row>
    <row r="236" spans="1:3" ht="15.5" x14ac:dyDescent="0.35">
      <c r="A236" s="71" t="s">
        <v>7</v>
      </c>
      <c r="B236" s="71">
        <v>1997</v>
      </c>
      <c r="C236" s="71">
        <v>70</v>
      </c>
    </row>
    <row r="237" spans="1:3" ht="15.5" x14ac:dyDescent="0.35">
      <c r="A237" s="71" t="s">
        <v>7</v>
      </c>
      <c r="B237" s="71">
        <v>1998</v>
      </c>
      <c r="C237" s="71">
        <v>70</v>
      </c>
    </row>
    <row r="238" spans="1:3" ht="15.5" x14ac:dyDescent="0.35">
      <c r="A238" s="71" t="s">
        <v>7</v>
      </c>
      <c r="B238" s="71">
        <v>1999</v>
      </c>
      <c r="C238" s="71">
        <v>70</v>
      </c>
    </row>
    <row r="239" spans="1:3" ht="15.5" x14ac:dyDescent="0.35">
      <c r="A239" s="71" t="s">
        <v>7</v>
      </c>
      <c r="B239" s="71">
        <v>2000</v>
      </c>
      <c r="C239" s="71">
        <v>70</v>
      </c>
    </row>
    <row r="240" spans="1:3" ht="15.5" x14ac:dyDescent="0.35">
      <c r="A240" s="71" t="s">
        <v>7</v>
      </c>
      <c r="B240" s="71">
        <v>2001</v>
      </c>
      <c r="C240" s="71">
        <v>70</v>
      </c>
    </row>
    <row r="241" spans="1:3" ht="15.5" x14ac:dyDescent="0.35">
      <c r="A241" s="71" t="s">
        <v>7</v>
      </c>
      <c r="B241" s="71">
        <v>2002</v>
      </c>
      <c r="C241" s="71">
        <v>70</v>
      </c>
    </row>
    <row r="242" spans="1:3" ht="15.5" x14ac:dyDescent="0.35">
      <c r="A242" s="71" t="s">
        <v>7</v>
      </c>
      <c r="B242" s="71">
        <v>2003</v>
      </c>
      <c r="C242" s="71">
        <v>70</v>
      </c>
    </row>
    <row r="243" spans="1:3" ht="15.5" x14ac:dyDescent="0.35">
      <c r="A243" s="71" t="s">
        <v>7</v>
      </c>
      <c r="B243" s="71">
        <v>2004</v>
      </c>
      <c r="C243" s="71">
        <v>70</v>
      </c>
    </row>
    <row r="244" spans="1:3" ht="15.5" x14ac:dyDescent="0.35">
      <c r="A244" s="71" t="s">
        <v>7</v>
      </c>
      <c r="B244" s="71">
        <v>2005</v>
      </c>
      <c r="C244" s="71">
        <v>70</v>
      </c>
    </row>
    <row r="245" spans="1:3" ht="15.5" x14ac:dyDescent="0.35">
      <c r="A245" s="71" t="s">
        <v>7</v>
      </c>
      <c r="B245" s="71">
        <v>2006</v>
      </c>
      <c r="C245" s="71">
        <v>70</v>
      </c>
    </row>
    <row r="246" spans="1:3" ht="15.5" x14ac:dyDescent="0.35">
      <c r="A246" s="71" t="s">
        <v>7</v>
      </c>
      <c r="B246" s="71">
        <v>2007</v>
      </c>
      <c r="C246" s="71">
        <v>70</v>
      </c>
    </row>
    <row r="247" spans="1:3" ht="15.5" x14ac:dyDescent="0.35">
      <c r="A247" s="71" t="s">
        <v>7</v>
      </c>
      <c r="B247" s="71">
        <v>2008</v>
      </c>
      <c r="C247" s="71">
        <v>70</v>
      </c>
    </row>
    <row r="248" spans="1:3" ht="15.5" x14ac:dyDescent="0.35">
      <c r="A248" s="71" t="s">
        <v>7</v>
      </c>
      <c r="B248" s="71">
        <v>2009</v>
      </c>
      <c r="C248" s="71">
        <v>70</v>
      </c>
    </row>
    <row r="249" spans="1:3" ht="15.5" x14ac:dyDescent="0.35">
      <c r="A249" s="71" t="s">
        <v>7</v>
      </c>
      <c r="B249" s="71">
        <v>2010</v>
      </c>
      <c r="C249" s="71">
        <v>70</v>
      </c>
    </row>
    <row r="250" spans="1:3" ht="15.5" x14ac:dyDescent="0.35">
      <c r="A250" s="71" t="s">
        <v>7</v>
      </c>
      <c r="B250" s="71">
        <v>2011</v>
      </c>
      <c r="C250" s="71">
        <v>70</v>
      </c>
    </row>
    <row r="251" spans="1:3" ht="15.5" x14ac:dyDescent="0.35">
      <c r="A251" s="71" t="s">
        <v>7</v>
      </c>
      <c r="B251" s="71">
        <v>2012</v>
      </c>
      <c r="C251" s="71">
        <v>70</v>
      </c>
    </row>
    <row r="252" spans="1:3" ht="15.5" x14ac:dyDescent="0.35">
      <c r="A252" s="71" t="s">
        <v>7</v>
      </c>
      <c r="B252" s="71">
        <v>2013</v>
      </c>
      <c r="C252" s="71">
        <v>70</v>
      </c>
    </row>
    <row r="253" spans="1:3" ht="15.5" x14ac:dyDescent="0.35">
      <c r="A253" s="71" t="s">
        <v>7</v>
      </c>
      <c r="B253" s="71">
        <v>2014</v>
      </c>
      <c r="C253" s="71">
        <v>70</v>
      </c>
    </row>
    <row r="254" spans="1:3" ht="15.5" x14ac:dyDescent="0.35">
      <c r="A254" s="71" t="s">
        <v>7</v>
      </c>
      <c r="B254" s="71">
        <v>2015</v>
      </c>
      <c r="C254" s="71">
        <v>70</v>
      </c>
    </row>
    <row r="255" spans="1:3" ht="15.5" x14ac:dyDescent="0.35">
      <c r="A255" s="71" t="s">
        <v>7</v>
      </c>
      <c r="B255" s="71">
        <v>2016</v>
      </c>
      <c r="C255" s="71">
        <v>70</v>
      </c>
    </row>
    <row r="256" spans="1:3" ht="15.5" x14ac:dyDescent="0.35">
      <c r="A256" s="71" t="s">
        <v>7</v>
      </c>
      <c r="B256" s="71">
        <v>2017</v>
      </c>
      <c r="C256" s="71">
        <v>70</v>
      </c>
    </row>
    <row r="257" spans="1:3" ht="15.5" x14ac:dyDescent="0.35">
      <c r="A257" s="71" t="s">
        <v>7</v>
      </c>
      <c r="B257" s="71">
        <v>2018</v>
      </c>
      <c r="C257" s="71">
        <v>70</v>
      </c>
    </row>
    <row r="258" spans="1:3" ht="15.5" x14ac:dyDescent="0.35">
      <c r="A258" s="71" t="s">
        <v>7</v>
      </c>
      <c r="B258" s="71">
        <v>2019</v>
      </c>
      <c r="C258" s="71">
        <v>70</v>
      </c>
    </row>
    <row r="259" spans="1:3" ht="15.5" x14ac:dyDescent="0.35">
      <c r="A259" s="71" t="s">
        <v>7</v>
      </c>
      <c r="B259" s="71">
        <v>2020</v>
      </c>
      <c r="C259" s="71">
        <v>70</v>
      </c>
    </row>
    <row r="260" spans="1:3" ht="15.5" x14ac:dyDescent="0.35">
      <c r="A260" s="71" t="s">
        <v>7</v>
      </c>
      <c r="B260" s="71">
        <v>2021</v>
      </c>
      <c r="C260" s="71">
        <v>70</v>
      </c>
    </row>
    <row r="261" spans="1:3" ht="15.5" x14ac:dyDescent="0.35">
      <c r="A261" s="71" t="s">
        <v>7</v>
      </c>
      <c r="B261" s="71">
        <v>2022</v>
      </c>
      <c r="C261" s="71">
        <v>70</v>
      </c>
    </row>
    <row r="262" spans="1:3" ht="15.5" x14ac:dyDescent="0.35">
      <c r="A262" s="71" t="s">
        <v>8</v>
      </c>
      <c r="B262" s="71">
        <v>1980</v>
      </c>
      <c r="C262" s="71">
        <v>70</v>
      </c>
    </row>
    <row r="263" spans="1:3" ht="15.5" x14ac:dyDescent="0.35">
      <c r="A263" s="71" t="s">
        <v>8</v>
      </c>
      <c r="B263" s="71">
        <v>1981</v>
      </c>
      <c r="C263" s="71">
        <v>70</v>
      </c>
    </row>
    <row r="264" spans="1:3" ht="15.5" x14ac:dyDescent="0.35">
      <c r="A264" s="71" t="s">
        <v>8</v>
      </c>
      <c r="B264" s="71">
        <v>1982</v>
      </c>
      <c r="C264" s="71">
        <v>70</v>
      </c>
    </row>
    <row r="265" spans="1:3" ht="15.5" x14ac:dyDescent="0.35">
      <c r="A265" s="71" t="s">
        <v>8</v>
      </c>
      <c r="B265" s="71">
        <v>1983</v>
      </c>
      <c r="C265" s="71">
        <v>70</v>
      </c>
    </row>
    <row r="266" spans="1:3" ht="15.5" x14ac:dyDescent="0.35">
      <c r="A266" s="71" t="s">
        <v>8</v>
      </c>
      <c r="B266" s="71">
        <v>1984</v>
      </c>
      <c r="C266" s="71">
        <v>70</v>
      </c>
    </row>
    <row r="267" spans="1:3" ht="15.5" x14ac:dyDescent="0.35">
      <c r="A267" s="71" t="s">
        <v>8</v>
      </c>
      <c r="B267" s="71">
        <v>1985</v>
      </c>
      <c r="C267" s="71">
        <v>70</v>
      </c>
    </row>
    <row r="268" spans="1:3" ht="15.5" x14ac:dyDescent="0.35">
      <c r="A268" s="71" t="s">
        <v>8</v>
      </c>
      <c r="B268" s="71">
        <v>1986</v>
      </c>
      <c r="C268" s="71">
        <v>70</v>
      </c>
    </row>
    <row r="269" spans="1:3" ht="15.5" x14ac:dyDescent="0.35">
      <c r="A269" s="71" t="s">
        <v>8</v>
      </c>
      <c r="B269" s="71">
        <v>1987</v>
      </c>
      <c r="C269" s="71">
        <v>70</v>
      </c>
    </row>
    <row r="270" spans="1:3" ht="15.5" x14ac:dyDescent="0.35">
      <c r="A270" s="71" t="s">
        <v>8</v>
      </c>
      <c r="B270" s="71">
        <v>1988</v>
      </c>
      <c r="C270" s="71">
        <v>70</v>
      </c>
    </row>
    <row r="271" spans="1:3" ht="15.5" x14ac:dyDescent="0.35">
      <c r="A271" s="71" t="s">
        <v>8</v>
      </c>
      <c r="B271" s="71">
        <v>1989</v>
      </c>
      <c r="C271" s="71">
        <v>70</v>
      </c>
    </row>
    <row r="272" spans="1:3" ht="15.5" x14ac:dyDescent="0.35">
      <c r="A272" s="71" t="s">
        <v>8</v>
      </c>
      <c r="B272" s="71">
        <v>1990</v>
      </c>
      <c r="C272" s="71">
        <v>70</v>
      </c>
    </row>
    <row r="273" spans="1:3" ht="15.5" x14ac:dyDescent="0.35">
      <c r="A273" s="71" t="s">
        <v>8</v>
      </c>
      <c r="B273" s="71">
        <v>1991</v>
      </c>
      <c r="C273" s="71">
        <v>70</v>
      </c>
    </row>
    <row r="274" spans="1:3" ht="15.5" x14ac:dyDescent="0.35">
      <c r="A274" s="71" t="s">
        <v>8</v>
      </c>
      <c r="B274" s="71">
        <v>1992</v>
      </c>
      <c r="C274" s="71">
        <v>70</v>
      </c>
    </row>
    <row r="275" spans="1:3" ht="15.5" x14ac:dyDescent="0.35">
      <c r="A275" s="71" t="s">
        <v>8</v>
      </c>
      <c r="B275" s="71">
        <v>1993</v>
      </c>
      <c r="C275" s="71">
        <v>70</v>
      </c>
    </row>
    <row r="276" spans="1:3" ht="15.5" x14ac:dyDescent="0.35">
      <c r="A276" s="71" t="s">
        <v>8</v>
      </c>
      <c r="B276" s="71">
        <v>1994</v>
      </c>
      <c r="C276" s="71">
        <v>70</v>
      </c>
    </row>
    <row r="277" spans="1:3" ht="15.5" x14ac:dyDescent="0.35">
      <c r="A277" s="71" t="s">
        <v>8</v>
      </c>
      <c r="B277" s="71">
        <v>1995</v>
      </c>
      <c r="C277" s="71">
        <v>70</v>
      </c>
    </row>
    <row r="278" spans="1:3" ht="15.5" x14ac:dyDescent="0.35">
      <c r="A278" s="71" t="s">
        <v>8</v>
      </c>
      <c r="B278" s="71">
        <v>1996</v>
      </c>
      <c r="C278" s="71">
        <v>70</v>
      </c>
    </row>
    <row r="279" spans="1:3" ht="15.5" x14ac:dyDescent="0.35">
      <c r="A279" s="71" t="s">
        <v>8</v>
      </c>
      <c r="B279" s="71">
        <v>1997</v>
      </c>
      <c r="C279" s="71">
        <v>70</v>
      </c>
    </row>
    <row r="280" spans="1:3" ht="15.5" x14ac:dyDescent="0.35">
      <c r="A280" s="71" t="s">
        <v>8</v>
      </c>
      <c r="B280" s="71">
        <v>1998</v>
      </c>
      <c r="C280" s="71">
        <v>70</v>
      </c>
    </row>
    <row r="281" spans="1:3" ht="15.5" x14ac:dyDescent="0.35">
      <c r="A281" s="71" t="s">
        <v>8</v>
      </c>
      <c r="B281" s="71">
        <v>1999</v>
      </c>
      <c r="C281" s="71">
        <v>70</v>
      </c>
    </row>
    <row r="282" spans="1:3" ht="15.5" x14ac:dyDescent="0.35">
      <c r="A282" s="71" t="s">
        <v>8</v>
      </c>
      <c r="B282" s="71">
        <v>2000</v>
      </c>
      <c r="C282" s="71">
        <v>70</v>
      </c>
    </row>
    <row r="283" spans="1:3" ht="15.5" x14ac:dyDescent="0.35">
      <c r="A283" s="71" t="s">
        <v>8</v>
      </c>
      <c r="B283" s="71">
        <v>2001</v>
      </c>
      <c r="C283" s="71">
        <v>70</v>
      </c>
    </row>
    <row r="284" spans="1:3" ht="15.5" x14ac:dyDescent="0.35">
      <c r="A284" s="71" t="s">
        <v>8</v>
      </c>
      <c r="B284" s="71">
        <v>2002</v>
      </c>
      <c r="C284" s="71">
        <v>70</v>
      </c>
    </row>
    <row r="285" spans="1:3" ht="15.5" x14ac:dyDescent="0.35">
      <c r="A285" s="71" t="s">
        <v>8</v>
      </c>
      <c r="B285" s="71">
        <v>2003</v>
      </c>
      <c r="C285" s="71">
        <v>70</v>
      </c>
    </row>
    <row r="286" spans="1:3" ht="15.5" x14ac:dyDescent="0.35">
      <c r="A286" s="71" t="s">
        <v>8</v>
      </c>
      <c r="B286" s="71">
        <v>2004</v>
      </c>
      <c r="C286" s="71">
        <v>70</v>
      </c>
    </row>
    <row r="287" spans="1:3" ht="15.5" x14ac:dyDescent="0.35">
      <c r="A287" s="71" t="s">
        <v>8</v>
      </c>
      <c r="B287" s="71">
        <v>2005</v>
      </c>
      <c r="C287" s="71">
        <v>70</v>
      </c>
    </row>
    <row r="288" spans="1:3" ht="15.5" x14ac:dyDescent="0.35">
      <c r="A288" s="71" t="s">
        <v>8</v>
      </c>
      <c r="B288" s="71">
        <v>2006</v>
      </c>
      <c r="C288" s="71">
        <v>70</v>
      </c>
    </row>
    <row r="289" spans="1:3" ht="15.5" x14ac:dyDescent="0.35">
      <c r="A289" s="71" t="s">
        <v>8</v>
      </c>
      <c r="B289" s="71">
        <v>2007</v>
      </c>
      <c r="C289" s="71">
        <v>70</v>
      </c>
    </row>
    <row r="290" spans="1:3" ht="15.5" x14ac:dyDescent="0.35">
      <c r="A290" s="71" t="s">
        <v>8</v>
      </c>
      <c r="B290" s="71">
        <v>2008</v>
      </c>
      <c r="C290" s="71">
        <v>70</v>
      </c>
    </row>
    <row r="291" spans="1:3" ht="15.5" x14ac:dyDescent="0.35">
      <c r="A291" s="71" t="s">
        <v>8</v>
      </c>
      <c r="B291" s="71">
        <v>2009</v>
      </c>
      <c r="C291" s="71">
        <v>70</v>
      </c>
    </row>
    <row r="292" spans="1:3" ht="15.5" x14ac:dyDescent="0.35">
      <c r="A292" s="71" t="s">
        <v>8</v>
      </c>
      <c r="B292" s="71">
        <v>2010</v>
      </c>
      <c r="C292" s="71">
        <v>70</v>
      </c>
    </row>
    <row r="293" spans="1:3" ht="15.5" x14ac:dyDescent="0.35">
      <c r="A293" s="71" t="s">
        <v>8</v>
      </c>
      <c r="B293" s="71">
        <v>2011</v>
      </c>
      <c r="C293" s="71">
        <v>70</v>
      </c>
    </row>
    <row r="294" spans="1:3" ht="15.5" x14ac:dyDescent="0.35">
      <c r="A294" s="71" t="s">
        <v>8</v>
      </c>
      <c r="B294" s="71">
        <v>2012</v>
      </c>
      <c r="C294" s="71">
        <v>70</v>
      </c>
    </row>
    <row r="295" spans="1:3" ht="15.5" x14ac:dyDescent="0.35">
      <c r="A295" s="71" t="s">
        <v>8</v>
      </c>
      <c r="B295" s="71">
        <v>2013</v>
      </c>
      <c r="C295" s="71">
        <v>70</v>
      </c>
    </row>
    <row r="296" spans="1:3" ht="15.5" x14ac:dyDescent="0.35">
      <c r="A296" s="71" t="s">
        <v>8</v>
      </c>
      <c r="B296" s="71">
        <v>2014</v>
      </c>
      <c r="C296" s="71">
        <v>70</v>
      </c>
    </row>
    <row r="297" spans="1:3" ht="15.5" x14ac:dyDescent="0.35">
      <c r="A297" s="71" t="s">
        <v>8</v>
      </c>
      <c r="B297" s="71">
        <v>2015</v>
      </c>
      <c r="C297" s="71">
        <v>70</v>
      </c>
    </row>
    <row r="298" spans="1:3" ht="15.5" x14ac:dyDescent="0.35">
      <c r="A298" s="71" t="s">
        <v>8</v>
      </c>
      <c r="B298" s="71">
        <v>2016</v>
      </c>
      <c r="C298" s="71">
        <v>70</v>
      </c>
    </row>
    <row r="299" spans="1:3" ht="15.5" x14ac:dyDescent="0.35">
      <c r="A299" s="71" t="s">
        <v>8</v>
      </c>
      <c r="B299" s="71">
        <v>2017</v>
      </c>
      <c r="C299" s="71">
        <v>70</v>
      </c>
    </row>
    <row r="300" spans="1:3" ht="15.5" x14ac:dyDescent="0.35">
      <c r="A300" s="71" t="s">
        <v>8</v>
      </c>
      <c r="B300" s="71">
        <v>2018</v>
      </c>
      <c r="C300" s="71">
        <v>70</v>
      </c>
    </row>
    <row r="301" spans="1:3" ht="15.5" x14ac:dyDescent="0.35">
      <c r="A301" s="71" t="s">
        <v>8</v>
      </c>
      <c r="B301" s="71">
        <v>2019</v>
      </c>
      <c r="C301" s="71">
        <v>70</v>
      </c>
    </row>
    <row r="302" spans="1:3" ht="15.5" x14ac:dyDescent="0.35">
      <c r="A302" s="71" t="s">
        <v>8</v>
      </c>
      <c r="B302" s="71">
        <v>2020</v>
      </c>
      <c r="C302" s="71">
        <v>70</v>
      </c>
    </row>
    <row r="303" spans="1:3" ht="15.5" x14ac:dyDescent="0.35">
      <c r="A303" s="71" t="s">
        <v>8</v>
      </c>
      <c r="B303" s="71">
        <v>2021</v>
      </c>
      <c r="C303" s="71">
        <v>70</v>
      </c>
    </row>
    <row r="304" spans="1:3" ht="15.5" x14ac:dyDescent="0.35">
      <c r="A304" s="71" t="s">
        <v>8</v>
      </c>
      <c r="B304" s="71">
        <v>2022</v>
      </c>
      <c r="C304" s="71">
        <v>70</v>
      </c>
    </row>
    <row r="305" spans="1:3" ht="15.5" x14ac:dyDescent="0.35">
      <c r="A305" s="71" t="s">
        <v>9</v>
      </c>
      <c r="B305" s="71">
        <v>1980</v>
      </c>
      <c r="C305" s="71">
        <v>70</v>
      </c>
    </row>
    <row r="306" spans="1:3" ht="15.5" x14ac:dyDescent="0.35">
      <c r="A306" s="71" t="s">
        <v>9</v>
      </c>
      <c r="B306" s="71">
        <v>1981</v>
      </c>
      <c r="C306" s="71">
        <v>70</v>
      </c>
    </row>
    <row r="307" spans="1:3" ht="15.5" x14ac:dyDescent="0.35">
      <c r="A307" s="71" t="s">
        <v>9</v>
      </c>
      <c r="B307" s="71">
        <v>1982</v>
      </c>
      <c r="C307" s="71">
        <v>70</v>
      </c>
    </row>
    <row r="308" spans="1:3" ht="15.5" x14ac:dyDescent="0.35">
      <c r="A308" s="71" t="s">
        <v>9</v>
      </c>
      <c r="B308" s="71">
        <v>1983</v>
      </c>
      <c r="C308" s="71">
        <v>70</v>
      </c>
    </row>
    <row r="309" spans="1:3" ht="15.5" x14ac:dyDescent="0.35">
      <c r="A309" s="71" t="s">
        <v>9</v>
      </c>
      <c r="B309" s="71">
        <v>1984</v>
      </c>
      <c r="C309" s="71">
        <v>70</v>
      </c>
    </row>
    <row r="310" spans="1:3" ht="15.5" x14ac:dyDescent="0.35">
      <c r="A310" s="71" t="s">
        <v>9</v>
      </c>
      <c r="B310" s="71">
        <v>1985</v>
      </c>
      <c r="C310" s="71">
        <v>70</v>
      </c>
    </row>
    <row r="311" spans="1:3" ht="15.5" x14ac:dyDescent="0.35">
      <c r="A311" s="71" t="s">
        <v>9</v>
      </c>
      <c r="B311" s="71">
        <v>1986</v>
      </c>
      <c r="C311" s="71">
        <v>70</v>
      </c>
    </row>
    <row r="312" spans="1:3" ht="15.5" x14ac:dyDescent="0.35">
      <c r="A312" s="71" t="s">
        <v>9</v>
      </c>
      <c r="B312" s="71">
        <v>1987</v>
      </c>
      <c r="C312" s="71">
        <v>70</v>
      </c>
    </row>
    <row r="313" spans="1:3" ht="15.5" x14ac:dyDescent="0.35">
      <c r="A313" s="71" t="s">
        <v>9</v>
      </c>
      <c r="B313" s="71">
        <v>1988</v>
      </c>
      <c r="C313" s="71">
        <v>70</v>
      </c>
    </row>
    <row r="314" spans="1:3" ht="15.5" x14ac:dyDescent="0.35">
      <c r="A314" s="71" t="s">
        <v>9</v>
      </c>
      <c r="B314" s="71">
        <v>1989</v>
      </c>
      <c r="C314" s="71">
        <v>70</v>
      </c>
    </row>
    <row r="315" spans="1:3" ht="15.5" x14ac:dyDescent="0.35">
      <c r="A315" s="71" t="s">
        <v>9</v>
      </c>
      <c r="B315" s="71">
        <v>1990</v>
      </c>
      <c r="C315" s="71">
        <v>70</v>
      </c>
    </row>
    <row r="316" spans="1:3" ht="15.5" x14ac:dyDescent="0.35">
      <c r="A316" s="71" t="s">
        <v>9</v>
      </c>
      <c r="B316" s="71">
        <v>1991</v>
      </c>
      <c r="C316" s="71">
        <v>70</v>
      </c>
    </row>
    <row r="317" spans="1:3" ht="15.5" x14ac:dyDescent="0.35">
      <c r="A317" s="71" t="s">
        <v>9</v>
      </c>
      <c r="B317" s="71">
        <v>1992</v>
      </c>
      <c r="C317" s="71">
        <v>70</v>
      </c>
    </row>
    <row r="318" spans="1:3" ht="15.5" x14ac:dyDescent="0.35">
      <c r="A318" s="71" t="s">
        <v>9</v>
      </c>
      <c r="B318" s="71">
        <v>1993</v>
      </c>
      <c r="C318" s="71">
        <v>70</v>
      </c>
    </row>
    <row r="319" spans="1:3" ht="15.5" x14ac:dyDescent="0.35">
      <c r="A319" s="71" t="s">
        <v>9</v>
      </c>
      <c r="B319" s="71">
        <v>1994</v>
      </c>
      <c r="C319" s="71">
        <v>70</v>
      </c>
    </row>
    <row r="320" spans="1:3" ht="15.5" x14ac:dyDescent="0.35">
      <c r="A320" s="71" t="s">
        <v>9</v>
      </c>
      <c r="B320" s="71">
        <v>1995</v>
      </c>
      <c r="C320" s="71">
        <v>70</v>
      </c>
    </row>
    <row r="321" spans="1:3" ht="15.5" x14ac:dyDescent="0.35">
      <c r="A321" s="71" t="s">
        <v>9</v>
      </c>
      <c r="B321" s="71">
        <v>1996</v>
      </c>
      <c r="C321" s="71">
        <v>70</v>
      </c>
    </row>
    <row r="322" spans="1:3" ht="15.5" x14ac:dyDescent="0.35">
      <c r="A322" s="71" t="s">
        <v>9</v>
      </c>
      <c r="B322" s="71">
        <v>1997</v>
      </c>
      <c r="C322" s="71">
        <v>70</v>
      </c>
    </row>
    <row r="323" spans="1:3" ht="15.5" x14ac:dyDescent="0.35">
      <c r="A323" s="71" t="s">
        <v>9</v>
      </c>
      <c r="B323" s="71">
        <v>1998</v>
      </c>
      <c r="C323" s="71">
        <v>70</v>
      </c>
    </row>
    <row r="324" spans="1:3" ht="15.5" x14ac:dyDescent="0.35">
      <c r="A324" s="71" t="s">
        <v>9</v>
      </c>
      <c r="B324" s="71">
        <v>1999</v>
      </c>
      <c r="C324" s="71">
        <v>70</v>
      </c>
    </row>
    <row r="325" spans="1:3" ht="15.5" x14ac:dyDescent="0.35">
      <c r="A325" s="71" t="s">
        <v>9</v>
      </c>
      <c r="B325" s="71">
        <v>2000</v>
      </c>
      <c r="C325" s="71">
        <v>70</v>
      </c>
    </row>
    <row r="326" spans="1:3" ht="15.5" x14ac:dyDescent="0.35">
      <c r="A326" s="71" t="s">
        <v>9</v>
      </c>
      <c r="B326" s="71">
        <v>2001</v>
      </c>
      <c r="C326" s="71">
        <v>70</v>
      </c>
    </row>
    <row r="327" spans="1:3" ht="15.5" x14ac:dyDescent="0.35">
      <c r="A327" s="71" t="s">
        <v>9</v>
      </c>
      <c r="B327" s="71">
        <v>2002</v>
      </c>
      <c r="C327" s="71">
        <v>70</v>
      </c>
    </row>
    <row r="328" spans="1:3" ht="15.5" x14ac:dyDescent="0.35">
      <c r="A328" s="71" t="s">
        <v>9</v>
      </c>
      <c r="B328" s="71">
        <v>2003</v>
      </c>
      <c r="C328" s="71">
        <v>70</v>
      </c>
    </row>
    <row r="329" spans="1:3" ht="15.5" x14ac:dyDescent="0.35">
      <c r="A329" s="71" t="s">
        <v>9</v>
      </c>
      <c r="B329" s="71">
        <v>2004</v>
      </c>
      <c r="C329" s="71">
        <v>70</v>
      </c>
    </row>
    <row r="330" spans="1:3" ht="15.5" x14ac:dyDescent="0.35">
      <c r="A330" s="71" t="s">
        <v>9</v>
      </c>
      <c r="B330" s="71">
        <v>2005</v>
      </c>
      <c r="C330" s="71">
        <v>70</v>
      </c>
    </row>
    <row r="331" spans="1:3" ht="15.5" x14ac:dyDescent="0.35">
      <c r="A331" s="71" t="s">
        <v>9</v>
      </c>
      <c r="B331" s="71">
        <v>2006</v>
      </c>
      <c r="C331" s="71">
        <v>70</v>
      </c>
    </row>
    <row r="332" spans="1:3" ht="15.5" x14ac:dyDescent="0.35">
      <c r="A332" s="71" t="s">
        <v>9</v>
      </c>
      <c r="B332" s="71">
        <v>2007</v>
      </c>
      <c r="C332" s="71">
        <v>70</v>
      </c>
    </row>
    <row r="333" spans="1:3" ht="15.5" x14ac:dyDescent="0.35">
      <c r="A333" s="71" t="s">
        <v>9</v>
      </c>
      <c r="B333" s="71">
        <v>2008</v>
      </c>
      <c r="C333" s="71">
        <v>70</v>
      </c>
    </row>
    <row r="334" spans="1:3" ht="15.5" x14ac:dyDescent="0.35">
      <c r="A334" s="71" t="s">
        <v>9</v>
      </c>
      <c r="B334" s="71">
        <v>2009</v>
      </c>
      <c r="C334" s="71">
        <v>70</v>
      </c>
    </row>
    <row r="335" spans="1:3" ht="15.5" x14ac:dyDescent="0.35">
      <c r="A335" s="71" t="s">
        <v>9</v>
      </c>
      <c r="B335" s="71">
        <v>2010</v>
      </c>
      <c r="C335" s="71">
        <v>70</v>
      </c>
    </row>
    <row r="336" spans="1:3" ht="15.5" x14ac:dyDescent="0.35">
      <c r="A336" s="71" t="s">
        <v>9</v>
      </c>
      <c r="B336" s="71">
        <v>2011</v>
      </c>
      <c r="C336" s="71">
        <v>70</v>
      </c>
    </row>
    <row r="337" spans="1:3" ht="15.5" x14ac:dyDescent="0.35">
      <c r="A337" s="71" t="s">
        <v>9</v>
      </c>
      <c r="B337" s="71">
        <v>2012</v>
      </c>
      <c r="C337" s="71">
        <v>70</v>
      </c>
    </row>
    <row r="338" spans="1:3" ht="15.5" x14ac:dyDescent="0.35">
      <c r="A338" s="71" t="s">
        <v>9</v>
      </c>
      <c r="B338" s="71">
        <v>2013</v>
      </c>
      <c r="C338" s="71">
        <v>70</v>
      </c>
    </row>
    <row r="339" spans="1:3" ht="15.5" x14ac:dyDescent="0.35">
      <c r="A339" s="71" t="s">
        <v>9</v>
      </c>
      <c r="B339" s="71">
        <v>2014</v>
      </c>
      <c r="C339" s="71">
        <v>70</v>
      </c>
    </row>
    <row r="340" spans="1:3" ht="15.5" x14ac:dyDescent="0.35">
      <c r="A340" s="71" t="s">
        <v>9</v>
      </c>
      <c r="B340" s="71">
        <v>2015</v>
      </c>
      <c r="C340" s="71">
        <v>70</v>
      </c>
    </row>
    <row r="341" spans="1:3" ht="15.5" x14ac:dyDescent="0.35">
      <c r="A341" s="71" t="s">
        <v>9</v>
      </c>
      <c r="B341" s="71">
        <v>2016</v>
      </c>
      <c r="C341" s="71">
        <v>70</v>
      </c>
    </row>
    <row r="342" spans="1:3" ht="15.5" x14ac:dyDescent="0.35">
      <c r="A342" s="71" t="s">
        <v>9</v>
      </c>
      <c r="B342" s="71">
        <v>2017</v>
      </c>
      <c r="C342" s="71">
        <v>70</v>
      </c>
    </row>
    <row r="343" spans="1:3" ht="15.5" x14ac:dyDescent="0.35">
      <c r="A343" s="71" t="s">
        <v>9</v>
      </c>
      <c r="B343" s="71">
        <v>2018</v>
      </c>
      <c r="C343" s="71">
        <v>70</v>
      </c>
    </row>
    <row r="344" spans="1:3" ht="15.5" x14ac:dyDescent="0.35">
      <c r="A344" s="71" t="s">
        <v>9</v>
      </c>
      <c r="B344" s="71">
        <v>2019</v>
      </c>
      <c r="C344" s="71">
        <v>70</v>
      </c>
    </row>
    <row r="345" spans="1:3" ht="15.5" x14ac:dyDescent="0.35">
      <c r="A345" s="71" t="s">
        <v>9</v>
      </c>
      <c r="B345" s="71">
        <v>2020</v>
      </c>
      <c r="C345" s="71">
        <v>70</v>
      </c>
    </row>
    <row r="346" spans="1:3" ht="15.5" x14ac:dyDescent="0.35">
      <c r="A346" s="71" t="s">
        <v>9</v>
      </c>
      <c r="B346" s="71">
        <v>2021</v>
      </c>
      <c r="C346" s="71">
        <v>70</v>
      </c>
    </row>
    <row r="347" spans="1:3" ht="15.5" x14ac:dyDescent="0.35">
      <c r="A347" s="71" t="s">
        <v>9</v>
      </c>
      <c r="B347" s="71">
        <v>2022</v>
      </c>
      <c r="C347" s="71">
        <v>70</v>
      </c>
    </row>
    <row r="348" spans="1:3" ht="15.5" x14ac:dyDescent="0.35">
      <c r="A348" s="71" t="s">
        <v>10</v>
      </c>
      <c r="B348" s="71">
        <v>1980</v>
      </c>
      <c r="C348" s="71">
        <v>70</v>
      </c>
    </row>
    <row r="349" spans="1:3" ht="15.5" x14ac:dyDescent="0.35">
      <c r="A349" s="71" t="s">
        <v>10</v>
      </c>
      <c r="B349" s="71">
        <v>1981</v>
      </c>
      <c r="C349" s="71">
        <v>70</v>
      </c>
    </row>
    <row r="350" spans="1:3" ht="15.5" x14ac:dyDescent="0.35">
      <c r="A350" s="71" t="s">
        <v>10</v>
      </c>
      <c r="B350" s="71">
        <v>1982</v>
      </c>
      <c r="C350" s="71">
        <v>70</v>
      </c>
    </row>
    <row r="351" spans="1:3" ht="15.5" x14ac:dyDescent="0.35">
      <c r="A351" s="71" t="s">
        <v>10</v>
      </c>
      <c r="B351" s="71">
        <v>1983</v>
      </c>
      <c r="C351" s="71">
        <v>70</v>
      </c>
    </row>
    <row r="352" spans="1:3" ht="15.5" x14ac:dyDescent="0.35">
      <c r="A352" s="71" t="s">
        <v>10</v>
      </c>
      <c r="B352" s="71">
        <v>1984</v>
      </c>
      <c r="C352" s="71">
        <v>70</v>
      </c>
    </row>
    <row r="353" spans="1:3" ht="15.5" x14ac:dyDescent="0.35">
      <c r="A353" s="71" t="s">
        <v>10</v>
      </c>
      <c r="B353" s="71">
        <v>1985</v>
      </c>
      <c r="C353" s="71">
        <v>70</v>
      </c>
    </row>
    <row r="354" spans="1:3" ht="15.5" x14ac:dyDescent="0.35">
      <c r="A354" s="71" t="s">
        <v>10</v>
      </c>
      <c r="B354" s="71">
        <v>1986</v>
      </c>
      <c r="C354" s="71">
        <v>70</v>
      </c>
    </row>
    <row r="355" spans="1:3" ht="15.5" x14ac:dyDescent="0.35">
      <c r="A355" s="71" t="s">
        <v>10</v>
      </c>
      <c r="B355" s="71">
        <v>1987</v>
      </c>
      <c r="C355" s="71">
        <v>70</v>
      </c>
    </row>
    <row r="356" spans="1:3" ht="15.5" x14ac:dyDescent="0.35">
      <c r="A356" s="71" t="s">
        <v>10</v>
      </c>
      <c r="B356" s="71">
        <v>1988</v>
      </c>
      <c r="C356" s="71">
        <v>70</v>
      </c>
    </row>
    <row r="357" spans="1:3" ht="15.5" x14ac:dyDescent="0.35">
      <c r="A357" s="71" t="s">
        <v>10</v>
      </c>
      <c r="B357" s="71">
        <v>1989</v>
      </c>
      <c r="C357" s="71">
        <v>70</v>
      </c>
    </row>
    <row r="358" spans="1:3" ht="15.5" x14ac:dyDescent="0.35">
      <c r="A358" s="71" t="s">
        <v>10</v>
      </c>
      <c r="B358" s="71">
        <v>1990</v>
      </c>
      <c r="C358" s="71">
        <v>70</v>
      </c>
    </row>
    <row r="359" spans="1:3" ht="15.5" x14ac:dyDescent="0.35">
      <c r="A359" s="71" t="s">
        <v>10</v>
      </c>
      <c r="B359" s="71">
        <v>1991</v>
      </c>
      <c r="C359" s="71">
        <v>70</v>
      </c>
    </row>
    <row r="360" spans="1:3" ht="15.5" x14ac:dyDescent="0.35">
      <c r="A360" s="71" t="s">
        <v>10</v>
      </c>
      <c r="B360" s="71">
        <v>1992</v>
      </c>
      <c r="C360" s="71">
        <v>70</v>
      </c>
    </row>
    <row r="361" spans="1:3" ht="15.5" x14ac:dyDescent="0.35">
      <c r="A361" s="71" t="s">
        <v>10</v>
      </c>
      <c r="B361" s="71">
        <v>1993</v>
      </c>
      <c r="C361" s="71">
        <v>70</v>
      </c>
    </row>
    <row r="362" spans="1:3" ht="15.5" x14ac:dyDescent="0.35">
      <c r="A362" s="71" t="s">
        <v>10</v>
      </c>
      <c r="B362" s="71">
        <v>1994</v>
      </c>
      <c r="C362" s="71">
        <v>70</v>
      </c>
    </row>
    <row r="363" spans="1:3" ht="15.5" x14ac:dyDescent="0.35">
      <c r="A363" s="71" t="s">
        <v>10</v>
      </c>
      <c r="B363" s="71">
        <v>1995</v>
      </c>
      <c r="C363" s="71">
        <v>70</v>
      </c>
    </row>
    <row r="364" spans="1:3" ht="15.5" x14ac:dyDescent="0.35">
      <c r="A364" s="71" t="s">
        <v>10</v>
      </c>
      <c r="B364" s="71">
        <v>1996</v>
      </c>
      <c r="C364" s="71">
        <v>70</v>
      </c>
    </row>
    <row r="365" spans="1:3" ht="15.5" x14ac:dyDescent="0.35">
      <c r="A365" s="71" t="s">
        <v>10</v>
      </c>
      <c r="B365" s="71">
        <v>1997</v>
      </c>
      <c r="C365" s="71">
        <v>70</v>
      </c>
    </row>
    <row r="366" spans="1:3" ht="15.5" x14ac:dyDescent="0.35">
      <c r="A366" s="71" t="s">
        <v>10</v>
      </c>
      <c r="B366" s="71">
        <v>1998</v>
      </c>
      <c r="C366" s="71">
        <v>70</v>
      </c>
    </row>
    <row r="367" spans="1:3" ht="15.5" x14ac:dyDescent="0.35">
      <c r="A367" s="71" t="s">
        <v>10</v>
      </c>
      <c r="B367" s="71">
        <v>1999</v>
      </c>
      <c r="C367" s="71">
        <v>70</v>
      </c>
    </row>
    <row r="368" spans="1:3" ht="15.5" x14ac:dyDescent="0.35">
      <c r="A368" s="71" t="s">
        <v>10</v>
      </c>
      <c r="B368" s="71">
        <v>2000</v>
      </c>
      <c r="C368" s="71">
        <v>70</v>
      </c>
    </row>
    <row r="369" spans="1:3" ht="15.5" x14ac:dyDescent="0.35">
      <c r="A369" s="71" t="s">
        <v>10</v>
      </c>
      <c r="B369" s="71">
        <v>2001</v>
      </c>
      <c r="C369" s="71">
        <v>70</v>
      </c>
    </row>
    <row r="370" spans="1:3" ht="15.5" x14ac:dyDescent="0.35">
      <c r="A370" s="71" t="s">
        <v>10</v>
      </c>
      <c r="B370" s="71">
        <v>2002</v>
      </c>
      <c r="C370" s="71">
        <v>70</v>
      </c>
    </row>
    <row r="371" spans="1:3" ht="15.5" x14ac:dyDescent="0.35">
      <c r="A371" s="71" t="s">
        <v>10</v>
      </c>
      <c r="B371" s="71">
        <v>2003</v>
      </c>
      <c r="C371" s="71">
        <v>70</v>
      </c>
    </row>
    <row r="372" spans="1:3" ht="15.5" x14ac:dyDescent="0.35">
      <c r="A372" s="71" t="s">
        <v>10</v>
      </c>
      <c r="B372" s="71">
        <v>2004</v>
      </c>
      <c r="C372" s="71">
        <v>70</v>
      </c>
    </row>
    <row r="373" spans="1:3" ht="15.5" x14ac:dyDescent="0.35">
      <c r="A373" s="71" t="s">
        <v>10</v>
      </c>
      <c r="B373" s="71">
        <v>2005</v>
      </c>
      <c r="C373" s="71">
        <v>70</v>
      </c>
    </row>
    <row r="374" spans="1:3" ht="15.5" x14ac:dyDescent="0.35">
      <c r="A374" s="71" t="s">
        <v>10</v>
      </c>
      <c r="B374" s="71">
        <v>2006</v>
      </c>
      <c r="C374" s="71">
        <v>70</v>
      </c>
    </row>
    <row r="375" spans="1:3" ht="15.5" x14ac:dyDescent="0.35">
      <c r="A375" s="71" t="s">
        <v>10</v>
      </c>
      <c r="B375" s="71">
        <v>2007</v>
      </c>
      <c r="C375" s="71">
        <v>70</v>
      </c>
    </row>
    <row r="376" spans="1:3" ht="15.5" x14ac:dyDescent="0.35">
      <c r="A376" s="71" t="s">
        <v>10</v>
      </c>
      <c r="B376" s="71">
        <v>2008</v>
      </c>
      <c r="C376" s="71">
        <v>70</v>
      </c>
    </row>
    <row r="377" spans="1:3" ht="15.5" x14ac:dyDescent="0.35">
      <c r="A377" s="71" t="s">
        <v>10</v>
      </c>
      <c r="B377" s="71">
        <v>2009</v>
      </c>
      <c r="C377" s="71">
        <v>70</v>
      </c>
    </row>
    <row r="378" spans="1:3" ht="15.5" x14ac:dyDescent="0.35">
      <c r="A378" s="71" t="s">
        <v>10</v>
      </c>
      <c r="B378" s="71">
        <v>2010</v>
      </c>
      <c r="C378" s="71">
        <v>70</v>
      </c>
    </row>
    <row r="379" spans="1:3" ht="15.5" x14ac:dyDescent="0.35">
      <c r="A379" s="71" t="s">
        <v>10</v>
      </c>
      <c r="B379" s="71">
        <v>2011</v>
      </c>
      <c r="C379" s="71">
        <v>70</v>
      </c>
    </row>
    <row r="380" spans="1:3" ht="15.5" x14ac:dyDescent="0.35">
      <c r="A380" s="71" t="s">
        <v>10</v>
      </c>
      <c r="B380" s="71">
        <v>2012</v>
      </c>
      <c r="C380" s="71">
        <v>70</v>
      </c>
    </row>
    <row r="381" spans="1:3" ht="15.5" x14ac:dyDescent="0.35">
      <c r="A381" s="71" t="s">
        <v>10</v>
      </c>
      <c r="B381" s="71">
        <v>2013</v>
      </c>
      <c r="C381" s="71">
        <v>70</v>
      </c>
    </row>
    <row r="382" spans="1:3" ht="15.5" x14ac:dyDescent="0.35">
      <c r="A382" s="71" t="s">
        <v>10</v>
      </c>
      <c r="B382" s="71">
        <v>2014</v>
      </c>
      <c r="C382" s="71">
        <v>70</v>
      </c>
    </row>
    <row r="383" spans="1:3" ht="15.5" x14ac:dyDescent="0.35">
      <c r="A383" s="71" t="s">
        <v>10</v>
      </c>
      <c r="B383" s="71">
        <v>2015</v>
      </c>
      <c r="C383" s="71">
        <v>70</v>
      </c>
    </row>
    <row r="384" spans="1:3" ht="15.5" x14ac:dyDescent="0.35">
      <c r="A384" s="71" t="s">
        <v>10</v>
      </c>
      <c r="B384" s="71">
        <v>2016</v>
      </c>
      <c r="C384" s="71">
        <v>70</v>
      </c>
    </row>
    <row r="385" spans="1:3" ht="15.5" x14ac:dyDescent="0.35">
      <c r="A385" s="71" t="s">
        <v>10</v>
      </c>
      <c r="B385" s="71">
        <v>2017</v>
      </c>
      <c r="C385" s="71">
        <v>70</v>
      </c>
    </row>
    <row r="386" spans="1:3" ht="15.5" x14ac:dyDescent="0.35">
      <c r="A386" s="71" t="s">
        <v>10</v>
      </c>
      <c r="B386" s="71">
        <v>2018</v>
      </c>
      <c r="C386" s="71">
        <v>70</v>
      </c>
    </row>
    <row r="387" spans="1:3" ht="15.5" x14ac:dyDescent="0.35">
      <c r="A387" s="71" t="s">
        <v>10</v>
      </c>
      <c r="B387" s="71">
        <v>2019</v>
      </c>
      <c r="C387" s="71">
        <v>70</v>
      </c>
    </row>
    <row r="388" spans="1:3" ht="15.5" x14ac:dyDescent="0.35">
      <c r="A388" s="71" t="s">
        <v>10</v>
      </c>
      <c r="B388" s="71">
        <v>2020</v>
      </c>
      <c r="C388" s="71">
        <v>70</v>
      </c>
    </row>
    <row r="389" spans="1:3" ht="15.5" x14ac:dyDescent="0.35">
      <c r="A389" s="71" t="s">
        <v>10</v>
      </c>
      <c r="B389" s="71">
        <v>2021</v>
      </c>
      <c r="C389" s="71">
        <v>70</v>
      </c>
    </row>
    <row r="390" spans="1:3" ht="15.5" x14ac:dyDescent="0.35">
      <c r="A390" s="71" t="s">
        <v>10</v>
      </c>
      <c r="B390" s="71">
        <v>2022</v>
      </c>
      <c r="C390" s="71">
        <v>70</v>
      </c>
    </row>
    <row r="391" spans="1:3" ht="15.5" x14ac:dyDescent="0.35">
      <c r="A391" s="71" t="s">
        <v>11</v>
      </c>
      <c r="B391" s="71">
        <v>1980</v>
      </c>
      <c r="C391" s="71">
        <v>70</v>
      </c>
    </row>
    <row r="392" spans="1:3" ht="15.5" x14ac:dyDescent="0.35">
      <c r="A392" s="71" t="s">
        <v>11</v>
      </c>
      <c r="B392" s="71">
        <v>1981</v>
      </c>
      <c r="C392" s="71">
        <v>70</v>
      </c>
    </row>
    <row r="393" spans="1:3" ht="15.5" x14ac:dyDescent="0.35">
      <c r="A393" s="71" t="s">
        <v>11</v>
      </c>
      <c r="B393" s="71">
        <v>1982</v>
      </c>
      <c r="C393" s="71">
        <v>70</v>
      </c>
    </row>
    <row r="394" spans="1:3" ht="15.5" x14ac:dyDescent="0.35">
      <c r="A394" s="71" t="s">
        <v>11</v>
      </c>
      <c r="B394" s="71">
        <v>1983</v>
      </c>
      <c r="C394" s="71">
        <v>70</v>
      </c>
    </row>
    <row r="395" spans="1:3" ht="15.5" x14ac:dyDescent="0.35">
      <c r="A395" s="71" t="s">
        <v>11</v>
      </c>
      <c r="B395" s="71">
        <v>1984</v>
      </c>
      <c r="C395" s="71">
        <v>70</v>
      </c>
    </row>
    <row r="396" spans="1:3" ht="15.5" x14ac:dyDescent="0.35">
      <c r="A396" s="71" t="s">
        <v>11</v>
      </c>
      <c r="B396" s="71">
        <v>1985</v>
      </c>
      <c r="C396" s="71">
        <v>70</v>
      </c>
    </row>
    <row r="397" spans="1:3" ht="15.5" x14ac:dyDescent="0.35">
      <c r="A397" s="71" t="s">
        <v>11</v>
      </c>
      <c r="B397" s="71">
        <v>1986</v>
      </c>
      <c r="C397" s="71">
        <v>70</v>
      </c>
    </row>
    <row r="398" spans="1:3" ht="15.5" x14ac:dyDescent="0.35">
      <c r="A398" s="71" t="s">
        <v>11</v>
      </c>
      <c r="B398" s="71">
        <v>1987</v>
      </c>
      <c r="C398" s="71">
        <v>70</v>
      </c>
    </row>
    <row r="399" spans="1:3" ht="15.5" x14ac:dyDescent="0.35">
      <c r="A399" s="71" t="s">
        <v>11</v>
      </c>
      <c r="B399" s="71">
        <v>1988</v>
      </c>
      <c r="C399" s="71">
        <v>70</v>
      </c>
    </row>
    <row r="400" spans="1:3" ht="15.5" x14ac:dyDescent="0.35">
      <c r="A400" s="71" t="s">
        <v>11</v>
      </c>
      <c r="B400" s="71">
        <v>1989</v>
      </c>
      <c r="C400" s="71">
        <v>70</v>
      </c>
    </row>
    <row r="401" spans="1:3" ht="15.5" x14ac:dyDescent="0.35">
      <c r="A401" s="71" t="s">
        <v>11</v>
      </c>
      <c r="B401" s="71">
        <v>1990</v>
      </c>
      <c r="C401" s="71">
        <v>70</v>
      </c>
    </row>
    <row r="402" spans="1:3" ht="15.5" x14ac:dyDescent="0.35">
      <c r="A402" s="71" t="s">
        <v>11</v>
      </c>
      <c r="B402" s="71">
        <v>1991</v>
      </c>
      <c r="C402" s="71">
        <v>70</v>
      </c>
    </row>
    <row r="403" spans="1:3" ht="15.5" x14ac:dyDescent="0.35">
      <c r="A403" s="71" t="s">
        <v>11</v>
      </c>
      <c r="B403" s="71">
        <v>1992</v>
      </c>
      <c r="C403" s="71">
        <v>70</v>
      </c>
    </row>
    <row r="404" spans="1:3" ht="15.5" x14ac:dyDescent="0.35">
      <c r="A404" s="71" t="s">
        <v>11</v>
      </c>
      <c r="B404" s="71">
        <v>1993</v>
      </c>
      <c r="C404" s="71">
        <v>70</v>
      </c>
    </row>
    <row r="405" spans="1:3" ht="15.5" x14ac:dyDescent="0.35">
      <c r="A405" s="71" t="s">
        <v>11</v>
      </c>
      <c r="B405" s="71">
        <v>1994</v>
      </c>
      <c r="C405" s="71">
        <v>70</v>
      </c>
    </row>
    <row r="406" spans="1:3" ht="15.5" x14ac:dyDescent="0.35">
      <c r="A406" s="71" t="s">
        <v>11</v>
      </c>
      <c r="B406" s="71">
        <v>1995</v>
      </c>
      <c r="C406" s="71">
        <v>70</v>
      </c>
    </row>
    <row r="407" spans="1:3" ht="15.5" x14ac:dyDescent="0.35">
      <c r="A407" s="71" t="s">
        <v>11</v>
      </c>
      <c r="B407" s="71">
        <v>1996</v>
      </c>
      <c r="C407" s="71">
        <v>70</v>
      </c>
    </row>
    <row r="408" spans="1:3" ht="15.5" x14ac:dyDescent="0.35">
      <c r="A408" s="71" t="s">
        <v>11</v>
      </c>
      <c r="B408" s="71">
        <v>1997</v>
      </c>
      <c r="C408" s="71">
        <v>70</v>
      </c>
    </row>
    <row r="409" spans="1:3" ht="15.5" x14ac:dyDescent="0.35">
      <c r="A409" s="71" t="s">
        <v>11</v>
      </c>
      <c r="B409" s="71">
        <v>1998</v>
      </c>
      <c r="C409" s="71">
        <v>70</v>
      </c>
    </row>
    <row r="410" spans="1:3" ht="15.5" x14ac:dyDescent="0.35">
      <c r="A410" s="71" t="s">
        <v>11</v>
      </c>
      <c r="B410" s="71">
        <v>1999</v>
      </c>
      <c r="C410" s="71">
        <v>70</v>
      </c>
    </row>
    <row r="411" spans="1:3" ht="15.5" x14ac:dyDescent="0.35">
      <c r="A411" s="71" t="s">
        <v>11</v>
      </c>
      <c r="B411" s="71">
        <v>2000</v>
      </c>
      <c r="C411" s="71">
        <v>70</v>
      </c>
    </row>
    <row r="412" spans="1:3" ht="15.5" x14ac:dyDescent="0.35">
      <c r="A412" s="71" t="s">
        <v>11</v>
      </c>
      <c r="B412" s="71">
        <v>2001</v>
      </c>
      <c r="C412" s="71">
        <v>70</v>
      </c>
    </row>
    <row r="413" spans="1:3" ht="15.5" x14ac:dyDescent="0.35">
      <c r="A413" s="71" t="s">
        <v>11</v>
      </c>
      <c r="B413" s="71">
        <v>2002</v>
      </c>
      <c r="C413" s="71">
        <v>70</v>
      </c>
    </row>
    <row r="414" spans="1:3" ht="15.5" x14ac:dyDescent="0.35">
      <c r="A414" s="71" t="s">
        <v>11</v>
      </c>
      <c r="B414" s="71">
        <v>2003</v>
      </c>
      <c r="C414" s="71">
        <v>70</v>
      </c>
    </row>
    <row r="415" spans="1:3" ht="15.5" x14ac:dyDescent="0.35">
      <c r="A415" s="71" t="s">
        <v>11</v>
      </c>
      <c r="B415" s="71">
        <v>2004</v>
      </c>
      <c r="C415" s="71">
        <v>70</v>
      </c>
    </row>
    <row r="416" spans="1:3" ht="15.5" x14ac:dyDescent="0.35">
      <c r="A416" s="71" t="s">
        <v>11</v>
      </c>
      <c r="B416" s="71">
        <v>2005</v>
      </c>
      <c r="C416" s="71">
        <v>70</v>
      </c>
    </row>
    <row r="417" spans="1:3" ht="15.5" x14ac:dyDescent="0.35">
      <c r="A417" s="71" t="s">
        <v>11</v>
      </c>
      <c r="B417" s="71">
        <v>2006</v>
      </c>
      <c r="C417" s="71">
        <v>70</v>
      </c>
    </row>
    <row r="418" spans="1:3" ht="15.5" x14ac:dyDescent="0.35">
      <c r="A418" s="71" t="s">
        <v>11</v>
      </c>
      <c r="B418" s="71">
        <v>2007</v>
      </c>
      <c r="C418" s="71">
        <v>70</v>
      </c>
    </row>
    <row r="419" spans="1:3" ht="15.5" x14ac:dyDescent="0.35">
      <c r="A419" s="71" t="s">
        <v>11</v>
      </c>
      <c r="B419" s="71">
        <v>2008</v>
      </c>
      <c r="C419" s="71">
        <v>70</v>
      </c>
    </row>
    <row r="420" spans="1:3" ht="15.5" x14ac:dyDescent="0.35">
      <c r="A420" s="71" t="s">
        <v>11</v>
      </c>
      <c r="B420" s="71">
        <v>2009</v>
      </c>
      <c r="C420" s="71">
        <v>70</v>
      </c>
    </row>
    <row r="421" spans="1:3" ht="15.5" x14ac:dyDescent="0.35">
      <c r="A421" s="71" t="s">
        <v>11</v>
      </c>
      <c r="B421" s="71">
        <v>2010</v>
      </c>
      <c r="C421" s="71">
        <v>70</v>
      </c>
    </row>
    <row r="422" spans="1:3" ht="15.5" x14ac:dyDescent="0.35">
      <c r="A422" s="71" t="s">
        <v>11</v>
      </c>
      <c r="B422" s="71">
        <v>2011</v>
      </c>
      <c r="C422" s="71">
        <v>70</v>
      </c>
    </row>
    <row r="423" spans="1:3" ht="15.5" x14ac:dyDescent="0.35">
      <c r="A423" s="71" t="s">
        <v>11</v>
      </c>
      <c r="B423" s="71">
        <v>2012</v>
      </c>
      <c r="C423" s="71">
        <v>70</v>
      </c>
    </row>
    <row r="424" spans="1:3" ht="15.5" x14ac:dyDescent="0.35">
      <c r="A424" s="71" t="s">
        <v>11</v>
      </c>
      <c r="B424" s="71">
        <v>2013</v>
      </c>
      <c r="C424" s="71">
        <v>70</v>
      </c>
    </row>
    <row r="425" spans="1:3" ht="15.5" x14ac:dyDescent="0.35">
      <c r="A425" s="71" t="s">
        <v>11</v>
      </c>
      <c r="B425" s="71">
        <v>2014</v>
      </c>
      <c r="C425" s="71">
        <v>70</v>
      </c>
    </row>
    <row r="426" spans="1:3" ht="15.5" x14ac:dyDescent="0.35">
      <c r="A426" s="71" t="s">
        <v>11</v>
      </c>
      <c r="B426" s="71">
        <v>2015</v>
      </c>
      <c r="C426" s="71">
        <v>70</v>
      </c>
    </row>
    <row r="427" spans="1:3" ht="15.5" x14ac:dyDescent="0.35">
      <c r="A427" s="71" t="s">
        <v>11</v>
      </c>
      <c r="B427" s="71">
        <v>2016</v>
      </c>
      <c r="C427" s="71">
        <v>70</v>
      </c>
    </row>
    <row r="428" spans="1:3" ht="15.5" x14ac:dyDescent="0.35">
      <c r="A428" s="71" t="s">
        <v>11</v>
      </c>
      <c r="B428" s="71">
        <v>2017</v>
      </c>
      <c r="C428" s="71">
        <v>70</v>
      </c>
    </row>
    <row r="429" spans="1:3" ht="15.5" x14ac:dyDescent="0.35">
      <c r="A429" s="71" t="s">
        <v>11</v>
      </c>
      <c r="B429" s="71">
        <v>2018</v>
      </c>
      <c r="C429" s="71">
        <v>70</v>
      </c>
    </row>
    <row r="430" spans="1:3" ht="15.5" x14ac:dyDescent="0.35">
      <c r="A430" s="71" t="s">
        <v>11</v>
      </c>
      <c r="B430" s="71">
        <v>2019</v>
      </c>
      <c r="C430" s="71">
        <v>70</v>
      </c>
    </row>
    <row r="431" spans="1:3" ht="15.5" x14ac:dyDescent="0.35">
      <c r="A431" s="71" t="s">
        <v>11</v>
      </c>
      <c r="B431" s="71">
        <v>2020</v>
      </c>
      <c r="C431" s="71">
        <v>70</v>
      </c>
    </row>
    <row r="432" spans="1:3" ht="15.5" x14ac:dyDescent="0.35">
      <c r="A432" s="71" t="s">
        <v>11</v>
      </c>
      <c r="B432" s="71">
        <v>2021</v>
      </c>
      <c r="C432" s="71">
        <v>70</v>
      </c>
    </row>
    <row r="433" spans="1:3" ht="15.5" x14ac:dyDescent="0.35">
      <c r="A433" s="71" t="s">
        <v>11</v>
      </c>
      <c r="B433" s="71">
        <v>2022</v>
      </c>
      <c r="C433" s="71">
        <v>70</v>
      </c>
    </row>
    <row r="434" spans="1:3" ht="15.5" x14ac:dyDescent="0.35">
      <c r="A434" s="71" t="s">
        <v>12</v>
      </c>
      <c r="B434" s="71">
        <v>1980</v>
      </c>
      <c r="C434" s="71">
        <v>70</v>
      </c>
    </row>
    <row r="435" spans="1:3" ht="15.5" x14ac:dyDescent="0.35">
      <c r="A435" s="71" t="s">
        <v>12</v>
      </c>
      <c r="B435" s="71">
        <v>1981</v>
      </c>
      <c r="C435" s="71">
        <v>70</v>
      </c>
    </row>
    <row r="436" spans="1:3" ht="15.5" x14ac:dyDescent="0.35">
      <c r="A436" s="71" t="s">
        <v>12</v>
      </c>
      <c r="B436" s="71">
        <v>1982</v>
      </c>
      <c r="C436" s="71">
        <v>70</v>
      </c>
    </row>
    <row r="437" spans="1:3" ht="15.5" x14ac:dyDescent="0.35">
      <c r="A437" s="71" t="s">
        <v>12</v>
      </c>
      <c r="B437" s="71">
        <v>1983</v>
      </c>
      <c r="C437" s="71">
        <v>70</v>
      </c>
    </row>
    <row r="438" spans="1:3" ht="15.5" x14ac:dyDescent="0.35">
      <c r="A438" s="71" t="s">
        <v>12</v>
      </c>
      <c r="B438" s="71">
        <v>1984</v>
      </c>
      <c r="C438" s="71">
        <v>70</v>
      </c>
    </row>
    <row r="439" spans="1:3" ht="15.5" x14ac:dyDescent="0.35">
      <c r="A439" s="71" t="s">
        <v>12</v>
      </c>
      <c r="B439" s="71">
        <v>1985</v>
      </c>
      <c r="C439" s="71">
        <v>70</v>
      </c>
    </row>
    <row r="440" spans="1:3" ht="15.5" x14ac:dyDescent="0.35">
      <c r="A440" s="71" t="s">
        <v>12</v>
      </c>
      <c r="B440" s="71">
        <v>1986</v>
      </c>
      <c r="C440" s="71">
        <v>70</v>
      </c>
    </row>
    <row r="441" spans="1:3" ht="15.5" x14ac:dyDescent="0.35">
      <c r="A441" s="71" t="s">
        <v>12</v>
      </c>
      <c r="B441" s="71">
        <v>1987</v>
      </c>
      <c r="C441" s="71">
        <v>70</v>
      </c>
    </row>
    <row r="442" spans="1:3" ht="15.5" x14ac:dyDescent="0.35">
      <c r="A442" s="71" t="s">
        <v>12</v>
      </c>
      <c r="B442" s="71">
        <v>1988</v>
      </c>
      <c r="C442" s="71">
        <v>70</v>
      </c>
    </row>
    <row r="443" spans="1:3" ht="15.5" x14ac:dyDescent="0.35">
      <c r="A443" s="71" t="s">
        <v>12</v>
      </c>
      <c r="B443" s="71">
        <v>1989</v>
      </c>
      <c r="C443" s="71">
        <v>70</v>
      </c>
    </row>
    <row r="444" spans="1:3" ht="15.5" x14ac:dyDescent="0.35">
      <c r="A444" s="71" t="s">
        <v>12</v>
      </c>
      <c r="B444" s="71">
        <v>1990</v>
      </c>
      <c r="C444" s="71">
        <v>70</v>
      </c>
    </row>
    <row r="445" spans="1:3" ht="15.5" x14ac:dyDescent="0.35">
      <c r="A445" s="71" t="s">
        <v>12</v>
      </c>
      <c r="B445" s="71">
        <v>1991</v>
      </c>
      <c r="C445" s="71">
        <v>70</v>
      </c>
    </row>
    <row r="446" spans="1:3" ht="15.5" x14ac:dyDescent="0.35">
      <c r="A446" s="71" t="s">
        <v>12</v>
      </c>
      <c r="B446" s="71">
        <v>1992</v>
      </c>
      <c r="C446" s="71">
        <v>70</v>
      </c>
    </row>
    <row r="447" spans="1:3" ht="15.5" x14ac:dyDescent="0.35">
      <c r="A447" s="71" t="s">
        <v>12</v>
      </c>
      <c r="B447" s="71">
        <v>1993</v>
      </c>
      <c r="C447" s="71">
        <v>70</v>
      </c>
    </row>
    <row r="448" spans="1:3" ht="15.5" x14ac:dyDescent="0.35">
      <c r="A448" s="71" t="s">
        <v>12</v>
      </c>
      <c r="B448" s="71">
        <v>1994</v>
      </c>
      <c r="C448" s="71">
        <v>70</v>
      </c>
    </row>
    <row r="449" spans="1:3" ht="15.5" x14ac:dyDescent="0.35">
      <c r="A449" s="71" t="s">
        <v>12</v>
      </c>
      <c r="B449" s="71">
        <v>1995</v>
      </c>
      <c r="C449" s="71">
        <v>70</v>
      </c>
    </row>
    <row r="450" spans="1:3" ht="15.5" x14ac:dyDescent="0.35">
      <c r="A450" s="71" t="s">
        <v>12</v>
      </c>
      <c r="B450" s="71">
        <v>1996</v>
      </c>
      <c r="C450" s="71">
        <v>70</v>
      </c>
    </row>
    <row r="451" spans="1:3" ht="15.5" x14ac:dyDescent="0.35">
      <c r="A451" s="71" t="s">
        <v>12</v>
      </c>
      <c r="B451" s="71">
        <v>1997</v>
      </c>
      <c r="C451" s="71">
        <v>70</v>
      </c>
    </row>
    <row r="452" spans="1:3" ht="15.5" x14ac:dyDescent="0.35">
      <c r="A452" s="71" t="s">
        <v>12</v>
      </c>
      <c r="B452" s="71">
        <v>1998</v>
      </c>
      <c r="C452" s="71">
        <v>70</v>
      </c>
    </row>
    <row r="453" spans="1:3" ht="15.5" x14ac:dyDescent="0.35">
      <c r="A453" s="71" t="s">
        <v>12</v>
      </c>
      <c r="B453" s="71">
        <v>1999</v>
      </c>
      <c r="C453" s="71">
        <v>70</v>
      </c>
    </row>
    <row r="454" spans="1:3" ht="15.5" x14ac:dyDescent="0.35">
      <c r="A454" s="71" t="s">
        <v>12</v>
      </c>
      <c r="B454" s="71">
        <v>2000</v>
      </c>
      <c r="C454" s="71">
        <v>70</v>
      </c>
    </row>
    <row r="455" spans="1:3" ht="15.5" x14ac:dyDescent="0.35">
      <c r="A455" s="71" t="s">
        <v>12</v>
      </c>
      <c r="B455" s="71">
        <v>2001</v>
      </c>
      <c r="C455" s="71">
        <v>70</v>
      </c>
    </row>
    <row r="456" spans="1:3" ht="15.5" x14ac:dyDescent="0.35">
      <c r="A456" s="71" t="s">
        <v>12</v>
      </c>
      <c r="B456" s="71">
        <v>2002</v>
      </c>
      <c r="C456" s="71">
        <v>70</v>
      </c>
    </row>
    <row r="457" spans="1:3" ht="15.5" x14ac:dyDescent="0.35">
      <c r="A457" s="71" t="s">
        <v>12</v>
      </c>
      <c r="B457" s="71">
        <v>2003</v>
      </c>
      <c r="C457" s="71">
        <v>70</v>
      </c>
    </row>
    <row r="458" spans="1:3" ht="15.5" x14ac:dyDescent="0.35">
      <c r="A458" s="71" t="s">
        <v>12</v>
      </c>
      <c r="B458" s="71">
        <v>2004</v>
      </c>
      <c r="C458" s="71">
        <v>70</v>
      </c>
    </row>
    <row r="459" spans="1:3" ht="15.5" x14ac:dyDescent="0.35">
      <c r="A459" s="71" t="s">
        <v>12</v>
      </c>
      <c r="B459" s="71">
        <v>2005</v>
      </c>
      <c r="C459" s="71">
        <v>70</v>
      </c>
    </row>
    <row r="460" spans="1:3" ht="15.5" x14ac:dyDescent="0.35">
      <c r="A460" s="71" t="s">
        <v>12</v>
      </c>
      <c r="B460" s="71">
        <v>2006</v>
      </c>
      <c r="C460" s="71">
        <v>70</v>
      </c>
    </row>
    <row r="461" spans="1:3" ht="15.5" x14ac:dyDescent="0.35">
      <c r="A461" s="71" t="s">
        <v>12</v>
      </c>
      <c r="B461" s="71">
        <v>2007</v>
      </c>
      <c r="C461" s="71">
        <v>70</v>
      </c>
    </row>
    <row r="462" spans="1:3" ht="15.5" x14ac:dyDescent="0.35">
      <c r="A462" s="71" t="s">
        <v>12</v>
      </c>
      <c r="B462" s="71">
        <v>2008</v>
      </c>
      <c r="C462" s="71">
        <v>70</v>
      </c>
    </row>
    <row r="463" spans="1:3" ht="15.5" x14ac:dyDescent="0.35">
      <c r="A463" s="71" t="s">
        <v>12</v>
      </c>
      <c r="B463" s="71">
        <v>2009</v>
      </c>
      <c r="C463" s="71">
        <v>70</v>
      </c>
    </row>
    <row r="464" spans="1:3" ht="15.5" x14ac:dyDescent="0.35">
      <c r="A464" s="71" t="s">
        <v>12</v>
      </c>
      <c r="B464" s="71">
        <v>2010</v>
      </c>
      <c r="C464" s="71">
        <v>70</v>
      </c>
    </row>
    <row r="465" spans="1:3" ht="15.5" x14ac:dyDescent="0.35">
      <c r="A465" s="71" t="s">
        <v>12</v>
      </c>
      <c r="B465" s="71">
        <v>2011</v>
      </c>
      <c r="C465" s="71">
        <v>70</v>
      </c>
    </row>
    <row r="466" spans="1:3" ht="15.5" x14ac:dyDescent="0.35">
      <c r="A466" s="71" t="s">
        <v>12</v>
      </c>
      <c r="B466" s="71">
        <v>2012</v>
      </c>
      <c r="C466" s="71">
        <v>70</v>
      </c>
    </row>
    <row r="467" spans="1:3" ht="15.5" x14ac:dyDescent="0.35">
      <c r="A467" s="71" t="s">
        <v>12</v>
      </c>
      <c r="B467" s="71">
        <v>2013</v>
      </c>
      <c r="C467" s="71">
        <v>70</v>
      </c>
    </row>
    <row r="468" spans="1:3" ht="15.5" x14ac:dyDescent="0.35">
      <c r="A468" s="71" t="s">
        <v>12</v>
      </c>
      <c r="B468" s="71">
        <v>2014</v>
      </c>
      <c r="C468" s="71">
        <v>70</v>
      </c>
    </row>
    <row r="469" spans="1:3" ht="15.5" x14ac:dyDescent="0.35">
      <c r="A469" s="71" t="s">
        <v>12</v>
      </c>
      <c r="B469" s="71">
        <v>2015</v>
      </c>
      <c r="C469" s="71">
        <v>70</v>
      </c>
    </row>
    <row r="470" spans="1:3" ht="15.5" x14ac:dyDescent="0.35">
      <c r="A470" s="71" t="s">
        <v>12</v>
      </c>
      <c r="B470" s="71">
        <v>2016</v>
      </c>
      <c r="C470" s="71">
        <v>70</v>
      </c>
    </row>
    <row r="471" spans="1:3" ht="15.5" x14ac:dyDescent="0.35">
      <c r="A471" s="71" t="s">
        <v>12</v>
      </c>
      <c r="B471" s="71">
        <v>2017</v>
      </c>
      <c r="C471" s="71">
        <v>70</v>
      </c>
    </row>
    <row r="472" spans="1:3" ht="15.5" x14ac:dyDescent="0.35">
      <c r="A472" s="71" t="s">
        <v>12</v>
      </c>
      <c r="B472" s="71">
        <v>2018</v>
      </c>
      <c r="C472" s="71">
        <v>70</v>
      </c>
    </row>
    <row r="473" spans="1:3" ht="15.5" x14ac:dyDescent="0.35">
      <c r="A473" s="71" t="s">
        <v>12</v>
      </c>
      <c r="B473" s="71">
        <v>2019</v>
      </c>
      <c r="C473" s="71">
        <v>70</v>
      </c>
    </row>
    <row r="474" spans="1:3" ht="15.5" x14ac:dyDescent="0.35">
      <c r="A474" s="71" t="s">
        <v>12</v>
      </c>
      <c r="B474" s="71">
        <v>2020</v>
      </c>
      <c r="C474" s="71">
        <v>70</v>
      </c>
    </row>
    <row r="475" spans="1:3" ht="15.5" x14ac:dyDescent="0.35">
      <c r="A475" s="71" t="s">
        <v>12</v>
      </c>
      <c r="B475" s="71">
        <v>2021</v>
      </c>
      <c r="C475" s="71">
        <v>70</v>
      </c>
    </row>
    <row r="476" spans="1:3" ht="15.5" x14ac:dyDescent="0.35">
      <c r="A476" s="71" t="s">
        <v>12</v>
      </c>
      <c r="B476" s="71">
        <v>2022</v>
      </c>
      <c r="C476" s="71">
        <v>70</v>
      </c>
    </row>
    <row r="477" spans="1:3" ht="15.5" x14ac:dyDescent="0.35">
      <c r="A477" s="71" t="s">
        <v>13</v>
      </c>
      <c r="B477" s="71">
        <v>1980</v>
      </c>
      <c r="C477" s="71">
        <v>70</v>
      </c>
    </row>
    <row r="478" spans="1:3" ht="15.5" x14ac:dyDescent="0.35">
      <c r="A478" s="71" t="s">
        <v>13</v>
      </c>
      <c r="B478" s="71">
        <v>1981</v>
      </c>
      <c r="C478" s="71">
        <v>70</v>
      </c>
    </row>
    <row r="479" spans="1:3" ht="15.5" x14ac:dyDescent="0.35">
      <c r="A479" s="71" t="s">
        <v>13</v>
      </c>
      <c r="B479" s="71">
        <v>1982</v>
      </c>
      <c r="C479" s="71">
        <v>70</v>
      </c>
    </row>
    <row r="480" spans="1:3" ht="15.5" x14ac:dyDescent="0.35">
      <c r="A480" s="71" t="s">
        <v>13</v>
      </c>
      <c r="B480" s="71">
        <v>1983</v>
      </c>
      <c r="C480" s="71">
        <v>70</v>
      </c>
    </row>
    <row r="481" spans="1:3" ht="15.5" x14ac:dyDescent="0.35">
      <c r="A481" s="71" t="s">
        <v>13</v>
      </c>
      <c r="B481" s="71">
        <v>1984</v>
      </c>
      <c r="C481" s="71">
        <v>70</v>
      </c>
    </row>
    <row r="482" spans="1:3" ht="15.5" x14ac:dyDescent="0.35">
      <c r="A482" s="71" t="s">
        <v>13</v>
      </c>
      <c r="B482" s="71">
        <v>1985</v>
      </c>
      <c r="C482" s="71">
        <v>70</v>
      </c>
    </row>
    <row r="483" spans="1:3" ht="15.5" x14ac:dyDescent="0.35">
      <c r="A483" s="71" t="s">
        <v>13</v>
      </c>
      <c r="B483" s="71">
        <v>1986</v>
      </c>
      <c r="C483" s="71">
        <v>70</v>
      </c>
    </row>
    <row r="484" spans="1:3" ht="15.5" x14ac:dyDescent="0.35">
      <c r="A484" s="71" t="s">
        <v>13</v>
      </c>
      <c r="B484" s="71">
        <v>1987</v>
      </c>
      <c r="C484" s="71">
        <v>70</v>
      </c>
    </row>
    <row r="485" spans="1:3" ht="15.5" x14ac:dyDescent="0.35">
      <c r="A485" s="71" t="s">
        <v>13</v>
      </c>
      <c r="B485" s="71">
        <v>1988</v>
      </c>
      <c r="C485" s="71">
        <v>70</v>
      </c>
    </row>
    <row r="486" spans="1:3" ht="15.5" x14ac:dyDescent="0.35">
      <c r="A486" s="71" t="s">
        <v>13</v>
      </c>
      <c r="B486" s="71">
        <v>1989</v>
      </c>
      <c r="C486" s="71">
        <v>70</v>
      </c>
    </row>
    <row r="487" spans="1:3" ht="15.5" x14ac:dyDescent="0.35">
      <c r="A487" s="71" t="s">
        <v>13</v>
      </c>
      <c r="B487" s="71">
        <v>1990</v>
      </c>
      <c r="C487" s="71">
        <v>70</v>
      </c>
    </row>
    <row r="488" spans="1:3" ht="15.5" x14ac:dyDescent="0.35">
      <c r="A488" s="71" t="s">
        <v>13</v>
      </c>
      <c r="B488" s="71">
        <v>1991</v>
      </c>
      <c r="C488" s="71">
        <v>70</v>
      </c>
    </row>
    <row r="489" spans="1:3" ht="15.5" x14ac:dyDescent="0.35">
      <c r="A489" s="71" t="s">
        <v>13</v>
      </c>
      <c r="B489" s="71">
        <v>1992</v>
      </c>
      <c r="C489" s="71">
        <v>70</v>
      </c>
    </row>
    <row r="490" spans="1:3" ht="15.5" x14ac:dyDescent="0.35">
      <c r="A490" s="71" t="s">
        <v>13</v>
      </c>
      <c r="B490" s="71">
        <v>1993</v>
      </c>
      <c r="C490" s="71">
        <v>70</v>
      </c>
    </row>
    <row r="491" spans="1:3" ht="15.5" x14ac:dyDescent="0.35">
      <c r="A491" s="71" t="s">
        <v>13</v>
      </c>
      <c r="B491" s="71">
        <v>1994</v>
      </c>
      <c r="C491" s="71">
        <v>70</v>
      </c>
    </row>
    <row r="492" spans="1:3" ht="15.5" x14ac:dyDescent="0.35">
      <c r="A492" s="71" t="s">
        <v>13</v>
      </c>
      <c r="B492" s="71">
        <v>1995</v>
      </c>
      <c r="C492" s="71">
        <v>70</v>
      </c>
    </row>
    <row r="493" spans="1:3" ht="15.5" x14ac:dyDescent="0.35">
      <c r="A493" s="71" t="s">
        <v>13</v>
      </c>
      <c r="B493" s="71">
        <v>1996</v>
      </c>
      <c r="C493" s="71">
        <v>70</v>
      </c>
    </row>
    <row r="494" spans="1:3" ht="15.5" x14ac:dyDescent="0.35">
      <c r="A494" s="71" t="s">
        <v>13</v>
      </c>
      <c r="B494" s="71">
        <v>1997</v>
      </c>
      <c r="C494" s="71">
        <v>70</v>
      </c>
    </row>
    <row r="495" spans="1:3" ht="15.5" x14ac:dyDescent="0.35">
      <c r="A495" s="71" t="s">
        <v>13</v>
      </c>
      <c r="B495" s="71">
        <v>1998</v>
      </c>
      <c r="C495" s="71">
        <v>70</v>
      </c>
    </row>
    <row r="496" spans="1:3" ht="15.5" x14ac:dyDescent="0.35">
      <c r="A496" s="71" t="s">
        <v>13</v>
      </c>
      <c r="B496" s="71">
        <v>1999</v>
      </c>
      <c r="C496" s="71">
        <v>70</v>
      </c>
    </row>
    <row r="497" spans="1:3" ht="15.5" x14ac:dyDescent="0.35">
      <c r="A497" s="71" t="s">
        <v>13</v>
      </c>
      <c r="B497" s="71">
        <v>2000</v>
      </c>
      <c r="C497" s="71">
        <v>70</v>
      </c>
    </row>
    <row r="498" spans="1:3" ht="15.5" x14ac:dyDescent="0.35">
      <c r="A498" s="71" t="s">
        <v>13</v>
      </c>
      <c r="B498" s="71">
        <v>2001</v>
      </c>
      <c r="C498" s="71">
        <v>70</v>
      </c>
    </row>
    <row r="499" spans="1:3" ht="15.5" x14ac:dyDescent="0.35">
      <c r="A499" s="71" t="s">
        <v>13</v>
      </c>
      <c r="B499" s="71">
        <v>2002</v>
      </c>
      <c r="C499" s="71">
        <v>70</v>
      </c>
    </row>
    <row r="500" spans="1:3" ht="15.5" x14ac:dyDescent="0.35">
      <c r="A500" s="71" t="s">
        <v>13</v>
      </c>
      <c r="B500" s="71">
        <v>2003</v>
      </c>
      <c r="C500" s="71">
        <v>70</v>
      </c>
    </row>
    <row r="501" spans="1:3" ht="15.5" x14ac:dyDescent="0.35">
      <c r="A501" s="71" t="s">
        <v>13</v>
      </c>
      <c r="B501" s="71">
        <v>2004</v>
      </c>
      <c r="C501" s="71">
        <v>70</v>
      </c>
    </row>
    <row r="502" spans="1:3" ht="15.5" x14ac:dyDescent="0.35">
      <c r="A502" s="71" t="s">
        <v>13</v>
      </c>
      <c r="B502" s="71">
        <v>2005</v>
      </c>
      <c r="C502" s="71">
        <v>70</v>
      </c>
    </row>
    <row r="503" spans="1:3" ht="15.5" x14ac:dyDescent="0.35">
      <c r="A503" s="71" t="s">
        <v>13</v>
      </c>
      <c r="B503" s="71">
        <v>2006</v>
      </c>
      <c r="C503" s="71">
        <v>70</v>
      </c>
    </row>
    <row r="504" spans="1:3" ht="15.5" x14ac:dyDescent="0.35">
      <c r="A504" s="71" t="s">
        <v>13</v>
      </c>
      <c r="B504" s="71">
        <v>2007</v>
      </c>
      <c r="C504" s="71">
        <v>70</v>
      </c>
    </row>
    <row r="505" spans="1:3" ht="15.5" x14ac:dyDescent="0.35">
      <c r="A505" s="71" t="s">
        <v>13</v>
      </c>
      <c r="B505" s="71">
        <v>2008</v>
      </c>
      <c r="C505" s="71">
        <v>70</v>
      </c>
    </row>
    <row r="506" spans="1:3" ht="15.5" x14ac:dyDescent="0.35">
      <c r="A506" s="71" t="s">
        <v>13</v>
      </c>
      <c r="B506" s="71">
        <v>2009</v>
      </c>
      <c r="C506" s="71">
        <v>70</v>
      </c>
    </row>
    <row r="507" spans="1:3" ht="15.5" x14ac:dyDescent="0.35">
      <c r="A507" s="71" t="s">
        <v>13</v>
      </c>
      <c r="B507" s="71">
        <v>2010</v>
      </c>
      <c r="C507" s="71">
        <v>70</v>
      </c>
    </row>
    <row r="508" spans="1:3" ht="15.5" x14ac:dyDescent="0.35">
      <c r="A508" s="71" t="s">
        <v>13</v>
      </c>
      <c r="B508" s="71">
        <v>2011</v>
      </c>
      <c r="C508" s="71">
        <v>70</v>
      </c>
    </row>
    <row r="509" spans="1:3" ht="15.5" x14ac:dyDescent="0.35">
      <c r="A509" s="71" t="s">
        <v>13</v>
      </c>
      <c r="B509" s="71">
        <v>2012</v>
      </c>
      <c r="C509" s="71">
        <v>70</v>
      </c>
    </row>
    <row r="510" spans="1:3" ht="15.5" x14ac:dyDescent="0.35">
      <c r="A510" s="71" t="s">
        <v>13</v>
      </c>
      <c r="B510" s="71">
        <v>2013</v>
      </c>
      <c r="C510" s="71">
        <v>70</v>
      </c>
    </row>
    <row r="511" spans="1:3" ht="15.5" x14ac:dyDescent="0.35">
      <c r="A511" s="71" t="s">
        <v>13</v>
      </c>
      <c r="B511" s="71">
        <v>2014</v>
      </c>
      <c r="C511" s="71">
        <v>70</v>
      </c>
    </row>
    <row r="512" spans="1:3" ht="15.5" x14ac:dyDescent="0.35">
      <c r="A512" s="71" t="s">
        <v>13</v>
      </c>
      <c r="B512" s="71">
        <v>2015</v>
      </c>
      <c r="C512" s="71">
        <v>70</v>
      </c>
    </row>
    <row r="513" spans="1:3" ht="15.5" x14ac:dyDescent="0.35">
      <c r="A513" s="71" t="s">
        <v>13</v>
      </c>
      <c r="B513" s="71">
        <v>2016</v>
      </c>
      <c r="C513" s="71">
        <v>70</v>
      </c>
    </row>
    <row r="514" spans="1:3" ht="15.5" x14ac:dyDescent="0.35">
      <c r="A514" s="71" t="s">
        <v>13</v>
      </c>
      <c r="B514" s="71">
        <v>2017</v>
      </c>
      <c r="C514" s="71">
        <v>70</v>
      </c>
    </row>
    <row r="515" spans="1:3" ht="15.5" x14ac:dyDescent="0.35">
      <c r="A515" s="71" t="s">
        <v>13</v>
      </c>
      <c r="B515" s="71">
        <v>2018</v>
      </c>
      <c r="C515" s="71">
        <v>70</v>
      </c>
    </row>
    <row r="516" spans="1:3" ht="15.5" x14ac:dyDescent="0.35">
      <c r="A516" s="71" t="s">
        <v>13</v>
      </c>
      <c r="B516" s="71">
        <v>2019</v>
      </c>
      <c r="C516" s="71">
        <v>70</v>
      </c>
    </row>
    <row r="517" spans="1:3" ht="15.5" x14ac:dyDescent="0.35">
      <c r="A517" s="71" t="s">
        <v>13</v>
      </c>
      <c r="B517" s="71">
        <v>2020</v>
      </c>
      <c r="C517" s="71">
        <v>70</v>
      </c>
    </row>
    <row r="518" spans="1:3" ht="15.5" x14ac:dyDescent="0.35">
      <c r="A518" s="71" t="s">
        <v>13</v>
      </c>
      <c r="B518" s="71">
        <v>2021</v>
      </c>
      <c r="C518" s="71">
        <v>70</v>
      </c>
    </row>
    <row r="519" spans="1:3" ht="15.5" x14ac:dyDescent="0.35">
      <c r="A519" s="71" t="s">
        <v>13</v>
      </c>
      <c r="B519" s="71">
        <v>2022</v>
      </c>
      <c r="C519" s="71">
        <v>70</v>
      </c>
    </row>
    <row r="520" spans="1:3" ht="15.5" x14ac:dyDescent="0.35">
      <c r="A520" s="71" t="s">
        <v>14</v>
      </c>
      <c r="B520" s="71">
        <v>1980</v>
      </c>
      <c r="C520" s="71">
        <v>70</v>
      </c>
    </row>
    <row r="521" spans="1:3" ht="15.5" x14ac:dyDescent="0.35">
      <c r="A521" s="71" t="s">
        <v>14</v>
      </c>
      <c r="B521" s="71">
        <v>1981</v>
      </c>
      <c r="C521" s="71">
        <v>70</v>
      </c>
    </row>
    <row r="522" spans="1:3" ht="15.5" x14ac:dyDescent="0.35">
      <c r="A522" s="71" t="s">
        <v>14</v>
      </c>
      <c r="B522" s="71">
        <v>1982</v>
      </c>
      <c r="C522" s="71">
        <v>70</v>
      </c>
    </row>
    <row r="523" spans="1:3" ht="15.5" x14ac:dyDescent="0.35">
      <c r="A523" s="71" t="s">
        <v>14</v>
      </c>
      <c r="B523" s="71">
        <v>1983</v>
      </c>
      <c r="C523" s="71">
        <v>70</v>
      </c>
    </row>
    <row r="524" spans="1:3" ht="15.5" x14ac:dyDescent="0.35">
      <c r="A524" s="71" t="s">
        <v>14</v>
      </c>
      <c r="B524" s="71">
        <v>1984</v>
      </c>
      <c r="C524" s="71">
        <v>70</v>
      </c>
    </row>
    <row r="525" spans="1:3" ht="15.5" x14ac:dyDescent="0.35">
      <c r="A525" s="71" t="s">
        <v>14</v>
      </c>
      <c r="B525" s="71">
        <v>1985</v>
      </c>
      <c r="C525" s="71">
        <v>70</v>
      </c>
    </row>
    <row r="526" spans="1:3" ht="15.5" x14ac:dyDescent="0.35">
      <c r="A526" s="71" t="s">
        <v>14</v>
      </c>
      <c r="B526" s="71">
        <v>1986</v>
      </c>
      <c r="C526" s="71">
        <v>70</v>
      </c>
    </row>
    <row r="527" spans="1:3" ht="15.5" x14ac:dyDescent="0.35">
      <c r="A527" s="71" t="s">
        <v>14</v>
      </c>
      <c r="B527" s="71">
        <v>1987</v>
      </c>
      <c r="C527" s="71">
        <v>70</v>
      </c>
    </row>
    <row r="528" spans="1:3" ht="15.5" x14ac:dyDescent="0.35">
      <c r="A528" s="71" t="s">
        <v>14</v>
      </c>
      <c r="B528" s="71">
        <v>1988</v>
      </c>
      <c r="C528" s="71">
        <v>70</v>
      </c>
    </row>
    <row r="529" spans="1:3" ht="15.5" x14ac:dyDescent="0.35">
      <c r="A529" s="71" t="s">
        <v>14</v>
      </c>
      <c r="B529" s="71">
        <v>1989</v>
      </c>
      <c r="C529" s="71">
        <v>70</v>
      </c>
    </row>
    <row r="530" spans="1:3" ht="15.5" x14ac:dyDescent="0.35">
      <c r="A530" s="71" t="s">
        <v>14</v>
      </c>
      <c r="B530" s="71">
        <v>1990</v>
      </c>
      <c r="C530" s="71">
        <v>70</v>
      </c>
    </row>
    <row r="531" spans="1:3" ht="15.5" x14ac:dyDescent="0.35">
      <c r="A531" s="71" t="s">
        <v>14</v>
      </c>
      <c r="B531" s="71">
        <v>1991</v>
      </c>
      <c r="C531" s="71">
        <v>70</v>
      </c>
    </row>
    <row r="532" spans="1:3" ht="15.5" x14ac:dyDescent="0.35">
      <c r="A532" s="71" t="s">
        <v>14</v>
      </c>
      <c r="B532" s="71">
        <v>1992</v>
      </c>
      <c r="C532" s="71">
        <v>70</v>
      </c>
    </row>
    <row r="533" spans="1:3" ht="15.5" x14ac:dyDescent="0.35">
      <c r="A533" s="71" t="s">
        <v>14</v>
      </c>
      <c r="B533" s="71">
        <v>1993</v>
      </c>
      <c r="C533" s="71">
        <v>70</v>
      </c>
    </row>
    <row r="534" spans="1:3" ht="15.5" x14ac:dyDescent="0.35">
      <c r="A534" s="71" t="s">
        <v>14</v>
      </c>
      <c r="B534" s="71">
        <v>1994</v>
      </c>
      <c r="C534" s="71">
        <v>70</v>
      </c>
    </row>
    <row r="535" spans="1:3" ht="15.5" x14ac:dyDescent="0.35">
      <c r="A535" s="71" t="s">
        <v>14</v>
      </c>
      <c r="B535" s="71">
        <v>1995</v>
      </c>
      <c r="C535" s="71">
        <v>70</v>
      </c>
    </row>
    <row r="536" spans="1:3" ht="15.5" x14ac:dyDescent="0.35">
      <c r="A536" s="71" t="s">
        <v>14</v>
      </c>
      <c r="B536" s="71">
        <v>1996</v>
      </c>
      <c r="C536" s="71">
        <v>70</v>
      </c>
    </row>
    <row r="537" spans="1:3" ht="15.5" x14ac:dyDescent="0.35">
      <c r="A537" s="71" t="s">
        <v>14</v>
      </c>
      <c r="B537" s="71">
        <v>1997</v>
      </c>
      <c r="C537" s="71">
        <v>70</v>
      </c>
    </row>
    <row r="538" spans="1:3" ht="15.5" x14ac:dyDescent="0.35">
      <c r="A538" s="71" t="s">
        <v>14</v>
      </c>
      <c r="B538" s="71">
        <v>1998</v>
      </c>
      <c r="C538" s="71">
        <v>70</v>
      </c>
    </row>
    <row r="539" spans="1:3" ht="15.5" x14ac:dyDescent="0.35">
      <c r="A539" s="71" t="s">
        <v>14</v>
      </c>
      <c r="B539" s="71">
        <v>1999</v>
      </c>
      <c r="C539" s="71">
        <v>70</v>
      </c>
    </row>
    <row r="540" spans="1:3" ht="15.5" x14ac:dyDescent="0.35">
      <c r="A540" s="71" t="s">
        <v>14</v>
      </c>
      <c r="B540" s="71">
        <v>2000</v>
      </c>
      <c r="C540" s="71">
        <v>70</v>
      </c>
    </row>
    <row r="541" spans="1:3" ht="15.5" x14ac:dyDescent="0.35">
      <c r="A541" s="71" t="s">
        <v>14</v>
      </c>
      <c r="B541" s="71">
        <v>2001</v>
      </c>
      <c r="C541" s="71">
        <v>70</v>
      </c>
    </row>
    <row r="542" spans="1:3" ht="15.5" x14ac:dyDescent="0.35">
      <c r="A542" s="71" t="s">
        <v>14</v>
      </c>
      <c r="B542" s="71">
        <v>2002</v>
      </c>
      <c r="C542" s="71">
        <v>70</v>
      </c>
    </row>
    <row r="543" spans="1:3" ht="15.5" x14ac:dyDescent="0.35">
      <c r="A543" s="71" t="s">
        <v>14</v>
      </c>
      <c r="B543" s="71">
        <v>2003</v>
      </c>
      <c r="C543" s="71">
        <v>70</v>
      </c>
    </row>
    <row r="544" spans="1:3" ht="15.5" x14ac:dyDescent="0.35">
      <c r="A544" s="71" t="s">
        <v>14</v>
      </c>
      <c r="B544" s="71">
        <v>2004</v>
      </c>
      <c r="C544" s="71">
        <v>70</v>
      </c>
    </row>
    <row r="545" spans="1:3" ht="15.5" x14ac:dyDescent="0.35">
      <c r="A545" s="71" t="s">
        <v>14</v>
      </c>
      <c r="B545" s="71">
        <v>2005</v>
      </c>
      <c r="C545" s="71">
        <v>70</v>
      </c>
    </row>
    <row r="546" spans="1:3" ht="15.5" x14ac:dyDescent="0.35">
      <c r="A546" s="71" t="s">
        <v>14</v>
      </c>
      <c r="B546" s="71">
        <v>2006</v>
      </c>
      <c r="C546" s="71">
        <v>70</v>
      </c>
    </row>
    <row r="547" spans="1:3" ht="15.5" x14ac:dyDescent="0.35">
      <c r="A547" s="71" t="s">
        <v>14</v>
      </c>
      <c r="B547" s="71">
        <v>2007</v>
      </c>
      <c r="C547" s="71">
        <v>70</v>
      </c>
    </row>
    <row r="548" spans="1:3" ht="15.5" x14ac:dyDescent="0.35">
      <c r="A548" s="71" t="s">
        <v>14</v>
      </c>
      <c r="B548" s="71">
        <v>2008</v>
      </c>
      <c r="C548" s="71">
        <v>70</v>
      </c>
    </row>
    <row r="549" spans="1:3" ht="15.5" x14ac:dyDescent="0.35">
      <c r="A549" s="71" t="s">
        <v>14</v>
      </c>
      <c r="B549" s="71">
        <v>2009</v>
      </c>
      <c r="C549" s="71">
        <v>70</v>
      </c>
    </row>
    <row r="550" spans="1:3" ht="15.5" x14ac:dyDescent="0.35">
      <c r="A550" s="71" t="s">
        <v>14</v>
      </c>
      <c r="B550" s="71">
        <v>2010</v>
      </c>
      <c r="C550" s="71">
        <v>70</v>
      </c>
    </row>
    <row r="551" spans="1:3" ht="15.5" x14ac:dyDescent="0.35">
      <c r="A551" s="71" t="s">
        <v>14</v>
      </c>
      <c r="B551" s="71">
        <v>2011</v>
      </c>
      <c r="C551" s="71">
        <v>70</v>
      </c>
    </row>
    <row r="552" spans="1:3" ht="15.5" x14ac:dyDescent="0.35">
      <c r="A552" s="71" t="s">
        <v>14</v>
      </c>
      <c r="B552" s="71">
        <v>2012</v>
      </c>
      <c r="C552" s="71">
        <v>70</v>
      </c>
    </row>
    <row r="553" spans="1:3" ht="15.5" x14ac:dyDescent="0.35">
      <c r="A553" s="71" t="s">
        <v>14</v>
      </c>
      <c r="B553" s="71">
        <v>2013</v>
      </c>
      <c r="C553" s="71">
        <v>70</v>
      </c>
    </row>
    <row r="554" spans="1:3" ht="15.5" x14ac:dyDescent="0.35">
      <c r="A554" s="71" t="s">
        <v>14</v>
      </c>
      <c r="B554" s="71">
        <v>2014</v>
      </c>
      <c r="C554" s="71">
        <v>70</v>
      </c>
    </row>
    <row r="555" spans="1:3" ht="15.5" x14ac:dyDescent="0.35">
      <c r="A555" s="71" t="s">
        <v>14</v>
      </c>
      <c r="B555" s="71">
        <v>2015</v>
      </c>
      <c r="C555" s="71">
        <v>70</v>
      </c>
    </row>
    <row r="556" spans="1:3" ht="15.5" x14ac:dyDescent="0.35">
      <c r="A556" s="71" t="s">
        <v>14</v>
      </c>
      <c r="B556" s="71">
        <v>2016</v>
      </c>
      <c r="C556" s="71">
        <v>70</v>
      </c>
    </row>
    <row r="557" spans="1:3" ht="15.5" x14ac:dyDescent="0.35">
      <c r="A557" s="71" t="s">
        <v>14</v>
      </c>
      <c r="B557" s="71">
        <v>2017</v>
      </c>
      <c r="C557" s="71">
        <v>70</v>
      </c>
    </row>
    <row r="558" spans="1:3" ht="15.5" x14ac:dyDescent="0.35">
      <c r="A558" s="71" t="s">
        <v>14</v>
      </c>
      <c r="B558" s="71">
        <v>2018</v>
      </c>
      <c r="C558" s="71">
        <v>70</v>
      </c>
    </row>
    <row r="559" spans="1:3" ht="15.5" x14ac:dyDescent="0.35">
      <c r="A559" s="71" t="s">
        <v>14</v>
      </c>
      <c r="B559" s="71">
        <v>2019</v>
      </c>
      <c r="C559" s="71">
        <v>70</v>
      </c>
    </row>
    <row r="560" spans="1:3" ht="15.5" x14ac:dyDescent="0.35">
      <c r="A560" s="71" t="s">
        <v>14</v>
      </c>
      <c r="B560" s="71">
        <v>2020</v>
      </c>
      <c r="C560" s="71">
        <v>70</v>
      </c>
    </row>
    <row r="561" spans="1:3" ht="15.5" x14ac:dyDescent="0.35">
      <c r="A561" s="71" t="s">
        <v>14</v>
      </c>
      <c r="B561" s="71">
        <v>2021</v>
      </c>
      <c r="C561" s="71">
        <v>70</v>
      </c>
    </row>
    <row r="562" spans="1:3" ht="15.5" x14ac:dyDescent="0.35">
      <c r="A562" s="71" t="s">
        <v>14</v>
      </c>
      <c r="B562" s="71">
        <v>2022</v>
      </c>
      <c r="C562" s="71">
        <v>70</v>
      </c>
    </row>
    <row r="563" spans="1:3" ht="15.5" x14ac:dyDescent="0.35">
      <c r="A563" s="71" t="s">
        <v>15</v>
      </c>
      <c r="B563" s="71">
        <v>1980</v>
      </c>
      <c r="C563" s="71">
        <v>70</v>
      </c>
    </row>
    <row r="564" spans="1:3" ht="15.5" x14ac:dyDescent="0.35">
      <c r="A564" s="71" t="s">
        <v>15</v>
      </c>
      <c r="B564" s="71">
        <v>1981</v>
      </c>
      <c r="C564" s="71">
        <v>70</v>
      </c>
    </row>
    <row r="565" spans="1:3" ht="15.5" x14ac:dyDescent="0.35">
      <c r="A565" s="71" t="s">
        <v>15</v>
      </c>
      <c r="B565" s="71">
        <v>1982</v>
      </c>
      <c r="C565" s="71">
        <v>70</v>
      </c>
    </row>
    <row r="566" spans="1:3" ht="15.5" x14ac:dyDescent="0.35">
      <c r="A566" s="71" t="s">
        <v>15</v>
      </c>
      <c r="B566" s="71">
        <v>1983</v>
      </c>
      <c r="C566" s="71">
        <v>70</v>
      </c>
    </row>
    <row r="567" spans="1:3" ht="15.5" x14ac:dyDescent="0.35">
      <c r="A567" s="71" t="s">
        <v>15</v>
      </c>
      <c r="B567" s="71">
        <v>1984</v>
      </c>
      <c r="C567" s="71">
        <v>70</v>
      </c>
    </row>
    <row r="568" spans="1:3" ht="15.5" x14ac:dyDescent="0.35">
      <c r="A568" s="71" t="s">
        <v>15</v>
      </c>
      <c r="B568" s="71">
        <v>1985</v>
      </c>
      <c r="C568" s="71">
        <v>70</v>
      </c>
    </row>
    <row r="569" spans="1:3" ht="15.5" x14ac:dyDescent="0.35">
      <c r="A569" s="71" t="s">
        <v>15</v>
      </c>
      <c r="B569" s="71">
        <v>1986</v>
      </c>
      <c r="C569" s="71">
        <v>70</v>
      </c>
    </row>
    <row r="570" spans="1:3" ht="15.5" x14ac:dyDescent="0.35">
      <c r="A570" s="71" t="s">
        <v>15</v>
      </c>
      <c r="B570" s="71">
        <v>1987</v>
      </c>
      <c r="C570" s="71">
        <v>70</v>
      </c>
    </row>
    <row r="571" spans="1:3" ht="15.5" x14ac:dyDescent="0.35">
      <c r="A571" s="71" t="s">
        <v>15</v>
      </c>
      <c r="B571" s="71">
        <v>1988</v>
      </c>
      <c r="C571" s="71">
        <v>70</v>
      </c>
    </row>
    <row r="572" spans="1:3" ht="15.5" x14ac:dyDescent="0.35">
      <c r="A572" s="71" t="s">
        <v>15</v>
      </c>
      <c r="B572" s="71">
        <v>1989</v>
      </c>
      <c r="C572" s="71">
        <v>70</v>
      </c>
    </row>
    <row r="573" spans="1:3" ht="15.5" x14ac:dyDescent="0.35">
      <c r="A573" s="71" t="s">
        <v>15</v>
      </c>
      <c r="B573" s="71">
        <v>1990</v>
      </c>
      <c r="C573" s="71">
        <v>70</v>
      </c>
    </row>
    <row r="574" spans="1:3" ht="15.5" x14ac:dyDescent="0.35">
      <c r="A574" s="71" t="s">
        <v>15</v>
      </c>
      <c r="B574" s="71">
        <v>1991</v>
      </c>
      <c r="C574" s="71">
        <v>70</v>
      </c>
    </row>
    <row r="575" spans="1:3" ht="15.5" x14ac:dyDescent="0.35">
      <c r="A575" s="71" t="s">
        <v>15</v>
      </c>
      <c r="B575" s="71">
        <v>1992</v>
      </c>
      <c r="C575" s="71">
        <v>70</v>
      </c>
    </row>
    <row r="576" spans="1:3" ht="15.5" x14ac:dyDescent="0.35">
      <c r="A576" s="71" t="s">
        <v>15</v>
      </c>
      <c r="B576" s="71">
        <v>1993</v>
      </c>
      <c r="C576" s="71">
        <v>70</v>
      </c>
    </row>
    <row r="577" spans="1:3" ht="15.5" x14ac:dyDescent="0.35">
      <c r="A577" s="71" t="s">
        <v>15</v>
      </c>
      <c r="B577" s="71">
        <v>1994</v>
      </c>
      <c r="C577" s="71">
        <v>70</v>
      </c>
    </row>
    <row r="578" spans="1:3" ht="15.5" x14ac:dyDescent="0.35">
      <c r="A578" s="71" t="s">
        <v>15</v>
      </c>
      <c r="B578" s="71">
        <v>1995</v>
      </c>
      <c r="C578" s="71">
        <v>70</v>
      </c>
    </row>
    <row r="579" spans="1:3" ht="15.5" x14ac:dyDescent="0.35">
      <c r="A579" s="71" t="s">
        <v>15</v>
      </c>
      <c r="B579" s="71">
        <v>1996</v>
      </c>
      <c r="C579" s="71">
        <v>70</v>
      </c>
    </row>
    <row r="580" spans="1:3" ht="15.5" x14ac:dyDescent="0.35">
      <c r="A580" s="71" t="s">
        <v>15</v>
      </c>
      <c r="B580" s="71">
        <v>1997</v>
      </c>
      <c r="C580" s="71">
        <v>70</v>
      </c>
    </row>
    <row r="581" spans="1:3" ht="15.5" x14ac:dyDescent="0.35">
      <c r="A581" s="71" t="s">
        <v>15</v>
      </c>
      <c r="B581" s="71">
        <v>1998</v>
      </c>
      <c r="C581" s="71">
        <v>70</v>
      </c>
    </row>
    <row r="582" spans="1:3" ht="15.5" x14ac:dyDescent="0.35">
      <c r="A582" s="71" t="s">
        <v>15</v>
      </c>
      <c r="B582" s="71">
        <v>1999</v>
      </c>
      <c r="C582" s="71">
        <v>70</v>
      </c>
    </row>
    <row r="583" spans="1:3" ht="15.5" x14ac:dyDescent="0.35">
      <c r="A583" s="71" t="s">
        <v>15</v>
      </c>
      <c r="B583" s="71">
        <v>2000</v>
      </c>
      <c r="C583" s="71">
        <v>70</v>
      </c>
    </row>
    <row r="584" spans="1:3" ht="15.5" x14ac:dyDescent="0.35">
      <c r="A584" s="71" t="s">
        <v>15</v>
      </c>
      <c r="B584" s="71">
        <v>2001</v>
      </c>
      <c r="C584" s="71">
        <v>70</v>
      </c>
    </row>
    <row r="585" spans="1:3" ht="15.5" x14ac:dyDescent="0.35">
      <c r="A585" s="71" t="s">
        <v>15</v>
      </c>
      <c r="B585" s="71">
        <v>2002</v>
      </c>
      <c r="C585" s="71">
        <v>70</v>
      </c>
    </row>
    <row r="586" spans="1:3" ht="15.5" x14ac:dyDescent="0.35">
      <c r="A586" s="71" t="s">
        <v>15</v>
      </c>
      <c r="B586" s="71">
        <v>2003</v>
      </c>
      <c r="C586" s="71">
        <v>70</v>
      </c>
    </row>
    <row r="587" spans="1:3" ht="15.5" x14ac:dyDescent="0.35">
      <c r="A587" s="71" t="s">
        <v>15</v>
      </c>
      <c r="B587" s="71">
        <v>2004</v>
      </c>
      <c r="C587" s="71">
        <v>70</v>
      </c>
    </row>
    <row r="588" spans="1:3" ht="15.5" x14ac:dyDescent="0.35">
      <c r="A588" s="71" t="s">
        <v>15</v>
      </c>
      <c r="B588" s="71">
        <v>2005</v>
      </c>
      <c r="C588" s="71">
        <v>70</v>
      </c>
    </row>
    <row r="589" spans="1:3" ht="15.5" x14ac:dyDescent="0.35">
      <c r="A589" s="71" t="s">
        <v>15</v>
      </c>
      <c r="B589" s="71">
        <v>2006</v>
      </c>
      <c r="C589" s="71">
        <v>70</v>
      </c>
    </row>
    <row r="590" spans="1:3" ht="15.5" x14ac:dyDescent="0.35">
      <c r="A590" s="71" t="s">
        <v>15</v>
      </c>
      <c r="B590" s="71">
        <v>2007</v>
      </c>
      <c r="C590" s="71">
        <v>70</v>
      </c>
    </row>
    <row r="591" spans="1:3" ht="15.5" x14ac:dyDescent="0.35">
      <c r="A591" s="71" t="s">
        <v>15</v>
      </c>
      <c r="B591" s="71">
        <v>2008</v>
      </c>
      <c r="C591" s="71">
        <v>70</v>
      </c>
    </row>
    <row r="592" spans="1:3" ht="15.5" x14ac:dyDescent="0.35">
      <c r="A592" s="71" t="s">
        <v>15</v>
      </c>
      <c r="B592" s="71">
        <v>2009</v>
      </c>
      <c r="C592" s="71">
        <v>70</v>
      </c>
    </row>
    <row r="593" spans="1:3" ht="15.5" x14ac:dyDescent="0.35">
      <c r="A593" s="71" t="s">
        <v>15</v>
      </c>
      <c r="B593" s="71">
        <v>2010</v>
      </c>
      <c r="C593" s="71">
        <v>70</v>
      </c>
    </row>
    <row r="594" spans="1:3" ht="15.5" x14ac:dyDescent="0.35">
      <c r="A594" s="71" t="s">
        <v>15</v>
      </c>
      <c r="B594" s="71">
        <v>2011</v>
      </c>
      <c r="C594" s="71">
        <v>70</v>
      </c>
    </row>
    <row r="595" spans="1:3" ht="15.5" x14ac:dyDescent="0.35">
      <c r="A595" s="71" t="s">
        <v>15</v>
      </c>
      <c r="B595" s="71">
        <v>2012</v>
      </c>
      <c r="C595" s="71">
        <v>70</v>
      </c>
    </row>
    <row r="596" spans="1:3" ht="15.5" x14ac:dyDescent="0.35">
      <c r="A596" s="71" t="s">
        <v>15</v>
      </c>
      <c r="B596" s="71">
        <v>2013</v>
      </c>
      <c r="C596" s="71">
        <v>70</v>
      </c>
    </row>
    <row r="597" spans="1:3" ht="15.5" x14ac:dyDescent="0.35">
      <c r="A597" s="71" t="s">
        <v>15</v>
      </c>
      <c r="B597" s="71">
        <v>2014</v>
      </c>
      <c r="C597" s="71">
        <v>70</v>
      </c>
    </row>
    <row r="598" spans="1:3" ht="15.5" x14ac:dyDescent="0.35">
      <c r="A598" s="71" t="s">
        <v>15</v>
      </c>
      <c r="B598" s="71">
        <v>2015</v>
      </c>
      <c r="C598" s="71">
        <v>70</v>
      </c>
    </row>
    <row r="599" spans="1:3" ht="15.5" x14ac:dyDescent="0.35">
      <c r="A599" s="71" t="s">
        <v>15</v>
      </c>
      <c r="B599" s="71">
        <v>2016</v>
      </c>
      <c r="C599" s="71">
        <v>70</v>
      </c>
    </row>
    <row r="600" spans="1:3" ht="15.5" x14ac:dyDescent="0.35">
      <c r="A600" s="71" t="s">
        <v>15</v>
      </c>
      <c r="B600" s="71">
        <v>2017</v>
      </c>
      <c r="C600" s="71">
        <v>70</v>
      </c>
    </row>
    <row r="601" spans="1:3" ht="15.5" x14ac:dyDescent="0.35">
      <c r="A601" s="71" t="s">
        <v>15</v>
      </c>
      <c r="B601" s="71">
        <v>2018</v>
      </c>
      <c r="C601" s="71">
        <v>70</v>
      </c>
    </row>
    <row r="602" spans="1:3" ht="15.5" x14ac:dyDescent="0.35">
      <c r="A602" s="71" t="s">
        <v>15</v>
      </c>
      <c r="B602" s="71">
        <v>2019</v>
      </c>
      <c r="C602" s="71">
        <v>70</v>
      </c>
    </row>
    <row r="603" spans="1:3" ht="15.5" x14ac:dyDescent="0.35">
      <c r="A603" s="71" t="s">
        <v>15</v>
      </c>
      <c r="B603" s="71">
        <v>2020</v>
      </c>
      <c r="C603" s="71">
        <v>70</v>
      </c>
    </row>
    <row r="604" spans="1:3" ht="15.5" x14ac:dyDescent="0.35">
      <c r="A604" s="71" t="s">
        <v>15</v>
      </c>
      <c r="B604" s="71">
        <v>2021</v>
      </c>
      <c r="C604" s="71">
        <v>70</v>
      </c>
    </row>
    <row r="605" spans="1:3" ht="15.5" x14ac:dyDescent="0.35">
      <c r="A605" s="71" t="s">
        <v>15</v>
      </c>
      <c r="B605" s="71">
        <v>2022</v>
      </c>
      <c r="C605" s="71">
        <v>70</v>
      </c>
    </row>
    <row r="606" spans="1:3" ht="15.5" x14ac:dyDescent="0.35">
      <c r="A606" s="71" t="s">
        <v>16</v>
      </c>
      <c r="B606" s="71">
        <v>1980</v>
      </c>
      <c r="C606" s="71">
        <v>70</v>
      </c>
    </row>
    <row r="607" spans="1:3" ht="15.5" x14ac:dyDescent="0.35">
      <c r="A607" s="71" t="s">
        <v>16</v>
      </c>
      <c r="B607" s="71">
        <v>1981</v>
      </c>
      <c r="C607" s="71">
        <v>70</v>
      </c>
    </row>
    <row r="608" spans="1:3" ht="15.5" x14ac:dyDescent="0.35">
      <c r="A608" s="71" t="s">
        <v>16</v>
      </c>
      <c r="B608" s="71">
        <v>1982</v>
      </c>
      <c r="C608" s="71">
        <v>70</v>
      </c>
    </row>
    <row r="609" spans="1:3" ht="15.5" x14ac:dyDescent="0.35">
      <c r="A609" s="71" t="s">
        <v>16</v>
      </c>
      <c r="B609" s="71">
        <v>1983</v>
      </c>
      <c r="C609" s="71">
        <v>70</v>
      </c>
    </row>
    <row r="610" spans="1:3" ht="15.5" x14ac:dyDescent="0.35">
      <c r="A610" s="71" t="s">
        <v>16</v>
      </c>
      <c r="B610" s="71">
        <v>1984</v>
      </c>
      <c r="C610" s="71">
        <v>70</v>
      </c>
    </row>
    <row r="611" spans="1:3" ht="15.5" x14ac:dyDescent="0.35">
      <c r="A611" s="71" t="s">
        <v>16</v>
      </c>
      <c r="B611" s="71">
        <v>1985</v>
      </c>
      <c r="C611" s="71">
        <v>70</v>
      </c>
    </row>
    <row r="612" spans="1:3" ht="15.5" x14ac:dyDescent="0.35">
      <c r="A612" s="71" t="s">
        <v>16</v>
      </c>
      <c r="B612" s="71">
        <v>1986</v>
      </c>
      <c r="C612" s="71">
        <v>70</v>
      </c>
    </row>
    <row r="613" spans="1:3" ht="15.5" x14ac:dyDescent="0.35">
      <c r="A613" s="71" t="s">
        <v>16</v>
      </c>
      <c r="B613" s="71">
        <v>1987</v>
      </c>
      <c r="C613" s="71">
        <v>70</v>
      </c>
    </row>
    <row r="614" spans="1:3" ht="15.5" x14ac:dyDescent="0.35">
      <c r="A614" s="71" t="s">
        <v>16</v>
      </c>
      <c r="B614" s="71">
        <v>1988</v>
      </c>
      <c r="C614" s="71">
        <v>70</v>
      </c>
    </row>
    <row r="615" spans="1:3" ht="15.5" x14ac:dyDescent="0.35">
      <c r="A615" s="71" t="s">
        <v>16</v>
      </c>
      <c r="B615" s="71">
        <v>1989</v>
      </c>
      <c r="C615" s="71">
        <v>70</v>
      </c>
    </row>
    <row r="616" spans="1:3" ht="15.5" x14ac:dyDescent="0.35">
      <c r="A616" s="71" t="s">
        <v>16</v>
      </c>
      <c r="B616" s="71">
        <v>1990</v>
      </c>
      <c r="C616" s="71">
        <v>70</v>
      </c>
    </row>
    <row r="617" spans="1:3" ht="15.5" x14ac:dyDescent="0.35">
      <c r="A617" s="71" t="s">
        <v>16</v>
      </c>
      <c r="B617" s="71">
        <v>1991</v>
      </c>
      <c r="C617" s="71">
        <v>70</v>
      </c>
    </row>
    <row r="618" spans="1:3" ht="15.5" x14ac:dyDescent="0.35">
      <c r="A618" s="71" t="s">
        <v>16</v>
      </c>
      <c r="B618" s="71">
        <v>1992</v>
      </c>
      <c r="C618" s="71">
        <v>70</v>
      </c>
    </row>
    <row r="619" spans="1:3" ht="15.5" x14ac:dyDescent="0.35">
      <c r="A619" s="71" t="s">
        <v>16</v>
      </c>
      <c r="B619" s="71">
        <v>1993</v>
      </c>
      <c r="C619" s="71">
        <v>70</v>
      </c>
    </row>
    <row r="620" spans="1:3" ht="15.5" x14ac:dyDescent="0.35">
      <c r="A620" s="71" t="s">
        <v>16</v>
      </c>
      <c r="B620" s="71">
        <v>1994</v>
      </c>
      <c r="C620" s="71">
        <v>70</v>
      </c>
    </row>
    <row r="621" spans="1:3" ht="15.5" x14ac:dyDescent="0.35">
      <c r="A621" s="71" t="s">
        <v>16</v>
      </c>
      <c r="B621" s="71">
        <v>1995</v>
      </c>
      <c r="C621" s="71">
        <v>70</v>
      </c>
    </row>
    <row r="622" spans="1:3" ht="15.5" x14ac:dyDescent="0.35">
      <c r="A622" s="71" t="s">
        <v>16</v>
      </c>
      <c r="B622" s="71">
        <v>1996</v>
      </c>
      <c r="C622" s="71">
        <v>70</v>
      </c>
    </row>
    <row r="623" spans="1:3" ht="15.5" x14ac:dyDescent="0.35">
      <c r="A623" s="71" t="s">
        <v>16</v>
      </c>
      <c r="B623" s="71">
        <v>1997</v>
      </c>
      <c r="C623" s="71">
        <v>70</v>
      </c>
    </row>
    <row r="624" spans="1:3" ht="15.5" x14ac:dyDescent="0.35">
      <c r="A624" s="71" t="s">
        <v>16</v>
      </c>
      <c r="B624" s="71">
        <v>1998</v>
      </c>
      <c r="C624" s="71">
        <v>70</v>
      </c>
    </row>
    <row r="625" spans="1:3" ht="15.5" x14ac:dyDescent="0.35">
      <c r="A625" s="71" t="s">
        <v>16</v>
      </c>
      <c r="B625" s="71">
        <v>1999</v>
      </c>
      <c r="C625" s="71">
        <v>70</v>
      </c>
    </row>
    <row r="626" spans="1:3" ht="15.5" x14ac:dyDescent="0.35">
      <c r="A626" s="71" t="s">
        <v>16</v>
      </c>
      <c r="B626" s="71">
        <v>2000</v>
      </c>
      <c r="C626" s="71">
        <v>70</v>
      </c>
    </row>
    <row r="627" spans="1:3" ht="15.5" x14ac:dyDescent="0.35">
      <c r="A627" s="71" t="s">
        <v>16</v>
      </c>
      <c r="B627" s="71">
        <v>2001</v>
      </c>
      <c r="C627" s="71">
        <v>70</v>
      </c>
    </row>
    <row r="628" spans="1:3" ht="15.5" x14ac:dyDescent="0.35">
      <c r="A628" s="71" t="s">
        <v>16</v>
      </c>
      <c r="B628" s="71">
        <v>2002</v>
      </c>
      <c r="C628" s="71">
        <v>70</v>
      </c>
    </row>
    <row r="629" spans="1:3" ht="15.5" x14ac:dyDescent="0.35">
      <c r="A629" s="71" t="s">
        <v>16</v>
      </c>
      <c r="B629" s="71">
        <v>2003</v>
      </c>
      <c r="C629" s="71">
        <v>70</v>
      </c>
    </row>
    <row r="630" spans="1:3" ht="15.5" x14ac:dyDescent="0.35">
      <c r="A630" s="71" t="s">
        <v>16</v>
      </c>
      <c r="B630" s="71">
        <v>2004</v>
      </c>
      <c r="C630" s="71">
        <v>70</v>
      </c>
    </row>
    <row r="631" spans="1:3" ht="15.5" x14ac:dyDescent="0.35">
      <c r="A631" s="71" t="s">
        <v>16</v>
      </c>
      <c r="B631" s="71">
        <v>2005</v>
      </c>
      <c r="C631" s="71">
        <v>70</v>
      </c>
    </row>
    <row r="632" spans="1:3" ht="15.5" x14ac:dyDescent="0.35">
      <c r="A632" s="71" t="s">
        <v>16</v>
      </c>
      <c r="B632" s="71">
        <v>2006</v>
      </c>
      <c r="C632" s="71">
        <v>70</v>
      </c>
    </row>
    <row r="633" spans="1:3" ht="15.5" x14ac:dyDescent="0.35">
      <c r="A633" s="71" t="s">
        <v>16</v>
      </c>
      <c r="B633" s="71">
        <v>2007</v>
      </c>
      <c r="C633" s="71">
        <v>70</v>
      </c>
    </row>
    <row r="634" spans="1:3" ht="15.5" x14ac:dyDescent="0.35">
      <c r="A634" s="71" t="s">
        <v>16</v>
      </c>
      <c r="B634" s="71">
        <v>2008</v>
      </c>
      <c r="C634" s="71">
        <v>70</v>
      </c>
    </row>
    <row r="635" spans="1:3" ht="15.5" x14ac:dyDescent="0.35">
      <c r="A635" s="71" t="s">
        <v>16</v>
      </c>
      <c r="B635" s="71">
        <v>2009</v>
      </c>
      <c r="C635" s="71">
        <v>70</v>
      </c>
    </row>
    <row r="636" spans="1:3" ht="15.5" x14ac:dyDescent="0.35">
      <c r="A636" s="71" t="s">
        <v>16</v>
      </c>
      <c r="B636" s="71">
        <v>2010</v>
      </c>
      <c r="C636" s="71">
        <v>70</v>
      </c>
    </row>
    <row r="637" spans="1:3" ht="15.5" x14ac:dyDescent="0.35">
      <c r="A637" s="71" t="s">
        <v>16</v>
      </c>
      <c r="B637" s="71">
        <v>2011</v>
      </c>
      <c r="C637" s="71">
        <v>70</v>
      </c>
    </row>
    <row r="638" spans="1:3" ht="15.5" x14ac:dyDescent="0.35">
      <c r="A638" s="71" t="s">
        <v>16</v>
      </c>
      <c r="B638" s="71">
        <v>2012</v>
      </c>
      <c r="C638" s="71">
        <v>70</v>
      </c>
    </row>
    <row r="639" spans="1:3" ht="15.5" x14ac:dyDescent="0.35">
      <c r="A639" s="71" t="s">
        <v>16</v>
      </c>
      <c r="B639" s="71">
        <v>2013</v>
      </c>
      <c r="C639" s="71">
        <v>70</v>
      </c>
    </row>
    <row r="640" spans="1:3" ht="15.5" x14ac:dyDescent="0.35">
      <c r="A640" s="71" t="s">
        <v>16</v>
      </c>
      <c r="B640" s="71">
        <v>2014</v>
      </c>
      <c r="C640" s="71">
        <v>70</v>
      </c>
    </row>
    <row r="641" spans="1:3" ht="15.5" x14ac:dyDescent="0.35">
      <c r="A641" s="71" t="s">
        <v>16</v>
      </c>
      <c r="B641" s="71">
        <v>2015</v>
      </c>
      <c r="C641" s="71">
        <v>70</v>
      </c>
    </row>
    <row r="642" spans="1:3" ht="15.5" x14ac:dyDescent="0.35">
      <c r="A642" s="71" t="s">
        <v>16</v>
      </c>
      <c r="B642" s="71">
        <v>2016</v>
      </c>
      <c r="C642" s="71">
        <v>70</v>
      </c>
    </row>
    <row r="643" spans="1:3" ht="15.5" x14ac:dyDescent="0.35">
      <c r="A643" s="71" t="s">
        <v>16</v>
      </c>
      <c r="B643" s="71">
        <v>2017</v>
      </c>
      <c r="C643" s="71">
        <v>70</v>
      </c>
    </row>
    <row r="644" spans="1:3" ht="15.5" x14ac:dyDescent="0.35">
      <c r="A644" s="71" t="s">
        <v>16</v>
      </c>
      <c r="B644" s="71">
        <v>2018</v>
      </c>
      <c r="C644" s="71">
        <v>70</v>
      </c>
    </row>
    <row r="645" spans="1:3" ht="15.5" x14ac:dyDescent="0.35">
      <c r="A645" s="71" t="s">
        <v>16</v>
      </c>
      <c r="B645" s="71">
        <v>2019</v>
      </c>
      <c r="C645" s="71">
        <v>70</v>
      </c>
    </row>
    <row r="646" spans="1:3" ht="15.5" x14ac:dyDescent="0.35">
      <c r="A646" s="71" t="s">
        <v>16</v>
      </c>
      <c r="B646" s="71">
        <v>2020</v>
      </c>
      <c r="C646" s="71">
        <v>70</v>
      </c>
    </row>
    <row r="647" spans="1:3" ht="15.5" x14ac:dyDescent="0.35">
      <c r="A647" s="71" t="s">
        <v>16</v>
      </c>
      <c r="B647" s="71">
        <v>2021</v>
      </c>
      <c r="C647" s="71">
        <v>70</v>
      </c>
    </row>
    <row r="648" spans="1:3" ht="15.5" x14ac:dyDescent="0.35">
      <c r="A648" s="71" t="s">
        <v>16</v>
      </c>
      <c r="B648" s="71">
        <v>2022</v>
      </c>
      <c r="C648" s="71">
        <v>70</v>
      </c>
    </row>
    <row r="649" spans="1:3" ht="15.5" x14ac:dyDescent="0.35">
      <c r="A649" s="71" t="s">
        <v>17</v>
      </c>
      <c r="B649" s="71">
        <v>1980</v>
      </c>
      <c r="C649" s="71">
        <v>70</v>
      </c>
    </row>
    <row r="650" spans="1:3" ht="15.5" x14ac:dyDescent="0.35">
      <c r="A650" s="71" t="s">
        <v>17</v>
      </c>
      <c r="B650" s="71">
        <v>1981</v>
      </c>
      <c r="C650" s="71">
        <v>70</v>
      </c>
    </row>
    <row r="651" spans="1:3" ht="15.5" x14ac:dyDescent="0.35">
      <c r="A651" s="71" t="s">
        <v>17</v>
      </c>
      <c r="B651" s="71">
        <v>1982</v>
      </c>
      <c r="C651" s="71">
        <v>70</v>
      </c>
    </row>
    <row r="652" spans="1:3" ht="15.5" x14ac:dyDescent="0.35">
      <c r="A652" s="71" t="s">
        <v>17</v>
      </c>
      <c r="B652" s="71">
        <v>1983</v>
      </c>
      <c r="C652" s="71">
        <v>70</v>
      </c>
    </row>
    <row r="653" spans="1:3" ht="15.5" x14ac:dyDescent="0.35">
      <c r="A653" s="71" t="s">
        <v>17</v>
      </c>
      <c r="B653" s="71">
        <v>1984</v>
      </c>
      <c r="C653" s="71">
        <v>70</v>
      </c>
    </row>
    <row r="654" spans="1:3" ht="15.5" x14ac:dyDescent="0.35">
      <c r="A654" s="71" t="s">
        <v>17</v>
      </c>
      <c r="B654" s="71">
        <v>1985</v>
      </c>
      <c r="C654" s="71">
        <v>70</v>
      </c>
    </row>
    <row r="655" spans="1:3" ht="15.5" x14ac:dyDescent="0.35">
      <c r="A655" s="71" t="s">
        <v>17</v>
      </c>
      <c r="B655" s="71">
        <v>1986</v>
      </c>
      <c r="C655" s="71">
        <v>70</v>
      </c>
    </row>
    <row r="656" spans="1:3" ht="15.5" x14ac:dyDescent="0.35">
      <c r="A656" s="71" t="s">
        <v>17</v>
      </c>
      <c r="B656" s="71">
        <v>1987</v>
      </c>
      <c r="C656" s="71">
        <v>70</v>
      </c>
    </row>
    <row r="657" spans="1:3" ht="15.5" x14ac:dyDescent="0.35">
      <c r="A657" s="71" t="s">
        <v>17</v>
      </c>
      <c r="B657" s="71">
        <v>1988</v>
      </c>
      <c r="C657" s="71">
        <v>70</v>
      </c>
    </row>
    <row r="658" spans="1:3" ht="15.5" x14ac:dyDescent="0.35">
      <c r="A658" s="71" t="s">
        <v>17</v>
      </c>
      <c r="B658" s="71">
        <v>1989</v>
      </c>
      <c r="C658" s="71">
        <v>70</v>
      </c>
    </row>
    <row r="659" spans="1:3" ht="15.5" x14ac:dyDescent="0.35">
      <c r="A659" s="71" t="s">
        <v>17</v>
      </c>
      <c r="B659" s="71">
        <v>1990</v>
      </c>
      <c r="C659" s="71">
        <v>70</v>
      </c>
    </row>
    <row r="660" spans="1:3" ht="15.5" x14ac:dyDescent="0.35">
      <c r="A660" s="71" t="s">
        <v>17</v>
      </c>
      <c r="B660" s="71">
        <v>1991</v>
      </c>
      <c r="C660" s="71">
        <v>70</v>
      </c>
    </row>
    <row r="661" spans="1:3" ht="15.5" x14ac:dyDescent="0.35">
      <c r="A661" s="71" t="s">
        <v>17</v>
      </c>
      <c r="B661" s="71">
        <v>1992</v>
      </c>
      <c r="C661" s="71">
        <v>70</v>
      </c>
    </row>
    <row r="662" spans="1:3" ht="15.5" x14ac:dyDescent="0.35">
      <c r="A662" s="71" t="s">
        <v>17</v>
      </c>
      <c r="B662" s="71">
        <v>1993</v>
      </c>
      <c r="C662" s="71">
        <v>70</v>
      </c>
    </row>
    <row r="663" spans="1:3" ht="15.5" x14ac:dyDescent="0.35">
      <c r="A663" s="71" t="s">
        <v>17</v>
      </c>
      <c r="B663" s="71">
        <v>1994</v>
      </c>
      <c r="C663" s="71">
        <v>70</v>
      </c>
    </row>
    <row r="664" spans="1:3" ht="15.5" x14ac:dyDescent="0.35">
      <c r="A664" s="71" t="s">
        <v>17</v>
      </c>
      <c r="B664" s="71">
        <v>1995</v>
      </c>
      <c r="C664" s="71">
        <v>70</v>
      </c>
    </row>
    <row r="665" spans="1:3" ht="15.5" x14ac:dyDescent="0.35">
      <c r="A665" s="71" t="s">
        <v>17</v>
      </c>
      <c r="B665" s="71">
        <v>1996</v>
      </c>
      <c r="C665" s="71">
        <v>70</v>
      </c>
    </row>
    <row r="666" spans="1:3" ht="15.5" x14ac:dyDescent="0.35">
      <c r="A666" s="71" t="s">
        <v>17</v>
      </c>
      <c r="B666" s="71">
        <v>1997</v>
      </c>
      <c r="C666" s="71">
        <v>70</v>
      </c>
    </row>
    <row r="667" spans="1:3" ht="15.5" x14ac:dyDescent="0.35">
      <c r="A667" s="71" t="s">
        <v>17</v>
      </c>
      <c r="B667" s="71">
        <v>1998</v>
      </c>
      <c r="C667" s="71">
        <v>70</v>
      </c>
    </row>
    <row r="668" spans="1:3" ht="15.5" x14ac:dyDescent="0.35">
      <c r="A668" s="71" t="s">
        <v>17</v>
      </c>
      <c r="B668" s="71">
        <v>1999</v>
      </c>
      <c r="C668" s="71">
        <v>70</v>
      </c>
    </row>
    <row r="669" spans="1:3" ht="15.5" x14ac:dyDescent="0.35">
      <c r="A669" s="71" t="s">
        <v>17</v>
      </c>
      <c r="B669" s="71">
        <v>2000</v>
      </c>
      <c r="C669" s="71">
        <v>70</v>
      </c>
    </row>
    <row r="670" spans="1:3" ht="15.5" x14ac:dyDescent="0.35">
      <c r="A670" s="71" t="s">
        <v>17</v>
      </c>
      <c r="B670" s="71">
        <v>2001</v>
      </c>
      <c r="C670" s="71">
        <v>70</v>
      </c>
    </row>
    <row r="671" spans="1:3" ht="15.5" x14ac:dyDescent="0.35">
      <c r="A671" s="71" t="s">
        <v>17</v>
      </c>
      <c r="B671" s="71">
        <v>2002</v>
      </c>
      <c r="C671" s="71">
        <v>70</v>
      </c>
    </row>
    <row r="672" spans="1:3" ht="15.5" x14ac:dyDescent="0.35">
      <c r="A672" s="71" t="s">
        <v>17</v>
      </c>
      <c r="B672" s="71">
        <v>2003</v>
      </c>
      <c r="C672" s="71">
        <v>70</v>
      </c>
    </row>
    <row r="673" spans="1:3" ht="15.5" x14ac:dyDescent="0.35">
      <c r="A673" s="71" t="s">
        <v>17</v>
      </c>
      <c r="B673" s="71">
        <v>2004</v>
      </c>
      <c r="C673" s="71">
        <v>70</v>
      </c>
    </row>
    <row r="674" spans="1:3" ht="15.5" x14ac:dyDescent="0.35">
      <c r="A674" s="71" t="s">
        <v>17</v>
      </c>
      <c r="B674" s="71">
        <v>2005</v>
      </c>
      <c r="C674" s="71">
        <v>70</v>
      </c>
    </row>
    <row r="675" spans="1:3" ht="15.5" x14ac:dyDescent="0.35">
      <c r="A675" s="71" t="s">
        <v>17</v>
      </c>
      <c r="B675" s="71">
        <v>2006</v>
      </c>
      <c r="C675" s="71">
        <v>70</v>
      </c>
    </row>
    <row r="676" spans="1:3" ht="15.5" x14ac:dyDescent="0.35">
      <c r="A676" s="71" t="s">
        <v>17</v>
      </c>
      <c r="B676" s="71">
        <v>2007</v>
      </c>
      <c r="C676" s="71">
        <v>70</v>
      </c>
    </row>
    <row r="677" spans="1:3" ht="15.5" x14ac:dyDescent="0.35">
      <c r="A677" s="71" t="s">
        <v>17</v>
      </c>
      <c r="B677" s="71">
        <v>2008</v>
      </c>
      <c r="C677" s="71">
        <v>70</v>
      </c>
    </row>
    <row r="678" spans="1:3" ht="15.5" x14ac:dyDescent="0.35">
      <c r="A678" s="71" t="s">
        <v>17</v>
      </c>
      <c r="B678" s="71">
        <v>2009</v>
      </c>
      <c r="C678" s="71">
        <v>70</v>
      </c>
    </row>
    <row r="679" spans="1:3" ht="15.5" x14ac:dyDescent="0.35">
      <c r="A679" s="71" t="s">
        <v>17</v>
      </c>
      <c r="B679" s="71">
        <v>2010</v>
      </c>
      <c r="C679" s="71">
        <v>70</v>
      </c>
    </row>
    <row r="680" spans="1:3" ht="15.5" x14ac:dyDescent="0.35">
      <c r="A680" s="71" t="s">
        <v>17</v>
      </c>
      <c r="B680" s="71">
        <v>2011</v>
      </c>
      <c r="C680" s="71">
        <v>70</v>
      </c>
    </row>
    <row r="681" spans="1:3" ht="15.5" x14ac:dyDescent="0.35">
      <c r="A681" s="71" t="s">
        <v>17</v>
      </c>
      <c r="B681" s="71">
        <v>2012</v>
      </c>
      <c r="C681" s="71">
        <v>70</v>
      </c>
    </row>
    <row r="682" spans="1:3" ht="15.5" x14ac:dyDescent="0.35">
      <c r="A682" s="71" t="s">
        <v>17</v>
      </c>
      <c r="B682" s="71">
        <v>2013</v>
      </c>
      <c r="C682" s="71">
        <v>70</v>
      </c>
    </row>
    <row r="683" spans="1:3" ht="15.5" x14ac:dyDescent="0.35">
      <c r="A683" s="71" t="s">
        <v>17</v>
      </c>
      <c r="B683" s="71">
        <v>2014</v>
      </c>
      <c r="C683" s="71">
        <v>70</v>
      </c>
    </row>
    <row r="684" spans="1:3" ht="15.5" x14ac:dyDescent="0.35">
      <c r="A684" s="71" t="s">
        <v>17</v>
      </c>
      <c r="B684" s="71">
        <v>2015</v>
      </c>
      <c r="C684" s="71">
        <v>70</v>
      </c>
    </row>
    <row r="685" spans="1:3" ht="15.5" x14ac:dyDescent="0.35">
      <c r="A685" s="71" t="s">
        <v>17</v>
      </c>
      <c r="B685" s="71">
        <v>2016</v>
      </c>
      <c r="C685" s="71">
        <v>70</v>
      </c>
    </row>
    <row r="686" spans="1:3" ht="15.5" x14ac:dyDescent="0.35">
      <c r="A686" s="71" t="s">
        <v>17</v>
      </c>
      <c r="B686" s="71">
        <v>2017</v>
      </c>
      <c r="C686" s="71">
        <v>70</v>
      </c>
    </row>
    <row r="687" spans="1:3" ht="15.5" x14ac:dyDescent="0.35">
      <c r="A687" s="71" t="s">
        <v>17</v>
      </c>
      <c r="B687" s="71">
        <v>2018</v>
      </c>
      <c r="C687" s="71">
        <v>70</v>
      </c>
    </row>
    <row r="688" spans="1:3" ht="15.5" x14ac:dyDescent="0.35">
      <c r="A688" s="71" t="s">
        <v>17</v>
      </c>
      <c r="B688" s="71">
        <v>2019</v>
      </c>
      <c r="C688" s="71">
        <v>70</v>
      </c>
    </row>
    <row r="689" spans="1:3" ht="15.5" x14ac:dyDescent="0.35">
      <c r="A689" s="71" t="s">
        <v>17</v>
      </c>
      <c r="B689" s="71">
        <v>2020</v>
      </c>
      <c r="C689" s="71">
        <v>70</v>
      </c>
    </row>
    <row r="690" spans="1:3" ht="15.5" x14ac:dyDescent="0.35">
      <c r="A690" s="71" t="s">
        <v>17</v>
      </c>
      <c r="B690" s="71">
        <v>2021</v>
      </c>
      <c r="C690" s="71">
        <v>70</v>
      </c>
    </row>
    <row r="691" spans="1:3" ht="15.5" x14ac:dyDescent="0.35">
      <c r="A691" s="71" t="s">
        <v>17</v>
      </c>
      <c r="B691" s="71">
        <v>2022</v>
      </c>
      <c r="C691" s="71">
        <v>70</v>
      </c>
    </row>
    <row r="692" spans="1:3" ht="15.5" x14ac:dyDescent="0.35">
      <c r="A692" s="71" t="s">
        <v>18</v>
      </c>
      <c r="B692" s="71">
        <v>1980</v>
      </c>
      <c r="C692" s="71">
        <v>70</v>
      </c>
    </row>
    <row r="693" spans="1:3" ht="15.5" x14ac:dyDescent="0.35">
      <c r="A693" s="71" t="s">
        <v>18</v>
      </c>
      <c r="B693" s="71">
        <v>1981</v>
      </c>
      <c r="C693" s="71">
        <v>70</v>
      </c>
    </row>
    <row r="694" spans="1:3" ht="15.5" x14ac:dyDescent="0.35">
      <c r="A694" s="71" t="s">
        <v>18</v>
      </c>
      <c r="B694" s="71">
        <v>1982</v>
      </c>
      <c r="C694" s="71">
        <v>70</v>
      </c>
    </row>
    <row r="695" spans="1:3" ht="15.5" x14ac:dyDescent="0.35">
      <c r="A695" s="71" t="s">
        <v>18</v>
      </c>
      <c r="B695" s="71">
        <v>1983</v>
      </c>
      <c r="C695" s="71">
        <v>70</v>
      </c>
    </row>
    <row r="696" spans="1:3" ht="15.5" x14ac:dyDescent="0.35">
      <c r="A696" s="71" t="s">
        <v>18</v>
      </c>
      <c r="B696" s="71">
        <v>1984</v>
      </c>
      <c r="C696" s="71">
        <v>70</v>
      </c>
    </row>
    <row r="697" spans="1:3" ht="15.5" x14ac:dyDescent="0.35">
      <c r="A697" s="71" t="s">
        <v>18</v>
      </c>
      <c r="B697" s="71">
        <v>1985</v>
      </c>
      <c r="C697" s="71">
        <v>70</v>
      </c>
    </row>
    <row r="698" spans="1:3" ht="15.5" x14ac:dyDescent="0.35">
      <c r="A698" s="71" t="s">
        <v>18</v>
      </c>
      <c r="B698" s="71">
        <v>1986</v>
      </c>
      <c r="C698" s="71">
        <v>70</v>
      </c>
    </row>
    <row r="699" spans="1:3" ht="15.5" x14ac:dyDescent="0.35">
      <c r="A699" s="71" t="s">
        <v>18</v>
      </c>
      <c r="B699" s="71">
        <v>1987</v>
      </c>
      <c r="C699" s="71">
        <v>70</v>
      </c>
    </row>
    <row r="700" spans="1:3" ht="15.5" x14ac:dyDescent="0.35">
      <c r="A700" s="71" t="s">
        <v>18</v>
      </c>
      <c r="B700" s="71">
        <v>1988</v>
      </c>
      <c r="C700" s="71">
        <v>70</v>
      </c>
    </row>
    <row r="701" spans="1:3" ht="15.5" x14ac:dyDescent="0.35">
      <c r="A701" s="71" t="s">
        <v>18</v>
      </c>
      <c r="B701" s="71">
        <v>1989</v>
      </c>
      <c r="C701" s="71">
        <v>70</v>
      </c>
    </row>
    <row r="702" spans="1:3" ht="15.5" x14ac:dyDescent="0.35">
      <c r="A702" s="71" t="s">
        <v>18</v>
      </c>
      <c r="B702" s="71">
        <v>1990</v>
      </c>
      <c r="C702" s="71">
        <v>70</v>
      </c>
    </row>
    <row r="703" spans="1:3" ht="15.5" x14ac:dyDescent="0.35">
      <c r="A703" s="71" t="s">
        <v>18</v>
      </c>
      <c r="B703" s="71">
        <v>1991</v>
      </c>
      <c r="C703" s="71">
        <v>70</v>
      </c>
    </row>
    <row r="704" spans="1:3" ht="15.5" x14ac:dyDescent="0.35">
      <c r="A704" s="71" t="s">
        <v>18</v>
      </c>
      <c r="B704" s="71">
        <v>1992</v>
      </c>
      <c r="C704" s="71">
        <v>70</v>
      </c>
    </row>
    <row r="705" spans="1:3" ht="15.5" x14ac:dyDescent="0.35">
      <c r="A705" s="71" t="s">
        <v>18</v>
      </c>
      <c r="B705" s="71">
        <v>1993</v>
      </c>
      <c r="C705" s="71">
        <v>70</v>
      </c>
    </row>
    <row r="706" spans="1:3" ht="15.5" x14ac:dyDescent="0.35">
      <c r="A706" s="71" t="s">
        <v>18</v>
      </c>
      <c r="B706" s="71">
        <v>1994</v>
      </c>
      <c r="C706" s="71">
        <v>70</v>
      </c>
    </row>
    <row r="707" spans="1:3" ht="15.5" x14ac:dyDescent="0.35">
      <c r="A707" s="71" t="s">
        <v>18</v>
      </c>
      <c r="B707" s="71">
        <v>1995</v>
      </c>
      <c r="C707" s="71">
        <v>70</v>
      </c>
    </row>
    <row r="708" spans="1:3" ht="15.5" x14ac:dyDescent="0.35">
      <c r="A708" s="71" t="s">
        <v>18</v>
      </c>
      <c r="B708" s="71">
        <v>1996</v>
      </c>
      <c r="C708" s="71">
        <v>70</v>
      </c>
    </row>
    <row r="709" spans="1:3" ht="15.5" x14ac:dyDescent="0.35">
      <c r="A709" s="71" t="s">
        <v>18</v>
      </c>
      <c r="B709" s="71">
        <v>1997</v>
      </c>
      <c r="C709" s="71">
        <v>70</v>
      </c>
    </row>
    <row r="710" spans="1:3" ht="15.5" x14ac:dyDescent="0.35">
      <c r="A710" s="71" t="s">
        <v>18</v>
      </c>
      <c r="B710" s="71">
        <v>1998</v>
      </c>
      <c r="C710" s="71">
        <v>70</v>
      </c>
    </row>
    <row r="711" spans="1:3" ht="15.5" x14ac:dyDescent="0.35">
      <c r="A711" s="71" t="s">
        <v>18</v>
      </c>
      <c r="B711" s="71">
        <v>1999</v>
      </c>
      <c r="C711" s="71">
        <v>70</v>
      </c>
    </row>
    <row r="712" spans="1:3" ht="15.5" x14ac:dyDescent="0.35">
      <c r="A712" s="71" t="s">
        <v>18</v>
      </c>
      <c r="B712" s="71">
        <v>2000</v>
      </c>
      <c r="C712" s="71">
        <v>70</v>
      </c>
    </row>
    <row r="713" spans="1:3" ht="15.5" x14ac:dyDescent="0.35">
      <c r="A713" s="71" t="s">
        <v>18</v>
      </c>
      <c r="B713" s="71">
        <v>2001</v>
      </c>
      <c r="C713" s="71">
        <v>70</v>
      </c>
    </row>
    <row r="714" spans="1:3" ht="15.5" x14ac:dyDescent="0.35">
      <c r="A714" s="71" t="s">
        <v>18</v>
      </c>
      <c r="B714" s="71">
        <v>2002</v>
      </c>
      <c r="C714" s="71">
        <v>70</v>
      </c>
    </row>
    <row r="715" spans="1:3" ht="15.5" x14ac:dyDescent="0.35">
      <c r="A715" s="71" t="s">
        <v>18</v>
      </c>
      <c r="B715" s="71">
        <v>2003</v>
      </c>
      <c r="C715" s="71">
        <v>70</v>
      </c>
    </row>
    <row r="716" spans="1:3" ht="15.5" x14ac:dyDescent="0.35">
      <c r="A716" s="71" t="s">
        <v>18</v>
      </c>
      <c r="B716" s="71">
        <v>2004</v>
      </c>
      <c r="C716" s="71">
        <v>70</v>
      </c>
    </row>
    <row r="717" spans="1:3" ht="15.5" x14ac:dyDescent="0.35">
      <c r="A717" s="71" t="s">
        <v>18</v>
      </c>
      <c r="B717" s="71">
        <v>2005</v>
      </c>
      <c r="C717" s="71">
        <v>70</v>
      </c>
    </row>
    <row r="718" spans="1:3" ht="15.5" x14ac:dyDescent="0.35">
      <c r="A718" s="71" t="s">
        <v>18</v>
      </c>
      <c r="B718" s="71">
        <v>2006</v>
      </c>
      <c r="C718" s="71">
        <v>70</v>
      </c>
    </row>
    <row r="719" spans="1:3" ht="15.5" x14ac:dyDescent="0.35">
      <c r="A719" s="71" t="s">
        <v>18</v>
      </c>
      <c r="B719" s="71">
        <v>2007</v>
      </c>
      <c r="C719" s="71">
        <v>70</v>
      </c>
    </row>
    <row r="720" spans="1:3" ht="15.5" x14ac:dyDescent="0.35">
      <c r="A720" s="71" t="s">
        <v>18</v>
      </c>
      <c r="B720" s="71">
        <v>2008</v>
      </c>
      <c r="C720" s="71">
        <v>70</v>
      </c>
    </row>
    <row r="721" spans="1:3" ht="15.5" x14ac:dyDescent="0.35">
      <c r="A721" s="71" t="s">
        <v>18</v>
      </c>
      <c r="B721" s="71">
        <v>2009</v>
      </c>
      <c r="C721" s="71">
        <v>70</v>
      </c>
    </row>
    <row r="722" spans="1:3" ht="15.5" x14ac:dyDescent="0.35">
      <c r="A722" s="71" t="s">
        <v>18</v>
      </c>
      <c r="B722" s="71">
        <v>2010</v>
      </c>
      <c r="C722" s="71">
        <v>70</v>
      </c>
    </row>
    <row r="723" spans="1:3" ht="15.5" x14ac:dyDescent="0.35">
      <c r="A723" s="71" t="s">
        <v>18</v>
      </c>
      <c r="B723" s="71">
        <v>2011</v>
      </c>
      <c r="C723" s="71">
        <v>70</v>
      </c>
    </row>
    <row r="724" spans="1:3" ht="15.5" x14ac:dyDescent="0.35">
      <c r="A724" s="71" t="s">
        <v>18</v>
      </c>
      <c r="B724" s="71">
        <v>2012</v>
      </c>
      <c r="C724" s="71">
        <v>70</v>
      </c>
    </row>
    <row r="725" spans="1:3" ht="15.5" x14ac:dyDescent="0.35">
      <c r="A725" s="71" t="s">
        <v>18</v>
      </c>
      <c r="B725" s="71">
        <v>2013</v>
      </c>
      <c r="C725" s="71">
        <v>70</v>
      </c>
    </row>
    <row r="726" spans="1:3" ht="15.5" x14ac:dyDescent="0.35">
      <c r="A726" s="71" t="s">
        <v>18</v>
      </c>
      <c r="B726" s="71">
        <v>2014</v>
      </c>
      <c r="C726" s="71">
        <v>70</v>
      </c>
    </row>
    <row r="727" spans="1:3" ht="15.5" x14ac:dyDescent="0.35">
      <c r="A727" s="71" t="s">
        <v>18</v>
      </c>
      <c r="B727" s="71">
        <v>2015</v>
      </c>
      <c r="C727" s="71">
        <v>70</v>
      </c>
    </row>
    <row r="728" spans="1:3" ht="15.5" x14ac:dyDescent="0.35">
      <c r="A728" s="71" t="s">
        <v>18</v>
      </c>
      <c r="B728" s="71">
        <v>2016</v>
      </c>
      <c r="C728" s="71">
        <v>70</v>
      </c>
    </row>
    <row r="729" spans="1:3" ht="15.5" x14ac:dyDescent="0.35">
      <c r="A729" s="71" t="s">
        <v>18</v>
      </c>
      <c r="B729" s="71">
        <v>2017</v>
      </c>
      <c r="C729" s="71">
        <v>70</v>
      </c>
    </row>
    <row r="730" spans="1:3" ht="15.5" x14ac:dyDescent="0.35">
      <c r="A730" s="71" t="s">
        <v>18</v>
      </c>
      <c r="B730" s="71">
        <v>2018</v>
      </c>
      <c r="C730" s="71">
        <v>70</v>
      </c>
    </row>
    <row r="731" spans="1:3" ht="15.5" x14ac:dyDescent="0.35">
      <c r="A731" s="71" t="s">
        <v>18</v>
      </c>
      <c r="B731" s="71">
        <v>2019</v>
      </c>
      <c r="C731" s="71">
        <v>70</v>
      </c>
    </row>
    <row r="732" spans="1:3" ht="15.5" x14ac:dyDescent="0.35">
      <c r="A732" s="71" t="s">
        <v>18</v>
      </c>
      <c r="B732" s="71">
        <v>2020</v>
      </c>
      <c r="C732" s="71">
        <v>70</v>
      </c>
    </row>
    <row r="733" spans="1:3" ht="15.5" x14ac:dyDescent="0.35">
      <c r="A733" s="71" t="s">
        <v>18</v>
      </c>
      <c r="B733" s="71">
        <v>2021</v>
      </c>
      <c r="C733" s="71">
        <v>70</v>
      </c>
    </row>
    <row r="734" spans="1:3" ht="15.5" x14ac:dyDescent="0.35">
      <c r="A734" s="71" t="s">
        <v>18</v>
      </c>
      <c r="B734" s="71">
        <v>2022</v>
      </c>
      <c r="C734" s="71">
        <v>70</v>
      </c>
    </row>
    <row r="735" spans="1:3" ht="15.5" x14ac:dyDescent="0.35">
      <c r="A735" s="71" t="s">
        <v>19</v>
      </c>
      <c r="B735" s="71">
        <v>1980</v>
      </c>
      <c r="C735" s="71">
        <v>70</v>
      </c>
    </row>
    <row r="736" spans="1:3" ht="15.5" x14ac:dyDescent="0.35">
      <c r="A736" s="71" t="s">
        <v>19</v>
      </c>
      <c r="B736" s="71">
        <v>1981</v>
      </c>
      <c r="C736" s="71">
        <v>70</v>
      </c>
    </row>
    <row r="737" spans="1:3" ht="15.5" x14ac:dyDescent="0.35">
      <c r="A737" s="71" t="s">
        <v>19</v>
      </c>
      <c r="B737" s="71">
        <v>1982</v>
      </c>
      <c r="C737" s="71">
        <v>70</v>
      </c>
    </row>
    <row r="738" spans="1:3" ht="15.5" x14ac:dyDescent="0.35">
      <c r="A738" s="71" t="s">
        <v>19</v>
      </c>
      <c r="B738" s="71">
        <v>1983</v>
      </c>
      <c r="C738" s="71">
        <v>70</v>
      </c>
    </row>
    <row r="739" spans="1:3" ht="15.5" x14ac:dyDescent="0.35">
      <c r="A739" s="71" t="s">
        <v>19</v>
      </c>
      <c r="B739" s="71">
        <v>1984</v>
      </c>
      <c r="C739" s="71">
        <v>70</v>
      </c>
    </row>
    <row r="740" spans="1:3" ht="15.5" x14ac:dyDescent="0.35">
      <c r="A740" s="71" t="s">
        <v>19</v>
      </c>
      <c r="B740" s="71">
        <v>1985</v>
      </c>
      <c r="C740" s="71">
        <v>70</v>
      </c>
    </row>
    <row r="741" spans="1:3" ht="15.5" x14ac:dyDescent="0.35">
      <c r="A741" s="71" t="s">
        <v>19</v>
      </c>
      <c r="B741" s="71">
        <v>1986</v>
      </c>
      <c r="C741" s="71">
        <v>70</v>
      </c>
    </row>
    <row r="742" spans="1:3" ht="15.5" x14ac:dyDescent="0.35">
      <c r="A742" s="71" t="s">
        <v>19</v>
      </c>
      <c r="B742" s="71">
        <v>1987</v>
      </c>
      <c r="C742" s="71">
        <v>70</v>
      </c>
    </row>
    <row r="743" spans="1:3" ht="15.5" x14ac:dyDescent="0.35">
      <c r="A743" s="71" t="s">
        <v>19</v>
      </c>
      <c r="B743" s="71">
        <v>1988</v>
      </c>
      <c r="C743" s="71">
        <v>70</v>
      </c>
    </row>
    <row r="744" spans="1:3" ht="15.5" x14ac:dyDescent="0.35">
      <c r="A744" s="71" t="s">
        <v>19</v>
      </c>
      <c r="B744" s="71">
        <v>1989</v>
      </c>
      <c r="C744" s="71">
        <v>70</v>
      </c>
    </row>
    <row r="745" spans="1:3" ht="15.5" x14ac:dyDescent="0.35">
      <c r="A745" s="71" t="s">
        <v>19</v>
      </c>
      <c r="B745" s="71">
        <v>1990</v>
      </c>
      <c r="C745" s="71">
        <v>70</v>
      </c>
    </row>
    <row r="746" spans="1:3" ht="15.5" x14ac:dyDescent="0.35">
      <c r="A746" s="71" t="s">
        <v>19</v>
      </c>
      <c r="B746" s="71">
        <v>1991</v>
      </c>
      <c r="C746" s="71">
        <v>70</v>
      </c>
    </row>
    <row r="747" spans="1:3" ht="15.5" x14ac:dyDescent="0.35">
      <c r="A747" s="71" t="s">
        <v>19</v>
      </c>
      <c r="B747" s="71">
        <v>1992</v>
      </c>
      <c r="C747" s="71">
        <v>70</v>
      </c>
    </row>
    <row r="748" spans="1:3" ht="15.5" x14ac:dyDescent="0.35">
      <c r="A748" s="71" t="s">
        <v>19</v>
      </c>
      <c r="B748" s="71">
        <v>1993</v>
      </c>
      <c r="C748" s="71">
        <v>70</v>
      </c>
    </row>
    <row r="749" spans="1:3" ht="15.5" x14ac:dyDescent="0.35">
      <c r="A749" s="71" t="s">
        <v>19</v>
      </c>
      <c r="B749" s="71">
        <v>1994</v>
      </c>
      <c r="C749" s="71">
        <v>70</v>
      </c>
    </row>
    <row r="750" spans="1:3" ht="15.5" x14ac:dyDescent="0.35">
      <c r="A750" s="71" t="s">
        <v>19</v>
      </c>
      <c r="B750" s="71">
        <v>1995</v>
      </c>
      <c r="C750" s="71">
        <v>70</v>
      </c>
    </row>
    <row r="751" spans="1:3" ht="15.5" x14ac:dyDescent="0.35">
      <c r="A751" s="71" t="s">
        <v>19</v>
      </c>
      <c r="B751" s="71">
        <v>1996</v>
      </c>
      <c r="C751" s="71">
        <v>70</v>
      </c>
    </row>
    <row r="752" spans="1:3" ht="15.5" x14ac:dyDescent="0.35">
      <c r="A752" s="71" t="s">
        <v>19</v>
      </c>
      <c r="B752" s="71">
        <v>1997</v>
      </c>
      <c r="C752" s="71">
        <v>70</v>
      </c>
    </row>
    <row r="753" spans="1:3" ht="15.5" x14ac:dyDescent="0.35">
      <c r="A753" s="71" t="s">
        <v>19</v>
      </c>
      <c r="B753" s="71">
        <v>1998</v>
      </c>
      <c r="C753" s="71">
        <v>70</v>
      </c>
    </row>
    <row r="754" spans="1:3" ht="15.5" x14ac:dyDescent="0.35">
      <c r="A754" s="71" t="s">
        <v>19</v>
      </c>
      <c r="B754" s="71">
        <v>1999</v>
      </c>
      <c r="C754" s="71">
        <v>70</v>
      </c>
    </row>
    <row r="755" spans="1:3" ht="15.5" x14ac:dyDescent="0.35">
      <c r="A755" s="71" t="s">
        <v>19</v>
      </c>
      <c r="B755" s="71">
        <v>2000</v>
      </c>
      <c r="C755" s="71">
        <v>70</v>
      </c>
    </row>
    <row r="756" spans="1:3" ht="15.5" x14ac:dyDescent="0.35">
      <c r="A756" s="71" t="s">
        <v>19</v>
      </c>
      <c r="B756" s="71">
        <v>2001</v>
      </c>
      <c r="C756" s="71">
        <v>70</v>
      </c>
    </row>
    <row r="757" spans="1:3" ht="15.5" x14ac:dyDescent="0.35">
      <c r="A757" s="71" t="s">
        <v>19</v>
      </c>
      <c r="B757" s="71">
        <v>2002</v>
      </c>
      <c r="C757" s="71">
        <v>70</v>
      </c>
    </row>
    <row r="758" spans="1:3" ht="15.5" x14ac:dyDescent="0.35">
      <c r="A758" s="71" t="s">
        <v>19</v>
      </c>
      <c r="B758" s="71">
        <v>2003</v>
      </c>
      <c r="C758" s="71">
        <v>70</v>
      </c>
    </row>
    <row r="759" spans="1:3" ht="15.5" x14ac:dyDescent="0.35">
      <c r="A759" s="71" t="s">
        <v>19</v>
      </c>
      <c r="B759" s="71">
        <v>2004</v>
      </c>
      <c r="C759" s="71">
        <v>70</v>
      </c>
    </row>
    <row r="760" spans="1:3" ht="15.5" x14ac:dyDescent="0.35">
      <c r="A760" s="71" t="s">
        <v>19</v>
      </c>
      <c r="B760" s="71">
        <v>2005</v>
      </c>
      <c r="C760" s="71">
        <v>70</v>
      </c>
    </row>
    <row r="761" spans="1:3" ht="15.5" x14ac:dyDescent="0.35">
      <c r="A761" s="71" t="s">
        <v>19</v>
      </c>
      <c r="B761" s="71">
        <v>2006</v>
      </c>
      <c r="C761" s="71">
        <v>70</v>
      </c>
    </row>
    <row r="762" spans="1:3" ht="15.5" x14ac:dyDescent="0.35">
      <c r="A762" s="71" t="s">
        <v>19</v>
      </c>
      <c r="B762" s="71">
        <v>2007</v>
      </c>
      <c r="C762" s="71">
        <v>70</v>
      </c>
    </row>
    <row r="763" spans="1:3" ht="15.5" x14ac:dyDescent="0.35">
      <c r="A763" s="71" t="s">
        <v>19</v>
      </c>
      <c r="B763" s="71">
        <v>2008</v>
      </c>
      <c r="C763" s="71">
        <v>70</v>
      </c>
    </row>
    <row r="764" spans="1:3" ht="15.5" x14ac:dyDescent="0.35">
      <c r="A764" s="71" t="s">
        <v>19</v>
      </c>
      <c r="B764" s="71">
        <v>2009</v>
      </c>
      <c r="C764" s="71">
        <v>70</v>
      </c>
    </row>
    <row r="765" spans="1:3" ht="15.5" x14ac:dyDescent="0.35">
      <c r="A765" s="71" t="s">
        <v>19</v>
      </c>
      <c r="B765" s="71">
        <v>2010</v>
      </c>
      <c r="C765" s="71">
        <v>70</v>
      </c>
    </row>
    <row r="766" spans="1:3" ht="15.5" x14ac:dyDescent="0.35">
      <c r="A766" s="71" t="s">
        <v>19</v>
      </c>
      <c r="B766" s="71">
        <v>2011</v>
      </c>
      <c r="C766" s="71">
        <v>70</v>
      </c>
    </row>
    <row r="767" spans="1:3" ht="15.5" x14ac:dyDescent="0.35">
      <c r="A767" s="71" t="s">
        <v>19</v>
      </c>
      <c r="B767" s="71">
        <v>2012</v>
      </c>
      <c r="C767" s="71">
        <v>70</v>
      </c>
    </row>
    <row r="768" spans="1:3" ht="15.5" x14ac:dyDescent="0.35">
      <c r="A768" s="71" t="s">
        <v>19</v>
      </c>
      <c r="B768" s="71">
        <v>2013</v>
      </c>
      <c r="C768" s="71">
        <v>70</v>
      </c>
    </row>
    <row r="769" spans="1:3" ht="15.5" x14ac:dyDescent="0.35">
      <c r="A769" s="71" t="s">
        <v>19</v>
      </c>
      <c r="B769" s="71">
        <v>2014</v>
      </c>
      <c r="C769" s="71">
        <v>70</v>
      </c>
    </row>
    <row r="770" spans="1:3" ht="15.5" x14ac:dyDescent="0.35">
      <c r="A770" s="71" t="s">
        <v>19</v>
      </c>
      <c r="B770" s="71">
        <v>2015</v>
      </c>
      <c r="C770" s="71">
        <v>70</v>
      </c>
    </row>
    <row r="771" spans="1:3" ht="15.5" x14ac:dyDescent="0.35">
      <c r="A771" s="71" t="s">
        <v>19</v>
      </c>
      <c r="B771" s="71">
        <v>2016</v>
      </c>
      <c r="C771" s="71">
        <v>70</v>
      </c>
    </row>
    <row r="772" spans="1:3" ht="15.5" x14ac:dyDescent="0.35">
      <c r="A772" s="71" t="s">
        <v>19</v>
      </c>
      <c r="B772" s="71">
        <v>2017</v>
      </c>
      <c r="C772" s="71">
        <v>70</v>
      </c>
    </row>
    <row r="773" spans="1:3" ht="15.5" x14ac:dyDescent="0.35">
      <c r="A773" s="71" t="s">
        <v>19</v>
      </c>
      <c r="B773" s="71">
        <v>2018</v>
      </c>
      <c r="C773" s="71">
        <v>70</v>
      </c>
    </row>
    <row r="774" spans="1:3" ht="15.5" x14ac:dyDescent="0.35">
      <c r="A774" s="71" t="s">
        <v>19</v>
      </c>
      <c r="B774" s="71">
        <v>2019</v>
      </c>
      <c r="C774" s="71">
        <v>70</v>
      </c>
    </row>
    <row r="775" spans="1:3" ht="15.5" x14ac:dyDescent="0.35">
      <c r="A775" s="71" t="s">
        <v>19</v>
      </c>
      <c r="B775" s="71">
        <v>2020</v>
      </c>
      <c r="C775" s="71">
        <v>70</v>
      </c>
    </row>
    <row r="776" spans="1:3" ht="15.5" x14ac:dyDescent="0.35">
      <c r="A776" s="71" t="s">
        <v>19</v>
      </c>
      <c r="B776" s="71">
        <v>2021</v>
      </c>
      <c r="C776" s="71">
        <v>70</v>
      </c>
    </row>
    <row r="777" spans="1:3" ht="15.5" x14ac:dyDescent="0.35">
      <c r="A777" s="71" t="s">
        <v>19</v>
      </c>
      <c r="B777" s="71">
        <v>2022</v>
      </c>
      <c r="C777" s="71">
        <v>70</v>
      </c>
    </row>
    <row r="778" spans="1:3" ht="15.5" x14ac:dyDescent="0.35">
      <c r="A778" s="71" t="s">
        <v>20</v>
      </c>
      <c r="B778" s="71">
        <v>1980</v>
      </c>
      <c r="C778" s="71">
        <v>70</v>
      </c>
    </row>
    <row r="779" spans="1:3" ht="15.5" x14ac:dyDescent="0.35">
      <c r="A779" s="71" t="s">
        <v>20</v>
      </c>
      <c r="B779" s="71">
        <v>1981</v>
      </c>
      <c r="C779" s="71">
        <v>70</v>
      </c>
    </row>
    <row r="780" spans="1:3" ht="15.5" x14ac:dyDescent="0.35">
      <c r="A780" s="71" t="s">
        <v>20</v>
      </c>
      <c r="B780" s="71">
        <v>1982</v>
      </c>
      <c r="C780" s="71">
        <v>70</v>
      </c>
    </row>
    <row r="781" spans="1:3" ht="15.5" x14ac:dyDescent="0.35">
      <c r="A781" s="71" t="s">
        <v>20</v>
      </c>
      <c r="B781" s="71">
        <v>1983</v>
      </c>
      <c r="C781" s="71">
        <v>70</v>
      </c>
    </row>
    <row r="782" spans="1:3" ht="15.5" x14ac:dyDescent="0.35">
      <c r="A782" s="71" t="s">
        <v>20</v>
      </c>
      <c r="B782" s="71">
        <v>1984</v>
      </c>
      <c r="C782" s="71">
        <v>70</v>
      </c>
    </row>
    <row r="783" spans="1:3" ht="15.5" x14ac:dyDescent="0.35">
      <c r="A783" s="71" t="s">
        <v>20</v>
      </c>
      <c r="B783" s="71">
        <v>1985</v>
      </c>
      <c r="C783" s="71">
        <v>70</v>
      </c>
    </row>
    <row r="784" spans="1:3" ht="15.5" x14ac:dyDescent="0.35">
      <c r="A784" s="71" t="s">
        <v>20</v>
      </c>
      <c r="B784" s="71">
        <v>1986</v>
      </c>
      <c r="C784" s="71">
        <v>70</v>
      </c>
    </row>
    <row r="785" spans="1:3" ht="15.5" x14ac:dyDescent="0.35">
      <c r="A785" s="71" t="s">
        <v>20</v>
      </c>
      <c r="B785" s="71">
        <v>1987</v>
      </c>
      <c r="C785" s="71">
        <v>70</v>
      </c>
    </row>
    <row r="786" spans="1:3" ht="15.5" x14ac:dyDescent="0.35">
      <c r="A786" s="71" t="s">
        <v>20</v>
      </c>
      <c r="B786" s="71">
        <v>1988</v>
      </c>
      <c r="C786" s="71">
        <v>70</v>
      </c>
    </row>
    <row r="787" spans="1:3" ht="15.5" x14ac:dyDescent="0.35">
      <c r="A787" s="71" t="s">
        <v>20</v>
      </c>
      <c r="B787" s="71">
        <v>1989</v>
      </c>
      <c r="C787" s="71">
        <v>70</v>
      </c>
    </row>
    <row r="788" spans="1:3" ht="15.5" x14ac:dyDescent="0.35">
      <c r="A788" s="71" t="s">
        <v>20</v>
      </c>
      <c r="B788" s="71">
        <v>1990</v>
      </c>
      <c r="C788" s="71">
        <v>70</v>
      </c>
    </row>
    <row r="789" spans="1:3" ht="15.5" x14ac:dyDescent="0.35">
      <c r="A789" s="71" t="s">
        <v>20</v>
      </c>
      <c r="B789" s="71">
        <v>1991</v>
      </c>
      <c r="C789" s="71">
        <v>70</v>
      </c>
    </row>
    <row r="790" spans="1:3" ht="15.5" x14ac:dyDescent="0.35">
      <c r="A790" s="71" t="s">
        <v>20</v>
      </c>
      <c r="B790" s="71">
        <v>1992</v>
      </c>
      <c r="C790" s="71">
        <v>70</v>
      </c>
    </row>
    <row r="791" spans="1:3" ht="15.5" x14ac:dyDescent="0.35">
      <c r="A791" s="71" t="s">
        <v>20</v>
      </c>
      <c r="B791" s="71">
        <v>1993</v>
      </c>
      <c r="C791" s="71">
        <v>70</v>
      </c>
    </row>
    <row r="792" spans="1:3" ht="15.5" x14ac:dyDescent="0.35">
      <c r="A792" s="71" t="s">
        <v>20</v>
      </c>
      <c r="B792" s="71">
        <v>1994</v>
      </c>
      <c r="C792" s="71">
        <v>70</v>
      </c>
    </row>
    <row r="793" spans="1:3" ht="15.5" x14ac:dyDescent="0.35">
      <c r="A793" s="71" t="s">
        <v>20</v>
      </c>
      <c r="B793" s="71">
        <v>1995</v>
      </c>
      <c r="C793" s="71">
        <v>70</v>
      </c>
    </row>
    <row r="794" spans="1:3" ht="15.5" x14ac:dyDescent="0.35">
      <c r="A794" s="71" t="s">
        <v>20</v>
      </c>
      <c r="B794" s="71">
        <v>1996</v>
      </c>
      <c r="C794" s="71">
        <v>70</v>
      </c>
    </row>
    <row r="795" spans="1:3" ht="15.5" x14ac:dyDescent="0.35">
      <c r="A795" s="71" t="s">
        <v>20</v>
      </c>
      <c r="B795" s="71">
        <v>1997</v>
      </c>
      <c r="C795" s="71">
        <v>70</v>
      </c>
    </row>
    <row r="796" spans="1:3" ht="15.5" x14ac:dyDescent="0.35">
      <c r="A796" s="71" t="s">
        <v>20</v>
      </c>
      <c r="B796" s="71">
        <v>1998</v>
      </c>
      <c r="C796" s="71">
        <v>70</v>
      </c>
    </row>
    <row r="797" spans="1:3" ht="15.5" x14ac:dyDescent="0.35">
      <c r="A797" s="71" t="s">
        <v>20</v>
      </c>
      <c r="B797" s="71">
        <v>1999</v>
      </c>
      <c r="C797" s="71">
        <v>70</v>
      </c>
    </row>
    <row r="798" spans="1:3" ht="15.5" x14ac:dyDescent="0.35">
      <c r="A798" s="71" t="s">
        <v>20</v>
      </c>
      <c r="B798" s="71">
        <v>2000</v>
      </c>
      <c r="C798" s="71">
        <v>70</v>
      </c>
    </row>
    <row r="799" spans="1:3" ht="15.5" x14ac:dyDescent="0.35">
      <c r="A799" s="71" t="s">
        <v>20</v>
      </c>
      <c r="B799" s="71">
        <v>2001</v>
      </c>
      <c r="C799" s="71">
        <v>70</v>
      </c>
    </row>
    <row r="800" spans="1:3" ht="15.5" x14ac:dyDescent="0.35">
      <c r="A800" s="71" t="s">
        <v>20</v>
      </c>
      <c r="B800" s="71">
        <v>2002</v>
      </c>
      <c r="C800" s="71">
        <v>70</v>
      </c>
    </row>
    <row r="801" spans="1:3" ht="15.5" x14ac:dyDescent="0.35">
      <c r="A801" s="71" t="s">
        <v>20</v>
      </c>
      <c r="B801" s="71">
        <v>2003</v>
      </c>
      <c r="C801" s="71">
        <v>70</v>
      </c>
    </row>
    <row r="802" spans="1:3" ht="15.5" x14ac:dyDescent="0.35">
      <c r="A802" s="71" t="s">
        <v>20</v>
      </c>
      <c r="B802" s="71">
        <v>2004</v>
      </c>
      <c r="C802" s="71">
        <v>70</v>
      </c>
    </row>
    <row r="803" spans="1:3" ht="15.5" x14ac:dyDescent="0.35">
      <c r="A803" s="71" t="s">
        <v>20</v>
      </c>
      <c r="B803" s="71">
        <v>2005</v>
      </c>
      <c r="C803" s="71">
        <v>70</v>
      </c>
    </row>
    <row r="804" spans="1:3" ht="15.5" x14ac:dyDescent="0.35">
      <c r="A804" s="71" t="s">
        <v>20</v>
      </c>
      <c r="B804" s="71">
        <v>2006</v>
      </c>
      <c r="C804" s="71">
        <v>70</v>
      </c>
    </row>
    <row r="805" spans="1:3" ht="15.5" x14ac:dyDescent="0.35">
      <c r="A805" s="71" t="s">
        <v>20</v>
      </c>
      <c r="B805" s="71">
        <v>2007</v>
      </c>
      <c r="C805" s="71">
        <v>70</v>
      </c>
    </row>
    <row r="806" spans="1:3" ht="15.5" x14ac:dyDescent="0.35">
      <c r="A806" s="71" t="s">
        <v>20</v>
      </c>
      <c r="B806" s="71">
        <v>2008</v>
      </c>
      <c r="C806" s="71">
        <v>70</v>
      </c>
    </row>
    <row r="807" spans="1:3" ht="15.5" x14ac:dyDescent="0.35">
      <c r="A807" s="71" t="s">
        <v>20</v>
      </c>
      <c r="B807" s="71">
        <v>2009</v>
      </c>
      <c r="C807" s="71">
        <v>70</v>
      </c>
    </row>
    <row r="808" spans="1:3" ht="15.5" x14ac:dyDescent="0.35">
      <c r="A808" s="71" t="s">
        <v>20</v>
      </c>
      <c r="B808" s="71">
        <v>2010</v>
      </c>
      <c r="C808" s="71">
        <v>70</v>
      </c>
    </row>
    <row r="809" spans="1:3" ht="15.5" x14ac:dyDescent="0.35">
      <c r="A809" s="71" t="s">
        <v>20</v>
      </c>
      <c r="B809" s="71">
        <v>2011</v>
      </c>
      <c r="C809" s="71">
        <v>70</v>
      </c>
    </row>
    <row r="810" spans="1:3" ht="15.5" x14ac:dyDescent="0.35">
      <c r="A810" s="71" t="s">
        <v>20</v>
      </c>
      <c r="B810" s="71">
        <v>2012</v>
      </c>
      <c r="C810" s="71">
        <v>70</v>
      </c>
    </row>
    <row r="811" spans="1:3" ht="15.5" x14ac:dyDescent="0.35">
      <c r="A811" s="71" t="s">
        <v>20</v>
      </c>
      <c r="B811" s="71">
        <v>2013</v>
      </c>
      <c r="C811" s="71">
        <v>70</v>
      </c>
    </row>
    <row r="812" spans="1:3" ht="15.5" x14ac:dyDescent="0.35">
      <c r="A812" s="71" t="s">
        <v>20</v>
      </c>
      <c r="B812" s="71">
        <v>2014</v>
      </c>
      <c r="C812" s="71">
        <v>70</v>
      </c>
    </row>
    <row r="813" spans="1:3" ht="15.5" x14ac:dyDescent="0.35">
      <c r="A813" s="71" t="s">
        <v>20</v>
      </c>
      <c r="B813" s="71">
        <v>2015</v>
      </c>
      <c r="C813" s="71">
        <v>70</v>
      </c>
    </row>
    <row r="814" spans="1:3" ht="15.5" x14ac:dyDescent="0.35">
      <c r="A814" s="71" t="s">
        <v>20</v>
      </c>
      <c r="B814" s="71">
        <v>2016</v>
      </c>
      <c r="C814" s="71">
        <v>70</v>
      </c>
    </row>
    <row r="815" spans="1:3" ht="15.5" x14ac:dyDescent="0.35">
      <c r="A815" s="71" t="s">
        <v>20</v>
      </c>
      <c r="B815" s="71">
        <v>2017</v>
      </c>
      <c r="C815" s="71">
        <v>70</v>
      </c>
    </row>
    <row r="816" spans="1:3" ht="15.5" x14ac:dyDescent="0.35">
      <c r="A816" s="71" t="s">
        <v>20</v>
      </c>
      <c r="B816" s="71">
        <v>2018</v>
      </c>
      <c r="C816" s="71">
        <v>70</v>
      </c>
    </row>
    <row r="817" spans="1:3" ht="15.5" x14ac:dyDescent="0.35">
      <c r="A817" s="71" t="s">
        <v>20</v>
      </c>
      <c r="B817" s="71">
        <v>2019</v>
      </c>
      <c r="C817" s="71">
        <v>70</v>
      </c>
    </row>
    <row r="818" spans="1:3" ht="15.5" x14ac:dyDescent="0.35">
      <c r="A818" s="71" t="s">
        <v>20</v>
      </c>
      <c r="B818" s="71">
        <v>2020</v>
      </c>
      <c r="C818" s="71">
        <v>70</v>
      </c>
    </row>
    <row r="819" spans="1:3" ht="15.5" x14ac:dyDescent="0.35">
      <c r="A819" s="71" t="s">
        <v>20</v>
      </c>
      <c r="B819" s="71">
        <v>2021</v>
      </c>
      <c r="C819" s="71">
        <v>70</v>
      </c>
    </row>
    <row r="820" spans="1:3" ht="15.5" x14ac:dyDescent="0.35">
      <c r="A820" s="71" t="s">
        <v>20</v>
      </c>
      <c r="B820" s="71">
        <v>2022</v>
      </c>
      <c r="C820" s="71">
        <v>70</v>
      </c>
    </row>
    <row r="821" spans="1:3" ht="15.5" x14ac:dyDescent="0.35">
      <c r="A821" s="71" t="s">
        <v>21</v>
      </c>
      <c r="B821" s="71">
        <v>1980</v>
      </c>
      <c r="C821" s="71">
        <v>70</v>
      </c>
    </row>
    <row r="822" spans="1:3" ht="15.5" x14ac:dyDescent="0.35">
      <c r="A822" s="71" t="s">
        <v>21</v>
      </c>
      <c r="B822" s="71">
        <v>1981</v>
      </c>
      <c r="C822" s="71">
        <v>70</v>
      </c>
    </row>
    <row r="823" spans="1:3" ht="15.5" x14ac:dyDescent="0.35">
      <c r="A823" s="71" t="s">
        <v>21</v>
      </c>
      <c r="B823" s="71">
        <v>1982</v>
      </c>
      <c r="C823" s="71">
        <v>70</v>
      </c>
    </row>
    <row r="824" spans="1:3" ht="15.5" x14ac:dyDescent="0.35">
      <c r="A824" s="71" t="s">
        <v>21</v>
      </c>
      <c r="B824" s="71">
        <v>1983</v>
      </c>
      <c r="C824" s="71">
        <v>70</v>
      </c>
    </row>
    <row r="825" spans="1:3" ht="15.5" x14ac:dyDescent="0.35">
      <c r="A825" s="71" t="s">
        <v>21</v>
      </c>
      <c r="B825" s="71">
        <v>1984</v>
      </c>
      <c r="C825" s="71">
        <v>70</v>
      </c>
    </row>
    <row r="826" spans="1:3" ht="15.5" x14ac:dyDescent="0.35">
      <c r="A826" s="71" t="s">
        <v>21</v>
      </c>
      <c r="B826" s="71">
        <v>1985</v>
      </c>
      <c r="C826" s="71">
        <v>70</v>
      </c>
    </row>
    <row r="827" spans="1:3" ht="15.5" x14ac:dyDescent="0.35">
      <c r="A827" s="71" t="s">
        <v>21</v>
      </c>
      <c r="B827" s="71">
        <v>1986</v>
      </c>
      <c r="C827" s="71">
        <v>70</v>
      </c>
    </row>
    <row r="828" spans="1:3" ht="15.5" x14ac:dyDescent="0.35">
      <c r="A828" s="71" t="s">
        <v>21</v>
      </c>
      <c r="B828" s="71">
        <v>1987</v>
      </c>
      <c r="C828" s="71">
        <v>70</v>
      </c>
    </row>
    <row r="829" spans="1:3" ht="15.5" x14ac:dyDescent="0.35">
      <c r="A829" s="71" t="s">
        <v>21</v>
      </c>
      <c r="B829" s="71">
        <v>1988</v>
      </c>
      <c r="C829" s="71">
        <v>70</v>
      </c>
    </row>
    <row r="830" spans="1:3" ht="15.5" x14ac:dyDescent="0.35">
      <c r="A830" s="71" t="s">
        <v>21</v>
      </c>
      <c r="B830" s="71">
        <v>1989</v>
      </c>
      <c r="C830" s="71">
        <v>70</v>
      </c>
    </row>
    <row r="831" spans="1:3" ht="15.5" x14ac:dyDescent="0.35">
      <c r="A831" s="71" t="s">
        <v>21</v>
      </c>
      <c r="B831" s="71">
        <v>1990</v>
      </c>
      <c r="C831" s="71">
        <v>70</v>
      </c>
    </row>
    <row r="832" spans="1:3" ht="15.5" x14ac:dyDescent="0.35">
      <c r="A832" s="71" t="s">
        <v>21</v>
      </c>
      <c r="B832" s="71">
        <v>1991</v>
      </c>
      <c r="C832" s="71">
        <v>70</v>
      </c>
    </row>
    <row r="833" spans="1:3" ht="15.5" x14ac:dyDescent="0.35">
      <c r="A833" s="71" t="s">
        <v>21</v>
      </c>
      <c r="B833" s="71">
        <v>1992</v>
      </c>
      <c r="C833" s="71">
        <v>70</v>
      </c>
    </row>
    <row r="834" spans="1:3" ht="15.5" x14ac:dyDescent="0.35">
      <c r="A834" s="71" t="s">
        <v>21</v>
      </c>
      <c r="B834" s="71">
        <v>1993</v>
      </c>
      <c r="C834" s="71">
        <v>70</v>
      </c>
    </row>
    <row r="835" spans="1:3" ht="15.5" x14ac:dyDescent="0.35">
      <c r="A835" s="71" t="s">
        <v>21</v>
      </c>
      <c r="B835" s="71">
        <v>1994</v>
      </c>
      <c r="C835" s="71">
        <v>70</v>
      </c>
    </row>
    <row r="836" spans="1:3" ht="15.5" x14ac:dyDescent="0.35">
      <c r="A836" s="71" t="s">
        <v>21</v>
      </c>
      <c r="B836" s="71">
        <v>1995</v>
      </c>
      <c r="C836" s="71">
        <v>70</v>
      </c>
    </row>
    <row r="837" spans="1:3" ht="15.5" x14ac:dyDescent="0.35">
      <c r="A837" s="71" t="s">
        <v>21</v>
      </c>
      <c r="B837" s="71">
        <v>1996</v>
      </c>
      <c r="C837" s="71">
        <v>70</v>
      </c>
    </row>
    <row r="838" spans="1:3" ht="15.5" x14ac:dyDescent="0.35">
      <c r="A838" s="71" t="s">
        <v>21</v>
      </c>
      <c r="B838" s="71">
        <v>1997</v>
      </c>
      <c r="C838" s="71">
        <v>70</v>
      </c>
    </row>
    <row r="839" spans="1:3" ht="15.5" x14ac:dyDescent="0.35">
      <c r="A839" s="71" t="s">
        <v>21</v>
      </c>
      <c r="B839" s="71">
        <v>1998</v>
      </c>
      <c r="C839" s="71">
        <v>70</v>
      </c>
    </row>
    <row r="840" spans="1:3" ht="15.5" x14ac:dyDescent="0.35">
      <c r="A840" s="71" t="s">
        <v>21</v>
      </c>
      <c r="B840" s="71">
        <v>1999</v>
      </c>
      <c r="C840" s="71">
        <v>70</v>
      </c>
    </row>
    <row r="841" spans="1:3" ht="15.5" x14ac:dyDescent="0.35">
      <c r="A841" s="71" t="s">
        <v>21</v>
      </c>
      <c r="B841" s="71">
        <v>2000</v>
      </c>
      <c r="C841" s="71">
        <v>70</v>
      </c>
    </row>
    <row r="842" spans="1:3" ht="15.5" x14ac:dyDescent="0.35">
      <c r="A842" s="71" t="s">
        <v>21</v>
      </c>
      <c r="B842" s="71">
        <v>2001</v>
      </c>
      <c r="C842" s="71">
        <v>70</v>
      </c>
    </row>
    <row r="843" spans="1:3" ht="15.5" x14ac:dyDescent="0.35">
      <c r="A843" s="71" t="s">
        <v>21</v>
      </c>
      <c r="B843" s="71">
        <v>2002</v>
      </c>
      <c r="C843" s="71">
        <v>70</v>
      </c>
    </row>
    <row r="844" spans="1:3" ht="15.5" x14ac:dyDescent="0.35">
      <c r="A844" s="71" t="s">
        <v>21</v>
      </c>
      <c r="B844" s="71">
        <v>2003</v>
      </c>
      <c r="C844" s="71">
        <v>70</v>
      </c>
    </row>
    <row r="845" spans="1:3" ht="15.5" x14ac:dyDescent="0.35">
      <c r="A845" s="71" t="s">
        <v>21</v>
      </c>
      <c r="B845" s="71">
        <v>2004</v>
      </c>
      <c r="C845" s="71">
        <v>70</v>
      </c>
    </row>
    <row r="846" spans="1:3" ht="15.5" x14ac:dyDescent="0.35">
      <c r="A846" s="71" t="s">
        <v>21</v>
      </c>
      <c r="B846" s="71">
        <v>2005</v>
      </c>
      <c r="C846" s="71">
        <v>70</v>
      </c>
    </row>
    <row r="847" spans="1:3" ht="15.5" x14ac:dyDescent="0.35">
      <c r="A847" s="71" t="s">
        <v>21</v>
      </c>
      <c r="B847" s="71">
        <v>2006</v>
      </c>
      <c r="C847" s="71">
        <v>70</v>
      </c>
    </row>
    <row r="848" spans="1:3" ht="15.5" x14ac:dyDescent="0.35">
      <c r="A848" s="71" t="s">
        <v>21</v>
      </c>
      <c r="B848" s="71">
        <v>2007</v>
      </c>
      <c r="C848" s="71">
        <v>70</v>
      </c>
    </row>
    <row r="849" spans="1:3" ht="15.5" x14ac:dyDescent="0.35">
      <c r="A849" s="71" t="s">
        <v>21</v>
      </c>
      <c r="B849" s="71">
        <v>2008</v>
      </c>
      <c r="C849" s="71">
        <v>70</v>
      </c>
    </row>
    <row r="850" spans="1:3" ht="15.5" x14ac:dyDescent="0.35">
      <c r="A850" s="71" t="s">
        <v>21</v>
      </c>
      <c r="B850" s="71">
        <v>2009</v>
      </c>
      <c r="C850" s="71">
        <v>70</v>
      </c>
    </row>
    <row r="851" spans="1:3" ht="15.5" x14ac:dyDescent="0.35">
      <c r="A851" s="71" t="s">
        <v>21</v>
      </c>
      <c r="B851" s="71">
        <v>2010</v>
      </c>
      <c r="C851" s="71">
        <v>70</v>
      </c>
    </row>
    <row r="852" spans="1:3" ht="15.5" x14ac:dyDescent="0.35">
      <c r="A852" s="71" t="s">
        <v>21</v>
      </c>
      <c r="B852" s="71">
        <v>2011</v>
      </c>
      <c r="C852" s="71">
        <v>70</v>
      </c>
    </row>
    <row r="853" spans="1:3" ht="15.5" x14ac:dyDescent="0.35">
      <c r="A853" s="71" t="s">
        <v>21</v>
      </c>
      <c r="B853" s="71">
        <v>2012</v>
      </c>
      <c r="C853" s="71">
        <v>70</v>
      </c>
    </row>
    <row r="854" spans="1:3" ht="15.5" x14ac:dyDescent="0.35">
      <c r="A854" s="71" t="s">
        <v>21</v>
      </c>
      <c r="B854" s="71">
        <v>2013</v>
      </c>
      <c r="C854" s="71">
        <v>70</v>
      </c>
    </row>
    <row r="855" spans="1:3" ht="15.5" x14ac:dyDescent="0.35">
      <c r="A855" s="71" t="s">
        <v>21</v>
      </c>
      <c r="B855" s="71">
        <v>2014</v>
      </c>
      <c r="C855" s="71">
        <v>70</v>
      </c>
    </row>
    <row r="856" spans="1:3" ht="15.5" x14ac:dyDescent="0.35">
      <c r="A856" s="71" t="s">
        <v>21</v>
      </c>
      <c r="B856" s="71">
        <v>2015</v>
      </c>
      <c r="C856" s="71">
        <v>70</v>
      </c>
    </row>
    <row r="857" spans="1:3" ht="15.5" x14ac:dyDescent="0.35">
      <c r="A857" s="71" t="s">
        <v>21</v>
      </c>
      <c r="B857" s="71">
        <v>2016</v>
      </c>
      <c r="C857" s="71">
        <v>70</v>
      </c>
    </row>
    <row r="858" spans="1:3" ht="15.5" x14ac:dyDescent="0.35">
      <c r="A858" s="71" t="s">
        <v>21</v>
      </c>
      <c r="B858" s="71">
        <v>2017</v>
      </c>
      <c r="C858" s="71">
        <v>70</v>
      </c>
    </row>
    <row r="859" spans="1:3" ht="15.5" x14ac:dyDescent="0.35">
      <c r="A859" s="71" t="s">
        <v>21</v>
      </c>
      <c r="B859" s="71">
        <v>2018</v>
      </c>
      <c r="C859" s="71">
        <v>70</v>
      </c>
    </row>
    <row r="860" spans="1:3" ht="15.5" x14ac:dyDescent="0.35">
      <c r="A860" s="71" t="s">
        <v>21</v>
      </c>
      <c r="B860" s="71">
        <v>2019</v>
      </c>
      <c r="C860" s="71">
        <v>70</v>
      </c>
    </row>
    <row r="861" spans="1:3" ht="15.5" x14ac:dyDescent="0.35">
      <c r="A861" s="71" t="s">
        <v>21</v>
      </c>
      <c r="B861" s="71">
        <v>2020</v>
      </c>
      <c r="C861" s="71">
        <v>70</v>
      </c>
    </row>
    <row r="862" spans="1:3" ht="15.5" x14ac:dyDescent="0.35">
      <c r="A862" s="71" t="s">
        <v>21</v>
      </c>
      <c r="B862" s="71">
        <v>2021</v>
      </c>
      <c r="C862" s="71">
        <v>70</v>
      </c>
    </row>
    <row r="863" spans="1:3" ht="15.5" x14ac:dyDescent="0.35">
      <c r="A863" s="71" t="s">
        <v>21</v>
      </c>
      <c r="B863" s="71">
        <v>2022</v>
      </c>
      <c r="C863" s="71">
        <v>70</v>
      </c>
    </row>
    <row r="864" spans="1:3" ht="15.5" x14ac:dyDescent="0.35">
      <c r="A864" s="71" t="s">
        <v>22</v>
      </c>
      <c r="B864" s="71">
        <v>1980</v>
      </c>
      <c r="C864" s="71">
        <v>70</v>
      </c>
    </row>
    <row r="865" spans="1:3" ht="15.5" x14ac:dyDescent="0.35">
      <c r="A865" s="71" t="s">
        <v>22</v>
      </c>
      <c r="B865" s="71">
        <v>1981</v>
      </c>
      <c r="C865" s="71">
        <v>70</v>
      </c>
    </row>
    <row r="866" spans="1:3" ht="15.5" x14ac:dyDescent="0.35">
      <c r="A866" s="71" t="s">
        <v>22</v>
      </c>
      <c r="B866" s="71">
        <v>1982</v>
      </c>
      <c r="C866" s="71">
        <v>70</v>
      </c>
    </row>
    <row r="867" spans="1:3" ht="15.5" x14ac:dyDescent="0.35">
      <c r="A867" s="71" t="s">
        <v>22</v>
      </c>
      <c r="B867" s="71">
        <v>1983</v>
      </c>
      <c r="C867" s="71">
        <v>70</v>
      </c>
    </row>
    <row r="868" spans="1:3" ht="15.5" x14ac:dyDescent="0.35">
      <c r="A868" s="71" t="s">
        <v>22</v>
      </c>
      <c r="B868" s="71">
        <v>1984</v>
      </c>
      <c r="C868" s="71">
        <v>70</v>
      </c>
    </row>
    <row r="869" spans="1:3" ht="15.5" x14ac:dyDescent="0.35">
      <c r="A869" s="71" t="s">
        <v>22</v>
      </c>
      <c r="B869" s="71">
        <v>1985</v>
      </c>
      <c r="C869" s="71">
        <v>70</v>
      </c>
    </row>
    <row r="870" spans="1:3" ht="15.5" x14ac:dyDescent="0.35">
      <c r="A870" s="71" t="s">
        <v>22</v>
      </c>
      <c r="B870" s="71">
        <v>1986</v>
      </c>
      <c r="C870" s="71">
        <v>70</v>
      </c>
    </row>
    <row r="871" spans="1:3" ht="15.5" x14ac:dyDescent="0.35">
      <c r="A871" s="71" t="s">
        <v>22</v>
      </c>
      <c r="B871" s="71">
        <v>1987</v>
      </c>
      <c r="C871" s="71">
        <v>70</v>
      </c>
    </row>
    <row r="872" spans="1:3" ht="15.5" x14ac:dyDescent="0.35">
      <c r="A872" s="71" t="s">
        <v>22</v>
      </c>
      <c r="B872" s="71">
        <v>1988</v>
      </c>
      <c r="C872" s="71">
        <v>70</v>
      </c>
    </row>
    <row r="873" spans="1:3" ht="15.5" x14ac:dyDescent="0.35">
      <c r="A873" s="71" t="s">
        <v>22</v>
      </c>
      <c r="B873" s="71">
        <v>1989</v>
      </c>
      <c r="C873" s="71">
        <v>70</v>
      </c>
    </row>
    <row r="874" spans="1:3" ht="15.5" x14ac:dyDescent="0.35">
      <c r="A874" s="71" t="s">
        <v>22</v>
      </c>
      <c r="B874" s="71">
        <v>1990</v>
      </c>
      <c r="C874" s="71">
        <v>70</v>
      </c>
    </row>
    <row r="875" spans="1:3" ht="15.5" x14ac:dyDescent="0.35">
      <c r="A875" s="71" t="s">
        <v>22</v>
      </c>
      <c r="B875" s="71">
        <v>1991</v>
      </c>
      <c r="C875" s="71">
        <v>70</v>
      </c>
    </row>
    <row r="876" spans="1:3" ht="15.5" x14ac:dyDescent="0.35">
      <c r="A876" s="71" t="s">
        <v>22</v>
      </c>
      <c r="B876" s="71">
        <v>1992</v>
      </c>
      <c r="C876" s="71">
        <v>70</v>
      </c>
    </row>
    <row r="877" spans="1:3" ht="15.5" x14ac:dyDescent="0.35">
      <c r="A877" s="71" t="s">
        <v>22</v>
      </c>
      <c r="B877" s="71">
        <v>1993</v>
      </c>
      <c r="C877" s="71">
        <v>70</v>
      </c>
    </row>
    <row r="878" spans="1:3" ht="15.5" x14ac:dyDescent="0.35">
      <c r="A878" s="71" t="s">
        <v>22</v>
      </c>
      <c r="B878" s="71">
        <v>1994</v>
      </c>
      <c r="C878" s="71">
        <v>70</v>
      </c>
    </row>
    <row r="879" spans="1:3" ht="15.5" x14ac:dyDescent="0.35">
      <c r="A879" s="71" t="s">
        <v>22</v>
      </c>
      <c r="B879" s="71">
        <v>1995</v>
      </c>
      <c r="C879" s="71">
        <v>70</v>
      </c>
    </row>
    <row r="880" spans="1:3" ht="15.5" x14ac:dyDescent="0.35">
      <c r="A880" s="71" t="s">
        <v>22</v>
      </c>
      <c r="B880" s="71">
        <v>1996</v>
      </c>
      <c r="C880" s="71">
        <v>70</v>
      </c>
    </row>
    <row r="881" spans="1:3" ht="15.5" x14ac:dyDescent="0.35">
      <c r="A881" s="71" t="s">
        <v>22</v>
      </c>
      <c r="B881" s="71">
        <v>1997</v>
      </c>
      <c r="C881" s="71">
        <v>70</v>
      </c>
    </row>
    <row r="882" spans="1:3" ht="15.5" x14ac:dyDescent="0.35">
      <c r="A882" s="71" t="s">
        <v>22</v>
      </c>
      <c r="B882" s="71">
        <v>1998</v>
      </c>
      <c r="C882" s="71">
        <v>70</v>
      </c>
    </row>
    <row r="883" spans="1:3" ht="15.5" x14ac:dyDescent="0.35">
      <c r="A883" s="71" t="s">
        <v>22</v>
      </c>
      <c r="B883" s="71">
        <v>1999</v>
      </c>
      <c r="C883" s="71">
        <v>70</v>
      </c>
    </row>
    <row r="884" spans="1:3" ht="15.5" x14ac:dyDescent="0.35">
      <c r="A884" s="71" t="s">
        <v>22</v>
      </c>
      <c r="B884" s="71">
        <v>2000</v>
      </c>
      <c r="C884" s="71">
        <v>70</v>
      </c>
    </row>
    <row r="885" spans="1:3" ht="15.5" x14ac:dyDescent="0.35">
      <c r="A885" s="71" t="s">
        <v>22</v>
      </c>
      <c r="B885" s="71">
        <v>2001</v>
      </c>
      <c r="C885" s="71">
        <v>70</v>
      </c>
    </row>
    <row r="886" spans="1:3" ht="15.5" x14ac:dyDescent="0.35">
      <c r="A886" s="71" t="s">
        <v>22</v>
      </c>
      <c r="B886" s="71">
        <v>2002</v>
      </c>
      <c r="C886" s="71">
        <v>70</v>
      </c>
    </row>
    <row r="887" spans="1:3" ht="15.5" x14ac:dyDescent="0.35">
      <c r="A887" s="71" t="s">
        <v>22</v>
      </c>
      <c r="B887" s="71">
        <v>2003</v>
      </c>
      <c r="C887" s="71">
        <v>70</v>
      </c>
    </row>
    <row r="888" spans="1:3" ht="15.5" x14ac:dyDescent="0.35">
      <c r="A888" s="71" t="s">
        <v>22</v>
      </c>
      <c r="B888" s="71">
        <v>2004</v>
      </c>
      <c r="C888" s="71">
        <v>70</v>
      </c>
    </row>
    <row r="889" spans="1:3" ht="15.5" x14ac:dyDescent="0.35">
      <c r="A889" s="71" t="s">
        <v>22</v>
      </c>
      <c r="B889" s="71">
        <v>2005</v>
      </c>
      <c r="C889" s="71">
        <v>70</v>
      </c>
    </row>
    <row r="890" spans="1:3" ht="15.5" x14ac:dyDescent="0.35">
      <c r="A890" s="71" t="s">
        <v>22</v>
      </c>
      <c r="B890" s="71">
        <v>2006</v>
      </c>
      <c r="C890" s="71">
        <v>70</v>
      </c>
    </row>
    <row r="891" spans="1:3" ht="15.5" x14ac:dyDescent="0.35">
      <c r="A891" s="71" t="s">
        <v>22</v>
      </c>
      <c r="B891" s="71">
        <v>2007</v>
      </c>
      <c r="C891" s="71">
        <v>70</v>
      </c>
    </row>
    <row r="892" spans="1:3" ht="15.5" x14ac:dyDescent="0.35">
      <c r="A892" s="71" t="s">
        <v>22</v>
      </c>
      <c r="B892" s="71">
        <v>2008</v>
      </c>
      <c r="C892" s="71">
        <v>70</v>
      </c>
    </row>
    <row r="893" spans="1:3" ht="15.5" x14ac:dyDescent="0.35">
      <c r="A893" s="71" t="s">
        <v>22</v>
      </c>
      <c r="B893" s="71">
        <v>2009</v>
      </c>
      <c r="C893" s="71">
        <v>70</v>
      </c>
    </row>
    <row r="894" spans="1:3" ht="15.5" x14ac:dyDescent="0.35">
      <c r="A894" s="71" t="s">
        <v>22</v>
      </c>
      <c r="B894" s="71">
        <v>2010</v>
      </c>
      <c r="C894" s="71">
        <v>70</v>
      </c>
    </row>
    <row r="895" spans="1:3" ht="15.5" x14ac:dyDescent="0.35">
      <c r="A895" s="71" t="s">
        <v>22</v>
      </c>
      <c r="B895" s="71">
        <v>2011</v>
      </c>
      <c r="C895" s="71">
        <v>70</v>
      </c>
    </row>
    <row r="896" spans="1:3" ht="15.5" x14ac:dyDescent="0.35">
      <c r="A896" s="71" t="s">
        <v>22</v>
      </c>
      <c r="B896" s="71">
        <v>2012</v>
      </c>
      <c r="C896" s="71">
        <v>70</v>
      </c>
    </row>
    <row r="897" spans="1:3" ht="15.5" x14ac:dyDescent="0.35">
      <c r="A897" s="71" t="s">
        <v>22</v>
      </c>
      <c r="B897" s="71">
        <v>2013</v>
      </c>
      <c r="C897" s="71">
        <v>70</v>
      </c>
    </row>
    <row r="898" spans="1:3" ht="15.5" x14ac:dyDescent="0.35">
      <c r="A898" s="71" t="s">
        <v>22</v>
      </c>
      <c r="B898" s="71">
        <v>2014</v>
      </c>
      <c r="C898" s="71">
        <v>70</v>
      </c>
    </row>
    <row r="899" spans="1:3" ht="15.5" x14ac:dyDescent="0.35">
      <c r="A899" s="71" t="s">
        <v>22</v>
      </c>
      <c r="B899" s="71">
        <v>2015</v>
      </c>
      <c r="C899" s="71">
        <v>70</v>
      </c>
    </row>
    <row r="900" spans="1:3" ht="15.5" x14ac:dyDescent="0.35">
      <c r="A900" s="71" t="s">
        <v>22</v>
      </c>
      <c r="B900" s="71">
        <v>2016</v>
      </c>
      <c r="C900" s="71">
        <v>70</v>
      </c>
    </row>
    <row r="901" spans="1:3" ht="15.5" x14ac:dyDescent="0.35">
      <c r="A901" s="71" t="s">
        <v>22</v>
      </c>
      <c r="B901" s="71">
        <v>2017</v>
      </c>
      <c r="C901" s="71">
        <v>70</v>
      </c>
    </row>
    <row r="902" spans="1:3" ht="15.5" x14ac:dyDescent="0.35">
      <c r="A902" s="71" t="s">
        <v>22</v>
      </c>
      <c r="B902" s="71">
        <v>2018</v>
      </c>
      <c r="C902" s="71">
        <v>70</v>
      </c>
    </row>
    <row r="903" spans="1:3" ht="15.5" x14ac:dyDescent="0.35">
      <c r="A903" s="71" t="s">
        <v>22</v>
      </c>
      <c r="B903" s="71">
        <v>2019</v>
      </c>
      <c r="C903" s="71">
        <v>70</v>
      </c>
    </row>
    <row r="904" spans="1:3" ht="15.5" x14ac:dyDescent="0.35">
      <c r="A904" s="71" t="s">
        <v>22</v>
      </c>
      <c r="B904" s="71">
        <v>2020</v>
      </c>
      <c r="C904" s="71">
        <v>70</v>
      </c>
    </row>
    <row r="905" spans="1:3" ht="15.5" x14ac:dyDescent="0.35">
      <c r="A905" s="71" t="s">
        <v>22</v>
      </c>
      <c r="B905" s="71">
        <v>2021</v>
      </c>
      <c r="C905" s="71">
        <v>70</v>
      </c>
    </row>
    <row r="906" spans="1:3" ht="15.5" x14ac:dyDescent="0.35">
      <c r="A906" s="71" t="s">
        <v>22</v>
      </c>
      <c r="B906" s="71">
        <v>2022</v>
      </c>
      <c r="C906" s="71">
        <v>70</v>
      </c>
    </row>
    <row r="907" spans="1:3" ht="15.5" x14ac:dyDescent="0.35">
      <c r="A907" s="71" t="s">
        <v>23</v>
      </c>
      <c r="B907" s="71">
        <v>1980</v>
      </c>
      <c r="C907" s="71">
        <v>70</v>
      </c>
    </row>
    <row r="908" spans="1:3" ht="15.5" x14ac:dyDescent="0.35">
      <c r="A908" s="71" t="s">
        <v>23</v>
      </c>
      <c r="B908" s="71">
        <v>1981</v>
      </c>
      <c r="C908" s="71">
        <v>70</v>
      </c>
    </row>
    <row r="909" spans="1:3" ht="15.5" x14ac:dyDescent="0.35">
      <c r="A909" s="71" t="s">
        <v>23</v>
      </c>
      <c r="B909" s="71">
        <v>1982</v>
      </c>
      <c r="C909" s="71">
        <v>70</v>
      </c>
    </row>
    <row r="910" spans="1:3" ht="15.5" x14ac:dyDescent="0.35">
      <c r="A910" s="71" t="s">
        <v>23</v>
      </c>
      <c r="B910" s="71">
        <v>1983</v>
      </c>
      <c r="C910" s="71">
        <v>70</v>
      </c>
    </row>
    <row r="911" spans="1:3" ht="15.5" x14ac:dyDescent="0.35">
      <c r="A911" s="71" t="s">
        <v>23</v>
      </c>
      <c r="B911" s="71">
        <v>1984</v>
      </c>
      <c r="C911" s="71">
        <v>70</v>
      </c>
    </row>
    <row r="912" spans="1:3" ht="15.5" x14ac:dyDescent="0.35">
      <c r="A912" s="71" t="s">
        <v>23</v>
      </c>
      <c r="B912" s="71">
        <v>1985</v>
      </c>
      <c r="C912" s="71">
        <v>70</v>
      </c>
    </row>
    <row r="913" spans="1:3" ht="15.5" x14ac:dyDescent="0.35">
      <c r="A913" s="71" t="s">
        <v>23</v>
      </c>
      <c r="B913" s="71">
        <v>1986</v>
      </c>
      <c r="C913" s="71">
        <v>70</v>
      </c>
    </row>
    <row r="914" spans="1:3" ht="15.5" x14ac:dyDescent="0.35">
      <c r="A914" s="71" t="s">
        <v>23</v>
      </c>
      <c r="B914" s="71">
        <v>1987</v>
      </c>
      <c r="C914" s="71">
        <v>70</v>
      </c>
    </row>
    <row r="915" spans="1:3" ht="15.5" x14ac:dyDescent="0.35">
      <c r="A915" s="71" t="s">
        <v>23</v>
      </c>
      <c r="B915" s="71">
        <v>1988</v>
      </c>
      <c r="C915" s="71">
        <v>70</v>
      </c>
    </row>
    <row r="916" spans="1:3" ht="15.5" x14ac:dyDescent="0.35">
      <c r="A916" s="71" t="s">
        <v>23</v>
      </c>
      <c r="B916" s="71">
        <v>1989</v>
      </c>
      <c r="C916" s="71">
        <v>70</v>
      </c>
    </row>
    <row r="917" spans="1:3" ht="15.5" x14ac:dyDescent="0.35">
      <c r="A917" s="71" t="s">
        <v>23</v>
      </c>
      <c r="B917" s="71">
        <v>1990</v>
      </c>
      <c r="C917" s="71">
        <v>70</v>
      </c>
    </row>
    <row r="918" spans="1:3" ht="15.5" x14ac:dyDescent="0.35">
      <c r="A918" s="71" t="s">
        <v>23</v>
      </c>
      <c r="B918" s="71">
        <v>1991</v>
      </c>
      <c r="C918" s="71">
        <v>70</v>
      </c>
    </row>
    <row r="919" spans="1:3" ht="15.5" x14ac:dyDescent="0.35">
      <c r="A919" s="71" t="s">
        <v>23</v>
      </c>
      <c r="B919" s="71">
        <v>1992</v>
      </c>
      <c r="C919" s="71">
        <v>70</v>
      </c>
    </row>
    <row r="920" spans="1:3" ht="15.5" x14ac:dyDescent="0.35">
      <c r="A920" s="71" t="s">
        <v>23</v>
      </c>
      <c r="B920" s="71">
        <v>1993</v>
      </c>
      <c r="C920" s="71">
        <v>70</v>
      </c>
    </row>
    <row r="921" spans="1:3" ht="15.5" x14ac:dyDescent="0.35">
      <c r="A921" s="71" t="s">
        <v>23</v>
      </c>
      <c r="B921" s="71">
        <v>1994</v>
      </c>
      <c r="C921" s="71">
        <v>70</v>
      </c>
    </row>
    <row r="922" spans="1:3" ht="15.5" x14ac:dyDescent="0.35">
      <c r="A922" s="71" t="s">
        <v>23</v>
      </c>
      <c r="B922" s="71">
        <v>1995</v>
      </c>
      <c r="C922" s="71">
        <v>70</v>
      </c>
    </row>
    <row r="923" spans="1:3" ht="15.5" x14ac:dyDescent="0.35">
      <c r="A923" s="71" t="s">
        <v>23</v>
      </c>
      <c r="B923" s="71">
        <v>1996</v>
      </c>
      <c r="C923" s="71">
        <v>70</v>
      </c>
    </row>
    <row r="924" spans="1:3" ht="15.5" x14ac:dyDescent="0.35">
      <c r="A924" s="71" t="s">
        <v>23</v>
      </c>
      <c r="B924" s="71">
        <v>1997</v>
      </c>
      <c r="C924" s="71">
        <v>70</v>
      </c>
    </row>
    <row r="925" spans="1:3" ht="15.5" x14ac:dyDescent="0.35">
      <c r="A925" s="71" t="s">
        <v>23</v>
      </c>
      <c r="B925" s="71">
        <v>1998</v>
      </c>
      <c r="C925" s="71">
        <v>70</v>
      </c>
    </row>
    <row r="926" spans="1:3" ht="15.5" x14ac:dyDescent="0.35">
      <c r="A926" s="71" t="s">
        <v>23</v>
      </c>
      <c r="B926" s="71">
        <v>1999</v>
      </c>
      <c r="C926" s="71">
        <v>70</v>
      </c>
    </row>
    <row r="927" spans="1:3" ht="15.5" x14ac:dyDescent="0.35">
      <c r="A927" s="71" t="s">
        <v>23</v>
      </c>
      <c r="B927" s="71">
        <v>2000</v>
      </c>
      <c r="C927" s="71">
        <v>70</v>
      </c>
    </row>
    <row r="928" spans="1:3" ht="15.5" x14ac:dyDescent="0.35">
      <c r="A928" s="71" t="s">
        <v>23</v>
      </c>
      <c r="B928" s="71">
        <v>2001</v>
      </c>
      <c r="C928" s="71">
        <v>70</v>
      </c>
    </row>
    <row r="929" spans="1:3" ht="15.5" x14ac:dyDescent="0.35">
      <c r="A929" s="71" t="s">
        <v>23</v>
      </c>
      <c r="B929" s="71">
        <v>2002</v>
      </c>
      <c r="C929" s="71">
        <v>70</v>
      </c>
    </row>
    <row r="930" spans="1:3" ht="15.5" x14ac:dyDescent="0.35">
      <c r="A930" s="71" t="s">
        <v>23</v>
      </c>
      <c r="B930" s="71">
        <v>2003</v>
      </c>
      <c r="C930" s="71">
        <v>70</v>
      </c>
    </row>
    <row r="931" spans="1:3" ht="15.5" x14ac:dyDescent="0.35">
      <c r="A931" s="71" t="s">
        <v>23</v>
      </c>
      <c r="B931" s="71">
        <v>2004</v>
      </c>
      <c r="C931" s="71">
        <v>70</v>
      </c>
    </row>
    <row r="932" spans="1:3" ht="15.5" x14ac:dyDescent="0.35">
      <c r="A932" s="71" t="s">
        <v>23</v>
      </c>
      <c r="B932" s="71">
        <v>2005</v>
      </c>
      <c r="C932" s="71">
        <v>70</v>
      </c>
    </row>
    <row r="933" spans="1:3" ht="15.5" x14ac:dyDescent="0.35">
      <c r="A933" s="71" t="s">
        <v>23</v>
      </c>
      <c r="B933" s="71">
        <v>2006</v>
      </c>
      <c r="C933" s="71">
        <v>70</v>
      </c>
    </row>
    <row r="934" spans="1:3" ht="15.5" x14ac:dyDescent="0.35">
      <c r="A934" s="71" t="s">
        <v>23</v>
      </c>
      <c r="B934" s="71">
        <v>2007</v>
      </c>
      <c r="C934" s="71">
        <v>70</v>
      </c>
    </row>
    <row r="935" spans="1:3" ht="15.5" x14ac:dyDescent="0.35">
      <c r="A935" s="71" t="s">
        <v>23</v>
      </c>
      <c r="B935" s="71">
        <v>2008</v>
      </c>
      <c r="C935" s="71">
        <v>70</v>
      </c>
    </row>
    <row r="936" spans="1:3" ht="15.5" x14ac:dyDescent="0.35">
      <c r="A936" s="71" t="s">
        <v>23</v>
      </c>
      <c r="B936" s="71">
        <v>2009</v>
      </c>
      <c r="C936" s="71">
        <v>70</v>
      </c>
    </row>
    <row r="937" spans="1:3" ht="15.5" x14ac:dyDescent="0.35">
      <c r="A937" s="71" t="s">
        <v>23</v>
      </c>
      <c r="B937" s="71">
        <v>2010</v>
      </c>
      <c r="C937" s="71">
        <v>70</v>
      </c>
    </row>
    <row r="938" spans="1:3" ht="15.5" x14ac:dyDescent="0.35">
      <c r="A938" s="71" t="s">
        <v>23</v>
      </c>
      <c r="B938" s="71">
        <v>2011</v>
      </c>
      <c r="C938" s="71">
        <v>70</v>
      </c>
    </row>
    <row r="939" spans="1:3" ht="15.5" x14ac:dyDescent="0.35">
      <c r="A939" s="71" t="s">
        <v>23</v>
      </c>
      <c r="B939" s="71">
        <v>2012</v>
      </c>
      <c r="C939" s="71">
        <v>70</v>
      </c>
    </row>
    <row r="940" spans="1:3" ht="15.5" x14ac:dyDescent="0.35">
      <c r="A940" s="71" t="s">
        <v>23</v>
      </c>
      <c r="B940" s="71">
        <v>2013</v>
      </c>
      <c r="C940" s="71">
        <v>70</v>
      </c>
    </row>
    <row r="941" spans="1:3" ht="15.5" x14ac:dyDescent="0.35">
      <c r="A941" s="71" t="s">
        <v>23</v>
      </c>
      <c r="B941" s="71">
        <v>2014</v>
      </c>
      <c r="C941" s="71">
        <v>70</v>
      </c>
    </row>
    <row r="942" spans="1:3" ht="15.5" x14ac:dyDescent="0.35">
      <c r="A942" s="71" t="s">
        <v>23</v>
      </c>
      <c r="B942" s="71">
        <v>2015</v>
      </c>
      <c r="C942" s="71">
        <v>70</v>
      </c>
    </row>
    <row r="943" spans="1:3" ht="15.5" x14ac:dyDescent="0.35">
      <c r="A943" s="71" t="s">
        <v>23</v>
      </c>
      <c r="B943" s="71">
        <v>2016</v>
      </c>
      <c r="C943" s="71">
        <v>70</v>
      </c>
    </row>
    <row r="944" spans="1:3" ht="15.5" x14ac:dyDescent="0.35">
      <c r="A944" s="71" t="s">
        <v>23</v>
      </c>
      <c r="B944" s="71">
        <v>2017</v>
      </c>
      <c r="C944" s="71">
        <v>70</v>
      </c>
    </row>
    <row r="945" spans="1:3" ht="15.5" x14ac:dyDescent="0.35">
      <c r="A945" s="71" t="s">
        <v>23</v>
      </c>
      <c r="B945" s="71">
        <v>2018</v>
      </c>
      <c r="C945" s="71">
        <v>70</v>
      </c>
    </row>
    <row r="946" spans="1:3" ht="15.5" x14ac:dyDescent="0.35">
      <c r="A946" s="71" t="s">
        <v>23</v>
      </c>
      <c r="B946" s="71">
        <v>2019</v>
      </c>
      <c r="C946" s="71">
        <v>70</v>
      </c>
    </row>
    <row r="947" spans="1:3" ht="15.5" x14ac:dyDescent="0.35">
      <c r="A947" s="71" t="s">
        <v>23</v>
      </c>
      <c r="B947" s="71">
        <v>2020</v>
      </c>
      <c r="C947" s="71">
        <v>70</v>
      </c>
    </row>
    <row r="948" spans="1:3" ht="15.5" x14ac:dyDescent="0.35">
      <c r="A948" s="71" t="s">
        <v>23</v>
      </c>
      <c r="B948" s="71">
        <v>2021</v>
      </c>
      <c r="C948" s="71">
        <v>70</v>
      </c>
    </row>
    <row r="949" spans="1:3" ht="15.5" x14ac:dyDescent="0.35">
      <c r="A949" s="71" t="s">
        <v>23</v>
      </c>
      <c r="B949" s="71">
        <v>2022</v>
      </c>
      <c r="C949" s="71">
        <v>70</v>
      </c>
    </row>
    <row r="950" spans="1:3" ht="15.5" x14ac:dyDescent="0.35">
      <c r="A950" s="71" t="s">
        <v>24</v>
      </c>
      <c r="B950" s="71">
        <v>1980</v>
      </c>
      <c r="C950" s="71">
        <v>70</v>
      </c>
    </row>
    <row r="951" spans="1:3" ht="15.5" x14ac:dyDescent="0.35">
      <c r="A951" s="71" t="s">
        <v>24</v>
      </c>
      <c r="B951" s="71">
        <v>1981</v>
      </c>
      <c r="C951" s="71">
        <v>70</v>
      </c>
    </row>
    <row r="952" spans="1:3" ht="15.5" x14ac:dyDescent="0.35">
      <c r="A952" s="71" t="s">
        <v>24</v>
      </c>
      <c r="B952" s="71">
        <v>1982</v>
      </c>
      <c r="C952" s="71">
        <v>70</v>
      </c>
    </row>
    <row r="953" spans="1:3" ht="15.5" x14ac:dyDescent="0.35">
      <c r="A953" s="71" t="s">
        <v>24</v>
      </c>
      <c r="B953" s="71">
        <v>1983</v>
      </c>
      <c r="C953" s="71">
        <v>70</v>
      </c>
    </row>
    <row r="954" spans="1:3" ht="15.5" x14ac:dyDescent="0.35">
      <c r="A954" s="71" t="s">
        <v>24</v>
      </c>
      <c r="B954" s="71">
        <v>1984</v>
      </c>
      <c r="C954" s="71">
        <v>70</v>
      </c>
    </row>
    <row r="955" spans="1:3" ht="15.5" x14ac:dyDescent="0.35">
      <c r="A955" s="71" t="s">
        <v>24</v>
      </c>
      <c r="B955" s="71">
        <v>1985</v>
      </c>
      <c r="C955" s="71">
        <v>70</v>
      </c>
    </row>
    <row r="956" spans="1:3" ht="15.5" x14ac:dyDescent="0.35">
      <c r="A956" s="71" t="s">
        <v>24</v>
      </c>
      <c r="B956" s="71">
        <v>1986</v>
      </c>
      <c r="C956" s="71">
        <v>70</v>
      </c>
    </row>
    <row r="957" spans="1:3" ht="15.5" x14ac:dyDescent="0.35">
      <c r="A957" s="71" t="s">
        <v>24</v>
      </c>
      <c r="B957" s="71">
        <v>1987</v>
      </c>
      <c r="C957" s="71">
        <v>70</v>
      </c>
    </row>
    <row r="958" spans="1:3" ht="15.5" x14ac:dyDescent="0.35">
      <c r="A958" s="71" t="s">
        <v>24</v>
      </c>
      <c r="B958" s="71">
        <v>1988</v>
      </c>
      <c r="C958" s="71">
        <v>70</v>
      </c>
    </row>
    <row r="959" spans="1:3" ht="15.5" x14ac:dyDescent="0.35">
      <c r="A959" s="71" t="s">
        <v>24</v>
      </c>
      <c r="B959" s="71">
        <v>1989</v>
      </c>
      <c r="C959" s="71">
        <v>70</v>
      </c>
    </row>
    <row r="960" spans="1:3" ht="15.5" x14ac:dyDescent="0.35">
      <c r="A960" s="71" t="s">
        <v>24</v>
      </c>
      <c r="B960" s="71">
        <v>1990</v>
      </c>
      <c r="C960" s="71">
        <v>70</v>
      </c>
    </row>
    <row r="961" spans="1:3" ht="15.5" x14ac:dyDescent="0.35">
      <c r="A961" s="71" t="s">
        <v>24</v>
      </c>
      <c r="B961" s="71">
        <v>1991</v>
      </c>
      <c r="C961" s="71">
        <v>70</v>
      </c>
    </row>
    <row r="962" spans="1:3" ht="15.5" x14ac:dyDescent="0.35">
      <c r="A962" s="71" t="s">
        <v>24</v>
      </c>
      <c r="B962" s="71">
        <v>1992</v>
      </c>
      <c r="C962" s="71">
        <v>70</v>
      </c>
    </row>
    <row r="963" spans="1:3" ht="15.5" x14ac:dyDescent="0.35">
      <c r="A963" s="71" t="s">
        <v>24</v>
      </c>
      <c r="B963" s="71">
        <v>1993</v>
      </c>
      <c r="C963" s="71">
        <v>70</v>
      </c>
    </row>
    <row r="964" spans="1:3" ht="15.5" x14ac:dyDescent="0.35">
      <c r="A964" s="71" t="s">
        <v>24</v>
      </c>
      <c r="B964" s="71">
        <v>1994</v>
      </c>
      <c r="C964" s="71">
        <v>70</v>
      </c>
    </row>
    <row r="965" spans="1:3" ht="15.5" x14ac:dyDescent="0.35">
      <c r="A965" s="71" t="s">
        <v>24</v>
      </c>
      <c r="B965" s="71">
        <v>1995</v>
      </c>
      <c r="C965" s="71">
        <v>70</v>
      </c>
    </row>
    <row r="966" spans="1:3" ht="15.5" x14ac:dyDescent="0.35">
      <c r="A966" s="71" t="s">
        <v>24</v>
      </c>
      <c r="B966" s="71">
        <v>1996</v>
      </c>
      <c r="C966" s="71">
        <v>70</v>
      </c>
    </row>
    <row r="967" spans="1:3" ht="15.5" x14ac:dyDescent="0.35">
      <c r="A967" s="71" t="s">
        <v>24</v>
      </c>
      <c r="B967" s="71">
        <v>1997</v>
      </c>
      <c r="C967" s="71">
        <v>70</v>
      </c>
    </row>
    <row r="968" spans="1:3" ht="15.5" x14ac:dyDescent="0.35">
      <c r="A968" s="71" t="s">
        <v>24</v>
      </c>
      <c r="B968" s="71">
        <v>1998</v>
      </c>
      <c r="C968" s="71">
        <v>70</v>
      </c>
    </row>
    <row r="969" spans="1:3" ht="15.5" x14ac:dyDescent="0.35">
      <c r="A969" s="71" t="s">
        <v>24</v>
      </c>
      <c r="B969" s="71">
        <v>1999</v>
      </c>
      <c r="C969" s="71">
        <v>70</v>
      </c>
    </row>
    <row r="970" spans="1:3" ht="15.5" x14ac:dyDescent="0.35">
      <c r="A970" s="71" t="s">
        <v>24</v>
      </c>
      <c r="B970" s="71">
        <v>2000</v>
      </c>
      <c r="C970" s="71">
        <v>70</v>
      </c>
    </row>
    <row r="971" spans="1:3" ht="15.5" x14ac:dyDescent="0.35">
      <c r="A971" s="71" t="s">
        <v>24</v>
      </c>
      <c r="B971" s="71">
        <v>2001</v>
      </c>
      <c r="C971" s="71">
        <v>70</v>
      </c>
    </row>
    <row r="972" spans="1:3" ht="15.5" x14ac:dyDescent="0.35">
      <c r="A972" s="71" t="s">
        <v>24</v>
      </c>
      <c r="B972" s="71">
        <v>2002</v>
      </c>
      <c r="C972" s="71">
        <v>70</v>
      </c>
    </row>
    <row r="973" spans="1:3" ht="15.5" x14ac:dyDescent="0.35">
      <c r="A973" s="71" t="s">
        <v>24</v>
      </c>
      <c r="B973" s="71">
        <v>2003</v>
      </c>
      <c r="C973" s="71">
        <v>70</v>
      </c>
    </row>
    <row r="974" spans="1:3" ht="15.5" x14ac:dyDescent="0.35">
      <c r="A974" s="71" t="s">
        <v>24</v>
      </c>
      <c r="B974" s="71">
        <v>2004</v>
      </c>
      <c r="C974" s="71">
        <v>70</v>
      </c>
    </row>
    <row r="975" spans="1:3" ht="15.5" x14ac:dyDescent="0.35">
      <c r="A975" s="71" t="s">
        <v>24</v>
      </c>
      <c r="B975" s="71">
        <v>2005</v>
      </c>
      <c r="C975" s="71">
        <v>70</v>
      </c>
    </row>
    <row r="976" spans="1:3" ht="15.5" x14ac:dyDescent="0.35">
      <c r="A976" s="71" t="s">
        <v>24</v>
      </c>
      <c r="B976" s="71">
        <v>2006</v>
      </c>
      <c r="C976" s="71">
        <v>70</v>
      </c>
    </row>
    <row r="977" spans="1:3" ht="15.5" x14ac:dyDescent="0.35">
      <c r="A977" s="71" t="s">
        <v>24</v>
      </c>
      <c r="B977" s="71">
        <v>2007</v>
      </c>
      <c r="C977" s="71">
        <v>70</v>
      </c>
    </row>
    <row r="978" spans="1:3" ht="15.5" x14ac:dyDescent="0.35">
      <c r="A978" s="71" t="s">
        <v>24</v>
      </c>
      <c r="B978" s="71">
        <v>2008</v>
      </c>
      <c r="C978" s="71">
        <v>70</v>
      </c>
    </row>
    <row r="979" spans="1:3" ht="15.5" x14ac:dyDescent="0.35">
      <c r="A979" s="71" t="s">
        <v>24</v>
      </c>
      <c r="B979" s="71">
        <v>2009</v>
      </c>
      <c r="C979" s="71">
        <v>70</v>
      </c>
    </row>
    <row r="980" spans="1:3" ht="15.5" x14ac:dyDescent="0.35">
      <c r="A980" s="71" t="s">
        <v>24</v>
      </c>
      <c r="B980" s="71">
        <v>2010</v>
      </c>
      <c r="C980" s="71">
        <v>70</v>
      </c>
    </row>
    <row r="981" spans="1:3" ht="15.5" x14ac:dyDescent="0.35">
      <c r="A981" s="71" t="s">
        <v>24</v>
      </c>
      <c r="B981" s="71">
        <v>2011</v>
      </c>
      <c r="C981" s="71">
        <v>70</v>
      </c>
    </row>
    <row r="982" spans="1:3" ht="15.5" x14ac:dyDescent="0.35">
      <c r="A982" s="71" t="s">
        <v>24</v>
      </c>
      <c r="B982" s="71">
        <v>2012</v>
      </c>
      <c r="C982" s="71">
        <v>70</v>
      </c>
    </row>
    <row r="983" spans="1:3" ht="15.5" x14ac:dyDescent="0.35">
      <c r="A983" s="71" t="s">
        <v>24</v>
      </c>
      <c r="B983" s="71">
        <v>2013</v>
      </c>
      <c r="C983" s="71">
        <v>70</v>
      </c>
    </row>
    <row r="984" spans="1:3" ht="15.5" x14ac:dyDescent="0.35">
      <c r="A984" s="71" t="s">
        <v>24</v>
      </c>
      <c r="B984" s="71">
        <v>2014</v>
      </c>
      <c r="C984" s="71">
        <v>70</v>
      </c>
    </row>
    <row r="985" spans="1:3" ht="15.5" x14ac:dyDescent="0.35">
      <c r="A985" s="71" t="s">
        <v>24</v>
      </c>
      <c r="B985" s="71">
        <v>2015</v>
      </c>
      <c r="C985" s="71">
        <v>70</v>
      </c>
    </row>
    <row r="986" spans="1:3" ht="15.5" x14ac:dyDescent="0.35">
      <c r="A986" s="71" t="s">
        <v>24</v>
      </c>
      <c r="B986" s="71">
        <v>2016</v>
      </c>
      <c r="C986" s="71">
        <v>70</v>
      </c>
    </row>
    <row r="987" spans="1:3" ht="15.5" x14ac:dyDescent="0.35">
      <c r="A987" s="71" t="s">
        <v>24</v>
      </c>
      <c r="B987" s="71">
        <v>2017</v>
      </c>
      <c r="C987" s="71">
        <v>70</v>
      </c>
    </row>
    <row r="988" spans="1:3" ht="15.5" x14ac:dyDescent="0.35">
      <c r="A988" s="71" t="s">
        <v>24</v>
      </c>
      <c r="B988" s="71">
        <v>2018</v>
      </c>
      <c r="C988" s="71">
        <v>70</v>
      </c>
    </row>
    <row r="989" spans="1:3" ht="15.5" x14ac:dyDescent="0.35">
      <c r="A989" s="71" t="s">
        <v>24</v>
      </c>
      <c r="B989" s="71">
        <v>2019</v>
      </c>
      <c r="C989" s="71">
        <v>70</v>
      </c>
    </row>
    <row r="990" spans="1:3" ht="15.5" x14ac:dyDescent="0.35">
      <c r="A990" s="71" t="s">
        <v>24</v>
      </c>
      <c r="B990" s="71">
        <v>2020</v>
      </c>
      <c r="C990" s="71">
        <v>70</v>
      </c>
    </row>
    <row r="991" spans="1:3" ht="15.5" x14ac:dyDescent="0.35">
      <c r="A991" s="71" t="s">
        <v>24</v>
      </c>
      <c r="B991" s="71">
        <v>2021</v>
      </c>
      <c r="C991" s="71">
        <v>70</v>
      </c>
    </row>
    <row r="992" spans="1:3" ht="15.5" x14ac:dyDescent="0.35">
      <c r="A992" s="71" t="s">
        <v>24</v>
      </c>
      <c r="B992" s="71">
        <v>2022</v>
      </c>
      <c r="C992" s="71">
        <v>70</v>
      </c>
    </row>
    <row r="993" spans="1:3" ht="15.5" x14ac:dyDescent="0.35">
      <c r="A993" s="71" t="s">
        <v>25</v>
      </c>
      <c r="B993" s="71">
        <v>1980</v>
      </c>
      <c r="C993" s="71">
        <v>70</v>
      </c>
    </row>
    <row r="994" spans="1:3" ht="15.5" x14ac:dyDescent="0.35">
      <c r="A994" s="71" t="s">
        <v>25</v>
      </c>
      <c r="B994" s="71">
        <v>1981</v>
      </c>
      <c r="C994" s="71">
        <v>70</v>
      </c>
    </row>
    <row r="995" spans="1:3" ht="15.5" x14ac:dyDescent="0.35">
      <c r="A995" s="71" t="s">
        <v>25</v>
      </c>
      <c r="B995" s="71">
        <v>1982</v>
      </c>
      <c r="C995" s="71">
        <v>70</v>
      </c>
    </row>
    <row r="996" spans="1:3" ht="15.5" x14ac:dyDescent="0.35">
      <c r="A996" s="71" t="s">
        <v>25</v>
      </c>
      <c r="B996" s="71">
        <v>1983</v>
      </c>
      <c r="C996" s="71">
        <v>70</v>
      </c>
    </row>
    <row r="997" spans="1:3" ht="15.5" x14ac:dyDescent="0.35">
      <c r="A997" s="71" t="s">
        <v>25</v>
      </c>
      <c r="B997" s="71">
        <v>1984</v>
      </c>
      <c r="C997" s="71">
        <v>70</v>
      </c>
    </row>
    <row r="998" spans="1:3" ht="15.5" x14ac:dyDescent="0.35">
      <c r="A998" s="71" t="s">
        <v>25</v>
      </c>
      <c r="B998" s="71">
        <v>1985</v>
      </c>
      <c r="C998" s="71">
        <v>70</v>
      </c>
    </row>
    <row r="999" spans="1:3" ht="15.5" x14ac:dyDescent="0.35">
      <c r="A999" s="71" t="s">
        <v>25</v>
      </c>
      <c r="B999" s="71">
        <v>1986</v>
      </c>
      <c r="C999" s="71">
        <v>70</v>
      </c>
    </row>
    <row r="1000" spans="1:3" ht="15.5" x14ac:dyDescent="0.35">
      <c r="A1000" s="71" t="s">
        <v>25</v>
      </c>
      <c r="B1000" s="71">
        <v>1987</v>
      </c>
      <c r="C1000" s="71">
        <v>70</v>
      </c>
    </row>
    <row r="1001" spans="1:3" ht="15.5" x14ac:dyDescent="0.35">
      <c r="A1001" s="71" t="s">
        <v>25</v>
      </c>
      <c r="B1001" s="71">
        <v>1988</v>
      </c>
      <c r="C1001" s="71">
        <v>70</v>
      </c>
    </row>
    <row r="1002" spans="1:3" ht="15.5" x14ac:dyDescent="0.35">
      <c r="A1002" s="71" t="s">
        <v>25</v>
      </c>
      <c r="B1002" s="71">
        <v>1989</v>
      </c>
      <c r="C1002" s="71">
        <v>70</v>
      </c>
    </row>
    <row r="1003" spans="1:3" ht="15.5" x14ac:dyDescent="0.35">
      <c r="A1003" s="71" t="s">
        <v>25</v>
      </c>
      <c r="B1003" s="71">
        <v>1990</v>
      </c>
      <c r="C1003" s="71">
        <v>70</v>
      </c>
    </row>
    <row r="1004" spans="1:3" ht="15.5" x14ac:dyDescent="0.35">
      <c r="A1004" s="71" t="s">
        <v>25</v>
      </c>
      <c r="B1004" s="71">
        <v>1991</v>
      </c>
      <c r="C1004" s="71">
        <v>70</v>
      </c>
    </row>
    <row r="1005" spans="1:3" ht="15.5" x14ac:dyDescent="0.35">
      <c r="A1005" s="71" t="s">
        <v>25</v>
      </c>
      <c r="B1005" s="71">
        <v>1992</v>
      </c>
      <c r="C1005" s="71">
        <v>70</v>
      </c>
    </row>
    <row r="1006" spans="1:3" ht="15.5" x14ac:dyDescent="0.35">
      <c r="A1006" s="71" t="s">
        <v>25</v>
      </c>
      <c r="B1006" s="71">
        <v>1993</v>
      </c>
      <c r="C1006" s="71">
        <v>70</v>
      </c>
    </row>
    <row r="1007" spans="1:3" ht="15.5" x14ac:dyDescent="0.35">
      <c r="A1007" s="71" t="s">
        <v>25</v>
      </c>
      <c r="B1007" s="71">
        <v>1994</v>
      </c>
      <c r="C1007" s="71">
        <v>70</v>
      </c>
    </row>
    <row r="1008" spans="1:3" ht="15.5" x14ac:dyDescent="0.35">
      <c r="A1008" s="71" t="s">
        <v>25</v>
      </c>
      <c r="B1008" s="71">
        <v>1995</v>
      </c>
      <c r="C1008" s="71">
        <v>70</v>
      </c>
    </row>
    <row r="1009" spans="1:3" ht="15.5" x14ac:dyDescent="0.35">
      <c r="A1009" s="71" t="s">
        <v>25</v>
      </c>
      <c r="B1009" s="71">
        <v>1996</v>
      </c>
      <c r="C1009" s="71">
        <v>70</v>
      </c>
    </row>
    <row r="1010" spans="1:3" ht="15.5" x14ac:dyDescent="0.35">
      <c r="A1010" s="71" t="s">
        <v>25</v>
      </c>
      <c r="B1010" s="71">
        <v>1997</v>
      </c>
      <c r="C1010" s="71">
        <v>70</v>
      </c>
    </row>
    <row r="1011" spans="1:3" ht="15.5" x14ac:dyDescent="0.35">
      <c r="A1011" s="71" t="s">
        <v>25</v>
      </c>
      <c r="B1011" s="71">
        <v>1998</v>
      </c>
      <c r="C1011" s="71">
        <v>70</v>
      </c>
    </row>
    <row r="1012" spans="1:3" ht="15.5" x14ac:dyDescent="0.35">
      <c r="A1012" s="71" t="s">
        <v>25</v>
      </c>
      <c r="B1012" s="71">
        <v>1999</v>
      </c>
      <c r="C1012" s="71">
        <v>70</v>
      </c>
    </row>
    <row r="1013" spans="1:3" ht="15.5" x14ac:dyDescent="0.35">
      <c r="A1013" s="71" t="s">
        <v>25</v>
      </c>
      <c r="B1013" s="71">
        <v>2000</v>
      </c>
      <c r="C1013" s="71">
        <v>70</v>
      </c>
    </row>
    <row r="1014" spans="1:3" ht="15.5" x14ac:dyDescent="0.35">
      <c r="A1014" s="71" t="s">
        <v>25</v>
      </c>
      <c r="B1014" s="71">
        <v>2001</v>
      </c>
      <c r="C1014" s="71">
        <v>70</v>
      </c>
    </row>
    <row r="1015" spans="1:3" ht="15.5" x14ac:dyDescent="0.35">
      <c r="A1015" s="71" t="s">
        <v>25</v>
      </c>
      <c r="B1015" s="71">
        <v>2002</v>
      </c>
      <c r="C1015" s="71">
        <v>70</v>
      </c>
    </row>
    <row r="1016" spans="1:3" ht="15.5" x14ac:dyDescent="0.35">
      <c r="A1016" s="71" t="s">
        <v>25</v>
      </c>
      <c r="B1016" s="71">
        <v>2003</v>
      </c>
      <c r="C1016" s="71">
        <v>70</v>
      </c>
    </row>
    <row r="1017" spans="1:3" ht="15.5" x14ac:dyDescent="0.35">
      <c r="A1017" s="71" t="s">
        <v>25</v>
      </c>
      <c r="B1017" s="71">
        <v>2004</v>
      </c>
      <c r="C1017" s="71">
        <v>70</v>
      </c>
    </row>
    <row r="1018" spans="1:3" ht="15.5" x14ac:dyDescent="0.35">
      <c r="A1018" s="71" t="s">
        <v>25</v>
      </c>
      <c r="B1018" s="71">
        <v>2005</v>
      </c>
      <c r="C1018" s="71">
        <v>70</v>
      </c>
    </row>
    <row r="1019" spans="1:3" ht="15.5" x14ac:dyDescent="0.35">
      <c r="A1019" s="71" t="s">
        <v>25</v>
      </c>
      <c r="B1019" s="71">
        <v>2006</v>
      </c>
      <c r="C1019" s="71">
        <v>70</v>
      </c>
    </row>
    <row r="1020" spans="1:3" ht="15.5" x14ac:dyDescent="0.35">
      <c r="A1020" s="71" t="s">
        <v>25</v>
      </c>
      <c r="B1020" s="71">
        <v>2007</v>
      </c>
      <c r="C1020" s="71">
        <v>70</v>
      </c>
    </row>
    <row r="1021" spans="1:3" ht="15.5" x14ac:dyDescent="0.35">
      <c r="A1021" s="71" t="s">
        <v>25</v>
      </c>
      <c r="B1021" s="71">
        <v>2008</v>
      </c>
      <c r="C1021" s="71">
        <v>70</v>
      </c>
    </row>
    <row r="1022" spans="1:3" ht="15.5" x14ac:dyDescent="0.35">
      <c r="A1022" s="71" t="s">
        <v>25</v>
      </c>
      <c r="B1022" s="71">
        <v>2009</v>
      </c>
      <c r="C1022" s="71">
        <v>70</v>
      </c>
    </row>
    <row r="1023" spans="1:3" ht="15.5" x14ac:dyDescent="0.35">
      <c r="A1023" s="71" t="s">
        <v>25</v>
      </c>
      <c r="B1023" s="71">
        <v>2010</v>
      </c>
      <c r="C1023" s="71">
        <v>70</v>
      </c>
    </row>
    <row r="1024" spans="1:3" ht="15.5" x14ac:dyDescent="0.35">
      <c r="A1024" s="71" t="s">
        <v>25</v>
      </c>
      <c r="B1024" s="71">
        <v>2011</v>
      </c>
      <c r="C1024" s="71">
        <v>70</v>
      </c>
    </row>
    <row r="1025" spans="1:3" ht="15.5" x14ac:dyDescent="0.35">
      <c r="A1025" s="71" t="s">
        <v>25</v>
      </c>
      <c r="B1025" s="71">
        <v>2012</v>
      </c>
      <c r="C1025" s="71">
        <v>70</v>
      </c>
    </row>
    <row r="1026" spans="1:3" ht="15.5" x14ac:dyDescent="0.35">
      <c r="A1026" s="71" t="s">
        <v>25</v>
      </c>
      <c r="B1026" s="71">
        <v>2013</v>
      </c>
      <c r="C1026" s="71">
        <v>70</v>
      </c>
    </row>
    <row r="1027" spans="1:3" ht="15.5" x14ac:dyDescent="0.35">
      <c r="A1027" s="71" t="s">
        <v>25</v>
      </c>
      <c r="B1027" s="71">
        <v>2014</v>
      </c>
      <c r="C1027" s="71">
        <v>70</v>
      </c>
    </row>
    <row r="1028" spans="1:3" ht="15.5" x14ac:dyDescent="0.35">
      <c r="A1028" s="71" t="s">
        <v>25</v>
      </c>
      <c r="B1028" s="71">
        <v>2015</v>
      </c>
      <c r="C1028" s="71">
        <v>70</v>
      </c>
    </row>
    <row r="1029" spans="1:3" ht="15.5" x14ac:dyDescent="0.35">
      <c r="A1029" s="71" t="s">
        <v>25</v>
      </c>
      <c r="B1029" s="71">
        <v>2016</v>
      </c>
      <c r="C1029" s="71">
        <v>70</v>
      </c>
    </row>
    <row r="1030" spans="1:3" ht="15.5" x14ac:dyDescent="0.35">
      <c r="A1030" s="71" t="s">
        <v>25</v>
      </c>
      <c r="B1030" s="71">
        <v>2017</v>
      </c>
      <c r="C1030" s="71">
        <v>70</v>
      </c>
    </row>
    <row r="1031" spans="1:3" ht="15.5" x14ac:dyDescent="0.35">
      <c r="A1031" s="71" t="s">
        <v>25</v>
      </c>
      <c r="B1031" s="71">
        <v>2018</v>
      </c>
      <c r="C1031" s="71">
        <v>70</v>
      </c>
    </row>
    <row r="1032" spans="1:3" ht="15.5" x14ac:dyDescent="0.35">
      <c r="A1032" s="71" t="s">
        <v>25</v>
      </c>
      <c r="B1032" s="71">
        <v>2019</v>
      </c>
      <c r="C1032" s="71">
        <v>70</v>
      </c>
    </row>
    <row r="1033" spans="1:3" ht="15.5" x14ac:dyDescent="0.35">
      <c r="A1033" s="71" t="s">
        <v>25</v>
      </c>
      <c r="B1033" s="71">
        <v>2020</v>
      </c>
      <c r="C1033" s="71">
        <v>70</v>
      </c>
    </row>
    <row r="1034" spans="1:3" ht="15.5" x14ac:dyDescent="0.35">
      <c r="A1034" s="71" t="s">
        <v>25</v>
      </c>
      <c r="B1034" s="71">
        <v>2021</v>
      </c>
      <c r="C1034" s="71">
        <v>70</v>
      </c>
    </row>
    <row r="1035" spans="1:3" ht="15.5" x14ac:dyDescent="0.35">
      <c r="A1035" s="71" t="s">
        <v>25</v>
      </c>
      <c r="B1035" s="71">
        <v>2022</v>
      </c>
      <c r="C1035" s="71">
        <v>70</v>
      </c>
    </row>
    <row r="1036" spans="1:3" ht="15.5" x14ac:dyDescent="0.35">
      <c r="A1036" s="71" t="s">
        <v>26</v>
      </c>
      <c r="B1036" s="71">
        <v>1980</v>
      </c>
      <c r="C1036" s="71">
        <v>70</v>
      </c>
    </row>
    <row r="1037" spans="1:3" ht="15.5" x14ac:dyDescent="0.35">
      <c r="A1037" s="71" t="s">
        <v>26</v>
      </c>
      <c r="B1037" s="71">
        <v>1981</v>
      </c>
      <c r="C1037" s="71">
        <v>70</v>
      </c>
    </row>
    <row r="1038" spans="1:3" ht="15.5" x14ac:dyDescent="0.35">
      <c r="A1038" s="71" t="s">
        <v>26</v>
      </c>
      <c r="B1038" s="71">
        <v>1982</v>
      </c>
      <c r="C1038" s="71">
        <v>70</v>
      </c>
    </row>
    <row r="1039" spans="1:3" ht="15.5" x14ac:dyDescent="0.35">
      <c r="A1039" s="71" t="s">
        <v>26</v>
      </c>
      <c r="B1039" s="71">
        <v>1983</v>
      </c>
      <c r="C1039" s="71">
        <v>70</v>
      </c>
    </row>
    <row r="1040" spans="1:3" ht="15.5" x14ac:dyDescent="0.35">
      <c r="A1040" s="71" t="s">
        <v>26</v>
      </c>
      <c r="B1040" s="71">
        <v>1984</v>
      </c>
      <c r="C1040" s="71">
        <v>70</v>
      </c>
    </row>
    <row r="1041" spans="1:3" ht="15.5" x14ac:dyDescent="0.35">
      <c r="A1041" s="71" t="s">
        <v>26</v>
      </c>
      <c r="B1041" s="71">
        <v>1985</v>
      </c>
      <c r="C1041" s="71">
        <v>70</v>
      </c>
    </row>
    <row r="1042" spans="1:3" ht="15.5" x14ac:dyDescent="0.35">
      <c r="A1042" s="71" t="s">
        <v>26</v>
      </c>
      <c r="B1042" s="71">
        <v>1986</v>
      </c>
      <c r="C1042" s="71">
        <v>70</v>
      </c>
    </row>
    <row r="1043" spans="1:3" ht="15.5" x14ac:dyDescent="0.35">
      <c r="A1043" s="71" t="s">
        <v>26</v>
      </c>
      <c r="B1043" s="71">
        <v>1987</v>
      </c>
      <c r="C1043" s="71">
        <v>70</v>
      </c>
    </row>
    <row r="1044" spans="1:3" ht="15.5" x14ac:dyDescent="0.35">
      <c r="A1044" s="71" t="s">
        <v>26</v>
      </c>
      <c r="B1044" s="71">
        <v>1988</v>
      </c>
      <c r="C1044" s="71">
        <v>70</v>
      </c>
    </row>
    <row r="1045" spans="1:3" ht="15.5" x14ac:dyDescent="0.35">
      <c r="A1045" s="71" t="s">
        <v>26</v>
      </c>
      <c r="B1045" s="71">
        <v>1989</v>
      </c>
      <c r="C1045" s="71">
        <v>70</v>
      </c>
    </row>
    <row r="1046" spans="1:3" ht="15.5" x14ac:dyDescent="0.35">
      <c r="A1046" s="71" t="s">
        <v>26</v>
      </c>
      <c r="B1046" s="71">
        <v>1990</v>
      </c>
      <c r="C1046" s="71">
        <v>70</v>
      </c>
    </row>
    <row r="1047" spans="1:3" ht="15.5" x14ac:dyDescent="0.35">
      <c r="A1047" s="71" t="s">
        <v>26</v>
      </c>
      <c r="B1047" s="71">
        <v>1991</v>
      </c>
      <c r="C1047" s="71">
        <v>70</v>
      </c>
    </row>
    <row r="1048" spans="1:3" ht="15.5" x14ac:dyDescent="0.35">
      <c r="A1048" s="71" t="s">
        <v>26</v>
      </c>
      <c r="B1048" s="71">
        <v>1992</v>
      </c>
      <c r="C1048" s="71">
        <v>70</v>
      </c>
    </row>
    <row r="1049" spans="1:3" ht="15.5" x14ac:dyDescent="0.35">
      <c r="A1049" s="71" t="s">
        <v>26</v>
      </c>
      <c r="B1049" s="71">
        <v>1993</v>
      </c>
      <c r="C1049" s="71">
        <v>70</v>
      </c>
    </row>
    <row r="1050" spans="1:3" ht="15.5" x14ac:dyDescent="0.35">
      <c r="A1050" s="71" t="s">
        <v>26</v>
      </c>
      <c r="B1050" s="71">
        <v>1994</v>
      </c>
      <c r="C1050" s="71">
        <v>70</v>
      </c>
    </row>
    <row r="1051" spans="1:3" ht="15.5" x14ac:dyDescent="0.35">
      <c r="A1051" s="71" t="s">
        <v>26</v>
      </c>
      <c r="B1051" s="71">
        <v>1995</v>
      </c>
      <c r="C1051" s="71">
        <v>70</v>
      </c>
    </row>
    <row r="1052" spans="1:3" ht="15.5" x14ac:dyDescent="0.35">
      <c r="A1052" s="71" t="s">
        <v>26</v>
      </c>
      <c r="B1052" s="71">
        <v>1996</v>
      </c>
      <c r="C1052" s="71">
        <v>70</v>
      </c>
    </row>
    <row r="1053" spans="1:3" ht="15.5" x14ac:dyDescent="0.35">
      <c r="A1053" s="71" t="s">
        <v>26</v>
      </c>
      <c r="B1053" s="71">
        <v>1997</v>
      </c>
      <c r="C1053" s="71">
        <v>70</v>
      </c>
    </row>
    <row r="1054" spans="1:3" ht="15.5" x14ac:dyDescent="0.35">
      <c r="A1054" s="71" t="s">
        <v>26</v>
      </c>
      <c r="B1054" s="71">
        <v>1998</v>
      </c>
      <c r="C1054" s="71">
        <v>70</v>
      </c>
    </row>
    <row r="1055" spans="1:3" ht="15.5" x14ac:dyDescent="0.35">
      <c r="A1055" s="71" t="s">
        <v>26</v>
      </c>
      <c r="B1055" s="71">
        <v>1999</v>
      </c>
      <c r="C1055" s="71">
        <v>70</v>
      </c>
    </row>
    <row r="1056" spans="1:3" ht="15.5" x14ac:dyDescent="0.35">
      <c r="A1056" s="71" t="s">
        <v>26</v>
      </c>
      <c r="B1056" s="71">
        <v>2000</v>
      </c>
      <c r="C1056" s="71">
        <v>70</v>
      </c>
    </row>
    <row r="1057" spans="1:3" ht="15.5" x14ac:dyDescent="0.35">
      <c r="A1057" s="71" t="s">
        <v>26</v>
      </c>
      <c r="B1057" s="71">
        <v>2001</v>
      </c>
      <c r="C1057" s="71">
        <v>70</v>
      </c>
    </row>
    <row r="1058" spans="1:3" ht="15.5" x14ac:dyDescent="0.35">
      <c r="A1058" s="71" t="s">
        <v>26</v>
      </c>
      <c r="B1058" s="71">
        <v>2002</v>
      </c>
      <c r="C1058" s="71">
        <v>70</v>
      </c>
    </row>
    <row r="1059" spans="1:3" ht="15.5" x14ac:dyDescent="0.35">
      <c r="A1059" s="71" t="s">
        <v>26</v>
      </c>
      <c r="B1059" s="71">
        <v>2003</v>
      </c>
      <c r="C1059" s="71">
        <v>70</v>
      </c>
    </row>
    <row r="1060" spans="1:3" ht="15.5" x14ac:dyDescent="0.35">
      <c r="A1060" s="71" t="s">
        <v>26</v>
      </c>
      <c r="B1060" s="71">
        <v>2004</v>
      </c>
      <c r="C1060" s="71">
        <v>70</v>
      </c>
    </row>
    <row r="1061" spans="1:3" ht="15.5" x14ac:dyDescent="0.35">
      <c r="A1061" s="71" t="s">
        <v>26</v>
      </c>
      <c r="B1061" s="71">
        <v>2005</v>
      </c>
      <c r="C1061" s="71">
        <v>70</v>
      </c>
    </row>
    <row r="1062" spans="1:3" ht="15.5" x14ac:dyDescent="0.35">
      <c r="A1062" s="71" t="s">
        <v>26</v>
      </c>
      <c r="B1062" s="71">
        <v>2006</v>
      </c>
      <c r="C1062" s="71">
        <v>70</v>
      </c>
    </row>
    <row r="1063" spans="1:3" ht="15.5" x14ac:dyDescent="0.35">
      <c r="A1063" s="71" t="s">
        <v>26</v>
      </c>
      <c r="B1063" s="71">
        <v>2007</v>
      </c>
      <c r="C1063" s="71">
        <v>70</v>
      </c>
    </row>
    <row r="1064" spans="1:3" ht="15.5" x14ac:dyDescent="0.35">
      <c r="A1064" s="71" t="s">
        <v>26</v>
      </c>
      <c r="B1064" s="71">
        <v>2008</v>
      </c>
      <c r="C1064" s="71">
        <v>70</v>
      </c>
    </row>
    <row r="1065" spans="1:3" ht="15.5" x14ac:dyDescent="0.35">
      <c r="A1065" s="71" t="s">
        <v>26</v>
      </c>
      <c r="B1065" s="71">
        <v>2009</v>
      </c>
      <c r="C1065" s="71">
        <v>70</v>
      </c>
    </row>
    <row r="1066" spans="1:3" ht="15.5" x14ac:dyDescent="0.35">
      <c r="A1066" s="71" t="s">
        <v>26</v>
      </c>
      <c r="B1066" s="71">
        <v>2010</v>
      </c>
      <c r="C1066" s="71">
        <v>70</v>
      </c>
    </row>
    <row r="1067" spans="1:3" ht="15.5" x14ac:dyDescent="0.35">
      <c r="A1067" s="71" t="s">
        <v>26</v>
      </c>
      <c r="B1067" s="71">
        <v>2011</v>
      </c>
      <c r="C1067" s="71">
        <v>70</v>
      </c>
    </row>
    <row r="1068" spans="1:3" ht="15.5" x14ac:dyDescent="0.35">
      <c r="A1068" s="71" t="s">
        <v>26</v>
      </c>
      <c r="B1068" s="71">
        <v>2012</v>
      </c>
      <c r="C1068" s="71">
        <v>70</v>
      </c>
    </row>
    <row r="1069" spans="1:3" ht="15.5" x14ac:dyDescent="0.35">
      <c r="A1069" s="71" t="s">
        <v>26</v>
      </c>
      <c r="B1069" s="71">
        <v>2013</v>
      </c>
      <c r="C1069" s="71">
        <v>70</v>
      </c>
    </row>
    <row r="1070" spans="1:3" ht="15.5" x14ac:dyDescent="0.35">
      <c r="A1070" s="71" t="s">
        <v>26</v>
      </c>
      <c r="B1070" s="71">
        <v>2014</v>
      </c>
      <c r="C1070" s="71">
        <v>70</v>
      </c>
    </row>
    <row r="1071" spans="1:3" ht="15.5" x14ac:dyDescent="0.35">
      <c r="A1071" s="71" t="s">
        <v>26</v>
      </c>
      <c r="B1071" s="71">
        <v>2015</v>
      </c>
      <c r="C1071" s="71">
        <v>70</v>
      </c>
    </row>
    <row r="1072" spans="1:3" ht="15.5" x14ac:dyDescent="0.35">
      <c r="A1072" s="71" t="s">
        <v>26</v>
      </c>
      <c r="B1072" s="71">
        <v>2016</v>
      </c>
      <c r="C1072" s="71">
        <v>70</v>
      </c>
    </row>
    <row r="1073" spans="1:3" ht="15.5" x14ac:dyDescent="0.35">
      <c r="A1073" s="71" t="s">
        <v>26</v>
      </c>
      <c r="B1073" s="71">
        <v>2017</v>
      </c>
      <c r="C1073" s="71">
        <v>70</v>
      </c>
    </row>
    <row r="1074" spans="1:3" ht="15.5" x14ac:dyDescent="0.35">
      <c r="A1074" s="71" t="s">
        <v>26</v>
      </c>
      <c r="B1074" s="71">
        <v>2018</v>
      </c>
      <c r="C1074" s="71">
        <v>70</v>
      </c>
    </row>
    <row r="1075" spans="1:3" ht="15.5" x14ac:dyDescent="0.35">
      <c r="A1075" s="71" t="s">
        <v>26</v>
      </c>
      <c r="B1075" s="71">
        <v>2019</v>
      </c>
      <c r="C1075" s="71">
        <v>70</v>
      </c>
    </row>
    <row r="1076" spans="1:3" ht="15.5" x14ac:dyDescent="0.35">
      <c r="A1076" s="71" t="s">
        <v>26</v>
      </c>
      <c r="B1076" s="71">
        <v>2020</v>
      </c>
      <c r="C1076" s="71">
        <v>70</v>
      </c>
    </row>
    <row r="1077" spans="1:3" ht="15.5" x14ac:dyDescent="0.35">
      <c r="A1077" s="71" t="s">
        <v>26</v>
      </c>
      <c r="B1077" s="71">
        <v>2021</v>
      </c>
      <c r="C1077" s="71">
        <v>70</v>
      </c>
    </row>
    <row r="1078" spans="1:3" ht="15.5" x14ac:dyDescent="0.35">
      <c r="A1078" s="71" t="s">
        <v>26</v>
      </c>
      <c r="B1078" s="71">
        <v>2022</v>
      </c>
      <c r="C1078" s="71">
        <v>70</v>
      </c>
    </row>
    <row r="1079" spans="1:3" ht="15.5" x14ac:dyDescent="0.35">
      <c r="A1079" s="71" t="s">
        <v>27</v>
      </c>
      <c r="B1079" s="71">
        <v>1980</v>
      </c>
      <c r="C1079" s="71">
        <v>70</v>
      </c>
    </row>
    <row r="1080" spans="1:3" ht="15.5" x14ac:dyDescent="0.35">
      <c r="A1080" s="71" t="s">
        <v>27</v>
      </c>
      <c r="B1080" s="71">
        <v>1981</v>
      </c>
      <c r="C1080" s="71">
        <v>70</v>
      </c>
    </row>
    <row r="1081" spans="1:3" ht="15.5" x14ac:dyDescent="0.35">
      <c r="A1081" s="71" t="s">
        <v>27</v>
      </c>
      <c r="B1081" s="71">
        <v>1982</v>
      </c>
      <c r="C1081" s="71">
        <v>70</v>
      </c>
    </row>
    <row r="1082" spans="1:3" ht="15.5" x14ac:dyDescent="0.35">
      <c r="A1082" s="71" t="s">
        <v>27</v>
      </c>
      <c r="B1082" s="71">
        <v>1983</v>
      </c>
      <c r="C1082" s="71">
        <v>70</v>
      </c>
    </row>
    <row r="1083" spans="1:3" ht="15.5" x14ac:dyDescent="0.35">
      <c r="A1083" s="71" t="s">
        <v>27</v>
      </c>
      <c r="B1083" s="71">
        <v>1984</v>
      </c>
      <c r="C1083" s="71">
        <v>70</v>
      </c>
    </row>
    <row r="1084" spans="1:3" ht="15.5" x14ac:dyDescent="0.35">
      <c r="A1084" s="71" t="s">
        <v>27</v>
      </c>
      <c r="B1084" s="71">
        <v>1985</v>
      </c>
      <c r="C1084" s="71">
        <v>70</v>
      </c>
    </row>
    <row r="1085" spans="1:3" ht="15.5" x14ac:dyDescent="0.35">
      <c r="A1085" s="71" t="s">
        <v>27</v>
      </c>
      <c r="B1085" s="71">
        <v>1986</v>
      </c>
      <c r="C1085" s="71">
        <v>70</v>
      </c>
    </row>
    <row r="1086" spans="1:3" ht="15.5" x14ac:dyDescent="0.35">
      <c r="A1086" s="71" t="s">
        <v>27</v>
      </c>
      <c r="B1086" s="71">
        <v>1987</v>
      </c>
      <c r="C1086" s="71">
        <v>70</v>
      </c>
    </row>
    <row r="1087" spans="1:3" ht="15.5" x14ac:dyDescent="0.35">
      <c r="A1087" s="71" t="s">
        <v>27</v>
      </c>
      <c r="B1087" s="71">
        <v>1988</v>
      </c>
      <c r="C1087" s="71">
        <v>70</v>
      </c>
    </row>
    <row r="1088" spans="1:3" ht="15.5" x14ac:dyDescent="0.35">
      <c r="A1088" s="71" t="s">
        <v>27</v>
      </c>
      <c r="B1088" s="71">
        <v>1989</v>
      </c>
      <c r="C1088" s="71">
        <v>70</v>
      </c>
    </row>
    <row r="1089" spans="1:3" ht="15.5" x14ac:dyDescent="0.35">
      <c r="A1089" s="71" t="s">
        <v>27</v>
      </c>
      <c r="B1089" s="71">
        <v>1990</v>
      </c>
      <c r="C1089" s="71">
        <v>70</v>
      </c>
    </row>
    <row r="1090" spans="1:3" ht="15.5" x14ac:dyDescent="0.35">
      <c r="A1090" s="71" t="s">
        <v>27</v>
      </c>
      <c r="B1090" s="71">
        <v>1991</v>
      </c>
      <c r="C1090" s="71">
        <v>70</v>
      </c>
    </row>
    <row r="1091" spans="1:3" ht="15.5" x14ac:dyDescent="0.35">
      <c r="A1091" s="71" t="s">
        <v>27</v>
      </c>
      <c r="B1091" s="71">
        <v>1992</v>
      </c>
      <c r="C1091" s="71">
        <v>70</v>
      </c>
    </row>
    <row r="1092" spans="1:3" ht="15.5" x14ac:dyDescent="0.35">
      <c r="A1092" s="71" t="s">
        <v>27</v>
      </c>
      <c r="B1092" s="71">
        <v>1993</v>
      </c>
      <c r="C1092" s="71">
        <v>70</v>
      </c>
    </row>
    <row r="1093" spans="1:3" ht="15.5" x14ac:dyDescent="0.35">
      <c r="A1093" s="71" t="s">
        <v>27</v>
      </c>
      <c r="B1093" s="71">
        <v>1994</v>
      </c>
      <c r="C1093" s="71">
        <v>70</v>
      </c>
    </row>
    <row r="1094" spans="1:3" ht="15.5" x14ac:dyDescent="0.35">
      <c r="A1094" s="71" t="s">
        <v>27</v>
      </c>
      <c r="B1094" s="71">
        <v>1995</v>
      </c>
      <c r="C1094" s="71">
        <v>70</v>
      </c>
    </row>
    <row r="1095" spans="1:3" ht="15.5" x14ac:dyDescent="0.35">
      <c r="A1095" s="71" t="s">
        <v>27</v>
      </c>
      <c r="B1095" s="71">
        <v>1996</v>
      </c>
      <c r="C1095" s="71">
        <v>70</v>
      </c>
    </row>
    <row r="1096" spans="1:3" ht="15.5" x14ac:dyDescent="0.35">
      <c r="A1096" s="71" t="s">
        <v>27</v>
      </c>
      <c r="B1096" s="71">
        <v>1997</v>
      </c>
      <c r="C1096" s="71">
        <v>70</v>
      </c>
    </row>
    <row r="1097" spans="1:3" ht="15.5" x14ac:dyDescent="0.35">
      <c r="A1097" s="71" t="s">
        <v>27</v>
      </c>
      <c r="B1097" s="71">
        <v>1998</v>
      </c>
      <c r="C1097" s="71">
        <v>70</v>
      </c>
    </row>
    <row r="1098" spans="1:3" ht="15.5" x14ac:dyDescent="0.35">
      <c r="A1098" s="71" t="s">
        <v>27</v>
      </c>
      <c r="B1098" s="71">
        <v>1999</v>
      </c>
      <c r="C1098" s="71">
        <v>70</v>
      </c>
    </row>
    <row r="1099" spans="1:3" ht="15.5" x14ac:dyDescent="0.35">
      <c r="A1099" s="71" t="s">
        <v>27</v>
      </c>
      <c r="B1099" s="71">
        <v>2000</v>
      </c>
      <c r="C1099" s="71">
        <v>70</v>
      </c>
    </row>
    <row r="1100" spans="1:3" ht="15.5" x14ac:dyDescent="0.35">
      <c r="A1100" s="71" t="s">
        <v>27</v>
      </c>
      <c r="B1100" s="71">
        <v>2001</v>
      </c>
      <c r="C1100" s="71">
        <v>70</v>
      </c>
    </row>
    <row r="1101" spans="1:3" ht="15.5" x14ac:dyDescent="0.35">
      <c r="A1101" s="71" t="s">
        <v>27</v>
      </c>
      <c r="B1101" s="71">
        <v>2002</v>
      </c>
      <c r="C1101" s="71">
        <v>70</v>
      </c>
    </row>
    <row r="1102" spans="1:3" ht="15.5" x14ac:dyDescent="0.35">
      <c r="A1102" s="71" t="s">
        <v>27</v>
      </c>
      <c r="B1102" s="71">
        <v>2003</v>
      </c>
      <c r="C1102" s="71">
        <v>70</v>
      </c>
    </row>
    <row r="1103" spans="1:3" ht="15.5" x14ac:dyDescent="0.35">
      <c r="A1103" s="71" t="s">
        <v>27</v>
      </c>
      <c r="B1103" s="71">
        <v>2004</v>
      </c>
      <c r="C1103" s="71">
        <v>70</v>
      </c>
    </row>
    <row r="1104" spans="1:3" ht="15.5" x14ac:dyDescent="0.35">
      <c r="A1104" s="71" t="s">
        <v>27</v>
      </c>
      <c r="B1104" s="71">
        <v>2005</v>
      </c>
      <c r="C1104" s="71">
        <v>70</v>
      </c>
    </row>
    <row r="1105" spans="1:3" ht="15.5" x14ac:dyDescent="0.35">
      <c r="A1105" s="71" t="s">
        <v>27</v>
      </c>
      <c r="B1105" s="71">
        <v>2006</v>
      </c>
      <c r="C1105" s="71">
        <v>70</v>
      </c>
    </row>
    <row r="1106" spans="1:3" ht="15.5" x14ac:dyDescent="0.35">
      <c r="A1106" s="71" t="s">
        <v>27</v>
      </c>
      <c r="B1106" s="71">
        <v>2007</v>
      </c>
      <c r="C1106" s="71">
        <v>70</v>
      </c>
    </row>
    <row r="1107" spans="1:3" ht="15.5" x14ac:dyDescent="0.35">
      <c r="A1107" s="71" t="s">
        <v>27</v>
      </c>
      <c r="B1107" s="71">
        <v>2008</v>
      </c>
      <c r="C1107" s="71">
        <v>70</v>
      </c>
    </row>
    <row r="1108" spans="1:3" ht="15.5" x14ac:dyDescent="0.35">
      <c r="A1108" s="71" t="s">
        <v>27</v>
      </c>
      <c r="B1108" s="71">
        <v>2009</v>
      </c>
      <c r="C1108" s="71">
        <v>70</v>
      </c>
    </row>
    <row r="1109" spans="1:3" ht="15.5" x14ac:dyDescent="0.35">
      <c r="A1109" s="71" t="s">
        <v>27</v>
      </c>
      <c r="B1109" s="71">
        <v>2010</v>
      </c>
      <c r="C1109" s="71">
        <v>70</v>
      </c>
    </row>
    <row r="1110" spans="1:3" ht="15.5" x14ac:dyDescent="0.35">
      <c r="A1110" s="71" t="s">
        <v>27</v>
      </c>
      <c r="B1110" s="71">
        <v>2011</v>
      </c>
      <c r="C1110" s="71">
        <v>70</v>
      </c>
    </row>
    <row r="1111" spans="1:3" ht="15.5" x14ac:dyDescent="0.35">
      <c r="A1111" s="71" t="s">
        <v>27</v>
      </c>
      <c r="B1111" s="71">
        <v>2012</v>
      </c>
      <c r="C1111" s="71">
        <v>70</v>
      </c>
    </row>
    <row r="1112" spans="1:3" ht="15.5" x14ac:dyDescent="0.35">
      <c r="A1112" s="71" t="s">
        <v>27</v>
      </c>
      <c r="B1112" s="71">
        <v>2013</v>
      </c>
      <c r="C1112" s="71">
        <v>70</v>
      </c>
    </row>
    <row r="1113" spans="1:3" ht="15.5" x14ac:dyDescent="0.35">
      <c r="A1113" s="71" t="s">
        <v>27</v>
      </c>
      <c r="B1113" s="71">
        <v>2014</v>
      </c>
      <c r="C1113" s="71">
        <v>70</v>
      </c>
    </row>
    <row r="1114" spans="1:3" ht="15.5" x14ac:dyDescent="0.35">
      <c r="A1114" s="71" t="s">
        <v>27</v>
      </c>
      <c r="B1114" s="71">
        <v>2015</v>
      </c>
      <c r="C1114" s="71">
        <v>70</v>
      </c>
    </row>
    <row r="1115" spans="1:3" ht="15.5" x14ac:dyDescent="0.35">
      <c r="A1115" s="71" t="s">
        <v>27</v>
      </c>
      <c r="B1115" s="71">
        <v>2016</v>
      </c>
      <c r="C1115" s="71">
        <v>70</v>
      </c>
    </row>
    <row r="1116" spans="1:3" ht="15.5" x14ac:dyDescent="0.35">
      <c r="A1116" s="71" t="s">
        <v>27</v>
      </c>
      <c r="B1116" s="71">
        <v>2017</v>
      </c>
      <c r="C1116" s="71">
        <v>70</v>
      </c>
    </row>
    <row r="1117" spans="1:3" ht="15.5" x14ac:dyDescent="0.35">
      <c r="A1117" s="71" t="s">
        <v>27</v>
      </c>
      <c r="B1117" s="71">
        <v>2018</v>
      </c>
      <c r="C1117" s="71">
        <v>70</v>
      </c>
    </row>
    <row r="1118" spans="1:3" ht="15.5" x14ac:dyDescent="0.35">
      <c r="A1118" s="71" t="s">
        <v>27</v>
      </c>
      <c r="B1118" s="71">
        <v>2019</v>
      </c>
      <c r="C1118" s="71">
        <v>70</v>
      </c>
    </row>
    <row r="1119" spans="1:3" ht="15.5" x14ac:dyDescent="0.35">
      <c r="A1119" s="71" t="s">
        <v>27</v>
      </c>
      <c r="B1119" s="71">
        <v>2020</v>
      </c>
      <c r="C1119" s="71">
        <v>70</v>
      </c>
    </row>
    <row r="1120" spans="1:3" ht="15.5" x14ac:dyDescent="0.35">
      <c r="A1120" s="71" t="s">
        <v>27</v>
      </c>
      <c r="B1120" s="71">
        <v>2021</v>
      </c>
      <c r="C1120" s="71">
        <v>70</v>
      </c>
    </row>
    <row r="1121" spans="1:3" ht="15.5" x14ac:dyDescent="0.35">
      <c r="A1121" s="71" t="s">
        <v>27</v>
      </c>
      <c r="B1121" s="71">
        <v>2022</v>
      </c>
      <c r="C1121" s="71">
        <v>70</v>
      </c>
    </row>
    <row r="1122" spans="1:3" ht="15.5" x14ac:dyDescent="0.35">
      <c r="A1122" s="71" t="s">
        <v>28</v>
      </c>
      <c r="B1122" s="71">
        <v>1980</v>
      </c>
      <c r="C1122" s="71">
        <v>70</v>
      </c>
    </row>
    <row r="1123" spans="1:3" ht="15.5" x14ac:dyDescent="0.35">
      <c r="A1123" s="71" t="s">
        <v>28</v>
      </c>
      <c r="B1123" s="71">
        <v>1981</v>
      </c>
      <c r="C1123" s="71">
        <v>70</v>
      </c>
    </row>
    <row r="1124" spans="1:3" ht="15.5" x14ac:dyDescent="0.35">
      <c r="A1124" s="71" t="s">
        <v>28</v>
      </c>
      <c r="B1124" s="71">
        <v>1982</v>
      </c>
      <c r="C1124" s="71">
        <v>70</v>
      </c>
    </row>
    <row r="1125" spans="1:3" ht="15.5" x14ac:dyDescent="0.35">
      <c r="A1125" s="71" t="s">
        <v>28</v>
      </c>
      <c r="B1125" s="71">
        <v>1983</v>
      </c>
      <c r="C1125" s="71">
        <v>70</v>
      </c>
    </row>
    <row r="1126" spans="1:3" ht="15.5" x14ac:dyDescent="0.35">
      <c r="A1126" s="71" t="s">
        <v>28</v>
      </c>
      <c r="B1126" s="71">
        <v>1984</v>
      </c>
      <c r="C1126" s="71">
        <v>70</v>
      </c>
    </row>
    <row r="1127" spans="1:3" ht="15.5" x14ac:dyDescent="0.35">
      <c r="A1127" s="71" t="s">
        <v>28</v>
      </c>
      <c r="B1127" s="71">
        <v>1985</v>
      </c>
      <c r="C1127" s="71">
        <v>70</v>
      </c>
    </row>
    <row r="1128" spans="1:3" ht="15.5" x14ac:dyDescent="0.35">
      <c r="A1128" s="71" t="s">
        <v>28</v>
      </c>
      <c r="B1128" s="71">
        <v>1986</v>
      </c>
      <c r="C1128" s="71">
        <v>70</v>
      </c>
    </row>
    <row r="1129" spans="1:3" ht="15.5" x14ac:dyDescent="0.35">
      <c r="A1129" s="71" t="s">
        <v>28</v>
      </c>
      <c r="B1129" s="71">
        <v>1987</v>
      </c>
      <c r="C1129" s="71">
        <v>70</v>
      </c>
    </row>
    <row r="1130" spans="1:3" ht="15.5" x14ac:dyDescent="0.35">
      <c r="A1130" s="71" t="s">
        <v>28</v>
      </c>
      <c r="B1130" s="71">
        <v>1988</v>
      </c>
      <c r="C1130" s="71">
        <v>70</v>
      </c>
    </row>
    <row r="1131" spans="1:3" ht="15.5" x14ac:dyDescent="0.35">
      <c r="A1131" s="71" t="s">
        <v>28</v>
      </c>
      <c r="B1131" s="71">
        <v>1989</v>
      </c>
      <c r="C1131" s="71">
        <v>70</v>
      </c>
    </row>
    <row r="1132" spans="1:3" ht="15.5" x14ac:dyDescent="0.35">
      <c r="A1132" s="71" t="s">
        <v>28</v>
      </c>
      <c r="B1132" s="71">
        <v>1990</v>
      </c>
      <c r="C1132" s="71">
        <v>70</v>
      </c>
    </row>
    <row r="1133" spans="1:3" ht="15.5" x14ac:dyDescent="0.35">
      <c r="A1133" s="71" t="s">
        <v>28</v>
      </c>
      <c r="B1133" s="71">
        <v>1991</v>
      </c>
      <c r="C1133" s="71">
        <v>70</v>
      </c>
    </row>
    <row r="1134" spans="1:3" ht="15.5" x14ac:dyDescent="0.35">
      <c r="A1134" s="71" t="s">
        <v>28</v>
      </c>
      <c r="B1134" s="71">
        <v>1992</v>
      </c>
      <c r="C1134" s="71">
        <v>70</v>
      </c>
    </row>
    <row r="1135" spans="1:3" ht="15.5" x14ac:dyDescent="0.35">
      <c r="A1135" s="71" t="s">
        <v>28</v>
      </c>
      <c r="B1135" s="71">
        <v>1993</v>
      </c>
      <c r="C1135" s="71">
        <v>70</v>
      </c>
    </row>
    <row r="1136" spans="1:3" ht="15.5" x14ac:dyDescent="0.35">
      <c r="A1136" s="71" t="s">
        <v>28</v>
      </c>
      <c r="B1136" s="71">
        <v>1994</v>
      </c>
      <c r="C1136" s="71">
        <v>70</v>
      </c>
    </row>
    <row r="1137" spans="1:3" ht="15.5" x14ac:dyDescent="0.35">
      <c r="A1137" s="71" t="s">
        <v>28</v>
      </c>
      <c r="B1137" s="71">
        <v>1995</v>
      </c>
      <c r="C1137" s="71">
        <v>70</v>
      </c>
    </row>
    <row r="1138" spans="1:3" ht="15.5" x14ac:dyDescent="0.35">
      <c r="A1138" s="71" t="s">
        <v>28</v>
      </c>
      <c r="B1138" s="71">
        <v>1996</v>
      </c>
      <c r="C1138" s="71">
        <v>70</v>
      </c>
    </row>
    <row r="1139" spans="1:3" ht="15.5" x14ac:dyDescent="0.35">
      <c r="A1139" s="71" t="s">
        <v>28</v>
      </c>
      <c r="B1139" s="71">
        <v>1997</v>
      </c>
      <c r="C1139" s="71">
        <v>70</v>
      </c>
    </row>
    <row r="1140" spans="1:3" ht="15.5" x14ac:dyDescent="0.35">
      <c r="A1140" s="71" t="s">
        <v>28</v>
      </c>
      <c r="B1140" s="71">
        <v>1998</v>
      </c>
      <c r="C1140" s="71">
        <v>70</v>
      </c>
    </row>
    <row r="1141" spans="1:3" ht="15.5" x14ac:dyDescent="0.35">
      <c r="A1141" s="71" t="s">
        <v>28</v>
      </c>
      <c r="B1141" s="71">
        <v>1999</v>
      </c>
      <c r="C1141" s="71">
        <v>70</v>
      </c>
    </row>
    <row r="1142" spans="1:3" ht="15.5" x14ac:dyDescent="0.35">
      <c r="A1142" s="71" t="s">
        <v>28</v>
      </c>
      <c r="B1142" s="71">
        <v>2000</v>
      </c>
      <c r="C1142" s="71">
        <v>70</v>
      </c>
    </row>
    <row r="1143" spans="1:3" ht="15.5" x14ac:dyDescent="0.35">
      <c r="A1143" s="71" t="s">
        <v>28</v>
      </c>
      <c r="B1143" s="71">
        <v>2001</v>
      </c>
      <c r="C1143" s="71">
        <v>70</v>
      </c>
    </row>
    <row r="1144" spans="1:3" ht="15.5" x14ac:dyDescent="0.35">
      <c r="A1144" s="71" t="s">
        <v>28</v>
      </c>
      <c r="B1144" s="71">
        <v>2002</v>
      </c>
      <c r="C1144" s="71">
        <v>70</v>
      </c>
    </row>
    <row r="1145" spans="1:3" ht="15.5" x14ac:dyDescent="0.35">
      <c r="A1145" s="71" t="s">
        <v>28</v>
      </c>
      <c r="B1145" s="71">
        <v>2003</v>
      </c>
      <c r="C1145" s="71">
        <v>70</v>
      </c>
    </row>
    <row r="1146" spans="1:3" ht="15.5" x14ac:dyDescent="0.35">
      <c r="A1146" s="71" t="s">
        <v>28</v>
      </c>
      <c r="B1146" s="71">
        <v>2004</v>
      </c>
      <c r="C1146" s="71">
        <v>70</v>
      </c>
    </row>
    <row r="1147" spans="1:3" ht="15.5" x14ac:dyDescent="0.35">
      <c r="A1147" s="71" t="s">
        <v>28</v>
      </c>
      <c r="B1147" s="71">
        <v>2005</v>
      </c>
      <c r="C1147" s="71">
        <v>70</v>
      </c>
    </row>
    <row r="1148" spans="1:3" ht="15.5" x14ac:dyDescent="0.35">
      <c r="A1148" s="71" t="s">
        <v>28</v>
      </c>
      <c r="B1148" s="71">
        <v>2006</v>
      </c>
      <c r="C1148" s="71">
        <v>70</v>
      </c>
    </row>
    <row r="1149" spans="1:3" ht="15.5" x14ac:dyDescent="0.35">
      <c r="A1149" s="71" t="s">
        <v>28</v>
      </c>
      <c r="B1149" s="71">
        <v>2007</v>
      </c>
      <c r="C1149" s="71">
        <v>70</v>
      </c>
    </row>
    <row r="1150" spans="1:3" ht="15.5" x14ac:dyDescent="0.35">
      <c r="A1150" s="71" t="s">
        <v>28</v>
      </c>
      <c r="B1150" s="71">
        <v>2008</v>
      </c>
      <c r="C1150" s="71">
        <v>70</v>
      </c>
    </row>
    <row r="1151" spans="1:3" ht="15.5" x14ac:dyDescent="0.35">
      <c r="A1151" s="71" t="s">
        <v>28</v>
      </c>
      <c r="B1151" s="71">
        <v>2009</v>
      </c>
      <c r="C1151" s="71">
        <v>70</v>
      </c>
    </row>
    <row r="1152" spans="1:3" ht="15.5" x14ac:dyDescent="0.35">
      <c r="A1152" s="71" t="s">
        <v>28</v>
      </c>
      <c r="B1152" s="71">
        <v>2010</v>
      </c>
      <c r="C1152" s="71">
        <v>70</v>
      </c>
    </row>
    <row r="1153" spans="1:3" ht="15.5" x14ac:dyDescent="0.35">
      <c r="A1153" s="71" t="s">
        <v>28</v>
      </c>
      <c r="B1153" s="71">
        <v>2011</v>
      </c>
      <c r="C1153" s="71">
        <v>70</v>
      </c>
    </row>
    <row r="1154" spans="1:3" ht="15.5" x14ac:dyDescent="0.35">
      <c r="A1154" s="71" t="s">
        <v>28</v>
      </c>
      <c r="B1154" s="71">
        <v>2012</v>
      </c>
      <c r="C1154" s="71">
        <v>70</v>
      </c>
    </row>
    <row r="1155" spans="1:3" ht="15.5" x14ac:dyDescent="0.35">
      <c r="A1155" s="71" t="s">
        <v>28</v>
      </c>
      <c r="B1155" s="71">
        <v>2013</v>
      </c>
      <c r="C1155" s="71">
        <v>70</v>
      </c>
    </row>
    <row r="1156" spans="1:3" ht="15.5" x14ac:dyDescent="0.35">
      <c r="A1156" s="71" t="s">
        <v>28</v>
      </c>
      <c r="B1156" s="71">
        <v>2014</v>
      </c>
      <c r="C1156" s="71">
        <v>70</v>
      </c>
    </row>
    <row r="1157" spans="1:3" ht="15.5" x14ac:dyDescent="0.35">
      <c r="A1157" s="71" t="s">
        <v>28</v>
      </c>
      <c r="B1157" s="71">
        <v>2015</v>
      </c>
      <c r="C1157" s="71">
        <v>70</v>
      </c>
    </row>
    <row r="1158" spans="1:3" ht="15.5" x14ac:dyDescent="0.35">
      <c r="A1158" s="71" t="s">
        <v>28</v>
      </c>
      <c r="B1158" s="71">
        <v>2016</v>
      </c>
      <c r="C1158" s="71">
        <v>70</v>
      </c>
    </row>
    <row r="1159" spans="1:3" ht="15.5" x14ac:dyDescent="0.35">
      <c r="A1159" s="71" t="s">
        <v>28</v>
      </c>
      <c r="B1159" s="71">
        <v>2017</v>
      </c>
      <c r="C1159" s="71">
        <v>70</v>
      </c>
    </row>
    <row r="1160" spans="1:3" ht="15.5" x14ac:dyDescent="0.35">
      <c r="A1160" s="71" t="s">
        <v>28</v>
      </c>
      <c r="B1160" s="71">
        <v>2018</v>
      </c>
      <c r="C1160" s="71">
        <v>70</v>
      </c>
    </row>
    <row r="1161" spans="1:3" ht="15.5" x14ac:dyDescent="0.35">
      <c r="A1161" s="71" t="s">
        <v>28</v>
      </c>
      <c r="B1161" s="71">
        <v>2019</v>
      </c>
      <c r="C1161" s="71">
        <v>70</v>
      </c>
    </row>
    <row r="1162" spans="1:3" ht="15.5" x14ac:dyDescent="0.35">
      <c r="A1162" s="71" t="s">
        <v>28</v>
      </c>
      <c r="B1162" s="71">
        <v>2020</v>
      </c>
      <c r="C1162" s="71">
        <v>70</v>
      </c>
    </row>
    <row r="1163" spans="1:3" ht="15.5" x14ac:dyDescent="0.35">
      <c r="A1163" s="71" t="s">
        <v>28</v>
      </c>
      <c r="B1163" s="71">
        <v>2021</v>
      </c>
      <c r="C1163" s="71">
        <v>70</v>
      </c>
    </row>
    <row r="1164" spans="1:3" ht="15.5" x14ac:dyDescent="0.35">
      <c r="A1164" s="71" t="s">
        <v>28</v>
      </c>
      <c r="B1164" s="71">
        <v>2022</v>
      </c>
      <c r="C1164" s="71">
        <v>70</v>
      </c>
    </row>
    <row r="1165" spans="1:3" ht="15.5" x14ac:dyDescent="0.35">
      <c r="A1165" s="71" t="s">
        <v>29</v>
      </c>
      <c r="B1165" s="71">
        <v>1980</v>
      </c>
      <c r="C1165" s="71">
        <v>70</v>
      </c>
    </row>
    <row r="1166" spans="1:3" ht="15.5" x14ac:dyDescent="0.35">
      <c r="A1166" s="71" t="s">
        <v>29</v>
      </c>
      <c r="B1166" s="71">
        <v>1981</v>
      </c>
      <c r="C1166" s="71">
        <v>70</v>
      </c>
    </row>
    <row r="1167" spans="1:3" ht="15.5" x14ac:dyDescent="0.35">
      <c r="A1167" s="71" t="s">
        <v>29</v>
      </c>
      <c r="B1167" s="71">
        <v>1982</v>
      </c>
      <c r="C1167" s="71">
        <v>70</v>
      </c>
    </row>
    <row r="1168" spans="1:3" ht="15.5" x14ac:dyDescent="0.35">
      <c r="A1168" s="71" t="s">
        <v>29</v>
      </c>
      <c r="B1168" s="71">
        <v>1983</v>
      </c>
      <c r="C1168" s="71">
        <v>70</v>
      </c>
    </row>
    <row r="1169" spans="1:3" ht="15.5" x14ac:dyDescent="0.35">
      <c r="A1169" s="71" t="s">
        <v>29</v>
      </c>
      <c r="B1169" s="71">
        <v>1984</v>
      </c>
      <c r="C1169" s="71">
        <v>70</v>
      </c>
    </row>
    <row r="1170" spans="1:3" ht="15.5" x14ac:dyDescent="0.35">
      <c r="A1170" s="71" t="s">
        <v>29</v>
      </c>
      <c r="B1170" s="71">
        <v>1985</v>
      </c>
      <c r="C1170" s="71">
        <v>70</v>
      </c>
    </row>
    <row r="1171" spans="1:3" ht="15.5" x14ac:dyDescent="0.35">
      <c r="A1171" s="71" t="s">
        <v>29</v>
      </c>
      <c r="B1171" s="71">
        <v>1986</v>
      </c>
      <c r="C1171" s="71">
        <v>70</v>
      </c>
    </row>
    <row r="1172" spans="1:3" ht="15.5" x14ac:dyDescent="0.35">
      <c r="A1172" s="71" t="s">
        <v>29</v>
      </c>
      <c r="B1172" s="71">
        <v>1987</v>
      </c>
      <c r="C1172" s="71">
        <v>70</v>
      </c>
    </row>
    <row r="1173" spans="1:3" ht="15.5" x14ac:dyDescent="0.35">
      <c r="A1173" s="71" t="s">
        <v>29</v>
      </c>
      <c r="B1173" s="71">
        <v>1988</v>
      </c>
      <c r="C1173" s="71">
        <v>70</v>
      </c>
    </row>
    <row r="1174" spans="1:3" ht="15.5" x14ac:dyDescent="0.35">
      <c r="A1174" s="71" t="s">
        <v>29</v>
      </c>
      <c r="B1174" s="71">
        <v>1989</v>
      </c>
      <c r="C1174" s="71">
        <v>70</v>
      </c>
    </row>
    <row r="1175" spans="1:3" ht="15.5" x14ac:dyDescent="0.35">
      <c r="A1175" s="71" t="s">
        <v>29</v>
      </c>
      <c r="B1175" s="71">
        <v>1990</v>
      </c>
      <c r="C1175" s="71">
        <v>70</v>
      </c>
    </row>
    <row r="1176" spans="1:3" ht="15.5" x14ac:dyDescent="0.35">
      <c r="A1176" s="71" t="s">
        <v>29</v>
      </c>
      <c r="B1176" s="71">
        <v>1991</v>
      </c>
      <c r="C1176" s="71">
        <v>70</v>
      </c>
    </row>
    <row r="1177" spans="1:3" ht="15.5" x14ac:dyDescent="0.35">
      <c r="A1177" s="71" t="s">
        <v>29</v>
      </c>
      <c r="B1177" s="71">
        <v>1992</v>
      </c>
      <c r="C1177" s="71">
        <v>70</v>
      </c>
    </row>
    <row r="1178" spans="1:3" ht="15.5" x14ac:dyDescent="0.35">
      <c r="A1178" s="71" t="s">
        <v>29</v>
      </c>
      <c r="B1178" s="71">
        <v>1993</v>
      </c>
      <c r="C1178" s="71">
        <v>70</v>
      </c>
    </row>
    <row r="1179" spans="1:3" ht="15.5" x14ac:dyDescent="0.35">
      <c r="A1179" s="71" t="s">
        <v>29</v>
      </c>
      <c r="B1179" s="71">
        <v>1994</v>
      </c>
      <c r="C1179" s="71">
        <v>70</v>
      </c>
    </row>
    <row r="1180" spans="1:3" ht="15.5" x14ac:dyDescent="0.35">
      <c r="A1180" s="71" t="s">
        <v>29</v>
      </c>
      <c r="B1180" s="71">
        <v>1995</v>
      </c>
      <c r="C1180" s="71">
        <v>70</v>
      </c>
    </row>
    <row r="1181" spans="1:3" ht="15.5" x14ac:dyDescent="0.35">
      <c r="A1181" s="71" t="s">
        <v>29</v>
      </c>
      <c r="B1181" s="71">
        <v>1996</v>
      </c>
      <c r="C1181" s="71">
        <v>70</v>
      </c>
    </row>
    <row r="1182" spans="1:3" ht="15.5" x14ac:dyDescent="0.35">
      <c r="A1182" s="71" t="s">
        <v>29</v>
      </c>
      <c r="B1182" s="71">
        <v>1997</v>
      </c>
      <c r="C1182" s="71">
        <v>70</v>
      </c>
    </row>
    <row r="1183" spans="1:3" ht="15.5" x14ac:dyDescent="0.35">
      <c r="A1183" s="71" t="s">
        <v>29</v>
      </c>
      <c r="B1183" s="71">
        <v>1998</v>
      </c>
      <c r="C1183" s="71">
        <v>70</v>
      </c>
    </row>
    <row r="1184" spans="1:3" ht="15.5" x14ac:dyDescent="0.35">
      <c r="A1184" s="71" t="s">
        <v>29</v>
      </c>
      <c r="B1184" s="71">
        <v>1999</v>
      </c>
      <c r="C1184" s="71">
        <v>70</v>
      </c>
    </row>
    <row r="1185" spans="1:3" ht="15.5" x14ac:dyDescent="0.35">
      <c r="A1185" s="71" t="s">
        <v>29</v>
      </c>
      <c r="B1185" s="71">
        <v>2000</v>
      </c>
      <c r="C1185" s="71">
        <v>70</v>
      </c>
    </row>
    <row r="1186" spans="1:3" ht="15.5" x14ac:dyDescent="0.35">
      <c r="A1186" s="71" t="s">
        <v>29</v>
      </c>
      <c r="B1186" s="71">
        <v>2001</v>
      </c>
      <c r="C1186" s="71">
        <v>70</v>
      </c>
    </row>
    <row r="1187" spans="1:3" ht="15.5" x14ac:dyDescent="0.35">
      <c r="A1187" s="71" t="s">
        <v>29</v>
      </c>
      <c r="B1187" s="71">
        <v>2002</v>
      </c>
      <c r="C1187" s="71">
        <v>70</v>
      </c>
    </row>
    <row r="1188" spans="1:3" ht="15.5" x14ac:dyDescent="0.35">
      <c r="A1188" s="71" t="s">
        <v>29</v>
      </c>
      <c r="B1188" s="71">
        <v>2003</v>
      </c>
      <c r="C1188" s="71">
        <v>70</v>
      </c>
    </row>
    <row r="1189" spans="1:3" ht="15.5" x14ac:dyDescent="0.35">
      <c r="A1189" s="71" t="s">
        <v>29</v>
      </c>
      <c r="B1189" s="71">
        <v>2004</v>
      </c>
      <c r="C1189" s="71">
        <v>70</v>
      </c>
    </row>
    <row r="1190" spans="1:3" ht="15.5" x14ac:dyDescent="0.35">
      <c r="A1190" s="71" t="s">
        <v>29</v>
      </c>
      <c r="B1190" s="71">
        <v>2005</v>
      </c>
      <c r="C1190" s="71">
        <v>70</v>
      </c>
    </row>
    <row r="1191" spans="1:3" ht="15.5" x14ac:dyDescent="0.35">
      <c r="A1191" s="71" t="s">
        <v>29</v>
      </c>
      <c r="B1191" s="71">
        <v>2006</v>
      </c>
      <c r="C1191" s="71">
        <v>70</v>
      </c>
    </row>
    <row r="1192" spans="1:3" ht="15.5" x14ac:dyDescent="0.35">
      <c r="A1192" s="71" t="s">
        <v>29</v>
      </c>
      <c r="B1192" s="71">
        <v>2007</v>
      </c>
      <c r="C1192" s="71">
        <v>70</v>
      </c>
    </row>
    <row r="1193" spans="1:3" ht="15.5" x14ac:dyDescent="0.35">
      <c r="A1193" s="71" t="s">
        <v>29</v>
      </c>
      <c r="B1193" s="71">
        <v>2008</v>
      </c>
      <c r="C1193" s="71">
        <v>70</v>
      </c>
    </row>
    <row r="1194" spans="1:3" ht="15.5" x14ac:dyDescent="0.35">
      <c r="A1194" s="71" t="s">
        <v>29</v>
      </c>
      <c r="B1194" s="71">
        <v>2009</v>
      </c>
      <c r="C1194" s="71">
        <v>70</v>
      </c>
    </row>
    <row r="1195" spans="1:3" ht="15.5" x14ac:dyDescent="0.35">
      <c r="A1195" s="71" t="s">
        <v>29</v>
      </c>
      <c r="B1195" s="71">
        <v>2010</v>
      </c>
      <c r="C1195" s="71">
        <v>70</v>
      </c>
    </row>
    <row r="1196" spans="1:3" ht="15.5" x14ac:dyDescent="0.35">
      <c r="A1196" s="71" t="s">
        <v>29</v>
      </c>
      <c r="B1196" s="71">
        <v>2011</v>
      </c>
      <c r="C1196" s="71">
        <v>70</v>
      </c>
    </row>
    <row r="1197" spans="1:3" ht="15.5" x14ac:dyDescent="0.35">
      <c r="A1197" s="71" t="s">
        <v>29</v>
      </c>
      <c r="B1197" s="71">
        <v>2012</v>
      </c>
      <c r="C1197" s="71">
        <v>70</v>
      </c>
    </row>
    <row r="1198" spans="1:3" ht="15.5" x14ac:dyDescent="0.35">
      <c r="A1198" s="71" t="s">
        <v>29</v>
      </c>
      <c r="B1198" s="71">
        <v>2013</v>
      </c>
      <c r="C1198" s="71">
        <v>70</v>
      </c>
    </row>
    <row r="1199" spans="1:3" ht="15.5" x14ac:dyDescent="0.35">
      <c r="A1199" s="71" t="s">
        <v>29</v>
      </c>
      <c r="B1199" s="71">
        <v>2014</v>
      </c>
      <c r="C1199" s="71">
        <v>70</v>
      </c>
    </row>
    <row r="1200" spans="1:3" ht="15.5" x14ac:dyDescent="0.35">
      <c r="A1200" s="71" t="s">
        <v>29</v>
      </c>
      <c r="B1200" s="71">
        <v>2015</v>
      </c>
      <c r="C1200" s="71">
        <v>70</v>
      </c>
    </row>
    <row r="1201" spans="1:3" ht="15.5" x14ac:dyDescent="0.35">
      <c r="A1201" s="71" t="s">
        <v>29</v>
      </c>
      <c r="B1201" s="71">
        <v>2016</v>
      </c>
      <c r="C1201" s="71">
        <v>70</v>
      </c>
    </row>
    <row r="1202" spans="1:3" ht="15.5" x14ac:dyDescent="0.35">
      <c r="A1202" s="71" t="s">
        <v>29</v>
      </c>
      <c r="B1202" s="71">
        <v>2017</v>
      </c>
      <c r="C1202" s="71">
        <v>70</v>
      </c>
    </row>
    <row r="1203" spans="1:3" ht="15.5" x14ac:dyDescent="0.35">
      <c r="A1203" s="71" t="s">
        <v>29</v>
      </c>
      <c r="B1203" s="71">
        <v>2018</v>
      </c>
      <c r="C1203" s="71">
        <v>70</v>
      </c>
    </row>
    <row r="1204" spans="1:3" ht="15.5" x14ac:dyDescent="0.35">
      <c r="A1204" s="71" t="s">
        <v>29</v>
      </c>
      <c r="B1204" s="71">
        <v>2019</v>
      </c>
      <c r="C1204" s="71">
        <v>70</v>
      </c>
    </row>
    <row r="1205" spans="1:3" ht="15.5" x14ac:dyDescent="0.35">
      <c r="A1205" s="71" t="s">
        <v>29</v>
      </c>
      <c r="B1205" s="71">
        <v>2020</v>
      </c>
      <c r="C1205" s="71">
        <v>70</v>
      </c>
    </row>
    <row r="1206" spans="1:3" ht="15.5" x14ac:dyDescent="0.35">
      <c r="A1206" s="71" t="s">
        <v>29</v>
      </c>
      <c r="B1206" s="71">
        <v>2021</v>
      </c>
      <c r="C1206" s="71">
        <v>70</v>
      </c>
    </row>
    <row r="1207" spans="1:3" ht="15.5" x14ac:dyDescent="0.35">
      <c r="A1207" s="71" t="s">
        <v>29</v>
      </c>
      <c r="B1207" s="71">
        <v>2022</v>
      </c>
      <c r="C1207" s="71">
        <v>70</v>
      </c>
    </row>
    <row r="1208" spans="1:3" ht="15.5" x14ac:dyDescent="0.35">
      <c r="A1208" s="71" t="s">
        <v>30</v>
      </c>
      <c r="B1208" s="71">
        <v>1980</v>
      </c>
      <c r="C1208" s="71">
        <v>70</v>
      </c>
    </row>
    <row r="1209" spans="1:3" ht="15.5" x14ac:dyDescent="0.35">
      <c r="A1209" s="71" t="s">
        <v>30</v>
      </c>
      <c r="B1209" s="71">
        <v>1981</v>
      </c>
      <c r="C1209" s="71">
        <v>70</v>
      </c>
    </row>
    <row r="1210" spans="1:3" ht="15.5" x14ac:dyDescent="0.35">
      <c r="A1210" s="71" t="s">
        <v>30</v>
      </c>
      <c r="B1210" s="71">
        <v>1982</v>
      </c>
      <c r="C1210" s="71">
        <v>70</v>
      </c>
    </row>
    <row r="1211" spans="1:3" ht="15.5" x14ac:dyDescent="0.35">
      <c r="A1211" s="71" t="s">
        <v>30</v>
      </c>
      <c r="B1211" s="71">
        <v>1983</v>
      </c>
      <c r="C1211" s="71">
        <v>70</v>
      </c>
    </row>
    <row r="1212" spans="1:3" ht="15.5" x14ac:dyDescent="0.35">
      <c r="A1212" s="71" t="s">
        <v>30</v>
      </c>
      <c r="B1212" s="71">
        <v>1984</v>
      </c>
      <c r="C1212" s="71">
        <v>70</v>
      </c>
    </row>
    <row r="1213" spans="1:3" ht="15.5" x14ac:dyDescent="0.35">
      <c r="A1213" s="71" t="s">
        <v>30</v>
      </c>
      <c r="B1213" s="71">
        <v>1985</v>
      </c>
      <c r="C1213" s="71">
        <v>70</v>
      </c>
    </row>
    <row r="1214" spans="1:3" ht="15.5" x14ac:dyDescent="0.35">
      <c r="A1214" s="71" t="s">
        <v>30</v>
      </c>
      <c r="B1214" s="71">
        <v>1986</v>
      </c>
      <c r="C1214" s="71">
        <v>70</v>
      </c>
    </row>
    <row r="1215" spans="1:3" ht="15.5" x14ac:dyDescent="0.35">
      <c r="A1215" s="71" t="s">
        <v>30</v>
      </c>
      <c r="B1215" s="71">
        <v>1987</v>
      </c>
      <c r="C1215" s="71">
        <v>70</v>
      </c>
    </row>
    <row r="1216" spans="1:3" ht="15.5" x14ac:dyDescent="0.35">
      <c r="A1216" s="71" t="s">
        <v>30</v>
      </c>
      <c r="B1216" s="71">
        <v>1988</v>
      </c>
      <c r="C1216" s="71">
        <v>70</v>
      </c>
    </row>
    <row r="1217" spans="1:3" ht="15.5" x14ac:dyDescent="0.35">
      <c r="A1217" s="71" t="s">
        <v>30</v>
      </c>
      <c r="B1217" s="71">
        <v>1989</v>
      </c>
      <c r="C1217" s="71">
        <v>70</v>
      </c>
    </row>
    <row r="1218" spans="1:3" ht="15.5" x14ac:dyDescent="0.35">
      <c r="A1218" s="71" t="s">
        <v>30</v>
      </c>
      <c r="B1218" s="71">
        <v>1990</v>
      </c>
      <c r="C1218" s="71">
        <v>70</v>
      </c>
    </row>
    <row r="1219" spans="1:3" ht="15.5" x14ac:dyDescent="0.35">
      <c r="A1219" s="71" t="s">
        <v>30</v>
      </c>
      <c r="B1219" s="71">
        <v>1991</v>
      </c>
      <c r="C1219" s="71">
        <v>70</v>
      </c>
    </row>
    <row r="1220" spans="1:3" ht="15.5" x14ac:dyDescent="0.35">
      <c r="A1220" s="71" t="s">
        <v>30</v>
      </c>
      <c r="B1220" s="71">
        <v>1992</v>
      </c>
      <c r="C1220" s="71">
        <v>70</v>
      </c>
    </row>
    <row r="1221" spans="1:3" ht="15.5" x14ac:dyDescent="0.35">
      <c r="A1221" s="71" t="s">
        <v>30</v>
      </c>
      <c r="B1221" s="71">
        <v>1993</v>
      </c>
      <c r="C1221" s="71">
        <v>70</v>
      </c>
    </row>
    <row r="1222" spans="1:3" ht="15.5" x14ac:dyDescent="0.35">
      <c r="A1222" s="71" t="s">
        <v>30</v>
      </c>
      <c r="B1222" s="71">
        <v>1994</v>
      </c>
      <c r="C1222" s="71">
        <v>70</v>
      </c>
    </row>
    <row r="1223" spans="1:3" ht="15.5" x14ac:dyDescent="0.35">
      <c r="A1223" s="71" t="s">
        <v>30</v>
      </c>
      <c r="B1223" s="71">
        <v>1995</v>
      </c>
      <c r="C1223" s="71">
        <v>70</v>
      </c>
    </row>
    <row r="1224" spans="1:3" ht="15.5" x14ac:dyDescent="0.35">
      <c r="A1224" s="71" t="s">
        <v>30</v>
      </c>
      <c r="B1224" s="71">
        <v>1996</v>
      </c>
      <c r="C1224" s="71">
        <v>70</v>
      </c>
    </row>
    <row r="1225" spans="1:3" ht="15.5" x14ac:dyDescent="0.35">
      <c r="A1225" s="71" t="s">
        <v>30</v>
      </c>
      <c r="B1225" s="71">
        <v>1997</v>
      </c>
      <c r="C1225" s="71">
        <v>70</v>
      </c>
    </row>
    <row r="1226" spans="1:3" ht="15.5" x14ac:dyDescent="0.35">
      <c r="A1226" s="71" t="s">
        <v>30</v>
      </c>
      <c r="B1226" s="71">
        <v>1998</v>
      </c>
      <c r="C1226" s="71">
        <v>70</v>
      </c>
    </row>
    <row r="1227" spans="1:3" ht="15.5" x14ac:dyDescent="0.35">
      <c r="A1227" s="71" t="s">
        <v>30</v>
      </c>
      <c r="B1227" s="71">
        <v>1999</v>
      </c>
      <c r="C1227" s="71">
        <v>70</v>
      </c>
    </row>
    <row r="1228" spans="1:3" ht="15.5" x14ac:dyDescent="0.35">
      <c r="A1228" s="71" t="s">
        <v>30</v>
      </c>
      <c r="B1228" s="71">
        <v>2000</v>
      </c>
      <c r="C1228" s="71">
        <v>70</v>
      </c>
    </row>
    <row r="1229" spans="1:3" ht="15.5" x14ac:dyDescent="0.35">
      <c r="A1229" s="71" t="s">
        <v>30</v>
      </c>
      <c r="B1229" s="71">
        <v>2001</v>
      </c>
      <c r="C1229" s="71">
        <v>70</v>
      </c>
    </row>
    <row r="1230" spans="1:3" ht="15.5" x14ac:dyDescent="0.35">
      <c r="A1230" s="71" t="s">
        <v>30</v>
      </c>
      <c r="B1230" s="71">
        <v>2002</v>
      </c>
      <c r="C1230" s="71">
        <v>70</v>
      </c>
    </row>
    <row r="1231" spans="1:3" ht="15.5" x14ac:dyDescent="0.35">
      <c r="A1231" s="71" t="s">
        <v>30</v>
      </c>
      <c r="B1231" s="71">
        <v>2003</v>
      </c>
      <c r="C1231" s="71">
        <v>70</v>
      </c>
    </row>
    <row r="1232" spans="1:3" ht="15.5" x14ac:dyDescent="0.35">
      <c r="A1232" s="71" t="s">
        <v>30</v>
      </c>
      <c r="B1232" s="71">
        <v>2004</v>
      </c>
      <c r="C1232" s="71">
        <v>70</v>
      </c>
    </row>
    <row r="1233" spans="1:3" ht="15.5" x14ac:dyDescent="0.35">
      <c r="A1233" s="71" t="s">
        <v>30</v>
      </c>
      <c r="B1233" s="71">
        <v>2005</v>
      </c>
      <c r="C1233" s="71">
        <v>70</v>
      </c>
    </row>
    <row r="1234" spans="1:3" ht="15.5" x14ac:dyDescent="0.35">
      <c r="A1234" s="71" t="s">
        <v>30</v>
      </c>
      <c r="B1234" s="71">
        <v>2006</v>
      </c>
      <c r="C1234" s="71">
        <v>70</v>
      </c>
    </row>
    <row r="1235" spans="1:3" ht="15.5" x14ac:dyDescent="0.35">
      <c r="A1235" s="71" t="s">
        <v>30</v>
      </c>
      <c r="B1235" s="71">
        <v>2007</v>
      </c>
      <c r="C1235" s="71">
        <v>70</v>
      </c>
    </row>
    <row r="1236" spans="1:3" ht="15.5" x14ac:dyDescent="0.35">
      <c r="A1236" s="71" t="s">
        <v>30</v>
      </c>
      <c r="B1236" s="71">
        <v>2008</v>
      </c>
      <c r="C1236" s="71">
        <v>70</v>
      </c>
    </row>
    <row r="1237" spans="1:3" ht="15.5" x14ac:dyDescent="0.35">
      <c r="A1237" s="71" t="s">
        <v>30</v>
      </c>
      <c r="B1237" s="71">
        <v>2009</v>
      </c>
      <c r="C1237" s="71">
        <v>70</v>
      </c>
    </row>
    <row r="1238" spans="1:3" ht="15.5" x14ac:dyDescent="0.35">
      <c r="A1238" s="71" t="s">
        <v>30</v>
      </c>
      <c r="B1238" s="71">
        <v>2010</v>
      </c>
      <c r="C1238" s="71">
        <v>70</v>
      </c>
    </row>
    <row r="1239" spans="1:3" ht="15.5" x14ac:dyDescent="0.35">
      <c r="A1239" s="71" t="s">
        <v>30</v>
      </c>
      <c r="B1239" s="71">
        <v>2011</v>
      </c>
      <c r="C1239" s="71">
        <v>70</v>
      </c>
    </row>
    <row r="1240" spans="1:3" ht="15.5" x14ac:dyDescent="0.35">
      <c r="A1240" s="71" t="s">
        <v>30</v>
      </c>
      <c r="B1240" s="71">
        <v>2012</v>
      </c>
      <c r="C1240" s="71">
        <v>70</v>
      </c>
    </row>
    <row r="1241" spans="1:3" ht="15.5" x14ac:dyDescent="0.35">
      <c r="A1241" s="71" t="s">
        <v>30</v>
      </c>
      <c r="B1241" s="71">
        <v>2013</v>
      </c>
      <c r="C1241" s="71">
        <v>70</v>
      </c>
    </row>
    <row r="1242" spans="1:3" ht="15.5" x14ac:dyDescent="0.35">
      <c r="A1242" s="71" t="s">
        <v>30</v>
      </c>
      <c r="B1242" s="71">
        <v>2014</v>
      </c>
      <c r="C1242" s="71">
        <v>70</v>
      </c>
    </row>
    <row r="1243" spans="1:3" ht="15.5" x14ac:dyDescent="0.35">
      <c r="A1243" s="71" t="s">
        <v>30</v>
      </c>
      <c r="B1243" s="71">
        <v>2015</v>
      </c>
      <c r="C1243" s="71">
        <v>70</v>
      </c>
    </row>
    <row r="1244" spans="1:3" ht="15.5" x14ac:dyDescent="0.35">
      <c r="A1244" s="71" t="s">
        <v>30</v>
      </c>
      <c r="B1244" s="71">
        <v>2016</v>
      </c>
      <c r="C1244" s="71">
        <v>70</v>
      </c>
    </row>
    <row r="1245" spans="1:3" ht="15.5" x14ac:dyDescent="0.35">
      <c r="A1245" s="71" t="s">
        <v>30</v>
      </c>
      <c r="B1245" s="71">
        <v>2017</v>
      </c>
      <c r="C1245" s="71">
        <v>70</v>
      </c>
    </row>
    <row r="1246" spans="1:3" ht="15.5" x14ac:dyDescent="0.35">
      <c r="A1246" s="71" t="s">
        <v>30</v>
      </c>
      <c r="B1246" s="71">
        <v>2018</v>
      </c>
      <c r="C1246" s="71">
        <v>70</v>
      </c>
    </row>
    <row r="1247" spans="1:3" ht="15.5" x14ac:dyDescent="0.35">
      <c r="A1247" s="71" t="s">
        <v>30</v>
      </c>
      <c r="B1247" s="71">
        <v>2019</v>
      </c>
      <c r="C1247" s="71">
        <v>70</v>
      </c>
    </row>
    <row r="1248" spans="1:3" ht="15.5" x14ac:dyDescent="0.35">
      <c r="A1248" s="71" t="s">
        <v>30</v>
      </c>
      <c r="B1248" s="71">
        <v>2020</v>
      </c>
      <c r="C1248" s="71">
        <v>70</v>
      </c>
    </row>
    <row r="1249" spans="1:3" ht="15.5" x14ac:dyDescent="0.35">
      <c r="A1249" s="71" t="s">
        <v>30</v>
      </c>
      <c r="B1249" s="71">
        <v>2021</v>
      </c>
      <c r="C1249" s="71">
        <v>70</v>
      </c>
    </row>
    <row r="1250" spans="1:3" ht="15.5" x14ac:dyDescent="0.35">
      <c r="A1250" s="71" t="s">
        <v>30</v>
      </c>
      <c r="B1250" s="71">
        <v>2022</v>
      </c>
      <c r="C1250" s="71">
        <v>70</v>
      </c>
    </row>
    <row r="1251" spans="1:3" ht="15.5" x14ac:dyDescent="0.35">
      <c r="A1251" s="71" t="s">
        <v>31</v>
      </c>
      <c r="B1251" s="71">
        <v>1980</v>
      </c>
      <c r="C1251" s="71">
        <v>70</v>
      </c>
    </row>
    <row r="1252" spans="1:3" ht="15.5" x14ac:dyDescent="0.35">
      <c r="A1252" s="71" t="s">
        <v>31</v>
      </c>
      <c r="B1252" s="71">
        <v>1981</v>
      </c>
      <c r="C1252" s="71">
        <v>70</v>
      </c>
    </row>
    <row r="1253" spans="1:3" ht="15.5" x14ac:dyDescent="0.35">
      <c r="A1253" s="71" t="s">
        <v>31</v>
      </c>
      <c r="B1253" s="71">
        <v>1982</v>
      </c>
      <c r="C1253" s="71">
        <v>70</v>
      </c>
    </row>
    <row r="1254" spans="1:3" ht="15.5" x14ac:dyDescent="0.35">
      <c r="A1254" s="71" t="s">
        <v>31</v>
      </c>
      <c r="B1254" s="71">
        <v>1983</v>
      </c>
      <c r="C1254" s="71">
        <v>70</v>
      </c>
    </row>
    <row r="1255" spans="1:3" ht="15.5" x14ac:dyDescent="0.35">
      <c r="A1255" s="71" t="s">
        <v>31</v>
      </c>
      <c r="B1255" s="71">
        <v>1984</v>
      </c>
      <c r="C1255" s="71">
        <v>70</v>
      </c>
    </row>
    <row r="1256" spans="1:3" ht="15.5" x14ac:dyDescent="0.35">
      <c r="A1256" s="71" t="s">
        <v>31</v>
      </c>
      <c r="B1256" s="71">
        <v>1985</v>
      </c>
      <c r="C1256" s="71">
        <v>70</v>
      </c>
    </row>
    <row r="1257" spans="1:3" ht="15.5" x14ac:dyDescent="0.35">
      <c r="A1257" s="71" t="s">
        <v>31</v>
      </c>
      <c r="B1257" s="71">
        <v>1986</v>
      </c>
      <c r="C1257" s="71">
        <v>70</v>
      </c>
    </row>
    <row r="1258" spans="1:3" ht="15.5" x14ac:dyDescent="0.35">
      <c r="A1258" s="71" t="s">
        <v>31</v>
      </c>
      <c r="B1258" s="71">
        <v>1987</v>
      </c>
      <c r="C1258" s="71">
        <v>70</v>
      </c>
    </row>
    <row r="1259" spans="1:3" ht="15.5" x14ac:dyDescent="0.35">
      <c r="A1259" s="71" t="s">
        <v>31</v>
      </c>
      <c r="B1259" s="71">
        <v>1988</v>
      </c>
      <c r="C1259" s="71">
        <v>70</v>
      </c>
    </row>
    <row r="1260" spans="1:3" ht="15.5" x14ac:dyDescent="0.35">
      <c r="A1260" s="71" t="s">
        <v>31</v>
      </c>
      <c r="B1260" s="71">
        <v>1989</v>
      </c>
      <c r="C1260" s="71">
        <v>70</v>
      </c>
    </row>
    <row r="1261" spans="1:3" ht="15.5" x14ac:dyDescent="0.35">
      <c r="A1261" s="71" t="s">
        <v>31</v>
      </c>
      <c r="B1261" s="71">
        <v>1990</v>
      </c>
      <c r="C1261" s="71">
        <v>70</v>
      </c>
    </row>
    <row r="1262" spans="1:3" ht="15.5" x14ac:dyDescent="0.35">
      <c r="A1262" s="71" t="s">
        <v>31</v>
      </c>
      <c r="B1262" s="71">
        <v>1991</v>
      </c>
      <c r="C1262" s="71">
        <v>70</v>
      </c>
    </row>
    <row r="1263" spans="1:3" ht="15.5" x14ac:dyDescent="0.35">
      <c r="A1263" s="71" t="s">
        <v>31</v>
      </c>
      <c r="B1263" s="71">
        <v>1992</v>
      </c>
      <c r="C1263" s="71">
        <v>70</v>
      </c>
    </row>
    <row r="1264" spans="1:3" ht="15.5" x14ac:dyDescent="0.35">
      <c r="A1264" s="71" t="s">
        <v>31</v>
      </c>
      <c r="B1264" s="71">
        <v>1993</v>
      </c>
      <c r="C1264" s="71">
        <v>70</v>
      </c>
    </row>
    <row r="1265" spans="1:3" ht="15.5" x14ac:dyDescent="0.35">
      <c r="A1265" s="71" t="s">
        <v>31</v>
      </c>
      <c r="B1265" s="71">
        <v>1994</v>
      </c>
      <c r="C1265" s="71">
        <v>70</v>
      </c>
    </row>
    <row r="1266" spans="1:3" ht="15.5" x14ac:dyDescent="0.35">
      <c r="A1266" s="71" t="s">
        <v>31</v>
      </c>
      <c r="B1266" s="71">
        <v>1995</v>
      </c>
      <c r="C1266" s="71">
        <v>70</v>
      </c>
    </row>
    <row r="1267" spans="1:3" ht="15.5" x14ac:dyDescent="0.35">
      <c r="A1267" s="71" t="s">
        <v>31</v>
      </c>
      <c r="B1267" s="71">
        <v>1996</v>
      </c>
      <c r="C1267" s="71">
        <v>70</v>
      </c>
    </row>
    <row r="1268" spans="1:3" ht="15.5" x14ac:dyDescent="0.35">
      <c r="A1268" s="71" t="s">
        <v>31</v>
      </c>
      <c r="B1268" s="71">
        <v>1997</v>
      </c>
      <c r="C1268" s="71">
        <v>70</v>
      </c>
    </row>
    <row r="1269" spans="1:3" ht="15.5" x14ac:dyDescent="0.35">
      <c r="A1269" s="71" t="s">
        <v>31</v>
      </c>
      <c r="B1269" s="71">
        <v>1998</v>
      </c>
      <c r="C1269" s="71">
        <v>70</v>
      </c>
    </row>
    <row r="1270" spans="1:3" ht="15.5" x14ac:dyDescent="0.35">
      <c r="A1270" s="71" t="s">
        <v>31</v>
      </c>
      <c r="B1270" s="71">
        <v>1999</v>
      </c>
      <c r="C1270" s="71">
        <v>70</v>
      </c>
    </row>
    <row r="1271" spans="1:3" ht="15.5" x14ac:dyDescent="0.35">
      <c r="A1271" s="71" t="s">
        <v>31</v>
      </c>
      <c r="B1271" s="71">
        <v>2000</v>
      </c>
      <c r="C1271" s="71">
        <v>70</v>
      </c>
    </row>
    <row r="1272" spans="1:3" ht="15.5" x14ac:dyDescent="0.35">
      <c r="A1272" s="71" t="s">
        <v>31</v>
      </c>
      <c r="B1272" s="71">
        <v>2001</v>
      </c>
      <c r="C1272" s="71">
        <v>70</v>
      </c>
    </row>
    <row r="1273" spans="1:3" ht="15.5" x14ac:dyDescent="0.35">
      <c r="A1273" s="71" t="s">
        <v>31</v>
      </c>
      <c r="B1273" s="71">
        <v>2002</v>
      </c>
      <c r="C1273" s="71">
        <v>70</v>
      </c>
    </row>
    <row r="1274" spans="1:3" ht="15.5" x14ac:dyDescent="0.35">
      <c r="A1274" s="71" t="s">
        <v>31</v>
      </c>
      <c r="B1274" s="71">
        <v>2003</v>
      </c>
      <c r="C1274" s="71">
        <v>70</v>
      </c>
    </row>
    <row r="1275" spans="1:3" ht="15.5" x14ac:dyDescent="0.35">
      <c r="A1275" s="71" t="s">
        <v>31</v>
      </c>
      <c r="B1275" s="71">
        <v>2004</v>
      </c>
      <c r="C1275" s="71">
        <v>70</v>
      </c>
    </row>
    <row r="1276" spans="1:3" ht="15.5" x14ac:dyDescent="0.35">
      <c r="A1276" s="71" t="s">
        <v>31</v>
      </c>
      <c r="B1276" s="71">
        <v>2005</v>
      </c>
      <c r="C1276" s="71">
        <v>70</v>
      </c>
    </row>
    <row r="1277" spans="1:3" ht="15.5" x14ac:dyDescent="0.35">
      <c r="A1277" s="71" t="s">
        <v>31</v>
      </c>
      <c r="B1277" s="71">
        <v>2006</v>
      </c>
      <c r="C1277" s="71">
        <v>70</v>
      </c>
    </row>
    <row r="1278" spans="1:3" ht="15.5" x14ac:dyDescent="0.35">
      <c r="A1278" s="71" t="s">
        <v>31</v>
      </c>
      <c r="B1278" s="71">
        <v>2007</v>
      </c>
      <c r="C1278" s="71">
        <v>70</v>
      </c>
    </row>
    <row r="1279" spans="1:3" ht="15.5" x14ac:dyDescent="0.35">
      <c r="A1279" s="71" t="s">
        <v>31</v>
      </c>
      <c r="B1279" s="71">
        <v>2008</v>
      </c>
      <c r="C1279" s="71">
        <v>70</v>
      </c>
    </row>
    <row r="1280" spans="1:3" ht="15.5" x14ac:dyDescent="0.35">
      <c r="A1280" s="71" t="s">
        <v>31</v>
      </c>
      <c r="B1280" s="71">
        <v>2009</v>
      </c>
      <c r="C1280" s="71">
        <v>70</v>
      </c>
    </row>
    <row r="1281" spans="1:3" ht="15.5" x14ac:dyDescent="0.35">
      <c r="A1281" s="71" t="s">
        <v>31</v>
      </c>
      <c r="B1281" s="71">
        <v>2010</v>
      </c>
      <c r="C1281" s="71">
        <v>70</v>
      </c>
    </row>
    <row r="1282" spans="1:3" ht="15.5" x14ac:dyDescent="0.35">
      <c r="A1282" s="71" t="s">
        <v>31</v>
      </c>
      <c r="B1282" s="71">
        <v>2011</v>
      </c>
      <c r="C1282" s="71">
        <v>70</v>
      </c>
    </row>
    <row r="1283" spans="1:3" ht="15.5" x14ac:dyDescent="0.35">
      <c r="A1283" s="71" t="s">
        <v>31</v>
      </c>
      <c r="B1283" s="71">
        <v>2012</v>
      </c>
      <c r="C1283" s="71">
        <v>70</v>
      </c>
    </row>
    <row r="1284" spans="1:3" ht="15.5" x14ac:dyDescent="0.35">
      <c r="A1284" s="71" t="s">
        <v>31</v>
      </c>
      <c r="B1284" s="71">
        <v>2013</v>
      </c>
      <c r="C1284" s="71">
        <v>70</v>
      </c>
    </row>
    <row r="1285" spans="1:3" ht="15.5" x14ac:dyDescent="0.35">
      <c r="A1285" s="71" t="s">
        <v>31</v>
      </c>
      <c r="B1285" s="71">
        <v>2014</v>
      </c>
      <c r="C1285" s="71">
        <v>70</v>
      </c>
    </row>
    <row r="1286" spans="1:3" ht="15.5" x14ac:dyDescent="0.35">
      <c r="A1286" s="71" t="s">
        <v>31</v>
      </c>
      <c r="B1286" s="71">
        <v>2015</v>
      </c>
      <c r="C1286" s="71">
        <v>70</v>
      </c>
    </row>
    <row r="1287" spans="1:3" ht="15.5" x14ac:dyDescent="0.35">
      <c r="A1287" s="71" t="s">
        <v>31</v>
      </c>
      <c r="B1287" s="71">
        <v>2016</v>
      </c>
      <c r="C1287" s="71">
        <v>70</v>
      </c>
    </row>
    <row r="1288" spans="1:3" ht="15.5" x14ac:dyDescent="0.35">
      <c r="A1288" s="71" t="s">
        <v>31</v>
      </c>
      <c r="B1288" s="71">
        <v>2017</v>
      </c>
      <c r="C1288" s="71">
        <v>70</v>
      </c>
    </row>
    <row r="1289" spans="1:3" ht="15.5" x14ac:dyDescent="0.35">
      <c r="A1289" s="71" t="s">
        <v>31</v>
      </c>
      <c r="B1289" s="71">
        <v>2018</v>
      </c>
      <c r="C1289" s="71">
        <v>70</v>
      </c>
    </row>
    <row r="1290" spans="1:3" ht="15.5" x14ac:dyDescent="0.35">
      <c r="A1290" s="71" t="s">
        <v>31</v>
      </c>
      <c r="B1290" s="71">
        <v>2019</v>
      </c>
      <c r="C1290" s="71">
        <v>70</v>
      </c>
    </row>
    <row r="1291" spans="1:3" ht="15.5" x14ac:dyDescent="0.35">
      <c r="A1291" s="71" t="s">
        <v>31</v>
      </c>
      <c r="B1291" s="71">
        <v>2020</v>
      </c>
      <c r="C1291" s="71">
        <v>70</v>
      </c>
    </row>
    <row r="1292" spans="1:3" ht="15.5" x14ac:dyDescent="0.35">
      <c r="A1292" s="71" t="s">
        <v>31</v>
      </c>
      <c r="B1292" s="71">
        <v>2021</v>
      </c>
      <c r="C1292" s="71">
        <v>70</v>
      </c>
    </row>
    <row r="1293" spans="1:3" ht="15.5" x14ac:dyDescent="0.35">
      <c r="A1293" s="71" t="s">
        <v>31</v>
      </c>
      <c r="B1293" s="71">
        <v>2022</v>
      </c>
      <c r="C1293" s="71">
        <v>70</v>
      </c>
    </row>
    <row r="1294" spans="1:3" ht="15.5" x14ac:dyDescent="0.35">
      <c r="A1294" s="71" t="s">
        <v>32</v>
      </c>
      <c r="B1294" s="71">
        <v>1980</v>
      </c>
      <c r="C1294" s="71">
        <v>70</v>
      </c>
    </row>
    <row r="1295" spans="1:3" ht="15.5" x14ac:dyDescent="0.35">
      <c r="A1295" s="71" t="s">
        <v>32</v>
      </c>
      <c r="B1295" s="71">
        <v>1981</v>
      </c>
      <c r="C1295" s="71">
        <v>70</v>
      </c>
    </row>
    <row r="1296" spans="1:3" ht="15.5" x14ac:dyDescent="0.35">
      <c r="A1296" s="71" t="s">
        <v>32</v>
      </c>
      <c r="B1296" s="71">
        <v>1982</v>
      </c>
      <c r="C1296" s="71">
        <v>70</v>
      </c>
    </row>
    <row r="1297" spans="1:3" ht="15.5" x14ac:dyDescent="0.35">
      <c r="A1297" s="71" t="s">
        <v>32</v>
      </c>
      <c r="B1297" s="71">
        <v>1983</v>
      </c>
      <c r="C1297" s="71">
        <v>70</v>
      </c>
    </row>
    <row r="1298" spans="1:3" ht="15.5" x14ac:dyDescent="0.35">
      <c r="A1298" s="71" t="s">
        <v>32</v>
      </c>
      <c r="B1298" s="71">
        <v>1984</v>
      </c>
      <c r="C1298" s="71">
        <v>70</v>
      </c>
    </row>
    <row r="1299" spans="1:3" ht="15.5" x14ac:dyDescent="0.35">
      <c r="A1299" s="71" t="s">
        <v>32</v>
      </c>
      <c r="B1299" s="71">
        <v>1985</v>
      </c>
      <c r="C1299" s="71">
        <v>70</v>
      </c>
    </row>
    <row r="1300" spans="1:3" ht="15.5" x14ac:dyDescent="0.35">
      <c r="A1300" s="71" t="s">
        <v>32</v>
      </c>
      <c r="B1300" s="71">
        <v>1986</v>
      </c>
      <c r="C1300" s="71">
        <v>70</v>
      </c>
    </row>
    <row r="1301" spans="1:3" ht="15.5" x14ac:dyDescent="0.35">
      <c r="A1301" s="71" t="s">
        <v>32</v>
      </c>
      <c r="B1301" s="71">
        <v>1987</v>
      </c>
      <c r="C1301" s="71">
        <v>70</v>
      </c>
    </row>
    <row r="1302" spans="1:3" ht="15.5" x14ac:dyDescent="0.35">
      <c r="A1302" s="71" t="s">
        <v>32</v>
      </c>
      <c r="B1302" s="71">
        <v>1988</v>
      </c>
      <c r="C1302" s="71">
        <v>70</v>
      </c>
    </row>
    <row r="1303" spans="1:3" ht="15.5" x14ac:dyDescent="0.35">
      <c r="A1303" s="71" t="s">
        <v>32</v>
      </c>
      <c r="B1303" s="71">
        <v>1989</v>
      </c>
      <c r="C1303" s="71">
        <v>70</v>
      </c>
    </row>
    <row r="1304" spans="1:3" ht="15.5" x14ac:dyDescent="0.35">
      <c r="A1304" s="71" t="s">
        <v>32</v>
      </c>
      <c r="B1304" s="71">
        <v>1990</v>
      </c>
      <c r="C1304" s="71">
        <v>70</v>
      </c>
    </row>
    <row r="1305" spans="1:3" ht="15.5" x14ac:dyDescent="0.35">
      <c r="A1305" s="71" t="s">
        <v>32</v>
      </c>
      <c r="B1305" s="71">
        <v>1991</v>
      </c>
      <c r="C1305" s="71">
        <v>70</v>
      </c>
    </row>
    <row r="1306" spans="1:3" ht="15.5" x14ac:dyDescent="0.35">
      <c r="A1306" s="71" t="s">
        <v>32</v>
      </c>
      <c r="B1306" s="71">
        <v>1992</v>
      </c>
      <c r="C1306" s="71">
        <v>70</v>
      </c>
    </row>
    <row r="1307" spans="1:3" ht="15.5" x14ac:dyDescent="0.35">
      <c r="A1307" s="71" t="s">
        <v>32</v>
      </c>
      <c r="B1307" s="71">
        <v>1993</v>
      </c>
      <c r="C1307" s="71">
        <v>70</v>
      </c>
    </row>
    <row r="1308" spans="1:3" ht="15.5" x14ac:dyDescent="0.35">
      <c r="A1308" s="71" t="s">
        <v>32</v>
      </c>
      <c r="B1308" s="71">
        <v>1994</v>
      </c>
      <c r="C1308" s="71">
        <v>70</v>
      </c>
    </row>
    <row r="1309" spans="1:3" ht="15.5" x14ac:dyDescent="0.35">
      <c r="A1309" s="71" t="s">
        <v>32</v>
      </c>
      <c r="B1309" s="71">
        <v>1995</v>
      </c>
      <c r="C1309" s="71">
        <v>70</v>
      </c>
    </row>
    <row r="1310" spans="1:3" ht="15.5" x14ac:dyDescent="0.35">
      <c r="A1310" s="71" t="s">
        <v>32</v>
      </c>
      <c r="B1310" s="71">
        <v>1996</v>
      </c>
      <c r="C1310" s="71">
        <v>70</v>
      </c>
    </row>
    <row r="1311" spans="1:3" ht="15.5" x14ac:dyDescent="0.35">
      <c r="A1311" s="71" t="s">
        <v>32</v>
      </c>
      <c r="B1311" s="71">
        <v>1997</v>
      </c>
      <c r="C1311" s="71">
        <v>70</v>
      </c>
    </row>
    <row r="1312" spans="1:3" ht="15.5" x14ac:dyDescent="0.35">
      <c r="A1312" s="71" t="s">
        <v>32</v>
      </c>
      <c r="B1312" s="71">
        <v>1998</v>
      </c>
      <c r="C1312" s="71">
        <v>70</v>
      </c>
    </row>
    <row r="1313" spans="1:3" ht="15.5" x14ac:dyDescent="0.35">
      <c r="A1313" s="71" t="s">
        <v>32</v>
      </c>
      <c r="B1313" s="71">
        <v>1999</v>
      </c>
      <c r="C1313" s="71">
        <v>70</v>
      </c>
    </row>
    <row r="1314" spans="1:3" ht="15.5" x14ac:dyDescent="0.35">
      <c r="A1314" s="71" t="s">
        <v>32</v>
      </c>
      <c r="B1314" s="71">
        <v>2000</v>
      </c>
      <c r="C1314" s="71">
        <v>70</v>
      </c>
    </row>
    <row r="1315" spans="1:3" ht="15.5" x14ac:dyDescent="0.35">
      <c r="A1315" s="71" t="s">
        <v>32</v>
      </c>
      <c r="B1315" s="71">
        <v>2001</v>
      </c>
      <c r="C1315" s="71">
        <v>70</v>
      </c>
    </row>
    <row r="1316" spans="1:3" ht="15.5" x14ac:dyDescent="0.35">
      <c r="A1316" s="71" t="s">
        <v>32</v>
      </c>
      <c r="B1316" s="71">
        <v>2002</v>
      </c>
      <c r="C1316" s="71">
        <v>70</v>
      </c>
    </row>
    <row r="1317" spans="1:3" ht="15.5" x14ac:dyDescent="0.35">
      <c r="A1317" s="71" t="s">
        <v>32</v>
      </c>
      <c r="B1317" s="71">
        <v>2003</v>
      </c>
      <c r="C1317" s="71">
        <v>70</v>
      </c>
    </row>
    <row r="1318" spans="1:3" ht="15.5" x14ac:dyDescent="0.35">
      <c r="A1318" s="71" t="s">
        <v>32</v>
      </c>
      <c r="B1318" s="71">
        <v>2004</v>
      </c>
      <c r="C1318" s="71">
        <v>70</v>
      </c>
    </row>
    <row r="1319" spans="1:3" ht="15.5" x14ac:dyDescent="0.35">
      <c r="A1319" s="71" t="s">
        <v>32</v>
      </c>
      <c r="B1319" s="71">
        <v>2005</v>
      </c>
      <c r="C1319" s="71">
        <v>70</v>
      </c>
    </row>
    <row r="1320" spans="1:3" ht="15.5" x14ac:dyDescent="0.35">
      <c r="A1320" s="71" t="s">
        <v>32</v>
      </c>
      <c r="B1320" s="71">
        <v>2006</v>
      </c>
      <c r="C1320" s="71">
        <v>70</v>
      </c>
    </row>
    <row r="1321" spans="1:3" ht="15.5" x14ac:dyDescent="0.35">
      <c r="A1321" s="71" t="s">
        <v>32</v>
      </c>
      <c r="B1321" s="71">
        <v>2007</v>
      </c>
      <c r="C1321" s="71">
        <v>70</v>
      </c>
    </row>
    <row r="1322" spans="1:3" ht="15.5" x14ac:dyDescent="0.35">
      <c r="A1322" s="71" t="s">
        <v>32</v>
      </c>
      <c r="B1322" s="71">
        <v>2008</v>
      </c>
      <c r="C1322" s="71">
        <v>70</v>
      </c>
    </row>
    <row r="1323" spans="1:3" ht="15.5" x14ac:dyDescent="0.35">
      <c r="A1323" s="71" t="s">
        <v>32</v>
      </c>
      <c r="B1323" s="71">
        <v>2009</v>
      </c>
      <c r="C1323" s="71">
        <v>70</v>
      </c>
    </row>
    <row r="1324" spans="1:3" ht="15.5" x14ac:dyDescent="0.35">
      <c r="A1324" s="71" t="s">
        <v>32</v>
      </c>
      <c r="B1324" s="71">
        <v>2010</v>
      </c>
      <c r="C1324" s="71">
        <v>70</v>
      </c>
    </row>
    <row r="1325" spans="1:3" ht="15.5" x14ac:dyDescent="0.35">
      <c r="A1325" s="71" t="s">
        <v>32</v>
      </c>
      <c r="B1325" s="71">
        <v>2011</v>
      </c>
      <c r="C1325" s="71">
        <v>70</v>
      </c>
    </row>
    <row r="1326" spans="1:3" ht="15.5" x14ac:dyDescent="0.35">
      <c r="A1326" s="71" t="s">
        <v>32</v>
      </c>
      <c r="B1326" s="71">
        <v>2012</v>
      </c>
      <c r="C1326" s="71">
        <v>70</v>
      </c>
    </row>
    <row r="1327" spans="1:3" ht="15.5" x14ac:dyDescent="0.35">
      <c r="A1327" s="71" t="s">
        <v>32</v>
      </c>
      <c r="B1327" s="71">
        <v>2013</v>
      </c>
      <c r="C1327" s="71">
        <v>70</v>
      </c>
    </row>
    <row r="1328" spans="1:3" ht="15.5" x14ac:dyDescent="0.35">
      <c r="A1328" s="71" t="s">
        <v>32</v>
      </c>
      <c r="B1328" s="71">
        <v>2014</v>
      </c>
      <c r="C1328" s="71">
        <v>70</v>
      </c>
    </row>
    <row r="1329" spans="1:3" ht="15.5" x14ac:dyDescent="0.35">
      <c r="A1329" s="71" t="s">
        <v>32</v>
      </c>
      <c r="B1329" s="71">
        <v>2015</v>
      </c>
      <c r="C1329" s="71">
        <v>70</v>
      </c>
    </row>
    <row r="1330" spans="1:3" ht="15.5" x14ac:dyDescent="0.35">
      <c r="A1330" s="71" t="s">
        <v>32</v>
      </c>
      <c r="B1330" s="71">
        <v>2016</v>
      </c>
      <c r="C1330" s="71">
        <v>70</v>
      </c>
    </row>
    <row r="1331" spans="1:3" ht="15.5" x14ac:dyDescent="0.35">
      <c r="A1331" s="71" t="s">
        <v>32</v>
      </c>
      <c r="B1331" s="71">
        <v>2017</v>
      </c>
      <c r="C1331" s="71">
        <v>70</v>
      </c>
    </row>
    <row r="1332" spans="1:3" ht="15.5" x14ac:dyDescent="0.35">
      <c r="A1332" s="71" t="s">
        <v>32</v>
      </c>
      <c r="B1332" s="71">
        <v>2018</v>
      </c>
      <c r="C1332" s="71">
        <v>70</v>
      </c>
    </row>
    <row r="1333" spans="1:3" ht="15.5" x14ac:dyDescent="0.35">
      <c r="A1333" s="71" t="s">
        <v>32</v>
      </c>
      <c r="B1333" s="71">
        <v>2019</v>
      </c>
      <c r="C1333" s="71">
        <v>70</v>
      </c>
    </row>
    <row r="1334" spans="1:3" ht="15.5" x14ac:dyDescent="0.35">
      <c r="A1334" s="71" t="s">
        <v>32</v>
      </c>
      <c r="B1334" s="71">
        <v>2020</v>
      </c>
      <c r="C1334" s="71">
        <v>70</v>
      </c>
    </row>
    <row r="1335" spans="1:3" ht="15.5" x14ac:dyDescent="0.35">
      <c r="A1335" s="71" t="s">
        <v>32</v>
      </c>
      <c r="B1335" s="71">
        <v>2021</v>
      </c>
      <c r="C1335" s="71">
        <v>70</v>
      </c>
    </row>
    <row r="1336" spans="1:3" ht="15.5" x14ac:dyDescent="0.35">
      <c r="A1336" s="71" t="s">
        <v>32</v>
      </c>
      <c r="B1336" s="71">
        <v>2022</v>
      </c>
      <c r="C1336" s="71">
        <v>70</v>
      </c>
    </row>
    <row r="1337" spans="1:3" ht="15.5" x14ac:dyDescent="0.35">
      <c r="A1337" s="71" t="s">
        <v>33</v>
      </c>
      <c r="B1337" s="71">
        <v>1980</v>
      </c>
      <c r="C1337" s="71">
        <v>70</v>
      </c>
    </row>
    <row r="1338" spans="1:3" ht="15.5" x14ac:dyDescent="0.35">
      <c r="A1338" s="71" t="s">
        <v>33</v>
      </c>
      <c r="B1338" s="71">
        <v>1981</v>
      </c>
      <c r="C1338" s="71">
        <v>70</v>
      </c>
    </row>
    <row r="1339" spans="1:3" ht="15.5" x14ac:dyDescent="0.35">
      <c r="A1339" s="71" t="s">
        <v>33</v>
      </c>
      <c r="B1339" s="71">
        <v>1982</v>
      </c>
      <c r="C1339" s="71">
        <v>70</v>
      </c>
    </row>
    <row r="1340" spans="1:3" ht="15.5" x14ac:dyDescent="0.35">
      <c r="A1340" s="71" t="s">
        <v>33</v>
      </c>
      <c r="B1340" s="71">
        <v>1983</v>
      </c>
      <c r="C1340" s="71">
        <v>70</v>
      </c>
    </row>
    <row r="1341" spans="1:3" ht="15.5" x14ac:dyDescent="0.35">
      <c r="A1341" s="71" t="s">
        <v>33</v>
      </c>
      <c r="B1341" s="71">
        <v>1984</v>
      </c>
      <c r="C1341" s="71">
        <v>70</v>
      </c>
    </row>
    <row r="1342" spans="1:3" ht="15.5" x14ac:dyDescent="0.35">
      <c r="A1342" s="71" t="s">
        <v>33</v>
      </c>
      <c r="B1342" s="71">
        <v>1985</v>
      </c>
      <c r="C1342" s="71">
        <v>70</v>
      </c>
    </row>
    <row r="1343" spans="1:3" ht="15.5" x14ac:dyDescent="0.35">
      <c r="A1343" s="71" t="s">
        <v>33</v>
      </c>
      <c r="B1343" s="71">
        <v>1986</v>
      </c>
      <c r="C1343" s="71">
        <v>70</v>
      </c>
    </row>
    <row r="1344" spans="1:3" ht="15.5" x14ac:dyDescent="0.35">
      <c r="A1344" s="71" t="s">
        <v>33</v>
      </c>
      <c r="B1344" s="71">
        <v>1987</v>
      </c>
      <c r="C1344" s="71">
        <v>70</v>
      </c>
    </row>
    <row r="1345" spans="1:3" ht="15.5" x14ac:dyDescent="0.35">
      <c r="A1345" s="71" t="s">
        <v>33</v>
      </c>
      <c r="B1345" s="71">
        <v>1988</v>
      </c>
      <c r="C1345" s="71">
        <v>70</v>
      </c>
    </row>
    <row r="1346" spans="1:3" ht="15.5" x14ac:dyDescent="0.35">
      <c r="A1346" s="71" t="s">
        <v>33</v>
      </c>
      <c r="B1346" s="71">
        <v>1989</v>
      </c>
      <c r="C1346" s="71">
        <v>70</v>
      </c>
    </row>
    <row r="1347" spans="1:3" ht="15.5" x14ac:dyDescent="0.35">
      <c r="A1347" s="71" t="s">
        <v>33</v>
      </c>
      <c r="B1347" s="71">
        <v>1990</v>
      </c>
      <c r="C1347" s="71">
        <v>70</v>
      </c>
    </row>
    <row r="1348" spans="1:3" ht="15.5" x14ac:dyDescent="0.35">
      <c r="A1348" s="71" t="s">
        <v>33</v>
      </c>
      <c r="B1348" s="71">
        <v>1991</v>
      </c>
      <c r="C1348" s="71">
        <v>70</v>
      </c>
    </row>
    <row r="1349" spans="1:3" ht="15.5" x14ac:dyDescent="0.35">
      <c r="A1349" s="71" t="s">
        <v>33</v>
      </c>
      <c r="B1349" s="71">
        <v>1992</v>
      </c>
      <c r="C1349" s="71">
        <v>70</v>
      </c>
    </row>
    <row r="1350" spans="1:3" ht="15.5" x14ac:dyDescent="0.35">
      <c r="A1350" s="71" t="s">
        <v>33</v>
      </c>
      <c r="B1350" s="71">
        <v>1993</v>
      </c>
      <c r="C1350" s="71">
        <v>70</v>
      </c>
    </row>
    <row r="1351" spans="1:3" ht="15.5" x14ac:dyDescent="0.35">
      <c r="A1351" s="71" t="s">
        <v>33</v>
      </c>
      <c r="B1351" s="71">
        <v>1994</v>
      </c>
      <c r="C1351" s="71">
        <v>70</v>
      </c>
    </row>
    <row r="1352" spans="1:3" ht="15.5" x14ac:dyDescent="0.35">
      <c r="A1352" s="71" t="s">
        <v>33</v>
      </c>
      <c r="B1352" s="71">
        <v>1995</v>
      </c>
      <c r="C1352" s="71">
        <v>70</v>
      </c>
    </row>
    <row r="1353" spans="1:3" ht="15.5" x14ac:dyDescent="0.35">
      <c r="A1353" s="71" t="s">
        <v>33</v>
      </c>
      <c r="B1353" s="71">
        <v>1996</v>
      </c>
      <c r="C1353" s="71">
        <v>70</v>
      </c>
    </row>
    <row r="1354" spans="1:3" ht="15.5" x14ac:dyDescent="0.35">
      <c r="A1354" s="71" t="s">
        <v>33</v>
      </c>
      <c r="B1354" s="71">
        <v>1997</v>
      </c>
      <c r="C1354" s="71">
        <v>70</v>
      </c>
    </row>
    <row r="1355" spans="1:3" ht="15.5" x14ac:dyDescent="0.35">
      <c r="A1355" s="71" t="s">
        <v>33</v>
      </c>
      <c r="B1355" s="71">
        <v>1998</v>
      </c>
      <c r="C1355" s="71">
        <v>70</v>
      </c>
    </row>
    <row r="1356" spans="1:3" ht="15.5" x14ac:dyDescent="0.35">
      <c r="A1356" s="71" t="s">
        <v>33</v>
      </c>
      <c r="B1356" s="71">
        <v>1999</v>
      </c>
      <c r="C1356" s="71">
        <v>70</v>
      </c>
    </row>
    <row r="1357" spans="1:3" ht="15.5" x14ac:dyDescent="0.35">
      <c r="A1357" s="71" t="s">
        <v>33</v>
      </c>
      <c r="B1357" s="71">
        <v>2000</v>
      </c>
      <c r="C1357" s="71">
        <v>70</v>
      </c>
    </row>
    <row r="1358" spans="1:3" ht="15.5" x14ac:dyDescent="0.35">
      <c r="A1358" s="71" t="s">
        <v>33</v>
      </c>
      <c r="B1358" s="71">
        <v>2001</v>
      </c>
      <c r="C1358" s="71">
        <v>70</v>
      </c>
    </row>
    <row r="1359" spans="1:3" ht="15.5" x14ac:dyDescent="0.35">
      <c r="A1359" s="71" t="s">
        <v>33</v>
      </c>
      <c r="B1359" s="71">
        <v>2002</v>
      </c>
      <c r="C1359" s="71">
        <v>70</v>
      </c>
    </row>
    <row r="1360" spans="1:3" ht="15.5" x14ac:dyDescent="0.35">
      <c r="A1360" s="71" t="s">
        <v>33</v>
      </c>
      <c r="B1360" s="71">
        <v>2003</v>
      </c>
      <c r="C1360" s="71">
        <v>70</v>
      </c>
    </row>
    <row r="1361" spans="1:3" ht="15.5" x14ac:dyDescent="0.35">
      <c r="A1361" s="71" t="s">
        <v>33</v>
      </c>
      <c r="B1361" s="71">
        <v>2004</v>
      </c>
      <c r="C1361" s="71">
        <v>70</v>
      </c>
    </row>
    <row r="1362" spans="1:3" ht="15.5" x14ac:dyDescent="0.35">
      <c r="A1362" s="71" t="s">
        <v>33</v>
      </c>
      <c r="B1362" s="71">
        <v>2005</v>
      </c>
      <c r="C1362" s="71">
        <v>70</v>
      </c>
    </row>
    <row r="1363" spans="1:3" ht="15.5" x14ac:dyDescent="0.35">
      <c r="A1363" s="71" t="s">
        <v>33</v>
      </c>
      <c r="B1363" s="71">
        <v>2006</v>
      </c>
      <c r="C1363" s="71">
        <v>70</v>
      </c>
    </row>
    <row r="1364" spans="1:3" ht="15.5" x14ac:dyDescent="0.35">
      <c r="A1364" s="71" t="s">
        <v>33</v>
      </c>
      <c r="B1364" s="71">
        <v>2007</v>
      </c>
      <c r="C1364" s="71">
        <v>70</v>
      </c>
    </row>
    <row r="1365" spans="1:3" ht="15.5" x14ac:dyDescent="0.35">
      <c r="A1365" s="71" t="s">
        <v>33</v>
      </c>
      <c r="B1365" s="71">
        <v>2008</v>
      </c>
      <c r="C1365" s="71">
        <v>70</v>
      </c>
    </row>
    <row r="1366" spans="1:3" ht="15.5" x14ac:dyDescent="0.35">
      <c r="A1366" s="71" t="s">
        <v>33</v>
      </c>
      <c r="B1366" s="71">
        <v>2009</v>
      </c>
      <c r="C1366" s="71">
        <v>70</v>
      </c>
    </row>
    <row r="1367" spans="1:3" ht="15.5" x14ac:dyDescent="0.35">
      <c r="A1367" s="71" t="s">
        <v>33</v>
      </c>
      <c r="B1367" s="71">
        <v>2010</v>
      </c>
      <c r="C1367" s="71">
        <v>70</v>
      </c>
    </row>
    <row r="1368" spans="1:3" ht="15.5" x14ac:dyDescent="0.35">
      <c r="A1368" s="71" t="s">
        <v>33</v>
      </c>
      <c r="B1368" s="71">
        <v>2011</v>
      </c>
      <c r="C1368" s="71">
        <v>70</v>
      </c>
    </row>
    <row r="1369" spans="1:3" ht="15.5" x14ac:dyDescent="0.35">
      <c r="A1369" s="71" t="s">
        <v>33</v>
      </c>
      <c r="B1369" s="71">
        <v>2012</v>
      </c>
      <c r="C1369" s="71">
        <v>70</v>
      </c>
    </row>
    <row r="1370" spans="1:3" ht="15.5" x14ac:dyDescent="0.35">
      <c r="A1370" s="71" t="s">
        <v>33</v>
      </c>
      <c r="B1370" s="71">
        <v>2013</v>
      </c>
      <c r="C1370" s="71">
        <v>70</v>
      </c>
    </row>
    <row r="1371" spans="1:3" ht="15.5" x14ac:dyDescent="0.35">
      <c r="A1371" s="71" t="s">
        <v>33</v>
      </c>
      <c r="B1371" s="71">
        <v>2014</v>
      </c>
      <c r="C1371" s="71">
        <v>70</v>
      </c>
    </row>
    <row r="1372" spans="1:3" ht="15.5" x14ac:dyDescent="0.35">
      <c r="A1372" s="71" t="s">
        <v>33</v>
      </c>
      <c r="B1372" s="71">
        <v>2015</v>
      </c>
      <c r="C1372" s="71">
        <v>70</v>
      </c>
    </row>
    <row r="1373" spans="1:3" ht="15.5" x14ac:dyDescent="0.35">
      <c r="A1373" s="71" t="s">
        <v>33</v>
      </c>
      <c r="B1373" s="71">
        <v>2016</v>
      </c>
      <c r="C1373" s="71">
        <v>70</v>
      </c>
    </row>
    <row r="1374" spans="1:3" ht="15.5" x14ac:dyDescent="0.35">
      <c r="A1374" s="71" t="s">
        <v>33</v>
      </c>
      <c r="B1374" s="71">
        <v>2017</v>
      </c>
      <c r="C1374" s="71">
        <v>70</v>
      </c>
    </row>
    <row r="1375" spans="1:3" ht="15.5" x14ac:dyDescent="0.35">
      <c r="A1375" s="71" t="s">
        <v>33</v>
      </c>
      <c r="B1375" s="71">
        <v>2018</v>
      </c>
      <c r="C1375" s="71">
        <v>70</v>
      </c>
    </row>
    <row r="1376" spans="1:3" ht="15.5" x14ac:dyDescent="0.35">
      <c r="A1376" s="71" t="s">
        <v>33</v>
      </c>
      <c r="B1376" s="71">
        <v>2019</v>
      </c>
      <c r="C1376" s="71">
        <v>70</v>
      </c>
    </row>
    <row r="1377" spans="1:3" ht="15.5" x14ac:dyDescent="0.35">
      <c r="A1377" s="71" t="s">
        <v>33</v>
      </c>
      <c r="B1377" s="71">
        <v>2020</v>
      </c>
      <c r="C1377" s="71">
        <v>70</v>
      </c>
    </row>
    <row r="1378" spans="1:3" ht="15.5" x14ac:dyDescent="0.35">
      <c r="A1378" s="71" t="s">
        <v>33</v>
      </c>
      <c r="B1378" s="71">
        <v>2021</v>
      </c>
      <c r="C1378" s="71">
        <v>70</v>
      </c>
    </row>
    <row r="1379" spans="1:3" ht="15.5" x14ac:dyDescent="0.35">
      <c r="A1379" s="71" t="s">
        <v>33</v>
      </c>
      <c r="B1379" s="71">
        <v>2022</v>
      </c>
      <c r="C1379" s="71">
        <v>70</v>
      </c>
    </row>
    <row r="1380" spans="1:3" ht="15.5" x14ac:dyDescent="0.35">
      <c r="A1380" s="71" t="s">
        <v>34</v>
      </c>
      <c r="B1380" s="71">
        <v>1980</v>
      </c>
      <c r="C1380" s="71">
        <v>70</v>
      </c>
    </row>
    <row r="1381" spans="1:3" ht="15.5" x14ac:dyDescent="0.35">
      <c r="A1381" s="71" t="s">
        <v>34</v>
      </c>
      <c r="B1381" s="71">
        <v>1981</v>
      </c>
      <c r="C1381" s="71">
        <v>70</v>
      </c>
    </row>
    <row r="1382" spans="1:3" ht="15.5" x14ac:dyDescent="0.35">
      <c r="A1382" s="71" t="s">
        <v>34</v>
      </c>
      <c r="B1382" s="71">
        <v>1982</v>
      </c>
      <c r="C1382" s="71">
        <v>70</v>
      </c>
    </row>
    <row r="1383" spans="1:3" ht="15.5" x14ac:dyDescent="0.35">
      <c r="A1383" s="71" t="s">
        <v>34</v>
      </c>
      <c r="B1383" s="71">
        <v>1983</v>
      </c>
      <c r="C1383" s="71">
        <v>70</v>
      </c>
    </row>
    <row r="1384" spans="1:3" ht="15.5" x14ac:dyDescent="0.35">
      <c r="A1384" s="71" t="s">
        <v>34</v>
      </c>
      <c r="B1384" s="71">
        <v>1984</v>
      </c>
      <c r="C1384" s="71">
        <v>70</v>
      </c>
    </row>
    <row r="1385" spans="1:3" ht="15.5" x14ac:dyDescent="0.35">
      <c r="A1385" s="71" t="s">
        <v>34</v>
      </c>
      <c r="B1385" s="71">
        <v>1985</v>
      </c>
      <c r="C1385" s="71">
        <v>70</v>
      </c>
    </row>
    <row r="1386" spans="1:3" ht="15.5" x14ac:dyDescent="0.35">
      <c r="A1386" s="71" t="s">
        <v>34</v>
      </c>
      <c r="B1386" s="71">
        <v>1986</v>
      </c>
      <c r="C1386" s="71">
        <v>70</v>
      </c>
    </row>
    <row r="1387" spans="1:3" ht="15.5" x14ac:dyDescent="0.35">
      <c r="A1387" s="71" t="s">
        <v>34</v>
      </c>
      <c r="B1387" s="71">
        <v>1987</v>
      </c>
      <c r="C1387" s="71">
        <v>70</v>
      </c>
    </row>
    <row r="1388" spans="1:3" ht="15.5" x14ac:dyDescent="0.35">
      <c r="A1388" s="71" t="s">
        <v>34</v>
      </c>
      <c r="B1388" s="71">
        <v>1988</v>
      </c>
      <c r="C1388" s="71">
        <v>70</v>
      </c>
    </row>
    <row r="1389" spans="1:3" ht="15.5" x14ac:dyDescent="0.35">
      <c r="A1389" s="71" t="s">
        <v>34</v>
      </c>
      <c r="B1389" s="71">
        <v>1989</v>
      </c>
      <c r="C1389" s="71">
        <v>70</v>
      </c>
    </row>
    <row r="1390" spans="1:3" ht="15.5" x14ac:dyDescent="0.35">
      <c r="A1390" s="71" t="s">
        <v>34</v>
      </c>
      <c r="B1390" s="71">
        <v>1990</v>
      </c>
      <c r="C1390" s="71">
        <v>70</v>
      </c>
    </row>
    <row r="1391" spans="1:3" ht="15.5" x14ac:dyDescent="0.35">
      <c r="A1391" s="71" t="s">
        <v>34</v>
      </c>
      <c r="B1391" s="71">
        <v>1991</v>
      </c>
      <c r="C1391" s="71">
        <v>70</v>
      </c>
    </row>
    <row r="1392" spans="1:3" ht="15.5" x14ac:dyDescent="0.35">
      <c r="A1392" s="71" t="s">
        <v>34</v>
      </c>
      <c r="B1392" s="71">
        <v>1992</v>
      </c>
      <c r="C1392" s="71">
        <v>70</v>
      </c>
    </row>
    <row r="1393" spans="1:3" ht="15.5" x14ac:dyDescent="0.35">
      <c r="A1393" s="71" t="s">
        <v>34</v>
      </c>
      <c r="B1393" s="71">
        <v>1993</v>
      </c>
      <c r="C1393" s="71">
        <v>70</v>
      </c>
    </row>
    <row r="1394" spans="1:3" ht="15.5" x14ac:dyDescent="0.35">
      <c r="A1394" s="71" t="s">
        <v>34</v>
      </c>
      <c r="B1394" s="71">
        <v>1994</v>
      </c>
      <c r="C1394" s="71">
        <v>70</v>
      </c>
    </row>
    <row r="1395" spans="1:3" ht="15.5" x14ac:dyDescent="0.35">
      <c r="A1395" s="71" t="s">
        <v>34</v>
      </c>
      <c r="B1395" s="71">
        <v>1995</v>
      </c>
      <c r="C1395" s="71">
        <v>70</v>
      </c>
    </row>
    <row r="1396" spans="1:3" ht="15.5" x14ac:dyDescent="0.35">
      <c r="A1396" s="71" t="s">
        <v>34</v>
      </c>
      <c r="B1396" s="71">
        <v>1996</v>
      </c>
      <c r="C1396" s="71">
        <v>70</v>
      </c>
    </row>
    <row r="1397" spans="1:3" ht="15.5" x14ac:dyDescent="0.35">
      <c r="A1397" s="71" t="s">
        <v>34</v>
      </c>
      <c r="B1397" s="71">
        <v>1997</v>
      </c>
      <c r="C1397" s="71">
        <v>70</v>
      </c>
    </row>
    <row r="1398" spans="1:3" ht="15.5" x14ac:dyDescent="0.35">
      <c r="A1398" s="71" t="s">
        <v>34</v>
      </c>
      <c r="B1398" s="71">
        <v>1998</v>
      </c>
      <c r="C1398" s="71">
        <v>70</v>
      </c>
    </row>
    <row r="1399" spans="1:3" ht="15.5" x14ac:dyDescent="0.35">
      <c r="A1399" s="71" t="s">
        <v>34</v>
      </c>
      <c r="B1399" s="71">
        <v>1999</v>
      </c>
      <c r="C1399" s="71">
        <v>70</v>
      </c>
    </row>
    <row r="1400" spans="1:3" ht="15.5" x14ac:dyDescent="0.35">
      <c r="A1400" s="71" t="s">
        <v>34</v>
      </c>
      <c r="B1400" s="71">
        <v>2000</v>
      </c>
      <c r="C1400" s="71">
        <v>70</v>
      </c>
    </row>
    <row r="1401" spans="1:3" ht="15.5" x14ac:dyDescent="0.35">
      <c r="A1401" s="71" t="s">
        <v>34</v>
      </c>
      <c r="B1401" s="71">
        <v>2001</v>
      </c>
      <c r="C1401" s="71">
        <v>70</v>
      </c>
    </row>
    <row r="1402" spans="1:3" ht="15.5" x14ac:dyDescent="0.35">
      <c r="A1402" s="71" t="s">
        <v>34</v>
      </c>
      <c r="B1402" s="71">
        <v>2002</v>
      </c>
      <c r="C1402" s="71">
        <v>70</v>
      </c>
    </row>
    <row r="1403" spans="1:3" ht="15.5" x14ac:dyDescent="0.35">
      <c r="A1403" s="71" t="s">
        <v>34</v>
      </c>
      <c r="B1403" s="71">
        <v>2003</v>
      </c>
      <c r="C1403" s="71">
        <v>70</v>
      </c>
    </row>
    <row r="1404" spans="1:3" ht="15.5" x14ac:dyDescent="0.35">
      <c r="A1404" s="71" t="s">
        <v>34</v>
      </c>
      <c r="B1404" s="71">
        <v>2004</v>
      </c>
      <c r="C1404" s="71">
        <v>70</v>
      </c>
    </row>
    <row r="1405" spans="1:3" ht="15.5" x14ac:dyDescent="0.35">
      <c r="A1405" s="71" t="s">
        <v>34</v>
      </c>
      <c r="B1405" s="71">
        <v>2005</v>
      </c>
      <c r="C1405" s="71">
        <v>70</v>
      </c>
    </row>
    <row r="1406" spans="1:3" ht="15.5" x14ac:dyDescent="0.35">
      <c r="A1406" s="71" t="s">
        <v>34</v>
      </c>
      <c r="B1406" s="71">
        <v>2006</v>
      </c>
      <c r="C1406" s="71">
        <v>70</v>
      </c>
    </row>
    <row r="1407" spans="1:3" ht="15.5" x14ac:dyDescent="0.35">
      <c r="A1407" s="71" t="s">
        <v>34</v>
      </c>
      <c r="B1407" s="71">
        <v>2007</v>
      </c>
      <c r="C1407" s="71">
        <v>70</v>
      </c>
    </row>
    <row r="1408" spans="1:3" ht="15.5" x14ac:dyDescent="0.35">
      <c r="A1408" s="71" t="s">
        <v>34</v>
      </c>
      <c r="B1408" s="71">
        <v>2008</v>
      </c>
      <c r="C1408" s="71">
        <v>70</v>
      </c>
    </row>
    <row r="1409" spans="1:3" ht="15.5" x14ac:dyDescent="0.35">
      <c r="A1409" s="71" t="s">
        <v>34</v>
      </c>
      <c r="B1409" s="71">
        <v>2009</v>
      </c>
      <c r="C1409" s="71">
        <v>70</v>
      </c>
    </row>
    <row r="1410" spans="1:3" ht="15.5" x14ac:dyDescent="0.35">
      <c r="A1410" s="71" t="s">
        <v>34</v>
      </c>
      <c r="B1410" s="71">
        <v>2010</v>
      </c>
      <c r="C1410" s="71">
        <v>70</v>
      </c>
    </row>
    <row r="1411" spans="1:3" ht="15.5" x14ac:dyDescent="0.35">
      <c r="A1411" s="71" t="s">
        <v>34</v>
      </c>
      <c r="B1411" s="71">
        <v>2011</v>
      </c>
      <c r="C1411" s="71">
        <v>70</v>
      </c>
    </row>
    <row r="1412" spans="1:3" ht="15.5" x14ac:dyDescent="0.35">
      <c r="A1412" s="71" t="s">
        <v>34</v>
      </c>
      <c r="B1412" s="71">
        <v>2012</v>
      </c>
      <c r="C1412" s="71">
        <v>70</v>
      </c>
    </row>
    <row r="1413" spans="1:3" ht="15.5" x14ac:dyDescent="0.35">
      <c r="A1413" s="71" t="s">
        <v>34</v>
      </c>
      <c r="B1413" s="71">
        <v>2013</v>
      </c>
      <c r="C1413" s="71">
        <v>70</v>
      </c>
    </row>
    <row r="1414" spans="1:3" ht="15.5" x14ac:dyDescent="0.35">
      <c r="A1414" s="71" t="s">
        <v>34</v>
      </c>
      <c r="B1414" s="71">
        <v>2014</v>
      </c>
      <c r="C1414" s="71">
        <v>70</v>
      </c>
    </row>
    <row r="1415" spans="1:3" ht="15.5" x14ac:dyDescent="0.35">
      <c r="A1415" s="71" t="s">
        <v>34</v>
      </c>
      <c r="B1415" s="71">
        <v>2015</v>
      </c>
      <c r="C1415" s="71">
        <v>70</v>
      </c>
    </row>
    <row r="1416" spans="1:3" ht="15.5" x14ac:dyDescent="0.35">
      <c r="A1416" s="71" t="s">
        <v>34</v>
      </c>
      <c r="B1416" s="71">
        <v>2016</v>
      </c>
      <c r="C1416" s="71">
        <v>70</v>
      </c>
    </row>
    <row r="1417" spans="1:3" ht="15.5" x14ac:dyDescent="0.35">
      <c r="A1417" s="71" t="s">
        <v>34</v>
      </c>
      <c r="B1417" s="71">
        <v>2017</v>
      </c>
      <c r="C1417" s="71">
        <v>70</v>
      </c>
    </row>
    <row r="1418" spans="1:3" ht="15.5" x14ac:dyDescent="0.35">
      <c r="A1418" s="71" t="s">
        <v>34</v>
      </c>
      <c r="B1418" s="71">
        <v>2018</v>
      </c>
      <c r="C1418" s="71">
        <v>70</v>
      </c>
    </row>
    <row r="1419" spans="1:3" ht="15.5" x14ac:dyDescent="0.35">
      <c r="A1419" s="71" t="s">
        <v>34</v>
      </c>
      <c r="B1419" s="71">
        <v>2019</v>
      </c>
      <c r="C1419" s="71">
        <v>70</v>
      </c>
    </row>
    <row r="1420" spans="1:3" ht="15.5" x14ac:dyDescent="0.35">
      <c r="A1420" s="71" t="s">
        <v>34</v>
      </c>
      <c r="B1420" s="71">
        <v>2020</v>
      </c>
      <c r="C1420" s="71">
        <v>70</v>
      </c>
    </row>
    <row r="1421" spans="1:3" ht="15.5" x14ac:dyDescent="0.35">
      <c r="A1421" s="71" t="s">
        <v>34</v>
      </c>
      <c r="B1421" s="71">
        <v>2021</v>
      </c>
      <c r="C1421" s="71">
        <v>70</v>
      </c>
    </row>
    <row r="1422" spans="1:3" ht="15.5" x14ac:dyDescent="0.35">
      <c r="A1422" s="71" t="s">
        <v>34</v>
      </c>
      <c r="B1422" s="71">
        <v>2022</v>
      </c>
      <c r="C1422" s="71">
        <v>70</v>
      </c>
    </row>
    <row r="1423" spans="1:3" ht="15.5" x14ac:dyDescent="0.35">
      <c r="A1423" s="71" t="s">
        <v>35</v>
      </c>
      <c r="B1423" s="71">
        <v>1980</v>
      </c>
      <c r="C1423" s="71">
        <v>70</v>
      </c>
    </row>
    <row r="1424" spans="1:3" ht="15.5" x14ac:dyDescent="0.35">
      <c r="A1424" s="71" t="s">
        <v>35</v>
      </c>
      <c r="B1424" s="71">
        <v>1981</v>
      </c>
      <c r="C1424" s="71">
        <v>70</v>
      </c>
    </row>
    <row r="1425" spans="1:3" ht="15.5" x14ac:dyDescent="0.35">
      <c r="A1425" s="71" t="s">
        <v>35</v>
      </c>
      <c r="B1425" s="71">
        <v>1982</v>
      </c>
      <c r="C1425" s="71">
        <v>70</v>
      </c>
    </row>
    <row r="1426" spans="1:3" ht="15.5" x14ac:dyDescent="0.35">
      <c r="A1426" s="71" t="s">
        <v>35</v>
      </c>
      <c r="B1426" s="71">
        <v>1983</v>
      </c>
      <c r="C1426" s="71">
        <v>70</v>
      </c>
    </row>
    <row r="1427" spans="1:3" ht="15.5" x14ac:dyDescent="0.35">
      <c r="A1427" s="71" t="s">
        <v>35</v>
      </c>
      <c r="B1427" s="71">
        <v>1984</v>
      </c>
      <c r="C1427" s="71">
        <v>70</v>
      </c>
    </row>
    <row r="1428" spans="1:3" ht="15.5" x14ac:dyDescent="0.35">
      <c r="A1428" s="71" t="s">
        <v>35</v>
      </c>
      <c r="B1428" s="71">
        <v>1985</v>
      </c>
      <c r="C1428" s="71">
        <v>70</v>
      </c>
    </row>
    <row r="1429" spans="1:3" ht="15.5" x14ac:dyDescent="0.35">
      <c r="A1429" s="71" t="s">
        <v>35</v>
      </c>
      <c r="B1429" s="71">
        <v>1986</v>
      </c>
      <c r="C1429" s="71">
        <v>70</v>
      </c>
    </row>
    <row r="1430" spans="1:3" ht="15.5" x14ac:dyDescent="0.35">
      <c r="A1430" s="71" t="s">
        <v>35</v>
      </c>
      <c r="B1430" s="71">
        <v>1987</v>
      </c>
      <c r="C1430" s="71">
        <v>70</v>
      </c>
    </row>
    <row r="1431" spans="1:3" ht="15.5" x14ac:dyDescent="0.35">
      <c r="A1431" s="71" t="s">
        <v>35</v>
      </c>
      <c r="B1431" s="71">
        <v>1988</v>
      </c>
      <c r="C1431" s="71">
        <v>70</v>
      </c>
    </row>
    <row r="1432" spans="1:3" ht="15.5" x14ac:dyDescent="0.35">
      <c r="A1432" s="71" t="s">
        <v>35</v>
      </c>
      <c r="B1432" s="71">
        <v>1989</v>
      </c>
      <c r="C1432" s="71">
        <v>70</v>
      </c>
    </row>
    <row r="1433" spans="1:3" ht="15.5" x14ac:dyDescent="0.35">
      <c r="A1433" s="71" t="s">
        <v>35</v>
      </c>
      <c r="B1433" s="71">
        <v>1990</v>
      </c>
      <c r="C1433" s="71">
        <v>70</v>
      </c>
    </row>
    <row r="1434" spans="1:3" ht="15.5" x14ac:dyDescent="0.35">
      <c r="A1434" s="71" t="s">
        <v>35</v>
      </c>
      <c r="B1434" s="71">
        <v>1991</v>
      </c>
      <c r="C1434" s="71">
        <v>70</v>
      </c>
    </row>
    <row r="1435" spans="1:3" ht="15.5" x14ac:dyDescent="0.35">
      <c r="A1435" s="71" t="s">
        <v>35</v>
      </c>
      <c r="B1435" s="71">
        <v>1992</v>
      </c>
      <c r="C1435" s="71">
        <v>70</v>
      </c>
    </row>
    <row r="1436" spans="1:3" ht="15.5" x14ac:dyDescent="0.35">
      <c r="A1436" s="71" t="s">
        <v>35</v>
      </c>
      <c r="B1436" s="71">
        <v>1993</v>
      </c>
      <c r="C1436" s="71">
        <v>70</v>
      </c>
    </row>
    <row r="1437" spans="1:3" ht="15.5" x14ac:dyDescent="0.35">
      <c r="A1437" s="71" t="s">
        <v>35</v>
      </c>
      <c r="B1437" s="71">
        <v>1994</v>
      </c>
      <c r="C1437" s="71">
        <v>70</v>
      </c>
    </row>
    <row r="1438" spans="1:3" ht="15.5" x14ac:dyDescent="0.35">
      <c r="A1438" s="71" t="s">
        <v>35</v>
      </c>
      <c r="B1438" s="71">
        <v>1995</v>
      </c>
      <c r="C1438" s="71">
        <v>70</v>
      </c>
    </row>
    <row r="1439" spans="1:3" ht="15.5" x14ac:dyDescent="0.35">
      <c r="A1439" s="71" t="s">
        <v>35</v>
      </c>
      <c r="B1439" s="71">
        <v>1996</v>
      </c>
      <c r="C1439" s="71">
        <v>70</v>
      </c>
    </row>
    <row r="1440" spans="1:3" ht="15.5" x14ac:dyDescent="0.35">
      <c r="A1440" s="71" t="s">
        <v>35</v>
      </c>
      <c r="B1440" s="71">
        <v>1997</v>
      </c>
      <c r="C1440" s="71">
        <v>70</v>
      </c>
    </row>
    <row r="1441" spans="1:3" ht="15.5" x14ac:dyDescent="0.35">
      <c r="A1441" s="71" t="s">
        <v>35</v>
      </c>
      <c r="B1441" s="71">
        <v>1998</v>
      </c>
      <c r="C1441" s="71">
        <v>70</v>
      </c>
    </row>
    <row r="1442" spans="1:3" ht="15.5" x14ac:dyDescent="0.35">
      <c r="A1442" s="71" t="s">
        <v>35</v>
      </c>
      <c r="B1442" s="71">
        <v>1999</v>
      </c>
      <c r="C1442" s="71">
        <v>70</v>
      </c>
    </row>
    <row r="1443" spans="1:3" ht="15.5" x14ac:dyDescent="0.35">
      <c r="A1443" s="71" t="s">
        <v>35</v>
      </c>
      <c r="B1443" s="71">
        <v>2000</v>
      </c>
      <c r="C1443" s="71">
        <v>70</v>
      </c>
    </row>
    <row r="1444" spans="1:3" ht="15.5" x14ac:dyDescent="0.35">
      <c r="A1444" s="71" t="s">
        <v>35</v>
      </c>
      <c r="B1444" s="71">
        <v>2001</v>
      </c>
      <c r="C1444" s="71">
        <v>70</v>
      </c>
    </row>
    <row r="1445" spans="1:3" ht="15.5" x14ac:dyDescent="0.35">
      <c r="A1445" s="71" t="s">
        <v>35</v>
      </c>
      <c r="B1445" s="71">
        <v>2002</v>
      </c>
      <c r="C1445" s="71">
        <v>70</v>
      </c>
    </row>
    <row r="1446" spans="1:3" ht="15.5" x14ac:dyDescent="0.35">
      <c r="A1446" s="71" t="s">
        <v>35</v>
      </c>
      <c r="B1446" s="71">
        <v>2003</v>
      </c>
      <c r="C1446" s="71">
        <v>70</v>
      </c>
    </row>
    <row r="1447" spans="1:3" ht="15.5" x14ac:dyDescent="0.35">
      <c r="A1447" s="71" t="s">
        <v>35</v>
      </c>
      <c r="B1447" s="71">
        <v>2004</v>
      </c>
      <c r="C1447" s="71">
        <v>70</v>
      </c>
    </row>
    <row r="1448" spans="1:3" ht="15.5" x14ac:dyDescent="0.35">
      <c r="A1448" s="71" t="s">
        <v>35</v>
      </c>
      <c r="B1448" s="71">
        <v>2005</v>
      </c>
      <c r="C1448" s="71">
        <v>70</v>
      </c>
    </row>
    <row r="1449" spans="1:3" ht="15.5" x14ac:dyDescent="0.35">
      <c r="A1449" s="71" t="s">
        <v>35</v>
      </c>
      <c r="B1449" s="71">
        <v>2006</v>
      </c>
      <c r="C1449" s="71">
        <v>70</v>
      </c>
    </row>
    <row r="1450" spans="1:3" ht="15.5" x14ac:dyDescent="0.35">
      <c r="A1450" s="71" t="s">
        <v>35</v>
      </c>
      <c r="B1450" s="71">
        <v>2007</v>
      </c>
      <c r="C1450" s="71">
        <v>70</v>
      </c>
    </row>
    <row r="1451" spans="1:3" ht="15.5" x14ac:dyDescent="0.35">
      <c r="A1451" s="71" t="s">
        <v>35</v>
      </c>
      <c r="B1451" s="71">
        <v>2008</v>
      </c>
      <c r="C1451" s="71">
        <v>70</v>
      </c>
    </row>
    <row r="1452" spans="1:3" ht="15.5" x14ac:dyDescent="0.35">
      <c r="A1452" s="71" t="s">
        <v>35</v>
      </c>
      <c r="B1452" s="71">
        <v>2009</v>
      </c>
      <c r="C1452" s="71">
        <v>70</v>
      </c>
    </row>
    <row r="1453" spans="1:3" ht="15.5" x14ac:dyDescent="0.35">
      <c r="A1453" s="71" t="s">
        <v>35</v>
      </c>
      <c r="B1453" s="71">
        <v>2010</v>
      </c>
      <c r="C1453" s="71">
        <v>70</v>
      </c>
    </row>
    <row r="1454" spans="1:3" ht="15.5" x14ac:dyDescent="0.35">
      <c r="A1454" s="71" t="s">
        <v>35</v>
      </c>
      <c r="B1454" s="71">
        <v>2011</v>
      </c>
      <c r="C1454" s="71">
        <v>70</v>
      </c>
    </row>
    <row r="1455" spans="1:3" ht="15.5" x14ac:dyDescent="0.35">
      <c r="A1455" s="71" t="s">
        <v>35</v>
      </c>
      <c r="B1455" s="71">
        <v>2012</v>
      </c>
      <c r="C1455" s="71">
        <v>70</v>
      </c>
    </row>
    <row r="1456" spans="1:3" ht="15.5" x14ac:dyDescent="0.35">
      <c r="A1456" s="71" t="s">
        <v>35</v>
      </c>
      <c r="B1456" s="71">
        <v>2013</v>
      </c>
      <c r="C1456" s="71">
        <v>70</v>
      </c>
    </row>
    <row r="1457" spans="1:3" ht="15.5" x14ac:dyDescent="0.35">
      <c r="A1457" s="71" t="s">
        <v>35</v>
      </c>
      <c r="B1457" s="71">
        <v>2014</v>
      </c>
      <c r="C1457" s="71">
        <v>70</v>
      </c>
    </row>
    <row r="1458" spans="1:3" ht="15.5" x14ac:dyDescent="0.35">
      <c r="A1458" s="71" t="s">
        <v>35</v>
      </c>
      <c r="B1458" s="71">
        <v>2015</v>
      </c>
      <c r="C1458" s="71">
        <v>70</v>
      </c>
    </row>
    <row r="1459" spans="1:3" ht="15.5" x14ac:dyDescent="0.35">
      <c r="A1459" s="71" t="s">
        <v>35</v>
      </c>
      <c r="B1459" s="71">
        <v>2016</v>
      </c>
      <c r="C1459" s="71">
        <v>70</v>
      </c>
    </row>
    <row r="1460" spans="1:3" ht="15.5" x14ac:dyDescent="0.35">
      <c r="A1460" s="71" t="s">
        <v>35</v>
      </c>
      <c r="B1460" s="71">
        <v>2017</v>
      </c>
      <c r="C1460" s="71">
        <v>70</v>
      </c>
    </row>
    <row r="1461" spans="1:3" ht="15.5" x14ac:dyDescent="0.35">
      <c r="A1461" s="71" t="s">
        <v>35</v>
      </c>
      <c r="B1461" s="71">
        <v>2018</v>
      </c>
      <c r="C1461" s="71">
        <v>70</v>
      </c>
    </row>
    <row r="1462" spans="1:3" ht="15.5" x14ac:dyDescent="0.35">
      <c r="A1462" s="71" t="s">
        <v>35</v>
      </c>
      <c r="B1462" s="71">
        <v>2019</v>
      </c>
      <c r="C1462" s="71">
        <v>70</v>
      </c>
    </row>
    <row r="1463" spans="1:3" ht="15.5" x14ac:dyDescent="0.35">
      <c r="A1463" s="71" t="s">
        <v>35</v>
      </c>
      <c r="B1463" s="71">
        <v>2020</v>
      </c>
      <c r="C1463" s="71">
        <v>70</v>
      </c>
    </row>
    <row r="1464" spans="1:3" ht="15.5" x14ac:dyDescent="0.35">
      <c r="A1464" s="71" t="s">
        <v>35</v>
      </c>
      <c r="B1464" s="71">
        <v>2021</v>
      </c>
      <c r="C1464" s="71">
        <v>70</v>
      </c>
    </row>
    <row r="1465" spans="1:3" ht="15.5" x14ac:dyDescent="0.35">
      <c r="A1465" s="71" t="s">
        <v>35</v>
      </c>
      <c r="B1465" s="71">
        <v>2022</v>
      </c>
      <c r="C1465" s="71">
        <v>70</v>
      </c>
    </row>
    <row r="1466" spans="1:3" ht="15.5" x14ac:dyDescent="0.35">
      <c r="A1466" s="71" t="s">
        <v>36</v>
      </c>
      <c r="B1466" s="71">
        <v>1980</v>
      </c>
      <c r="C1466" s="71">
        <v>70</v>
      </c>
    </row>
    <row r="1467" spans="1:3" ht="15.5" x14ac:dyDescent="0.35">
      <c r="A1467" s="71" t="s">
        <v>36</v>
      </c>
      <c r="B1467" s="71">
        <v>1981</v>
      </c>
      <c r="C1467" s="71">
        <v>70</v>
      </c>
    </row>
    <row r="1468" spans="1:3" ht="15.5" x14ac:dyDescent="0.35">
      <c r="A1468" s="71" t="s">
        <v>36</v>
      </c>
      <c r="B1468" s="71">
        <v>1982</v>
      </c>
      <c r="C1468" s="71">
        <v>70</v>
      </c>
    </row>
    <row r="1469" spans="1:3" ht="15.5" x14ac:dyDescent="0.35">
      <c r="A1469" s="71" t="s">
        <v>36</v>
      </c>
      <c r="B1469" s="71">
        <v>1983</v>
      </c>
      <c r="C1469" s="71">
        <v>70</v>
      </c>
    </row>
    <row r="1470" spans="1:3" ht="15.5" x14ac:dyDescent="0.35">
      <c r="A1470" s="71" t="s">
        <v>36</v>
      </c>
      <c r="B1470" s="71">
        <v>1984</v>
      </c>
      <c r="C1470" s="71">
        <v>70</v>
      </c>
    </row>
    <row r="1471" spans="1:3" ht="15.5" x14ac:dyDescent="0.35">
      <c r="A1471" s="71" t="s">
        <v>36</v>
      </c>
      <c r="B1471" s="71">
        <v>1985</v>
      </c>
      <c r="C1471" s="71">
        <v>70</v>
      </c>
    </row>
    <row r="1472" spans="1:3" ht="15.5" x14ac:dyDescent="0.35">
      <c r="A1472" s="71" t="s">
        <v>36</v>
      </c>
      <c r="B1472" s="71">
        <v>1986</v>
      </c>
      <c r="C1472" s="71">
        <v>70</v>
      </c>
    </row>
    <row r="1473" spans="1:3" ht="15.5" x14ac:dyDescent="0.35">
      <c r="A1473" s="71" t="s">
        <v>36</v>
      </c>
      <c r="B1473" s="71">
        <v>1987</v>
      </c>
      <c r="C1473" s="71">
        <v>70</v>
      </c>
    </row>
    <row r="1474" spans="1:3" ht="15.5" x14ac:dyDescent="0.35">
      <c r="A1474" s="71" t="s">
        <v>36</v>
      </c>
      <c r="B1474" s="71">
        <v>1988</v>
      </c>
      <c r="C1474" s="71">
        <v>70</v>
      </c>
    </row>
    <row r="1475" spans="1:3" ht="15.5" x14ac:dyDescent="0.35">
      <c r="A1475" s="71" t="s">
        <v>36</v>
      </c>
      <c r="B1475" s="71">
        <v>1989</v>
      </c>
      <c r="C1475" s="71">
        <v>70</v>
      </c>
    </row>
    <row r="1476" spans="1:3" ht="15.5" x14ac:dyDescent="0.35">
      <c r="A1476" s="71" t="s">
        <v>36</v>
      </c>
      <c r="B1476" s="71">
        <v>1990</v>
      </c>
      <c r="C1476" s="71">
        <v>70</v>
      </c>
    </row>
    <row r="1477" spans="1:3" ht="15.5" x14ac:dyDescent="0.35">
      <c r="A1477" s="71" t="s">
        <v>36</v>
      </c>
      <c r="B1477" s="71">
        <v>1991</v>
      </c>
      <c r="C1477" s="71">
        <v>70</v>
      </c>
    </row>
    <row r="1478" spans="1:3" ht="15.5" x14ac:dyDescent="0.35">
      <c r="A1478" s="71" t="s">
        <v>36</v>
      </c>
      <c r="B1478" s="71">
        <v>1992</v>
      </c>
      <c r="C1478" s="71">
        <v>70</v>
      </c>
    </row>
    <row r="1479" spans="1:3" ht="15.5" x14ac:dyDescent="0.35">
      <c r="A1479" s="71" t="s">
        <v>36</v>
      </c>
      <c r="B1479" s="71">
        <v>1993</v>
      </c>
      <c r="C1479" s="71">
        <v>70</v>
      </c>
    </row>
    <row r="1480" spans="1:3" ht="15.5" x14ac:dyDescent="0.35">
      <c r="A1480" s="71" t="s">
        <v>36</v>
      </c>
      <c r="B1480" s="71">
        <v>1994</v>
      </c>
      <c r="C1480" s="71">
        <v>70</v>
      </c>
    </row>
    <row r="1481" spans="1:3" ht="15.5" x14ac:dyDescent="0.35">
      <c r="A1481" s="71" t="s">
        <v>36</v>
      </c>
      <c r="B1481" s="71">
        <v>1995</v>
      </c>
      <c r="C1481" s="71">
        <v>70</v>
      </c>
    </row>
    <row r="1482" spans="1:3" ht="15.5" x14ac:dyDescent="0.35">
      <c r="A1482" s="71" t="s">
        <v>36</v>
      </c>
      <c r="B1482" s="71">
        <v>1996</v>
      </c>
      <c r="C1482" s="71">
        <v>70</v>
      </c>
    </row>
    <row r="1483" spans="1:3" ht="15.5" x14ac:dyDescent="0.35">
      <c r="A1483" s="71" t="s">
        <v>36</v>
      </c>
      <c r="B1483" s="71">
        <v>1997</v>
      </c>
      <c r="C1483" s="71">
        <v>70</v>
      </c>
    </row>
    <row r="1484" spans="1:3" ht="15.5" x14ac:dyDescent="0.35">
      <c r="A1484" s="71" t="s">
        <v>36</v>
      </c>
      <c r="B1484" s="71">
        <v>1998</v>
      </c>
      <c r="C1484" s="71">
        <v>70</v>
      </c>
    </row>
    <row r="1485" spans="1:3" ht="15.5" x14ac:dyDescent="0.35">
      <c r="A1485" s="71" t="s">
        <v>36</v>
      </c>
      <c r="B1485" s="71">
        <v>1999</v>
      </c>
      <c r="C1485" s="71">
        <v>70</v>
      </c>
    </row>
    <row r="1486" spans="1:3" ht="15.5" x14ac:dyDescent="0.35">
      <c r="A1486" s="71" t="s">
        <v>36</v>
      </c>
      <c r="B1486" s="71">
        <v>2000</v>
      </c>
      <c r="C1486" s="71">
        <v>70</v>
      </c>
    </row>
    <row r="1487" spans="1:3" ht="15.5" x14ac:dyDescent="0.35">
      <c r="A1487" s="71" t="s">
        <v>36</v>
      </c>
      <c r="B1487" s="71">
        <v>2001</v>
      </c>
      <c r="C1487" s="71">
        <v>70</v>
      </c>
    </row>
    <row r="1488" spans="1:3" ht="15.5" x14ac:dyDescent="0.35">
      <c r="A1488" s="71" t="s">
        <v>36</v>
      </c>
      <c r="B1488" s="71">
        <v>2002</v>
      </c>
      <c r="C1488" s="71">
        <v>70</v>
      </c>
    </row>
    <row r="1489" spans="1:3" ht="15.5" x14ac:dyDescent="0.35">
      <c r="A1489" s="71" t="s">
        <v>36</v>
      </c>
      <c r="B1489" s="71">
        <v>2003</v>
      </c>
      <c r="C1489" s="71">
        <v>70</v>
      </c>
    </row>
    <row r="1490" spans="1:3" ht="15.5" x14ac:dyDescent="0.35">
      <c r="A1490" s="71" t="s">
        <v>36</v>
      </c>
      <c r="B1490" s="71">
        <v>2004</v>
      </c>
      <c r="C1490" s="71">
        <v>70</v>
      </c>
    </row>
    <row r="1491" spans="1:3" ht="15.5" x14ac:dyDescent="0.35">
      <c r="A1491" s="71" t="s">
        <v>36</v>
      </c>
      <c r="B1491" s="71">
        <v>2005</v>
      </c>
      <c r="C1491" s="71">
        <v>70</v>
      </c>
    </row>
    <row r="1492" spans="1:3" ht="15.5" x14ac:dyDescent="0.35">
      <c r="A1492" s="71" t="s">
        <v>36</v>
      </c>
      <c r="B1492" s="71">
        <v>2006</v>
      </c>
      <c r="C1492" s="71">
        <v>70</v>
      </c>
    </row>
    <row r="1493" spans="1:3" ht="15.5" x14ac:dyDescent="0.35">
      <c r="A1493" s="71" t="s">
        <v>36</v>
      </c>
      <c r="B1493" s="71">
        <v>2007</v>
      </c>
      <c r="C1493" s="71">
        <v>70</v>
      </c>
    </row>
    <row r="1494" spans="1:3" ht="15.5" x14ac:dyDescent="0.35">
      <c r="A1494" s="71" t="s">
        <v>36</v>
      </c>
      <c r="B1494" s="71">
        <v>2008</v>
      </c>
      <c r="C1494" s="71">
        <v>70</v>
      </c>
    </row>
    <row r="1495" spans="1:3" ht="15.5" x14ac:dyDescent="0.35">
      <c r="A1495" s="71" t="s">
        <v>36</v>
      </c>
      <c r="B1495" s="71">
        <v>2009</v>
      </c>
      <c r="C1495" s="71">
        <v>70</v>
      </c>
    </row>
    <row r="1496" spans="1:3" ht="15.5" x14ac:dyDescent="0.35">
      <c r="A1496" s="71" t="s">
        <v>36</v>
      </c>
      <c r="B1496" s="71">
        <v>2010</v>
      </c>
      <c r="C1496" s="71">
        <v>70</v>
      </c>
    </row>
    <row r="1497" spans="1:3" ht="15.5" x14ac:dyDescent="0.35">
      <c r="A1497" s="71" t="s">
        <v>36</v>
      </c>
      <c r="B1497" s="71">
        <v>2011</v>
      </c>
      <c r="C1497" s="71">
        <v>70</v>
      </c>
    </row>
    <row r="1498" spans="1:3" ht="15.5" x14ac:dyDescent="0.35">
      <c r="A1498" s="71" t="s">
        <v>36</v>
      </c>
      <c r="B1498" s="71">
        <v>2012</v>
      </c>
      <c r="C1498" s="71">
        <v>70</v>
      </c>
    </row>
    <row r="1499" spans="1:3" ht="15.5" x14ac:dyDescent="0.35">
      <c r="A1499" s="71" t="s">
        <v>36</v>
      </c>
      <c r="B1499" s="71">
        <v>2013</v>
      </c>
      <c r="C1499" s="71">
        <v>70</v>
      </c>
    </row>
    <row r="1500" spans="1:3" ht="15.5" x14ac:dyDescent="0.35">
      <c r="A1500" s="71" t="s">
        <v>36</v>
      </c>
      <c r="B1500" s="71">
        <v>2014</v>
      </c>
      <c r="C1500" s="71">
        <v>70</v>
      </c>
    </row>
    <row r="1501" spans="1:3" ht="15.5" x14ac:dyDescent="0.35">
      <c r="A1501" s="71" t="s">
        <v>36</v>
      </c>
      <c r="B1501" s="71">
        <v>2015</v>
      </c>
      <c r="C1501" s="71">
        <v>70</v>
      </c>
    </row>
    <row r="1502" spans="1:3" ht="15.5" x14ac:dyDescent="0.35">
      <c r="A1502" s="71" t="s">
        <v>36</v>
      </c>
      <c r="B1502" s="71">
        <v>2016</v>
      </c>
      <c r="C1502" s="71">
        <v>70</v>
      </c>
    </row>
    <row r="1503" spans="1:3" ht="15.5" x14ac:dyDescent="0.35">
      <c r="A1503" s="71" t="s">
        <v>36</v>
      </c>
      <c r="B1503" s="71">
        <v>2017</v>
      </c>
      <c r="C1503" s="71">
        <v>70</v>
      </c>
    </row>
    <row r="1504" spans="1:3" ht="15.5" x14ac:dyDescent="0.35">
      <c r="A1504" s="71" t="s">
        <v>36</v>
      </c>
      <c r="B1504" s="71">
        <v>2018</v>
      </c>
      <c r="C1504" s="71">
        <v>70</v>
      </c>
    </row>
    <row r="1505" spans="1:3" ht="15.5" x14ac:dyDescent="0.35">
      <c r="A1505" s="71" t="s">
        <v>36</v>
      </c>
      <c r="B1505" s="71">
        <v>2019</v>
      </c>
      <c r="C1505" s="71">
        <v>70</v>
      </c>
    </row>
    <row r="1506" spans="1:3" ht="15.5" x14ac:dyDescent="0.35">
      <c r="A1506" s="71" t="s">
        <v>36</v>
      </c>
      <c r="B1506" s="71">
        <v>2020</v>
      </c>
      <c r="C1506" s="71">
        <v>70</v>
      </c>
    </row>
    <row r="1507" spans="1:3" ht="15.5" x14ac:dyDescent="0.35">
      <c r="A1507" s="71" t="s">
        <v>36</v>
      </c>
      <c r="B1507" s="71">
        <v>2021</v>
      </c>
      <c r="C1507" s="71">
        <v>70</v>
      </c>
    </row>
    <row r="1508" spans="1:3" ht="15.5" x14ac:dyDescent="0.35">
      <c r="A1508" s="71" t="s">
        <v>36</v>
      </c>
      <c r="B1508" s="71">
        <v>2022</v>
      </c>
      <c r="C1508" s="71">
        <v>70</v>
      </c>
    </row>
    <row r="1509" spans="1:3" ht="15.5" x14ac:dyDescent="0.35">
      <c r="A1509" s="71" t="s">
        <v>37</v>
      </c>
      <c r="B1509" s="71">
        <v>1980</v>
      </c>
      <c r="C1509" s="71">
        <v>70</v>
      </c>
    </row>
    <row r="1510" spans="1:3" ht="15.5" x14ac:dyDescent="0.35">
      <c r="A1510" s="71" t="s">
        <v>37</v>
      </c>
      <c r="B1510" s="71">
        <v>1981</v>
      </c>
      <c r="C1510" s="71">
        <v>70</v>
      </c>
    </row>
    <row r="1511" spans="1:3" ht="15.5" x14ac:dyDescent="0.35">
      <c r="A1511" s="71" t="s">
        <v>37</v>
      </c>
      <c r="B1511" s="71">
        <v>1982</v>
      </c>
      <c r="C1511" s="71">
        <v>70</v>
      </c>
    </row>
    <row r="1512" spans="1:3" ht="15.5" x14ac:dyDescent="0.35">
      <c r="A1512" s="71" t="s">
        <v>37</v>
      </c>
      <c r="B1512" s="71">
        <v>1983</v>
      </c>
      <c r="C1512" s="71">
        <v>70</v>
      </c>
    </row>
    <row r="1513" spans="1:3" ht="15.5" x14ac:dyDescent="0.35">
      <c r="A1513" s="71" t="s">
        <v>37</v>
      </c>
      <c r="B1513" s="71">
        <v>1984</v>
      </c>
      <c r="C1513" s="71">
        <v>70</v>
      </c>
    </row>
    <row r="1514" spans="1:3" ht="15.5" x14ac:dyDescent="0.35">
      <c r="A1514" s="71" t="s">
        <v>37</v>
      </c>
      <c r="B1514" s="71">
        <v>1985</v>
      </c>
      <c r="C1514" s="71">
        <v>70</v>
      </c>
    </row>
    <row r="1515" spans="1:3" ht="15.5" x14ac:dyDescent="0.35">
      <c r="A1515" s="71" t="s">
        <v>37</v>
      </c>
      <c r="B1515" s="71">
        <v>1986</v>
      </c>
      <c r="C1515" s="71">
        <v>70</v>
      </c>
    </row>
    <row r="1516" spans="1:3" ht="15.5" x14ac:dyDescent="0.35">
      <c r="A1516" s="71" t="s">
        <v>37</v>
      </c>
      <c r="B1516" s="71">
        <v>1987</v>
      </c>
      <c r="C1516" s="71">
        <v>70</v>
      </c>
    </row>
    <row r="1517" spans="1:3" ht="15.5" x14ac:dyDescent="0.35">
      <c r="A1517" s="71" t="s">
        <v>37</v>
      </c>
      <c r="B1517" s="71">
        <v>1988</v>
      </c>
      <c r="C1517" s="71">
        <v>70</v>
      </c>
    </row>
    <row r="1518" spans="1:3" ht="15.5" x14ac:dyDescent="0.35">
      <c r="A1518" s="71" t="s">
        <v>37</v>
      </c>
      <c r="B1518" s="71">
        <v>1989</v>
      </c>
      <c r="C1518" s="71">
        <v>70</v>
      </c>
    </row>
    <row r="1519" spans="1:3" ht="15.5" x14ac:dyDescent="0.35">
      <c r="A1519" s="71" t="s">
        <v>37</v>
      </c>
      <c r="B1519" s="71">
        <v>1990</v>
      </c>
      <c r="C1519" s="71">
        <v>70</v>
      </c>
    </row>
    <row r="1520" spans="1:3" ht="15.5" x14ac:dyDescent="0.35">
      <c r="A1520" s="71" t="s">
        <v>37</v>
      </c>
      <c r="B1520" s="71">
        <v>1991</v>
      </c>
      <c r="C1520" s="71">
        <v>70</v>
      </c>
    </row>
    <row r="1521" spans="1:3" ht="15.5" x14ac:dyDescent="0.35">
      <c r="A1521" s="71" t="s">
        <v>37</v>
      </c>
      <c r="B1521" s="71">
        <v>1992</v>
      </c>
      <c r="C1521" s="71">
        <v>70</v>
      </c>
    </row>
    <row r="1522" spans="1:3" ht="15.5" x14ac:dyDescent="0.35">
      <c r="A1522" s="71" t="s">
        <v>37</v>
      </c>
      <c r="B1522" s="71">
        <v>1993</v>
      </c>
      <c r="C1522" s="71">
        <v>70</v>
      </c>
    </row>
    <row r="1523" spans="1:3" ht="15.5" x14ac:dyDescent="0.35">
      <c r="A1523" s="71" t="s">
        <v>37</v>
      </c>
      <c r="B1523" s="71">
        <v>1994</v>
      </c>
      <c r="C1523" s="71">
        <v>70</v>
      </c>
    </row>
    <row r="1524" spans="1:3" ht="15.5" x14ac:dyDescent="0.35">
      <c r="A1524" s="71" t="s">
        <v>37</v>
      </c>
      <c r="B1524" s="71">
        <v>1995</v>
      </c>
      <c r="C1524" s="71">
        <v>70</v>
      </c>
    </row>
    <row r="1525" spans="1:3" ht="15.5" x14ac:dyDescent="0.35">
      <c r="A1525" s="71" t="s">
        <v>37</v>
      </c>
      <c r="B1525" s="71">
        <v>1996</v>
      </c>
      <c r="C1525" s="71">
        <v>70</v>
      </c>
    </row>
    <row r="1526" spans="1:3" ht="15.5" x14ac:dyDescent="0.35">
      <c r="A1526" s="71" t="s">
        <v>37</v>
      </c>
      <c r="B1526" s="71">
        <v>1997</v>
      </c>
      <c r="C1526" s="71">
        <v>70</v>
      </c>
    </row>
    <row r="1527" spans="1:3" ht="15.5" x14ac:dyDescent="0.35">
      <c r="A1527" s="71" t="s">
        <v>37</v>
      </c>
      <c r="B1527" s="71">
        <v>1998</v>
      </c>
      <c r="C1527" s="71">
        <v>70</v>
      </c>
    </row>
    <row r="1528" spans="1:3" ht="15.5" x14ac:dyDescent="0.35">
      <c r="A1528" s="71" t="s">
        <v>37</v>
      </c>
      <c r="B1528" s="71">
        <v>1999</v>
      </c>
      <c r="C1528" s="71">
        <v>70</v>
      </c>
    </row>
    <row r="1529" spans="1:3" ht="15.5" x14ac:dyDescent="0.35">
      <c r="A1529" s="71" t="s">
        <v>37</v>
      </c>
      <c r="B1529" s="71">
        <v>2000</v>
      </c>
      <c r="C1529" s="71">
        <v>70</v>
      </c>
    </row>
    <row r="1530" spans="1:3" ht="15.5" x14ac:dyDescent="0.35">
      <c r="A1530" s="71" t="s">
        <v>37</v>
      </c>
      <c r="B1530" s="71">
        <v>2001</v>
      </c>
      <c r="C1530" s="71">
        <v>70</v>
      </c>
    </row>
    <row r="1531" spans="1:3" ht="15.5" x14ac:dyDescent="0.35">
      <c r="A1531" s="71" t="s">
        <v>37</v>
      </c>
      <c r="B1531" s="71">
        <v>2002</v>
      </c>
      <c r="C1531" s="71">
        <v>70</v>
      </c>
    </row>
    <row r="1532" spans="1:3" ht="15.5" x14ac:dyDescent="0.35">
      <c r="A1532" s="71" t="s">
        <v>37</v>
      </c>
      <c r="B1532" s="71">
        <v>2003</v>
      </c>
      <c r="C1532" s="71">
        <v>70</v>
      </c>
    </row>
    <row r="1533" spans="1:3" ht="15.5" x14ac:dyDescent="0.35">
      <c r="A1533" s="71" t="s">
        <v>37</v>
      </c>
      <c r="B1533" s="71">
        <v>2004</v>
      </c>
      <c r="C1533" s="71">
        <v>70</v>
      </c>
    </row>
    <row r="1534" spans="1:3" ht="15.5" x14ac:dyDescent="0.35">
      <c r="A1534" s="71" t="s">
        <v>37</v>
      </c>
      <c r="B1534" s="71">
        <v>2005</v>
      </c>
      <c r="C1534" s="71">
        <v>70</v>
      </c>
    </row>
    <row r="1535" spans="1:3" ht="15.5" x14ac:dyDescent="0.35">
      <c r="A1535" s="71" t="s">
        <v>37</v>
      </c>
      <c r="B1535" s="71">
        <v>2006</v>
      </c>
      <c r="C1535" s="71">
        <v>70</v>
      </c>
    </row>
    <row r="1536" spans="1:3" ht="15.5" x14ac:dyDescent="0.35">
      <c r="A1536" s="71" t="s">
        <v>37</v>
      </c>
      <c r="B1536" s="71">
        <v>2007</v>
      </c>
      <c r="C1536" s="71">
        <v>70</v>
      </c>
    </row>
    <row r="1537" spans="1:3" ht="15.5" x14ac:dyDescent="0.35">
      <c r="A1537" s="71" t="s">
        <v>37</v>
      </c>
      <c r="B1537" s="71">
        <v>2008</v>
      </c>
      <c r="C1537" s="71">
        <v>70</v>
      </c>
    </row>
    <row r="1538" spans="1:3" ht="15.5" x14ac:dyDescent="0.35">
      <c r="A1538" s="71" t="s">
        <v>37</v>
      </c>
      <c r="B1538" s="71">
        <v>2009</v>
      </c>
      <c r="C1538" s="71">
        <v>70</v>
      </c>
    </row>
    <row r="1539" spans="1:3" ht="15.5" x14ac:dyDescent="0.35">
      <c r="A1539" s="71" t="s">
        <v>37</v>
      </c>
      <c r="B1539" s="71">
        <v>2010</v>
      </c>
      <c r="C1539" s="71">
        <v>70</v>
      </c>
    </row>
    <row r="1540" spans="1:3" ht="15.5" x14ac:dyDescent="0.35">
      <c r="A1540" s="71" t="s">
        <v>37</v>
      </c>
      <c r="B1540" s="71">
        <v>2011</v>
      </c>
      <c r="C1540" s="71">
        <v>70</v>
      </c>
    </row>
    <row r="1541" spans="1:3" ht="15.5" x14ac:dyDescent="0.35">
      <c r="A1541" s="71" t="s">
        <v>37</v>
      </c>
      <c r="B1541" s="71">
        <v>2012</v>
      </c>
      <c r="C1541" s="71">
        <v>70</v>
      </c>
    </row>
    <row r="1542" spans="1:3" ht="15.5" x14ac:dyDescent="0.35">
      <c r="A1542" s="71" t="s">
        <v>37</v>
      </c>
      <c r="B1542" s="71">
        <v>2013</v>
      </c>
      <c r="C1542" s="71">
        <v>70</v>
      </c>
    </row>
    <row r="1543" spans="1:3" ht="15.5" x14ac:dyDescent="0.35">
      <c r="A1543" s="71" t="s">
        <v>37</v>
      </c>
      <c r="B1543" s="71">
        <v>2014</v>
      </c>
      <c r="C1543" s="71">
        <v>70</v>
      </c>
    </row>
    <row r="1544" spans="1:3" ht="15.5" x14ac:dyDescent="0.35">
      <c r="A1544" s="71" t="s">
        <v>37</v>
      </c>
      <c r="B1544" s="71">
        <v>2015</v>
      </c>
      <c r="C1544" s="71">
        <v>70</v>
      </c>
    </row>
    <row r="1545" spans="1:3" ht="15.5" x14ac:dyDescent="0.35">
      <c r="A1545" s="71" t="s">
        <v>37</v>
      </c>
      <c r="B1545" s="71">
        <v>2016</v>
      </c>
      <c r="C1545" s="71">
        <v>70</v>
      </c>
    </row>
    <row r="1546" spans="1:3" ht="15.5" x14ac:dyDescent="0.35">
      <c r="A1546" s="71" t="s">
        <v>37</v>
      </c>
      <c r="B1546" s="71">
        <v>2017</v>
      </c>
      <c r="C1546" s="71">
        <v>70</v>
      </c>
    </row>
    <row r="1547" spans="1:3" ht="15.5" x14ac:dyDescent="0.35">
      <c r="A1547" s="71" t="s">
        <v>37</v>
      </c>
      <c r="B1547" s="71">
        <v>2018</v>
      </c>
      <c r="C1547" s="71">
        <v>70</v>
      </c>
    </row>
    <row r="1548" spans="1:3" ht="15.5" x14ac:dyDescent="0.35">
      <c r="A1548" s="71" t="s">
        <v>37</v>
      </c>
      <c r="B1548" s="71">
        <v>2019</v>
      </c>
      <c r="C1548" s="71">
        <v>70</v>
      </c>
    </row>
    <row r="1549" spans="1:3" ht="15.5" x14ac:dyDescent="0.35">
      <c r="A1549" s="71" t="s">
        <v>37</v>
      </c>
      <c r="B1549" s="71">
        <v>2020</v>
      </c>
      <c r="C1549" s="71">
        <v>70</v>
      </c>
    </row>
    <row r="1550" spans="1:3" ht="15.5" x14ac:dyDescent="0.35">
      <c r="A1550" s="71" t="s">
        <v>37</v>
      </c>
      <c r="B1550" s="71">
        <v>2021</v>
      </c>
      <c r="C1550" s="71">
        <v>70</v>
      </c>
    </row>
    <row r="1551" spans="1:3" ht="15.5" x14ac:dyDescent="0.35">
      <c r="A1551" s="71" t="s">
        <v>37</v>
      </c>
      <c r="B1551" s="71">
        <v>2022</v>
      </c>
      <c r="C1551" s="71">
        <v>70</v>
      </c>
    </row>
    <row r="1552" spans="1:3" ht="15.5" x14ac:dyDescent="0.35">
      <c r="A1552" s="71" t="s">
        <v>38</v>
      </c>
      <c r="B1552" s="71">
        <v>1980</v>
      </c>
      <c r="C1552" s="71">
        <v>70</v>
      </c>
    </row>
    <row r="1553" spans="1:3" ht="15.5" x14ac:dyDescent="0.35">
      <c r="A1553" s="71" t="s">
        <v>38</v>
      </c>
      <c r="B1553" s="71">
        <v>1981</v>
      </c>
      <c r="C1553" s="71">
        <v>70</v>
      </c>
    </row>
    <row r="1554" spans="1:3" ht="15.5" x14ac:dyDescent="0.35">
      <c r="A1554" s="71" t="s">
        <v>38</v>
      </c>
      <c r="B1554" s="71">
        <v>1982</v>
      </c>
      <c r="C1554" s="71">
        <v>70</v>
      </c>
    </row>
    <row r="1555" spans="1:3" ht="15.5" x14ac:dyDescent="0.35">
      <c r="A1555" s="71" t="s">
        <v>38</v>
      </c>
      <c r="B1555" s="71">
        <v>1983</v>
      </c>
      <c r="C1555" s="71">
        <v>70</v>
      </c>
    </row>
    <row r="1556" spans="1:3" ht="15.5" x14ac:dyDescent="0.35">
      <c r="A1556" s="71" t="s">
        <v>38</v>
      </c>
      <c r="B1556" s="71">
        <v>1984</v>
      </c>
      <c r="C1556" s="71">
        <v>70</v>
      </c>
    </row>
    <row r="1557" spans="1:3" ht="15.5" x14ac:dyDescent="0.35">
      <c r="A1557" s="71" t="s">
        <v>38</v>
      </c>
      <c r="B1557" s="71">
        <v>1985</v>
      </c>
      <c r="C1557" s="71">
        <v>70</v>
      </c>
    </row>
    <row r="1558" spans="1:3" ht="15.5" x14ac:dyDescent="0.35">
      <c r="A1558" s="71" t="s">
        <v>38</v>
      </c>
      <c r="B1558" s="71">
        <v>1986</v>
      </c>
      <c r="C1558" s="71">
        <v>70</v>
      </c>
    </row>
    <row r="1559" spans="1:3" ht="15.5" x14ac:dyDescent="0.35">
      <c r="A1559" s="71" t="s">
        <v>38</v>
      </c>
      <c r="B1559" s="71">
        <v>1987</v>
      </c>
      <c r="C1559" s="71">
        <v>70</v>
      </c>
    </row>
    <row r="1560" spans="1:3" ht="15.5" x14ac:dyDescent="0.35">
      <c r="A1560" s="71" t="s">
        <v>38</v>
      </c>
      <c r="B1560" s="71">
        <v>1988</v>
      </c>
      <c r="C1560" s="71">
        <v>70</v>
      </c>
    </row>
    <row r="1561" spans="1:3" ht="15.5" x14ac:dyDescent="0.35">
      <c r="A1561" s="71" t="s">
        <v>38</v>
      </c>
      <c r="B1561" s="71">
        <v>1989</v>
      </c>
      <c r="C1561" s="71">
        <v>70</v>
      </c>
    </row>
    <row r="1562" spans="1:3" ht="15.5" x14ac:dyDescent="0.35">
      <c r="A1562" s="71" t="s">
        <v>38</v>
      </c>
      <c r="B1562" s="71">
        <v>1990</v>
      </c>
      <c r="C1562" s="71">
        <v>70</v>
      </c>
    </row>
    <row r="1563" spans="1:3" ht="15.5" x14ac:dyDescent="0.35">
      <c r="A1563" s="71" t="s">
        <v>38</v>
      </c>
      <c r="B1563" s="71">
        <v>1991</v>
      </c>
      <c r="C1563" s="71">
        <v>70</v>
      </c>
    </row>
    <row r="1564" spans="1:3" ht="15.5" x14ac:dyDescent="0.35">
      <c r="A1564" s="71" t="s">
        <v>38</v>
      </c>
      <c r="B1564" s="71">
        <v>1992</v>
      </c>
      <c r="C1564" s="71">
        <v>70</v>
      </c>
    </row>
    <row r="1565" spans="1:3" ht="15.5" x14ac:dyDescent="0.35">
      <c r="A1565" s="71" t="s">
        <v>38</v>
      </c>
      <c r="B1565" s="71">
        <v>1993</v>
      </c>
      <c r="C1565" s="71">
        <v>70</v>
      </c>
    </row>
    <row r="1566" spans="1:3" ht="15.5" x14ac:dyDescent="0.35">
      <c r="A1566" s="71" t="s">
        <v>38</v>
      </c>
      <c r="B1566" s="71">
        <v>1994</v>
      </c>
      <c r="C1566" s="71">
        <v>70</v>
      </c>
    </row>
    <row r="1567" spans="1:3" ht="15.5" x14ac:dyDescent="0.35">
      <c r="A1567" s="71" t="s">
        <v>38</v>
      </c>
      <c r="B1567" s="71">
        <v>1995</v>
      </c>
      <c r="C1567" s="71">
        <v>70</v>
      </c>
    </row>
    <row r="1568" spans="1:3" ht="15.5" x14ac:dyDescent="0.35">
      <c r="A1568" s="71" t="s">
        <v>38</v>
      </c>
      <c r="B1568" s="71">
        <v>1996</v>
      </c>
      <c r="C1568" s="71">
        <v>70</v>
      </c>
    </row>
    <row r="1569" spans="1:3" ht="15.5" x14ac:dyDescent="0.35">
      <c r="A1569" s="71" t="s">
        <v>38</v>
      </c>
      <c r="B1569" s="71">
        <v>1997</v>
      </c>
      <c r="C1569" s="71">
        <v>70</v>
      </c>
    </row>
    <row r="1570" spans="1:3" ht="15.5" x14ac:dyDescent="0.35">
      <c r="A1570" s="71" t="s">
        <v>38</v>
      </c>
      <c r="B1570" s="71">
        <v>1998</v>
      </c>
      <c r="C1570" s="71">
        <v>70</v>
      </c>
    </row>
    <row r="1571" spans="1:3" ht="15.5" x14ac:dyDescent="0.35">
      <c r="A1571" s="71" t="s">
        <v>38</v>
      </c>
      <c r="B1571" s="71">
        <v>1999</v>
      </c>
      <c r="C1571" s="71">
        <v>70</v>
      </c>
    </row>
    <row r="1572" spans="1:3" ht="15.5" x14ac:dyDescent="0.35">
      <c r="A1572" s="71" t="s">
        <v>38</v>
      </c>
      <c r="B1572" s="71">
        <v>2000</v>
      </c>
      <c r="C1572" s="71">
        <v>70</v>
      </c>
    </row>
    <row r="1573" spans="1:3" ht="15.5" x14ac:dyDescent="0.35">
      <c r="A1573" s="71" t="s">
        <v>38</v>
      </c>
      <c r="B1573" s="71">
        <v>2001</v>
      </c>
      <c r="C1573" s="71">
        <v>70</v>
      </c>
    </row>
    <row r="1574" spans="1:3" ht="15.5" x14ac:dyDescent="0.35">
      <c r="A1574" s="71" t="s">
        <v>38</v>
      </c>
      <c r="B1574" s="71">
        <v>2002</v>
      </c>
      <c r="C1574" s="71">
        <v>70</v>
      </c>
    </row>
    <row r="1575" spans="1:3" ht="15.5" x14ac:dyDescent="0.35">
      <c r="A1575" s="71" t="s">
        <v>38</v>
      </c>
      <c r="B1575" s="71">
        <v>2003</v>
      </c>
      <c r="C1575" s="71">
        <v>70</v>
      </c>
    </row>
    <row r="1576" spans="1:3" ht="15.5" x14ac:dyDescent="0.35">
      <c r="A1576" s="71" t="s">
        <v>38</v>
      </c>
      <c r="B1576" s="71">
        <v>2004</v>
      </c>
      <c r="C1576" s="71">
        <v>70</v>
      </c>
    </row>
    <row r="1577" spans="1:3" ht="15.5" x14ac:dyDescent="0.35">
      <c r="A1577" s="71" t="s">
        <v>38</v>
      </c>
      <c r="B1577" s="71">
        <v>2005</v>
      </c>
      <c r="C1577" s="71">
        <v>70</v>
      </c>
    </row>
    <row r="1578" spans="1:3" ht="15.5" x14ac:dyDescent="0.35">
      <c r="A1578" s="71" t="s">
        <v>38</v>
      </c>
      <c r="B1578" s="71">
        <v>2006</v>
      </c>
      <c r="C1578" s="71">
        <v>70</v>
      </c>
    </row>
    <row r="1579" spans="1:3" ht="15.5" x14ac:dyDescent="0.35">
      <c r="A1579" s="71" t="s">
        <v>38</v>
      </c>
      <c r="B1579" s="71">
        <v>2007</v>
      </c>
      <c r="C1579" s="71">
        <v>70</v>
      </c>
    </row>
    <row r="1580" spans="1:3" ht="15.5" x14ac:dyDescent="0.35">
      <c r="A1580" s="71" t="s">
        <v>38</v>
      </c>
      <c r="B1580" s="71">
        <v>2008</v>
      </c>
      <c r="C1580" s="71">
        <v>70</v>
      </c>
    </row>
    <row r="1581" spans="1:3" ht="15.5" x14ac:dyDescent="0.35">
      <c r="A1581" s="71" t="s">
        <v>38</v>
      </c>
      <c r="B1581" s="71">
        <v>2009</v>
      </c>
      <c r="C1581" s="71">
        <v>70</v>
      </c>
    </row>
    <row r="1582" spans="1:3" ht="15.5" x14ac:dyDescent="0.35">
      <c r="A1582" s="71" t="s">
        <v>38</v>
      </c>
      <c r="B1582" s="71">
        <v>2010</v>
      </c>
      <c r="C1582" s="71">
        <v>70</v>
      </c>
    </row>
    <row r="1583" spans="1:3" ht="15.5" x14ac:dyDescent="0.35">
      <c r="A1583" s="71" t="s">
        <v>38</v>
      </c>
      <c r="B1583" s="71">
        <v>2011</v>
      </c>
      <c r="C1583" s="71">
        <v>70</v>
      </c>
    </row>
    <row r="1584" spans="1:3" ht="15.5" x14ac:dyDescent="0.35">
      <c r="A1584" s="71" t="s">
        <v>38</v>
      </c>
      <c r="B1584" s="71">
        <v>2012</v>
      </c>
      <c r="C1584" s="71">
        <v>70</v>
      </c>
    </row>
    <row r="1585" spans="1:3" ht="15.5" x14ac:dyDescent="0.35">
      <c r="A1585" s="71" t="s">
        <v>38</v>
      </c>
      <c r="B1585" s="71">
        <v>2013</v>
      </c>
      <c r="C1585" s="71">
        <v>70</v>
      </c>
    </row>
    <row r="1586" spans="1:3" ht="15.5" x14ac:dyDescent="0.35">
      <c r="A1586" s="71" t="s">
        <v>38</v>
      </c>
      <c r="B1586" s="71">
        <v>2014</v>
      </c>
      <c r="C1586" s="71">
        <v>70</v>
      </c>
    </row>
    <row r="1587" spans="1:3" ht="15.5" x14ac:dyDescent="0.35">
      <c r="A1587" s="71" t="s">
        <v>38</v>
      </c>
      <c r="B1587" s="71">
        <v>2015</v>
      </c>
      <c r="C1587" s="71">
        <v>70</v>
      </c>
    </row>
    <row r="1588" spans="1:3" ht="15.5" x14ac:dyDescent="0.35">
      <c r="A1588" s="71" t="s">
        <v>38</v>
      </c>
      <c r="B1588" s="71">
        <v>2016</v>
      </c>
      <c r="C1588" s="71">
        <v>70</v>
      </c>
    </row>
    <row r="1589" spans="1:3" ht="15.5" x14ac:dyDescent="0.35">
      <c r="A1589" s="71" t="s">
        <v>38</v>
      </c>
      <c r="B1589" s="71">
        <v>2017</v>
      </c>
      <c r="C1589" s="71">
        <v>70</v>
      </c>
    </row>
    <row r="1590" spans="1:3" ht="15.5" x14ac:dyDescent="0.35">
      <c r="A1590" s="71" t="s">
        <v>38</v>
      </c>
      <c r="B1590" s="71">
        <v>2018</v>
      </c>
      <c r="C1590" s="71">
        <v>70</v>
      </c>
    </row>
    <row r="1591" spans="1:3" ht="15.5" x14ac:dyDescent="0.35">
      <c r="A1591" s="71" t="s">
        <v>38</v>
      </c>
      <c r="B1591" s="71">
        <v>2019</v>
      </c>
      <c r="C1591" s="71">
        <v>70</v>
      </c>
    </row>
    <row r="1592" spans="1:3" ht="15.5" x14ac:dyDescent="0.35">
      <c r="A1592" s="71" t="s">
        <v>38</v>
      </c>
      <c r="B1592" s="71">
        <v>2020</v>
      </c>
      <c r="C1592" s="71">
        <v>70</v>
      </c>
    </row>
    <row r="1593" spans="1:3" ht="15.5" x14ac:dyDescent="0.35">
      <c r="A1593" s="71" t="s">
        <v>38</v>
      </c>
      <c r="B1593" s="71">
        <v>2021</v>
      </c>
      <c r="C1593" s="71">
        <v>70</v>
      </c>
    </row>
    <row r="1594" spans="1:3" ht="15.5" x14ac:dyDescent="0.35">
      <c r="A1594" s="71" t="s">
        <v>38</v>
      </c>
      <c r="B1594" s="71">
        <v>2022</v>
      </c>
      <c r="C1594" s="71">
        <v>70</v>
      </c>
    </row>
    <row r="1595" spans="1:3" ht="15.5" x14ac:dyDescent="0.35">
      <c r="A1595" s="71" t="s">
        <v>39</v>
      </c>
      <c r="B1595" s="71">
        <v>1980</v>
      </c>
      <c r="C1595" s="71">
        <v>70</v>
      </c>
    </row>
    <row r="1596" spans="1:3" ht="15.5" x14ac:dyDescent="0.35">
      <c r="A1596" s="71" t="s">
        <v>39</v>
      </c>
      <c r="B1596" s="71">
        <v>1981</v>
      </c>
      <c r="C1596" s="71">
        <v>70</v>
      </c>
    </row>
    <row r="1597" spans="1:3" ht="15.5" x14ac:dyDescent="0.35">
      <c r="A1597" s="71" t="s">
        <v>39</v>
      </c>
      <c r="B1597" s="71">
        <v>1982</v>
      </c>
      <c r="C1597" s="71">
        <v>70</v>
      </c>
    </row>
    <row r="1598" spans="1:3" ht="15.5" x14ac:dyDescent="0.35">
      <c r="A1598" s="71" t="s">
        <v>39</v>
      </c>
      <c r="B1598" s="71">
        <v>1983</v>
      </c>
      <c r="C1598" s="71">
        <v>70</v>
      </c>
    </row>
    <row r="1599" spans="1:3" ht="15.5" x14ac:dyDescent="0.35">
      <c r="A1599" s="71" t="s">
        <v>39</v>
      </c>
      <c r="B1599" s="71">
        <v>1984</v>
      </c>
      <c r="C1599" s="71">
        <v>70</v>
      </c>
    </row>
    <row r="1600" spans="1:3" ht="15.5" x14ac:dyDescent="0.35">
      <c r="A1600" s="71" t="s">
        <v>39</v>
      </c>
      <c r="B1600" s="71">
        <v>1985</v>
      </c>
      <c r="C1600" s="71">
        <v>70</v>
      </c>
    </row>
    <row r="1601" spans="1:3" ht="15.5" x14ac:dyDescent="0.35">
      <c r="A1601" s="71" t="s">
        <v>39</v>
      </c>
      <c r="B1601" s="71">
        <v>1986</v>
      </c>
      <c r="C1601" s="71">
        <v>70</v>
      </c>
    </row>
    <row r="1602" spans="1:3" ht="15.5" x14ac:dyDescent="0.35">
      <c r="A1602" s="71" t="s">
        <v>39</v>
      </c>
      <c r="B1602" s="71">
        <v>1987</v>
      </c>
      <c r="C1602" s="71">
        <v>70</v>
      </c>
    </row>
    <row r="1603" spans="1:3" ht="15.5" x14ac:dyDescent="0.35">
      <c r="A1603" s="71" t="s">
        <v>39</v>
      </c>
      <c r="B1603" s="71">
        <v>1988</v>
      </c>
      <c r="C1603" s="71">
        <v>70</v>
      </c>
    </row>
    <row r="1604" spans="1:3" ht="15.5" x14ac:dyDescent="0.35">
      <c r="A1604" s="71" t="s">
        <v>39</v>
      </c>
      <c r="B1604" s="71">
        <v>1989</v>
      </c>
      <c r="C1604" s="71">
        <v>70</v>
      </c>
    </row>
    <row r="1605" spans="1:3" ht="15.5" x14ac:dyDescent="0.35">
      <c r="A1605" s="71" t="s">
        <v>39</v>
      </c>
      <c r="B1605" s="71">
        <v>1990</v>
      </c>
      <c r="C1605" s="71">
        <v>70</v>
      </c>
    </row>
    <row r="1606" spans="1:3" ht="15.5" x14ac:dyDescent="0.35">
      <c r="A1606" s="71" t="s">
        <v>39</v>
      </c>
      <c r="B1606" s="71">
        <v>1991</v>
      </c>
      <c r="C1606" s="71">
        <v>70</v>
      </c>
    </row>
    <row r="1607" spans="1:3" ht="15.5" x14ac:dyDescent="0.35">
      <c r="A1607" s="71" t="s">
        <v>39</v>
      </c>
      <c r="B1607" s="71">
        <v>1992</v>
      </c>
      <c r="C1607" s="71">
        <v>70</v>
      </c>
    </row>
    <row r="1608" spans="1:3" ht="15.5" x14ac:dyDescent="0.35">
      <c r="A1608" s="71" t="s">
        <v>39</v>
      </c>
      <c r="B1608" s="71">
        <v>1993</v>
      </c>
      <c r="C1608" s="71">
        <v>70</v>
      </c>
    </row>
    <row r="1609" spans="1:3" ht="15.5" x14ac:dyDescent="0.35">
      <c r="A1609" s="71" t="s">
        <v>39</v>
      </c>
      <c r="B1609" s="71">
        <v>1994</v>
      </c>
      <c r="C1609" s="71">
        <v>70</v>
      </c>
    </row>
    <row r="1610" spans="1:3" ht="15.5" x14ac:dyDescent="0.35">
      <c r="A1610" s="71" t="s">
        <v>39</v>
      </c>
      <c r="B1610" s="71">
        <v>1995</v>
      </c>
      <c r="C1610" s="71">
        <v>70</v>
      </c>
    </row>
    <row r="1611" spans="1:3" ht="15.5" x14ac:dyDescent="0.35">
      <c r="A1611" s="71" t="s">
        <v>39</v>
      </c>
      <c r="B1611" s="71">
        <v>1996</v>
      </c>
      <c r="C1611" s="71">
        <v>70</v>
      </c>
    </row>
    <row r="1612" spans="1:3" ht="15.5" x14ac:dyDescent="0.35">
      <c r="A1612" s="71" t="s">
        <v>39</v>
      </c>
      <c r="B1612" s="71">
        <v>1997</v>
      </c>
      <c r="C1612" s="71">
        <v>70</v>
      </c>
    </row>
    <row r="1613" spans="1:3" ht="15.5" x14ac:dyDescent="0.35">
      <c r="A1613" s="71" t="s">
        <v>39</v>
      </c>
      <c r="B1613" s="71">
        <v>1998</v>
      </c>
      <c r="C1613" s="71">
        <v>70</v>
      </c>
    </row>
    <row r="1614" spans="1:3" ht="15.5" x14ac:dyDescent="0.35">
      <c r="A1614" s="71" t="s">
        <v>39</v>
      </c>
      <c r="B1614" s="71">
        <v>1999</v>
      </c>
      <c r="C1614" s="71">
        <v>70</v>
      </c>
    </row>
    <row r="1615" spans="1:3" ht="15.5" x14ac:dyDescent="0.35">
      <c r="A1615" s="71" t="s">
        <v>39</v>
      </c>
      <c r="B1615" s="71">
        <v>2000</v>
      </c>
      <c r="C1615" s="71">
        <v>70</v>
      </c>
    </row>
    <row r="1616" spans="1:3" ht="15.5" x14ac:dyDescent="0.35">
      <c r="A1616" s="71" t="s">
        <v>39</v>
      </c>
      <c r="B1616" s="71">
        <v>2001</v>
      </c>
      <c r="C1616" s="71">
        <v>70</v>
      </c>
    </row>
    <row r="1617" spans="1:3" ht="15.5" x14ac:dyDescent="0.35">
      <c r="A1617" s="71" t="s">
        <v>39</v>
      </c>
      <c r="B1617" s="71">
        <v>2002</v>
      </c>
      <c r="C1617" s="71">
        <v>70</v>
      </c>
    </row>
    <row r="1618" spans="1:3" ht="15.5" x14ac:dyDescent="0.35">
      <c r="A1618" s="71" t="s">
        <v>39</v>
      </c>
      <c r="B1618" s="71">
        <v>2003</v>
      </c>
      <c r="C1618" s="71">
        <v>70</v>
      </c>
    </row>
    <row r="1619" spans="1:3" ht="15.5" x14ac:dyDescent="0.35">
      <c r="A1619" s="71" t="s">
        <v>39</v>
      </c>
      <c r="B1619" s="71">
        <v>2004</v>
      </c>
      <c r="C1619" s="71">
        <v>70</v>
      </c>
    </row>
    <row r="1620" spans="1:3" ht="15.5" x14ac:dyDescent="0.35">
      <c r="A1620" s="71" t="s">
        <v>39</v>
      </c>
      <c r="B1620" s="71">
        <v>2005</v>
      </c>
      <c r="C1620" s="71">
        <v>70</v>
      </c>
    </row>
    <row r="1621" spans="1:3" ht="15.5" x14ac:dyDescent="0.35">
      <c r="A1621" s="71" t="s">
        <v>39</v>
      </c>
      <c r="B1621" s="71">
        <v>2006</v>
      </c>
      <c r="C1621" s="71">
        <v>70</v>
      </c>
    </row>
    <row r="1622" spans="1:3" ht="15.5" x14ac:dyDescent="0.35">
      <c r="A1622" s="71" t="s">
        <v>39</v>
      </c>
      <c r="B1622" s="71">
        <v>2007</v>
      </c>
      <c r="C1622" s="71">
        <v>70</v>
      </c>
    </row>
    <row r="1623" spans="1:3" ht="15.5" x14ac:dyDescent="0.35">
      <c r="A1623" s="71" t="s">
        <v>39</v>
      </c>
      <c r="B1623" s="71">
        <v>2008</v>
      </c>
      <c r="C1623" s="71">
        <v>70</v>
      </c>
    </row>
    <row r="1624" spans="1:3" ht="15.5" x14ac:dyDescent="0.35">
      <c r="A1624" s="71" t="s">
        <v>39</v>
      </c>
      <c r="B1624" s="71">
        <v>2009</v>
      </c>
      <c r="C1624" s="71">
        <v>70</v>
      </c>
    </row>
    <row r="1625" spans="1:3" ht="15.5" x14ac:dyDescent="0.35">
      <c r="A1625" s="71" t="s">
        <v>39</v>
      </c>
      <c r="B1625" s="71">
        <v>2010</v>
      </c>
      <c r="C1625" s="71">
        <v>70</v>
      </c>
    </row>
    <row r="1626" spans="1:3" ht="15.5" x14ac:dyDescent="0.35">
      <c r="A1626" s="71" t="s">
        <v>39</v>
      </c>
      <c r="B1626" s="71">
        <v>2011</v>
      </c>
      <c r="C1626" s="71">
        <v>70</v>
      </c>
    </row>
    <row r="1627" spans="1:3" ht="15.5" x14ac:dyDescent="0.35">
      <c r="A1627" s="71" t="s">
        <v>39</v>
      </c>
      <c r="B1627" s="71">
        <v>2012</v>
      </c>
      <c r="C1627" s="71">
        <v>70</v>
      </c>
    </row>
    <row r="1628" spans="1:3" ht="15.5" x14ac:dyDescent="0.35">
      <c r="A1628" s="71" t="s">
        <v>39</v>
      </c>
      <c r="B1628" s="71">
        <v>2013</v>
      </c>
      <c r="C1628" s="71">
        <v>70</v>
      </c>
    </row>
    <row r="1629" spans="1:3" ht="15.5" x14ac:dyDescent="0.35">
      <c r="A1629" s="71" t="s">
        <v>39</v>
      </c>
      <c r="B1629" s="71">
        <v>2014</v>
      </c>
      <c r="C1629" s="71">
        <v>70</v>
      </c>
    </row>
    <row r="1630" spans="1:3" ht="15.5" x14ac:dyDescent="0.35">
      <c r="A1630" s="71" t="s">
        <v>39</v>
      </c>
      <c r="B1630" s="71">
        <v>2015</v>
      </c>
      <c r="C1630" s="71">
        <v>70</v>
      </c>
    </row>
    <row r="1631" spans="1:3" ht="15.5" x14ac:dyDescent="0.35">
      <c r="A1631" s="71" t="s">
        <v>39</v>
      </c>
      <c r="B1631" s="71">
        <v>2016</v>
      </c>
      <c r="C1631" s="71">
        <v>70</v>
      </c>
    </row>
    <row r="1632" spans="1:3" ht="15.5" x14ac:dyDescent="0.35">
      <c r="A1632" s="71" t="s">
        <v>39</v>
      </c>
      <c r="B1632" s="71">
        <v>2017</v>
      </c>
      <c r="C1632" s="71">
        <v>70</v>
      </c>
    </row>
    <row r="1633" spans="1:3" ht="15.5" x14ac:dyDescent="0.35">
      <c r="A1633" s="71" t="s">
        <v>39</v>
      </c>
      <c r="B1633" s="71">
        <v>2018</v>
      </c>
      <c r="C1633" s="71">
        <v>70</v>
      </c>
    </row>
    <row r="1634" spans="1:3" ht="15.5" x14ac:dyDescent="0.35">
      <c r="A1634" s="71" t="s">
        <v>39</v>
      </c>
      <c r="B1634" s="71">
        <v>2019</v>
      </c>
      <c r="C1634" s="71">
        <v>70</v>
      </c>
    </row>
    <row r="1635" spans="1:3" ht="15.5" x14ac:dyDescent="0.35">
      <c r="A1635" s="71" t="s">
        <v>39</v>
      </c>
      <c r="B1635" s="71">
        <v>2020</v>
      </c>
      <c r="C1635" s="71">
        <v>70</v>
      </c>
    </row>
    <row r="1636" spans="1:3" ht="15.5" x14ac:dyDescent="0.35">
      <c r="A1636" s="71" t="s">
        <v>39</v>
      </c>
      <c r="B1636" s="71">
        <v>2021</v>
      </c>
      <c r="C1636" s="71">
        <v>70</v>
      </c>
    </row>
    <row r="1637" spans="1:3" ht="15.5" x14ac:dyDescent="0.35">
      <c r="A1637" s="71" t="s">
        <v>39</v>
      </c>
      <c r="B1637" s="71">
        <v>2022</v>
      </c>
      <c r="C1637" s="71">
        <v>70</v>
      </c>
    </row>
    <row r="1638" spans="1:3" ht="15.5" x14ac:dyDescent="0.35">
      <c r="A1638" s="71" t="s">
        <v>40</v>
      </c>
      <c r="B1638" s="71">
        <v>1980</v>
      </c>
      <c r="C1638" s="71">
        <v>70</v>
      </c>
    </row>
    <row r="1639" spans="1:3" ht="15.5" x14ac:dyDescent="0.35">
      <c r="A1639" s="71" t="s">
        <v>40</v>
      </c>
      <c r="B1639" s="71">
        <v>1981</v>
      </c>
      <c r="C1639" s="71">
        <v>70</v>
      </c>
    </row>
    <row r="1640" spans="1:3" ht="15.5" x14ac:dyDescent="0.35">
      <c r="A1640" s="71" t="s">
        <v>40</v>
      </c>
      <c r="B1640" s="71">
        <v>1982</v>
      </c>
      <c r="C1640" s="71">
        <v>70</v>
      </c>
    </row>
    <row r="1641" spans="1:3" ht="15.5" x14ac:dyDescent="0.35">
      <c r="A1641" s="71" t="s">
        <v>40</v>
      </c>
      <c r="B1641" s="71">
        <v>1983</v>
      </c>
      <c r="C1641" s="71">
        <v>70</v>
      </c>
    </row>
    <row r="1642" spans="1:3" ht="15.5" x14ac:dyDescent="0.35">
      <c r="A1642" s="71" t="s">
        <v>40</v>
      </c>
      <c r="B1642" s="71">
        <v>1984</v>
      </c>
      <c r="C1642" s="71">
        <v>70</v>
      </c>
    </row>
    <row r="1643" spans="1:3" ht="15.5" x14ac:dyDescent="0.35">
      <c r="A1643" s="71" t="s">
        <v>40</v>
      </c>
      <c r="B1643" s="71">
        <v>1985</v>
      </c>
      <c r="C1643" s="71">
        <v>70</v>
      </c>
    </row>
    <row r="1644" spans="1:3" ht="15.5" x14ac:dyDescent="0.35">
      <c r="A1644" s="71" t="s">
        <v>40</v>
      </c>
      <c r="B1644" s="71">
        <v>1986</v>
      </c>
      <c r="C1644" s="71">
        <v>70</v>
      </c>
    </row>
    <row r="1645" spans="1:3" ht="15.5" x14ac:dyDescent="0.35">
      <c r="A1645" s="71" t="s">
        <v>40</v>
      </c>
      <c r="B1645" s="71">
        <v>1987</v>
      </c>
      <c r="C1645" s="71">
        <v>70</v>
      </c>
    </row>
    <row r="1646" spans="1:3" ht="15.5" x14ac:dyDescent="0.35">
      <c r="A1646" s="71" t="s">
        <v>40</v>
      </c>
      <c r="B1646" s="71">
        <v>1988</v>
      </c>
      <c r="C1646" s="71">
        <v>70</v>
      </c>
    </row>
    <row r="1647" spans="1:3" ht="15.5" x14ac:dyDescent="0.35">
      <c r="A1647" s="71" t="s">
        <v>40</v>
      </c>
      <c r="B1647" s="71">
        <v>1989</v>
      </c>
      <c r="C1647" s="71">
        <v>70</v>
      </c>
    </row>
    <row r="1648" spans="1:3" ht="15.5" x14ac:dyDescent="0.35">
      <c r="A1648" s="71" t="s">
        <v>40</v>
      </c>
      <c r="B1648" s="71">
        <v>1990</v>
      </c>
      <c r="C1648" s="71">
        <v>70</v>
      </c>
    </row>
    <row r="1649" spans="1:3" ht="15.5" x14ac:dyDescent="0.35">
      <c r="A1649" s="71" t="s">
        <v>40</v>
      </c>
      <c r="B1649" s="71">
        <v>1991</v>
      </c>
      <c r="C1649" s="71">
        <v>70</v>
      </c>
    </row>
    <row r="1650" spans="1:3" ht="15.5" x14ac:dyDescent="0.35">
      <c r="A1650" s="71" t="s">
        <v>40</v>
      </c>
      <c r="B1650" s="71">
        <v>1992</v>
      </c>
      <c r="C1650" s="71">
        <v>70</v>
      </c>
    </row>
    <row r="1651" spans="1:3" ht="15.5" x14ac:dyDescent="0.35">
      <c r="A1651" s="71" t="s">
        <v>40</v>
      </c>
      <c r="B1651" s="71">
        <v>1993</v>
      </c>
      <c r="C1651" s="71">
        <v>70</v>
      </c>
    </row>
    <row r="1652" spans="1:3" ht="15.5" x14ac:dyDescent="0.35">
      <c r="A1652" s="71" t="s">
        <v>40</v>
      </c>
      <c r="B1652" s="71">
        <v>1994</v>
      </c>
      <c r="C1652" s="71">
        <v>70</v>
      </c>
    </row>
    <row r="1653" spans="1:3" ht="15.5" x14ac:dyDescent="0.35">
      <c r="A1653" s="71" t="s">
        <v>40</v>
      </c>
      <c r="B1653" s="71">
        <v>1995</v>
      </c>
      <c r="C1653" s="71">
        <v>70</v>
      </c>
    </row>
    <row r="1654" spans="1:3" ht="15.5" x14ac:dyDescent="0.35">
      <c r="A1654" s="71" t="s">
        <v>40</v>
      </c>
      <c r="B1654" s="71">
        <v>1996</v>
      </c>
      <c r="C1654" s="71">
        <v>70</v>
      </c>
    </row>
    <row r="1655" spans="1:3" ht="15.5" x14ac:dyDescent="0.35">
      <c r="A1655" s="71" t="s">
        <v>40</v>
      </c>
      <c r="B1655" s="71">
        <v>1997</v>
      </c>
      <c r="C1655" s="71">
        <v>70</v>
      </c>
    </row>
    <row r="1656" spans="1:3" ht="15.5" x14ac:dyDescent="0.35">
      <c r="A1656" s="71" t="s">
        <v>40</v>
      </c>
      <c r="B1656" s="71">
        <v>1998</v>
      </c>
      <c r="C1656" s="71">
        <v>70</v>
      </c>
    </row>
    <row r="1657" spans="1:3" ht="15.5" x14ac:dyDescent="0.35">
      <c r="A1657" s="71" t="s">
        <v>40</v>
      </c>
      <c r="B1657" s="71">
        <v>1999</v>
      </c>
      <c r="C1657" s="71">
        <v>70</v>
      </c>
    </row>
    <row r="1658" spans="1:3" ht="15.5" x14ac:dyDescent="0.35">
      <c r="A1658" s="71" t="s">
        <v>40</v>
      </c>
      <c r="B1658" s="71">
        <v>2000</v>
      </c>
      <c r="C1658" s="71">
        <v>70</v>
      </c>
    </row>
    <row r="1659" spans="1:3" ht="15.5" x14ac:dyDescent="0.35">
      <c r="A1659" s="71" t="s">
        <v>40</v>
      </c>
      <c r="B1659" s="71">
        <v>2001</v>
      </c>
      <c r="C1659" s="71">
        <v>70</v>
      </c>
    </row>
    <row r="1660" spans="1:3" ht="15.5" x14ac:dyDescent="0.35">
      <c r="A1660" s="71" t="s">
        <v>40</v>
      </c>
      <c r="B1660" s="71">
        <v>2002</v>
      </c>
      <c r="C1660" s="71">
        <v>70</v>
      </c>
    </row>
    <row r="1661" spans="1:3" ht="15.5" x14ac:dyDescent="0.35">
      <c r="A1661" s="71" t="s">
        <v>40</v>
      </c>
      <c r="B1661" s="71">
        <v>2003</v>
      </c>
      <c r="C1661" s="71">
        <v>70</v>
      </c>
    </row>
    <row r="1662" spans="1:3" ht="15.5" x14ac:dyDescent="0.35">
      <c r="A1662" s="71" t="s">
        <v>40</v>
      </c>
      <c r="B1662" s="71">
        <v>2004</v>
      </c>
      <c r="C1662" s="71">
        <v>70</v>
      </c>
    </row>
    <row r="1663" spans="1:3" ht="15.5" x14ac:dyDescent="0.35">
      <c r="A1663" s="71" t="s">
        <v>40</v>
      </c>
      <c r="B1663" s="71">
        <v>2005</v>
      </c>
      <c r="C1663" s="71">
        <v>70</v>
      </c>
    </row>
    <row r="1664" spans="1:3" ht="15.5" x14ac:dyDescent="0.35">
      <c r="A1664" s="71" t="s">
        <v>40</v>
      </c>
      <c r="B1664" s="71">
        <v>2006</v>
      </c>
      <c r="C1664" s="71">
        <v>70</v>
      </c>
    </row>
    <row r="1665" spans="1:3" ht="15.5" x14ac:dyDescent="0.35">
      <c r="A1665" s="71" t="s">
        <v>40</v>
      </c>
      <c r="B1665" s="71">
        <v>2007</v>
      </c>
      <c r="C1665" s="71">
        <v>70</v>
      </c>
    </row>
    <row r="1666" spans="1:3" ht="15.5" x14ac:dyDescent="0.35">
      <c r="A1666" s="71" t="s">
        <v>40</v>
      </c>
      <c r="B1666" s="71">
        <v>2008</v>
      </c>
      <c r="C1666" s="71">
        <v>70</v>
      </c>
    </row>
    <row r="1667" spans="1:3" ht="15.5" x14ac:dyDescent="0.35">
      <c r="A1667" s="71" t="s">
        <v>40</v>
      </c>
      <c r="B1667" s="71">
        <v>2009</v>
      </c>
      <c r="C1667" s="71">
        <v>70</v>
      </c>
    </row>
    <row r="1668" spans="1:3" ht="15.5" x14ac:dyDescent="0.35">
      <c r="A1668" s="71" t="s">
        <v>40</v>
      </c>
      <c r="B1668" s="71">
        <v>2010</v>
      </c>
      <c r="C1668" s="71">
        <v>70</v>
      </c>
    </row>
    <row r="1669" spans="1:3" ht="15.5" x14ac:dyDescent="0.35">
      <c r="A1669" s="71" t="s">
        <v>40</v>
      </c>
      <c r="B1669" s="71">
        <v>2011</v>
      </c>
      <c r="C1669" s="71">
        <v>70</v>
      </c>
    </row>
    <row r="1670" spans="1:3" ht="15.5" x14ac:dyDescent="0.35">
      <c r="A1670" s="71" t="s">
        <v>40</v>
      </c>
      <c r="B1670" s="71">
        <v>2012</v>
      </c>
      <c r="C1670" s="71">
        <v>70</v>
      </c>
    </row>
    <row r="1671" spans="1:3" ht="15.5" x14ac:dyDescent="0.35">
      <c r="A1671" s="71" t="s">
        <v>40</v>
      </c>
      <c r="B1671" s="71">
        <v>2013</v>
      </c>
      <c r="C1671" s="71">
        <v>70</v>
      </c>
    </row>
    <row r="1672" spans="1:3" ht="15.5" x14ac:dyDescent="0.35">
      <c r="A1672" s="71" t="s">
        <v>40</v>
      </c>
      <c r="B1672" s="71">
        <v>2014</v>
      </c>
      <c r="C1672" s="71">
        <v>70</v>
      </c>
    </row>
    <row r="1673" spans="1:3" ht="15.5" x14ac:dyDescent="0.35">
      <c r="A1673" s="71" t="s">
        <v>40</v>
      </c>
      <c r="B1673" s="71">
        <v>2015</v>
      </c>
      <c r="C1673" s="71">
        <v>70</v>
      </c>
    </row>
    <row r="1674" spans="1:3" ht="15.5" x14ac:dyDescent="0.35">
      <c r="A1674" s="71" t="s">
        <v>40</v>
      </c>
      <c r="B1674" s="71">
        <v>2016</v>
      </c>
      <c r="C1674" s="71">
        <v>70</v>
      </c>
    </row>
    <row r="1675" spans="1:3" ht="15.5" x14ac:dyDescent="0.35">
      <c r="A1675" s="71" t="s">
        <v>40</v>
      </c>
      <c r="B1675" s="71">
        <v>2017</v>
      </c>
      <c r="C1675" s="71">
        <v>70</v>
      </c>
    </row>
    <row r="1676" spans="1:3" ht="15.5" x14ac:dyDescent="0.35">
      <c r="A1676" s="71" t="s">
        <v>40</v>
      </c>
      <c r="B1676" s="71">
        <v>2018</v>
      </c>
      <c r="C1676" s="71">
        <v>70</v>
      </c>
    </row>
    <row r="1677" spans="1:3" ht="15.5" x14ac:dyDescent="0.35">
      <c r="A1677" s="71" t="s">
        <v>40</v>
      </c>
      <c r="B1677" s="71">
        <v>2019</v>
      </c>
      <c r="C1677" s="71">
        <v>70</v>
      </c>
    </row>
    <row r="1678" spans="1:3" ht="15.5" x14ac:dyDescent="0.35">
      <c r="A1678" s="71" t="s">
        <v>40</v>
      </c>
      <c r="B1678" s="71">
        <v>2020</v>
      </c>
      <c r="C1678" s="71">
        <v>70</v>
      </c>
    </row>
    <row r="1679" spans="1:3" ht="15.5" x14ac:dyDescent="0.35">
      <c r="A1679" s="71" t="s">
        <v>40</v>
      </c>
      <c r="B1679" s="71">
        <v>2021</v>
      </c>
      <c r="C1679" s="71">
        <v>70</v>
      </c>
    </row>
    <row r="1680" spans="1:3" ht="15.5" x14ac:dyDescent="0.35">
      <c r="A1680" s="71" t="s">
        <v>40</v>
      </c>
      <c r="B1680" s="71">
        <v>2022</v>
      </c>
      <c r="C1680" s="71">
        <v>70</v>
      </c>
    </row>
    <row r="1681" spans="1:3" ht="15.5" x14ac:dyDescent="0.35">
      <c r="A1681" s="71" t="s">
        <v>41</v>
      </c>
      <c r="B1681" s="71">
        <v>1980</v>
      </c>
      <c r="C1681" s="71">
        <v>70</v>
      </c>
    </row>
    <row r="1682" spans="1:3" ht="15.5" x14ac:dyDescent="0.35">
      <c r="A1682" s="71" t="s">
        <v>41</v>
      </c>
      <c r="B1682" s="71">
        <v>1981</v>
      </c>
      <c r="C1682" s="71">
        <v>70</v>
      </c>
    </row>
    <row r="1683" spans="1:3" ht="15.5" x14ac:dyDescent="0.35">
      <c r="A1683" s="71" t="s">
        <v>41</v>
      </c>
      <c r="B1683" s="71">
        <v>1982</v>
      </c>
      <c r="C1683" s="71">
        <v>70</v>
      </c>
    </row>
    <row r="1684" spans="1:3" ht="15.5" x14ac:dyDescent="0.35">
      <c r="A1684" s="71" t="s">
        <v>41</v>
      </c>
      <c r="B1684" s="71">
        <v>1983</v>
      </c>
      <c r="C1684" s="71">
        <v>70</v>
      </c>
    </row>
    <row r="1685" spans="1:3" ht="15.5" x14ac:dyDescent="0.35">
      <c r="A1685" s="71" t="s">
        <v>41</v>
      </c>
      <c r="B1685" s="71">
        <v>1984</v>
      </c>
      <c r="C1685" s="71">
        <v>70</v>
      </c>
    </row>
    <row r="1686" spans="1:3" ht="15.5" x14ac:dyDescent="0.35">
      <c r="A1686" s="71" t="s">
        <v>41</v>
      </c>
      <c r="B1686" s="71">
        <v>1985</v>
      </c>
      <c r="C1686" s="71">
        <v>70</v>
      </c>
    </row>
    <row r="1687" spans="1:3" ht="15.5" x14ac:dyDescent="0.35">
      <c r="A1687" s="71" t="s">
        <v>41</v>
      </c>
      <c r="B1687" s="71">
        <v>1986</v>
      </c>
      <c r="C1687" s="71">
        <v>70</v>
      </c>
    </row>
    <row r="1688" spans="1:3" ht="15.5" x14ac:dyDescent="0.35">
      <c r="A1688" s="71" t="s">
        <v>41</v>
      </c>
      <c r="B1688" s="71">
        <v>1987</v>
      </c>
      <c r="C1688" s="71">
        <v>70</v>
      </c>
    </row>
    <row r="1689" spans="1:3" ht="15.5" x14ac:dyDescent="0.35">
      <c r="A1689" s="71" t="s">
        <v>41</v>
      </c>
      <c r="B1689" s="71">
        <v>1988</v>
      </c>
      <c r="C1689" s="71">
        <v>70</v>
      </c>
    </row>
    <row r="1690" spans="1:3" ht="15.5" x14ac:dyDescent="0.35">
      <c r="A1690" s="71" t="s">
        <v>41</v>
      </c>
      <c r="B1690" s="71">
        <v>1989</v>
      </c>
      <c r="C1690" s="71">
        <v>70</v>
      </c>
    </row>
    <row r="1691" spans="1:3" ht="15.5" x14ac:dyDescent="0.35">
      <c r="A1691" s="71" t="s">
        <v>41</v>
      </c>
      <c r="B1691" s="71">
        <v>1990</v>
      </c>
      <c r="C1691" s="71">
        <v>70</v>
      </c>
    </row>
    <row r="1692" spans="1:3" ht="15.5" x14ac:dyDescent="0.35">
      <c r="A1692" s="71" t="s">
        <v>41</v>
      </c>
      <c r="B1692" s="71">
        <v>1991</v>
      </c>
      <c r="C1692" s="71">
        <v>70</v>
      </c>
    </row>
    <row r="1693" spans="1:3" ht="15.5" x14ac:dyDescent="0.35">
      <c r="A1693" s="71" t="s">
        <v>41</v>
      </c>
      <c r="B1693" s="71">
        <v>1992</v>
      </c>
      <c r="C1693" s="71">
        <v>70</v>
      </c>
    </row>
    <row r="1694" spans="1:3" ht="15.5" x14ac:dyDescent="0.35">
      <c r="A1694" s="71" t="s">
        <v>41</v>
      </c>
      <c r="B1694" s="71">
        <v>1993</v>
      </c>
      <c r="C1694" s="71">
        <v>70</v>
      </c>
    </row>
    <row r="1695" spans="1:3" ht="15.5" x14ac:dyDescent="0.35">
      <c r="A1695" s="71" t="s">
        <v>41</v>
      </c>
      <c r="B1695" s="71">
        <v>1994</v>
      </c>
      <c r="C1695" s="71">
        <v>70</v>
      </c>
    </row>
    <row r="1696" spans="1:3" ht="15.5" x14ac:dyDescent="0.35">
      <c r="A1696" s="71" t="s">
        <v>41</v>
      </c>
      <c r="B1696" s="71">
        <v>1995</v>
      </c>
      <c r="C1696" s="71">
        <v>70</v>
      </c>
    </row>
    <row r="1697" spans="1:3" ht="15.5" x14ac:dyDescent="0.35">
      <c r="A1697" s="71" t="s">
        <v>41</v>
      </c>
      <c r="B1697" s="71">
        <v>1996</v>
      </c>
      <c r="C1697" s="71">
        <v>70</v>
      </c>
    </row>
    <row r="1698" spans="1:3" ht="15.5" x14ac:dyDescent="0.35">
      <c r="A1698" s="71" t="s">
        <v>41</v>
      </c>
      <c r="B1698" s="71">
        <v>1997</v>
      </c>
      <c r="C1698" s="71">
        <v>70</v>
      </c>
    </row>
    <row r="1699" spans="1:3" ht="15.5" x14ac:dyDescent="0.35">
      <c r="A1699" s="71" t="s">
        <v>41</v>
      </c>
      <c r="B1699" s="71">
        <v>1998</v>
      </c>
      <c r="C1699" s="71">
        <v>70</v>
      </c>
    </row>
    <row r="1700" spans="1:3" ht="15.5" x14ac:dyDescent="0.35">
      <c r="A1700" s="71" t="s">
        <v>41</v>
      </c>
      <c r="B1700" s="71">
        <v>1999</v>
      </c>
      <c r="C1700" s="71">
        <v>70</v>
      </c>
    </row>
    <row r="1701" spans="1:3" ht="15.5" x14ac:dyDescent="0.35">
      <c r="A1701" s="71" t="s">
        <v>41</v>
      </c>
      <c r="B1701" s="71">
        <v>2000</v>
      </c>
      <c r="C1701" s="71">
        <v>70</v>
      </c>
    </row>
    <row r="1702" spans="1:3" ht="15.5" x14ac:dyDescent="0.35">
      <c r="A1702" s="71" t="s">
        <v>41</v>
      </c>
      <c r="B1702" s="71">
        <v>2001</v>
      </c>
      <c r="C1702" s="71">
        <v>70</v>
      </c>
    </row>
    <row r="1703" spans="1:3" ht="15.5" x14ac:dyDescent="0.35">
      <c r="A1703" s="71" t="s">
        <v>41</v>
      </c>
      <c r="B1703" s="71">
        <v>2002</v>
      </c>
      <c r="C1703" s="71">
        <v>70</v>
      </c>
    </row>
    <row r="1704" spans="1:3" ht="15.5" x14ac:dyDescent="0.35">
      <c r="A1704" s="71" t="s">
        <v>41</v>
      </c>
      <c r="B1704" s="71">
        <v>2003</v>
      </c>
      <c r="C1704" s="71">
        <v>70</v>
      </c>
    </row>
    <row r="1705" spans="1:3" ht="15.5" x14ac:dyDescent="0.35">
      <c r="A1705" s="71" t="s">
        <v>41</v>
      </c>
      <c r="B1705" s="71">
        <v>2004</v>
      </c>
      <c r="C1705" s="71">
        <v>70</v>
      </c>
    </row>
    <row r="1706" spans="1:3" ht="15.5" x14ac:dyDescent="0.35">
      <c r="A1706" s="71" t="s">
        <v>41</v>
      </c>
      <c r="B1706" s="71">
        <v>2005</v>
      </c>
      <c r="C1706" s="71">
        <v>70</v>
      </c>
    </row>
    <row r="1707" spans="1:3" ht="15.5" x14ac:dyDescent="0.35">
      <c r="A1707" s="71" t="s">
        <v>41</v>
      </c>
      <c r="B1707" s="71">
        <v>2006</v>
      </c>
      <c r="C1707" s="71">
        <v>70</v>
      </c>
    </row>
    <row r="1708" spans="1:3" ht="15.5" x14ac:dyDescent="0.35">
      <c r="A1708" s="71" t="s">
        <v>41</v>
      </c>
      <c r="B1708" s="71">
        <v>2007</v>
      </c>
      <c r="C1708" s="71">
        <v>70</v>
      </c>
    </row>
    <row r="1709" spans="1:3" ht="15.5" x14ac:dyDescent="0.35">
      <c r="A1709" s="71" t="s">
        <v>41</v>
      </c>
      <c r="B1709" s="71">
        <v>2008</v>
      </c>
      <c r="C1709" s="71">
        <v>70</v>
      </c>
    </row>
    <row r="1710" spans="1:3" ht="15.5" x14ac:dyDescent="0.35">
      <c r="A1710" s="71" t="s">
        <v>41</v>
      </c>
      <c r="B1710" s="71">
        <v>2009</v>
      </c>
      <c r="C1710" s="71">
        <v>70</v>
      </c>
    </row>
    <row r="1711" spans="1:3" ht="15.5" x14ac:dyDescent="0.35">
      <c r="A1711" s="71" t="s">
        <v>41</v>
      </c>
      <c r="B1711" s="71">
        <v>2010</v>
      </c>
      <c r="C1711" s="71">
        <v>70</v>
      </c>
    </row>
    <row r="1712" spans="1:3" ht="15.5" x14ac:dyDescent="0.35">
      <c r="A1712" s="71" t="s">
        <v>41</v>
      </c>
      <c r="B1712" s="71">
        <v>2011</v>
      </c>
      <c r="C1712" s="71">
        <v>70</v>
      </c>
    </row>
    <row r="1713" spans="1:3" ht="15.5" x14ac:dyDescent="0.35">
      <c r="A1713" s="71" t="s">
        <v>41</v>
      </c>
      <c r="B1713" s="71">
        <v>2012</v>
      </c>
      <c r="C1713" s="71">
        <v>70</v>
      </c>
    </row>
    <row r="1714" spans="1:3" ht="15.5" x14ac:dyDescent="0.35">
      <c r="A1714" s="71" t="s">
        <v>41</v>
      </c>
      <c r="B1714" s="71">
        <v>2013</v>
      </c>
      <c r="C1714" s="71">
        <v>70</v>
      </c>
    </row>
    <row r="1715" spans="1:3" ht="15.5" x14ac:dyDescent="0.35">
      <c r="A1715" s="71" t="s">
        <v>41</v>
      </c>
      <c r="B1715" s="71">
        <v>2014</v>
      </c>
      <c r="C1715" s="71">
        <v>70</v>
      </c>
    </row>
    <row r="1716" spans="1:3" ht="15.5" x14ac:dyDescent="0.35">
      <c r="A1716" s="71" t="s">
        <v>41</v>
      </c>
      <c r="B1716" s="71">
        <v>2015</v>
      </c>
      <c r="C1716" s="71">
        <v>70</v>
      </c>
    </row>
    <row r="1717" spans="1:3" ht="15.5" x14ac:dyDescent="0.35">
      <c r="A1717" s="71" t="s">
        <v>41</v>
      </c>
      <c r="B1717" s="71">
        <v>2016</v>
      </c>
      <c r="C1717" s="71">
        <v>70</v>
      </c>
    </row>
    <row r="1718" spans="1:3" ht="15.5" x14ac:dyDescent="0.35">
      <c r="A1718" s="71" t="s">
        <v>41</v>
      </c>
      <c r="B1718" s="71">
        <v>2017</v>
      </c>
      <c r="C1718" s="71">
        <v>70</v>
      </c>
    </row>
    <row r="1719" spans="1:3" ht="15.5" x14ac:dyDescent="0.35">
      <c r="A1719" s="71" t="s">
        <v>41</v>
      </c>
      <c r="B1719" s="71">
        <v>2018</v>
      </c>
      <c r="C1719" s="71">
        <v>70</v>
      </c>
    </row>
    <row r="1720" spans="1:3" ht="15.5" x14ac:dyDescent="0.35">
      <c r="A1720" s="71" t="s">
        <v>41</v>
      </c>
      <c r="B1720" s="71">
        <v>2019</v>
      </c>
      <c r="C1720" s="71">
        <v>70</v>
      </c>
    </row>
    <row r="1721" spans="1:3" ht="15.5" x14ac:dyDescent="0.35">
      <c r="A1721" s="71" t="s">
        <v>41</v>
      </c>
      <c r="B1721" s="71">
        <v>2020</v>
      </c>
      <c r="C1721" s="71">
        <v>70</v>
      </c>
    </row>
    <row r="1722" spans="1:3" ht="15.5" x14ac:dyDescent="0.35">
      <c r="A1722" s="71" t="s">
        <v>41</v>
      </c>
      <c r="B1722" s="71">
        <v>2021</v>
      </c>
      <c r="C1722" s="71">
        <v>70</v>
      </c>
    </row>
    <row r="1723" spans="1:3" ht="15.5" x14ac:dyDescent="0.35">
      <c r="A1723" s="71" t="s">
        <v>41</v>
      </c>
      <c r="B1723" s="71">
        <v>2022</v>
      </c>
      <c r="C1723" s="71">
        <v>70</v>
      </c>
    </row>
    <row r="1724" spans="1:3" ht="15.5" x14ac:dyDescent="0.35">
      <c r="A1724" s="71" t="s">
        <v>42</v>
      </c>
      <c r="B1724" s="71">
        <v>1980</v>
      </c>
      <c r="C1724" s="71">
        <v>70</v>
      </c>
    </row>
    <row r="1725" spans="1:3" ht="15.5" x14ac:dyDescent="0.35">
      <c r="A1725" s="71" t="s">
        <v>42</v>
      </c>
      <c r="B1725" s="71">
        <v>1981</v>
      </c>
      <c r="C1725" s="71">
        <v>70</v>
      </c>
    </row>
    <row r="1726" spans="1:3" ht="15.5" x14ac:dyDescent="0.35">
      <c r="A1726" s="71" t="s">
        <v>42</v>
      </c>
      <c r="B1726" s="71">
        <v>1982</v>
      </c>
      <c r="C1726" s="71">
        <v>70</v>
      </c>
    </row>
    <row r="1727" spans="1:3" ht="15.5" x14ac:dyDescent="0.35">
      <c r="A1727" s="71" t="s">
        <v>42</v>
      </c>
      <c r="B1727" s="71">
        <v>1983</v>
      </c>
      <c r="C1727" s="71">
        <v>70</v>
      </c>
    </row>
    <row r="1728" spans="1:3" ht="15.5" x14ac:dyDescent="0.35">
      <c r="A1728" s="71" t="s">
        <v>42</v>
      </c>
      <c r="B1728" s="71">
        <v>1984</v>
      </c>
      <c r="C1728" s="71">
        <v>70</v>
      </c>
    </row>
    <row r="1729" spans="1:3" ht="15.5" x14ac:dyDescent="0.35">
      <c r="A1729" s="71" t="s">
        <v>42</v>
      </c>
      <c r="B1729" s="71">
        <v>1985</v>
      </c>
      <c r="C1729" s="71">
        <v>70</v>
      </c>
    </row>
    <row r="1730" spans="1:3" ht="15.5" x14ac:dyDescent="0.35">
      <c r="A1730" s="71" t="s">
        <v>42</v>
      </c>
      <c r="B1730" s="71">
        <v>1986</v>
      </c>
      <c r="C1730" s="71">
        <v>70</v>
      </c>
    </row>
    <row r="1731" spans="1:3" ht="15.5" x14ac:dyDescent="0.35">
      <c r="A1731" s="71" t="s">
        <v>42</v>
      </c>
      <c r="B1731" s="71">
        <v>1987</v>
      </c>
      <c r="C1731" s="71">
        <v>70</v>
      </c>
    </row>
    <row r="1732" spans="1:3" ht="15.5" x14ac:dyDescent="0.35">
      <c r="A1732" s="71" t="s">
        <v>42</v>
      </c>
      <c r="B1732" s="71">
        <v>1988</v>
      </c>
      <c r="C1732" s="71">
        <v>70</v>
      </c>
    </row>
    <row r="1733" spans="1:3" ht="15.5" x14ac:dyDescent="0.35">
      <c r="A1733" s="71" t="s">
        <v>42</v>
      </c>
      <c r="B1733" s="71">
        <v>1989</v>
      </c>
      <c r="C1733" s="71">
        <v>70</v>
      </c>
    </row>
    <row r="1734" spans="1:3" ht="15.5" x14ac:dyDescent="0.35">
      <c r="A1734" s="71" t="s">
        <v>42</v>
      </c>
      <c r="B1734" s="71">
        <v>1990</v>
      </c>
      <c r="C1734" s="71">
        <v>70</v>
      </c>
    </row>
    <row r="1735" spans="1:3" ht="15.5" x14ac:dyDescent="0.35">
      <c r="A1735" s="71" t="s">
        <v>42</v>
      </c>
      <c r="B1735" s="71">
        <v>1991</v>
      </c>
      <c r="C1735" s="71">
        <v>70</v>
      </c>
    </row>
    <row r="1736" spans="1:3" ht="15.5" x14ac:dyDescent="0.35">
      <c r="A1736" s="71" t="s">
        <v>42</v>
      </c>
      <c r="B1736" s="71">
        <v>1992</v>
      </c>
      <c r="C1736" s="71">
        <v>70</v>
      </c>
    </row>
    <row r="1737" spans="1:3" ht="15.5" x14ac:dyDescent="0.35">
      <c r="A1737" s="71" t="s">
        <v>42</v>
      </c>
      <c r="B1737" s="71">
        <v>1993</v>
      </c>
      <c r="C1737" s="71">
        <v>70</v>
      </c>
    </row>
    <row r="1738" spans="1:3" ht="15.5" x14ac:dyDescent="0.35">
      <c r="A1738" s="71" t="s">
        <v>42</v>
      </c>
      <c r="B1738" s="71">
        <v>1994</v>
      </c>
      <c r="C1738" s="71">
        <v>70</v>
      </c>
    </row>
    <row r="1739" spans="1:3" ht="15.5" x14ac:dyDescent="0.35">
      <c r="A1739" s="71" t="s">
        <v>42</v>
      </c>
      <c r="B1739" s="71">
        <v>1995</v>
      </c>
      <c r="C1739" s="71">
        <v>70</v>
      </c>
    </row>
    <row r="1740" spans="1:3" ht="15.5" x14ac:dyDescent="0.35">
      <c r="A1740" s="71" t="s">
        <v>42</v>
      </c>
      <c r="B1740" s="71">
        <v>1996</v>
      </c>
      <c r="C1740" s="71">
        <v>70</v>
      </c>
    </row>
    <row r="1741" spans="1:3" ht="15.5" x14ac:dyDescent="0.35">
      <c r="A1741" s="71" t="s">
        <v>42</v>
      </c>
      <c r="B1741" s="71">
        <v>1997</v>
      </c>
      <c r="C1741" s="71">
        <v>70</v>
      </c>
    </row>
    <row r="1742" spans="1:3" ht="15.5" x14ac:dyDescent="0.35">
      <c r="A1742" s="71" t="s">
        <v>42</v>
      </c>
      <c r="B1742" s="71">
        <v>1998</v>
      </c>
      <c r="C1742" s="71">
        <v>70</v>
      </c>
    </row>
    <row r="1743" spans="1:3" ht="15.5" x14ac:dyDescent="0.35">
      <c r="A1743" s="71" t="s">
        <v>42</v>
      </c>
      <c r="B1743" s="71">
        <v>1999</v>
      </c>
      <c r="C1743" s="71">
        <v>70</v>
      </c>
    </row>
    <row r="1744" spans="1:3" ht="15.5" x14ac:dyDescent="0.35">
      <c r="A1744" s="71" t="s">
        <v>42</v>
      </c>
      <c r="B1744" s="71">
        <v>2000</v>
      </c>
      <c r="C1744" s="71">
        <v>70</v>
      </c>
    </row>
    <row r="1745" spans="1:3" ht="15.5" x14ac:dyDescent="0.35">
      <c r="A1745" s="71" t="s">
        <v>42</v>
      </c>
      <c r="B1745" s="71">
        <v>2001</v>
      </c>
      <c r="C1745" s="71">
        <v>70</v>
      </c>
    </row>
    <row r="1746" spans="1:3" ht="15.5" x14ac:dyDescent="0.35">
      <c r="A1746" s="71" t="s">
        <v>42</v>
      </c>
      <c r="B1746" s="71">
        <v>2002</v>
      </c>
      <c r="C1746" s="71">
        <v>70</v>
      </c>
    </row>
    <row r="1747" spans="1:3" ht="15.5" x14ac:dyDescent="0.35">
      <c r="A1747" s="71" t="s">
        <v>42</v>
      </c>
      <c r="B1747" s="71">
        <v>2003</v>
      </c>
      <c r="C1747" s="71">
        <v>70</v>
      </c>
    </row>
    <row r="1748" spans="1:3" ht="15.5" x14ac:dyDescent="0.35">
      <c r="A1748" s="71" t="s">
        <v>42</v>
      </c>
      <c r="B1748" s="71">
        <v>2004</v>
      </c>
      <c r="C1748" s="71">
        <v>70</v>
      </c>
    </row>
    <row r="1749" spans="1:3" ht="15.5" x14ac:dyDescent="0.35">
      <c r="A1749" s="71" t="s">
        <v>42</v>
      </c>
      <c r="B1749" s="71">
        <v>2005</v>
      </c>
      <c r="C1749" s="71">
        <v>70</v>
      </c>
    </row>
    <row r="1750" spans="1:3" ht="15.5" x14ac:dyDescent="0.35">
      <c r="A1750" s="71" t="s">
        <v>42</v>
      </c>
      <c r="B1750" s="71">
        <v>2006</v>
      </c>
      <c r="C1750" s="71">
        <v>70</v>
      </c>
    </row>
    <row r="1751" spans="1:3" ht="15.5" x14ac:dyDescent="0.35">
      <c r="A1751" s="71" t="s">
        <v>42</v>
      </c>
      <c r="B1751" s="71">
        <v>2007</v>
      </c>
      <c r="C1751" s="71">
        <v>70</v>
      </c>
    </row>
    <row r="1752" spans="1:3" ht="15.5" x14ac:dyDescent="0.35">
      <c r="A1752" s="71" t="s">
        <v>42</v>
      </c>
      <c r="B1752" s="71">
        <v>2008</v>
      </c>
      <c r="C1752" s="71">
        <v>70</v>
      </c>
    </row>
    <row r="1753" spans="1:3" ht="15.5" x14ac:dyDescent="0.35">
      <c r="A1753" s="71" t="s">
        <v>42</v>
      </c>
      <c r="B1753" s="71">
        <v>2009</v>
      </c>
      <c r="C1753" s="71">
        <v>70</v>
      </c>
    </row>
    <row r="1754" spans="1:3" ht="15.5" x14ac:dyDescent="0.35">
      <c r="A1754" s="71" t="s">
        <v>42</v>
      </c>
      <c r="B1754" s="71">
        <v>2010</v>
      </c>
      <c r="C1754" s="71">
        <v>70</v>
      </c>
    </row>
    <row r="1755" spans="1:3" ht="15.5" x14ac:dyDescent="0.35">
      <c r="A1755" s="71" t="s">
        <v>42</v>
      </c>
      <c r="B1755" s="71">
        <v>2011</v>
      </c>
      <c r="C1755" s="71">
        <v>70</v>
      </c>
    </row>
    <row r="1756" spans="1:3" ht="15.5" x14ac:dyDescent="0.35">
      <c r="A1756" s="71" t="s">
        <v>42</v>
      </c>
      <c r="B1756" s="71">
        <v>2012</v>
      </c>
      <c r="C1756" s="71">
        <v>70</v>
      </c>
    </row>
    <row r="1757" spans="1:3" ht="15.5" x14ac:dyDescent="0.35">
      <c r="A1757" s="71" t="s">
        <v>42</v>
      </c>
      <c r="B1757" s="71">
        <v>2013</v>
      </c>
      <c r="C1757" s="71">
        <v>70</v>
      </c>
    </row>
    <row r="1758" spans="1:3" ht="15.5" x14ac:dyDescent="0.35">
      <c r="A1758" s="71" t="s">
        <v>42</v>
      </c>
      <c r="B1758" s="71">
        <v>2014</v>
      </c>
      <c r="C1758" s="71">
        <v>70</v>
      </c>
    </row>
    <row r="1759" spans="1:3" ht="15.5" x14ac:dyDescent="0.35">
      <c r="A1759" s="71" t="s">
        <v>42</v>
      </c>
      <c r="B1759" s="71">
        <v>2015</v>
      </c>
      <c r="C1759" s="71">
        <v>70</v>
      </c>
    </row>
    <row r="1760" spans="1:3" ht="15.5" x14ac:dyDescent="0.35">
      <c r="A1760" s="71" t="s">
        <v>42</v>
      </c>
      <c r="B1760" s="71">
        <v>2016</v>
      </c>
      <c r="C1760" s="71">
        <v>70</v>
      </c>
    </row>
    <row r="1761" spans="1:3" ht="15.5" x14ac:dyDescent="0.35">
      <c r="A1761" s="71" t="s">
        <v>42</v>
      </c>
      <c r="B1761" s="71">
        <v>2017</v>
      </c>
      <c r="C1761" s="71">
        <v>70</v>
      </c>
    </row>
    <row r="1762" spans="1:3" ht="15.5" x14ac:dyDescent="0.35">
      <c r="A1762" s="71" t="s">
        <v>42</v>
      </c>
      <c r="B1762" s="71">
        <v>2018</v>
      </c>
      <c r="C1762" s="71">
        <v>70</v>
      </c>
    </row>
    <row r="1763" spans="1:3" ht="15.5" x14ac:dyDescent="0.35">
      <c r="A1763" s="71" t="s">
        <v>42</v>
      </c>
      <c r="B1763" s="71">
        <v>2019</v>
      </c>
      <c r="C1763" s="71">
        <v>70</v>
      </c>
    </row>
    <row r="1764" spans="1:3" ht="15.5" x14ac:dyDescent="0.35">
      <c r="A1764" s="71" t="s">
        <v>42</v>
      </c>
      <c r="B1764" s="71">
        <v>2020</v>
      </c>
      <c r="C1764" s="71">
        <v>70</v>
      </c>
    </row>
    <row r="1765" spans="1:3" ht="15.5" x14ac:dyDescent="0.35">
      <c r="A1765" s="71" t="s">
        <v>42</v>
      </c>
      <c r="B1765" s="71">
        <v>2021</v>
      </c>
      <c r="C1765" s="71">
        <v>70</v>
      </c>
    </row>
    <row r="1766" spans="1:3" ht="15.5" x14ac:dyDescent="0.35">
      <c r="A1766" s="71" t="s">
        <v>42</v>
      </c>
      <c r="B1766" s="71">
        <v>2022</v>
      </c>
      <c r="C1766" s="71">
        <v>70</v>
      </c>
    </row>
    <row r="1767" spans="1:3" ht="15.5" x14ac:dyDescent="0.35">
      <c r="A1767" s="71" t="s">
        <v>43</v>
      </c>
      <c r="B1767" s="71">
        <v>1980</v>
      </c>
      <c r="C1767" s="71">
        <v>70</v>
      </c>
    </row>
    <row r="1768" spans="1:3" ht="15.5" x14ac:dyDescent="0.35">
      <c r="A1768" s="71" t="s">
        <v>43</v>
      </c>
      <c r="B1768" s="71">
        <v>1981</v>
      </c>
      <c r="C1768" s="71">
        <v>70</v>
      </c>
    </row>
    <row r="1769" spans="1:3" ht="15.5" x14ac:dyDescent="0.35">
      <c r="A1769" s="71" t="s">
        <v>43</v>
      </c>
      <c r="B1769" s="71">
        <v>1982</v>
      </c>
      <c r="C1769" s="71">
        <v>70</v>
      </c>
    </row>
    <row r="1770" spans="1:3" ht="15.5" x14ac:dyDescent="0.35">
      <c r="A1770" s="71" t="s">
        <v>43</v>
      </c>
      <c r="B1770" s="71">
        <v>1983</v>
      </c>
      <c r="C1770" s="71">
        <v>70</v>
      </c>
    </row>
    <row r="1771" spans="1:3" ht="15.5" x14ac:dyDescent="0.35">
      <c r="A1771" s="71" t="s">
        <v>43</v>
      </c>
      <c r="B1771" s="71">
        <v>1984</v>
      </c>
      <c r="C1771" s="71">
        <v>70</v>
      </c>
    </row>
    <row r="1772" spans="1:3" ht="15.5" x14ac:dyDescent="0.35">
      <c r="A1772" s="71" t="s">
        <v>43</v>
      </c>
      <c r="B1772" s="71">
        <v>1985</v>
      </c>
      <c r="C1772" s="71">
        <v>70</v>
      </c>
    </row>
    <row r="1773" spans="1:3" ht="15.5" x14ac:dyDescent="0.35">
      <c r="A1773" s="71" t="s">
        <v>43</v>
      </c>
      <c r="B1773" s="71">
        <v>1986</v>
      </c>
      <c r="C1773" s="71">
        <v>70</v>
      </c>
    </row>
    <row r="1774" spans="1:3" ht="15.5" x14ac:dyDescent="0.35">
      <c r="A1774" s="71" t="s">
        <v>43</v>
      </c>
      <c r="B1774" s="71">
        <v>1987</v>
      </c>
      <c r="C1774" s="71">
        <v>70</v>
      </c>
    </row>
    <row r="1775" spans="1:3" ht="15.5" x14ac:dyDescent="0.35">
      <c r="A1775" s="71" t="s">
        <v>43</v>
      </c>
      <c r="B1775" s="71">
        <v>1988</v>
      </c>
      <c r="C1775" s="71">
        <v>70</v>
      </c>
    </row>
    <row r="1776" spans="1:3" ht="15.5" x14ac:dyDescent="0.35">
      <c r="A1776" s="71" t="s">
        <v>43</v>
      </c>
      <c r="B1776" s="71">
        <v>1989</v>
      </c>
      <c r="C1776" s="71">
        <v>70</v>
      </c>
    </row>
    <row r="1777" spans="1:3" ht="15.5" x14ac:dyDescent="0.35">
      <c r="A1777" s="71" t="s">
        <v>43</v>
      </c>
      <c r="B1777" s="71">
        <v>1990</v>
      </c>
      <c r="C1777" s="71">
        <v>70</v>
      </c>
    </row>
    <row r="1778" spans="1:3" ht="15.5" x14ac:dyDescent="0.35">
      <c r="A1778" s="71" t="s">
        <v>43</v>
      </c>
      <c r="B1778" s="71">
        <v>1991</v>
      </c>
      <c r="C1778" s="71">
        <v>70</v>
      </c>
    </row>
    <row r="1779" spans="1:3" ht="15.5" x14ac:dyDescent="0.35">
      <c r="A1779" s="71" t="s">
        <v>43</v>
      </c>
      <c r="B1779" s="71">
        <v>1992</v>
      </c>
      <c r="C1779" s="71">
        <v>70</v>
      </c>
    </row>
    <row r="1780" spans="1:3" ht="15.5" x14ac:dyDescent="0.35">
      <c r="A1780" s="71" t="s">
        <v>43</v>
      </c>
      <c r="B1780" s="71">
        <v>1993</v>
      </c>
      <c r="C1780" s="71">
        <v>70</v>
      </c>
    </row>
    <row r="1781" spans="1:3" ht="15.5" x14ac:dyDescent="0.35">
      <c r="A1781" s="71" t="s">
        <v>43</v>
      </c>
      <c r="B1781" s="71">
        <v>1994</v>
      </c>
      <c r="C1781" s="71">
        <v>70</v>
      </c>
    </row>
    <row r="1782" spans="1:3" ht="15.5" x14ac:dyDescent="0.35">
      <c r="A1782" s="71" t="s">
        <v>43</v>
      </c>
      <c r="B1782" s="71">
        <v>1995</v>
      </c>
      <c r="C1782" s="71">
        <v>70</v>
      </c>
    </row>
    <row r="1783" spans="1:3" ht="15.5" x14ac:dyDescent="0.35">
      <c r="A1783" s="71" t="s">
        <v>43</v>
      </c>
      <c r="B1783" s="71">
        <v>1996</v>
      </c>
      <c r="C1783" s="71">
        <v>70</v>
      </c>
    </row>
    <row r="1784" spans="1:3" ht="15.5" x14ac:dyDescent="0.35">
      <c r="A1784" s="71" t="s">
        <v>43</v>
      </c>
      <c r="B1784" s="71">
        <v>1997</v>
      </c>
      <c r="C1784" s="71">
        <v>70</v>
      </c>
    </row>
    <row r="1785" spans="1:3" ht="15.5" x14ac:dyDescent="0.35">
      <c r="A1785" s="71" t="s">
        <v>43</v>
      </c>
      <c r="B1785" s="71">
        <v>1998</v>
      </c>
      <c r="C1785" s="71">
        <v>70</v>
      </c>
    </row>
    <row r="1786" spans="1:3" ht="15.5" x14ac:dyDescent="0.35">
      <c r="A1786" s="71" t="s">
        <v>43</v>
      </c>
      <c r="B1786" s="71">
        <v>1999</v>
      </c>
      <c r="C1786" s="71">
        <v>70</v>
      </c>
    </row>
    <row r="1787" spans="1:3" ht="15.5" x14ac:dyDescent="0.35">
      <c r="A1787" s="71" t="s">
        <v>43</v>
      </c>
      <c r="B1787" s="71">
        <v>2000</v>
      </c>
      <c r="C1787" s="71">
        <v>70</v>
      </c>
    </row>
    <row r="1788" spans="1:3" ht="15.5" x14ac:dyDescent="0.35">
      <c r="A1788" s="71" t="s">
        <v>43</v>
      </c>
      <c r="B1788" s="71">
        <v>2001</v>
      </c>
      <c r="C1788" s="71">
        <v>70</v>
      </c>
    </row>
    <row r="1789" spans="1:3" ht="15.5" x14ac:dyDescent="0.35">
      <c r="A1789" s="71" t="s">
        <v>43</v>
      </c>
      <c r="B1789" s="71">
        <v>2002</v>
      </c>
      <c r="C1789" s="71">
        <v>70</v>
      </c>
    </row>
    <row r="1790" spans="1:3" ht="15.5" x14ac:dyDescent="0.35">
      <c r="A1790" s="71" t="s">
        <v>43</v>
      </c>
      <c r="B1790" s="71">
        <v>2003</v>
      </c>
      <c r="C1790" s="71">
        <v>70</v>
      </c>
    </row>
    <row r="1791" spans="1:3" ht="15.5" x14ac:dyDescent="0.35">
      <c r="A1791" s="71" t="s">
        <v>43</v>
      </c>
      <c r="B1791" s="71">
        <v>2004</v>
      </c>
      <c r="C1791" s="71">
        <v>70</v>
      </c>
    </row>
    <row r="1792" spans="1:3" ht="15.5" x14ac:dyDescent="0.35">
      <c r="A1792" s="71" t="s">
        <v>43</v>
      </c>
      <c r="B1792" s="71">
        <v>2005</v>
      </c>
      <c r="C1792" s="71">
        <v>70</v>
      </c>
    </row>
    <row r="1793" spans="1:3" ht="15.5" x14ac:dyDescent="0.35">
      <c r="A1793" s="71" t="s">
        <v>43</v>
      </c>
      <c r="B1793" s="71">
        <v>2006</v>
      </c>
      <c r="C1793" s="71">
        <v>70</v>
      </c>
    </row>
    <row r="1794" spans="1:3" ht="15.5" x14ac:dyDescent="0.35">
      <c r="A1794" s="71" t="s">
        <v>43</v>
      </c>
      <c r="B1794" s="71">
        <v>2007</v>
      </c>
      <c r="C1794" s="71">
        <v>70</v>
      </c>
    </row>
    <row r="1795" spans="1:3" ht="15.5" x14ac:dyDescent="0.35">
      <c r="A1795" s="71" t="s">
        <v>43</v>
      </c>
      <c r="B1795" s="71">
        <v>2008</v>
      </c>
      <c r="C1795" s="71">
        <v>70</v>
      </c>
    </row>
    <row r="1796" spans="1:3" ht="15.5" x14ac:dyDescent="0.35">
      <c r="A1796" s="71" t="s">
        <v>43</v>
      </c>
      <c r="B1796" s="71">
        <v>2009</v>
      </c>
      <c r="C1796" s="71">
        <v>70</v>
      </c>
    </row>
    <row r="1797" spans="1:3" ht="15.5" x14ac:dyDescent="0.35">
      <c r="A1797" s="71" t="s">
        <v>43</v>
      </c>
      <c r="B1797" s="71">
        <v>2010</v>
      </c>
      <c r="C1797" s="71">
        <v>70</v>
      </c>
    </row>
    <row r="1798" spans="1:3" ht="15.5" x14ac:dyDescent="0.35">
      <c r="A1798" s="71" t="s">
        <v>43</v>
      </c>
      <c r="B1798" s="71">
        <v>2011</v>
      </c>
      <c r="C1798" s="71">
        <v>70</v>
      </c>
    </row>
    <row r="1799" spans="1:3" ht="15.5" x14ac:dyDescent="0.35">
      <c r="A1799" s="71" t="s">
        <v>43</v>
      </c>
      <c r="B1799" s="71">
        <v>2012</v>
      </c>
      <c r="C1799" s="71">
        <v>70</v>
      </c>
    </row>
    <row r="1800" spans="1:3" ht="15.5" x14ac:dyDescent="0.35">
      <c r="A1800" s="71" t="s">
        <v>43</v>
      </c>
      <c r="B1800" s="71">
        <v>2013</v>
      </c>
      <c r="C1800" s="71">
        <v>70</v>
      </c>
    </row>
    <row r="1801" spans="1:3" ht="15.5" x14ac:dyDescent="0.35">
      <c r="A1801" s="71" t="s">
        <v>43</v>
      </c>
      <c r="B1801" s="71">
        <v>2014</v>
      </c>
      <c r="C1801" s="71">
        <v>70</v>
      </c>
    </row>
    <row r="1802" spans="1:3" ht="15.5" x14ac:dyDescent="0.35">
      <c r="A1802" s="71" t="s">
        <v>43</v>
      </c>
      <c r="B1802" s="71">
        <v>2015</v>
      </c>
      <c r="C1802" s="71">
        <v>70</v>
      </c>
    </row>
    <row r="1803" spans="1:3" ht="15.5" x14ac:dyDescent="0.35">
      <c r="A1803" s="71" t="s">
        <v>43</v>
      </c>
      <c r="B1803" s="71">
        <v>2016</v>
      </c>
      <c r="C1803" s="71">
        <v>70</v>
      </c>
    </row>
    <row r="1804" spans="1:3" ht="15.5" x14ac:dyDescent="0.35">
      <c r="A1804" s="71" t="s">
        <v>43</v>
      </c>
      <c r="B1804" s="71">
        <v>2017</v>
      </c>
      <c r="C1804" s="71">
        <v>70</v>
      </c>
    </row>
    <row r="1805" spans="1:3" ht="15.5" x14ac:dyDescent="0.35">
      <c r="A1805" s="71" t="s">
        <v>43</v>
      </c>
      <c r="B1805" s="71">
        <v>2018</v>
      </c>
      <c r="C1805" s="71">
        <v>70</v>
      </c>
    </row>
    <row r="1806" spans="1:3" ht="15.5" x14ac:dyDescent="0.35">
      <c r="A1806" s="71" t="s">
        <v>43</v>
      </c>
      <c r="B1806" s="71">
        <v>2019</v>
      </c>
      <c r="C1806" s="71">
        <v>70</v>
      </c>
    </row>
    <row r="1807" spans="1:3" ht="15.5" x14ac:dyDescent="0.35">
      <c r="A1807" s="71" t="s">
        <v>43</v>
      </c>
      <c r="B1807" s="71">
        <v>2020</v>
      </c>
      <c r="C1807" s="71">
        <v>70</v>
      </c>
    </row>
    <row r="1808" spans="1:3" ht="15.5" x14ac:dyDescent="0.35">
      <c r="A1808" s="71" t="s">
        <v>43</v>
      </c>
      <c r="B1808" s="71">
        <v>2021</v>
      </c>
      <c r="C1808" s="71">
        <v>70</v>
      </c>
    </row>
    <row r="1809" spans="1:3" ht="15.5" x14ac:dyDescent="0.35">
      <c r="A1809" s="71" t="s">
        <v>43</v>
      </c>
      <c r="B1809" s="71">
        <v>2022</v>
      </c>
      <c r="C1809" s="71">
        <v>70</v>
      </c>
    </row>
    <row r="1810" spans="1:3" ht="15.5" x14ac:dyDescent="0.35">
      <c r="A1810" s="71" t="s">
        <v>44</v>
      </c>
      <c r="B1810" s="71">
        <v>1980</v>
      </c>
      <c r="C1810" s="71">
        <v>70</v>
      </c>
    </row>
    <row r="1811" spans="1:3" ht="15.5" x14ac:dyDescent="0.35">
      <c r="A1811" s="71" t="s">
        <v>44</v>
      </c>
      <c r="B1811" s="71">
        <v>1981</v>
      </c>
      <c r="C1811" s="71">
        <v>70</v>
      </c>
    </row>
    <row r="1812" spans="1:3" ht="15.5" x14ac:dyDescent="0.35">
      <c r="A1812" s="71" t="s">
        <v>44</v>
      </c>
      <c r="B1812" s="71">
        <v>1982</v>
      </c>
      <c r="C1812" s="71">
        <v>70</v>
      </c>
    </row>
    <row r="1813" spans="1:3" ht="15.5" x14ac:dyDescent="0.35">
      <c r="A1813" s="71" t="s">
        <v>44</v>
      </c>
      <c r="B1813" s="71">
        <v>1983</v>
      </c>
      <c r="C1813" s="71">
        <v>70</v>
      </c>
    </row>
    <row r="1814" spans="1:3" ht="15.5" x14ac:dyDescent="0.35">
      <c r="A1814" s="71" t="s">
        <v>44</v>
      </c>
      <c r="B1814" s="71">
        <v>1984</v>
      </c>
      <c r="C1814" s="71">
        <v>70</v>
      </c>
    </row>
    <row r="1815" spans="1:3" ht="15.5" x14ac:dyDescent="0.35">
      <c r="A1815" s="71" t="s">
        <v>44</v>
      </c>
      <c r="B1815" s="71">
        <v>1985</v>
      </c>
      <c r="C1815" s="71">
        <v>70</v>
      </c>
    </row>
    <row r="1816" spans="1:3" ht="15.5" x14ac:dyDescent="0.35">
      <c r="A1816" s="71" t="s">
        <v>44</v>
      </c>
      <c r="B1816" s="71">
        <v>1986</v>
      </c>
      <c r="C1816" s="71">
        <v>70</v>
      </c>
    </row>
    <row r="1817" spans="1:3" ht="15.5" x14ac:dyDescent="0.35">
      <c r="A1817" s="71" t="s">
        <v>44</v>
      </c>
      <c r="B1817" s="71">
        <v>1987</v>
      </c>
      <c r="C1817" s="71">
        <v>70</v>
      </c>
    </row>
    <row r="1818" spans="1:3" ht="15.5" x14ac:dyDescent="0.35">
      <c r="A1818" s="71" t="s">
        <v>44</v>
      </c>
      <c r="B1818" s="71">
        <v>1988</v>
      </c>
      <c r="C1818" s="71">
        <v>70</v>
      </c>
    </row>
    <row r="1819" spans="1:3" ht="15.5" x14ac:dyDescent="0.35">
      <c r="A1819" s="71" t="s">
        <v>44</v>
      </c>
      <c r="B1819" s="71">
        <v>1989</v>
      </c>
      <c r="C1819" s="71">
        <v>70</v>
      </c>
    </row>
    <row r="1820" spans="1:3" ht="15.5" x14ac:dyDescent="0.35">
      <c r="A1820" s="71" t="s">
        <v>44</v>
      </c>
      <c r="B1820" s="71">
        <v>1990</v>
      </c>
      <c r="C1820" s="71">
        <v>70</v>
      </c>
    </row>
    <row r="1821" spans="1:3" ht="15.5" x14ac:dyDescent="0.35">
      <c r="A1821" s="71" t="s">
        <v>44</v>
      </c>
      <c r="B1821" s="71">
        <v>1991</v>
      </c>
      <c r="C1821" s="71">
        <v>70</v>
      </c>
    </row>
    <row r="1822" spans="1:3" ht="15.5" x14ac:dyDescent="0.35">
      <c r="A1822" s="71" t="s">
        <v>44</v>
      </c>
      <c r="B1822" s="71">
        <v>1992</v>
      </c>
      <c r="C1822" s="71">
        <v>70</v>
      </c>
    </row>
    <row r="1823" spans="1:3" ht="15.5" x14ac:dyDescent="0.35">
      <c r="A1823" s="71" t="s">
        <v>44</v>
      </c>
      <c r="B1823" s="71">
        <v>1993</v>
      </c>
      <c r="C1823" s="71">
        <v>70</v>
      </c>
    </row>
    <row r="1824" spans="1:3" ht="15.5" x14ac:dyDescent="0.35">
      <c r="A1824" s="71" t="s">
        <v>44</v>
      </c>
      <c r="B1824" s="71">
        <v>1994</v>
      </c>
      <c r="C1824" s="71">
        <v>70</v>
      </c>
    </row>
    <row r="1825" spans="1:3" ht="15.5" x14ac:dyDescent="0.35">
      <c r="A1825" s="71" t="s">
        <v>44</v>
      </c>
      <c r="B1825" s="71">
        <v>1995</v>
      </c>
      <c r="C1825" s="71">
        <v>70</v>
      </c>
    </row>
    <row r="1826" spans="1:3" ht="15.5" x14ac:dyDescent="0.35">
      <c r="A1826" s="71" t="s">
        <v>44</v>
      </c>
      <c r="B1826" s="71">
        <v>1996</v>
      </c>
      <c r="C1826" s="71">
        <v>70</v>
      </c>
    </row>
    <row r="1827" spans="1:3" ht="15.5" x14ac:dyDescent="0.35">
      <c r="A1827" s="71" t="s">
        <v>44</v>
      </c>
      <c r="B1827" s="71">
        <v>1997</v>
      </c>
      <c r="C1827" s="71">
        <v>70</v>
      </c>
    </row>
    <row r="1828" spans="1:3" ht="15.5" x14ac:dyDescent="0.35">
      <c r="A1828" s="71" t="s">
        <v>44</v>
      </c>
      <c r="B1828" s="71">
        <v>1998</v>
      </c>
      <c r="C1828" s="71">
        <v>70</v>
      </c>
    </row>
    <row r="1829" spans="1:3" ht="15.5" x14ac:dyDescent="0.35">
      <c r="A1829" s="71" t="s">
        <v>44</v>
      </c>
      <c r="B1829" s="71">
        <v>1999</v>
      </c>
      <c r="C1829" s="71">
        <v>70</v>
      </c>
    </row>
    <row r="1830" spans="1:3" ht="15.5" x14ac:dyDescent="0.35">
      <c r="A1830" s="71" t="s">
        <v>44</v>
      </c>
      <c r="B1830" s="71">
        <v>2000</v>
      </c>
      <c r="C1830" s="71">
        <v>70</v>
      </c>
    </row>
    <row r="1831" spans="1:3" ht="15.5" x14ac:dyDescent="0.35">
      <c r="A1831" s="71" t="s">
        <v>44</v>
      </c>
      <c r="B1831" s="71">
        <v>2001</v>
      </c>
      <c r="C1831" s="71">
        <v>70</v>
      </c>
    </row>
    <row r="1832" spans="1:3" ht="15.5" x14ac:dyDescent="0.35">
      <c r="A1832" s="71" t="s">
        <v>44</v>
      </c>
      <c r="B1832" s="71">
        <v>2002</v>
      </c>
      <c r="C1832" s="71">
        <v>70</v>
      </c>
    </row>
    <row r="1833" spans="1:3" ht="15.5" x14ac:dyDescent="0.35">
      <c r="A1833" s="71" t="s">
        <v>44</v>
      </c>
      <c r="B1833" s="71">
        <v>2003</v>
      </c>
      <c r="C1833" s="71">
        <v>70</v>
      </c>
    </row>
    <row r="1834" spans="1:3" ht="15.5" x14ac:dyDescent="0.35">
      <c r="A1834" s="71" t="s">
        <v>44</v>
      </c>
      <c r="B1834" s="71">
        <v>2004</v>
      </c>
      <c r="C1834" s="71">
        <v>70</v>
      </c>
    </row>
    <row r="1835" spans="1:3" ht="15.5" x14ac:dyDescent="0.35">
      <c r="A1835" s="71" t="s">
        <v>44</v>
      </c>
      <c r="B1835" s="71">
        <v>2005</v>
      </c>
      <c r="C1835" s="71">
        <v>70</v>
      </c>
    </row>
    <row r="1836" spans="1:3" ht="15.5" x14ac:dyDescent="0.35">
      <c r="A1836" s="71" t="s">
        <v>44</v>
      </c>
      <c r="B1836" s="71">
        <v>2006</v>
      </c>
      <c r="C1836" s="71">
        <v>70</v>
      </c>
    </row>
    <row r="1837" spans="1:3" ht="15.5" x14ac:dyDescent="0.35">
      <c r="A1837" s="71" t="s">
        <v>44</v>
      </c>
      <c r="B1837" s="71">
        <v>2007</v>
      </c>
      <c r="C1837" s="71">
        <v>70</v>
      </c>
    </row>
    <row r="1838" spans="1:3" ht="15.5" x14ac:dyDescent="0.35">
      <c r="A1838" s="71" t="s">
        <v>44</v>
      </c>
      <c r="B1838" s="71">
        <v>2008</v>
      </c>
      <c r="C1838" s="71">
        <v>70</v>
      </c>
    </row>
    <row r="1839" spans="1:3" ht="15.5" x14ac:dyDescent="0.35">
      <c r="A1839" s="71" t="s">
        <v>44</v>
      </c>
      <c r="B1839" s="71">
        <v>2009</v>
      </c>
      <c r="C1839" s="71">
        <v>70</v>
      </c>
    </row>
    <row r="1840" spans="1:3" ht="15.5" x14ac:dyDescent="0.35">
      <c r="A1840" s="71" t="s">
        <v>44</v>
      </c>
      <c r="B1840" s="71">
        <v>2010</v>
      </c>
      <c r="C1840" s="71">
        <v>70</v>
      </c>
    </row>
    <row r="1841" spans="1:3" ht="15.5" x14ac:dyDescent="0.35">
      <c r="A1841" s="71" t="s">
        <v>44</v>
      </c>
      <c r="B1841" s="71">
        <v>2011</v>
      </c>
      <c r="C1841" s="71">
        <v>70</v>
      </c>
    </row>
    <row r="1842" spans="1:3" ht="15.5" x14ac:dyDescent="0.35">
      <c r="A1842" s="71" t="s">
        <v>44</v>
      </c>
      <c r="B1842" s="71">
        <v>2012</v>
      </c>
      <c r="C1842" s="71">
        <v>70</v>
      </c>
    </row>
    <row r="1843" spans="1:3" ht="15.5" x14ac:dyDescent="0.35">
      <c r="A1843" s="71" t="s">
        <v>44</v>
      </c>
      <c r="B1843" s="71">
        <v>2013</v>
      </c>
      <c r="C1843" s="71">
        <v>70</v>
      </c>
    </row>
    <row r="1844" spans="1:3" ht="15.5" x14ac:dyDescent="0.35">
      <c r="A1844" s="71" t="s">
        <v>44</v>
      </c>
      <c r="B1844" s="71">
        <v>2014</v>
      </c>
      <c r="C1844" s="71">
        <v>70</v>
      </c>
    </row>
    <row r="1845" spans="1:3" ht="15.5" x14ac:dyDescent="0.35">
      <c r="A1845" s="71" t="s">
        <v>44</v>
      </c>
      <c r="B1845" s="71">
        <v>2015</v>
      </c>
      <c r="C1845" s="71">
        <v>70</v>
      </c>
    </row>
    <row r="1846" spans="1:3" ht="15.5" x14ac:dyDescent="0.35">
      <c r="A1846" s="71" t="s">
        <v>44</v>
      </c>
      <c r="B1846" s="71">
        <v>2016</v>
      </c>
      <c r="C1846" s="71">
        <v>70</v>
      </c>
    </row>
    <row r="1847" spans="1:3" ht="15.5" x14ac:dyDescent="0.35">
      <c r="A1847" s="71" t="s">
        <v>44</v>
      </c>
      <c r="B1847" s="71">
        <v>2017</v>
      </c>
      <c r="C1847" s="71">
        <v>70</v>
      </c>
    </row>
    <row r="1848" spans="1:3" ht="15.5" x14ac:dyDescent="0.35">
      <c r="A1848" s="71" t="s">
        <v>44</v>
      </c>
      <c r="B1848" s="71">
        <v>2018</v>
      </c>
      <c r="C1848" s="71">
        <v>70</v>
      </c>
    </row>
    <row r="1849" spans="1:3" ht="15.5" x14ac:dyDescent="0.35">
      <c r="A1849" s="71" t="s">
        <v>44</v>
      </c>
      <c r="B1849" s="71">
        <v>2019</v>
      </c>
      <c r="C1849" s="71">
        <v>70</v>
      </c>
    </row>
    <row r="1850" spans="1:3" ht="15.5" x14ac:dyDescent="0.35">
      <c r="A1850" s="71" t="s">
        <v>44</v>
      </c>
      <c r="B1850" s="71">
        <v>2020</v>
      </c>
      <c r="C1850" s="71">
        <v>70</v>
      </c>
    </row>
    <row r="1851" spans="1:3" ht="15.5" x14ac:dyDescent="0.35">
      <c r="A1851" s="71" t="s">
        <v>44</v>
      </c>
      <c r="B1851" s="71">
        <v>2021</v>
      </c>
      <c r="C1851" s="71">
        <v>70</v>
      </c>
    </row>
    <row r="1852" spans="1:3" ht="15.5" x14ac:dyDescent="0.35">
      <c r="A1852" s="71" t="s">
        <v>44</v>
      </c>
      <c r="B1852" s="71">
        <v>2022</v>
      </c>
      <c r="C1852" s="71">
        <v>70</v>
      </c>
    </row>
    <row r="1853" spans="1:3" ht="15.5" x14ac:dyDescent="0.35">
      <c r="A1853" s="71" t="s">
        <v>45</v>
      </c>
      <c r="B1853" s="71">
        <v>1980</v>
      </c>
      <c r="C1853" s="71">
        <v>70</v>
      </c>
    </row>
    <row r="1854" spans="1:3" ht="15.5" x14ac:dyDescent="0.35">
      <c r="A1854" s="71" t="s">
        <v>45</v>
      </c>
      <c r="B1854" s="71">
        <v>1981</v>
      </c>
      <c r="C1854" s="71">
        <v>70</v>
      </c>
    </row>
    <row r="1855" spans="1:3" ht="15.5" x14ac:dyDescent="0.35">
      <c r="A1855" s="71" t="s">
        <v>45</v>
      </c>
      <c r="B1855" s="71">
        <v>1982</v>
      </c>
      <c r="C1855" s="71">
        <v>70</v>
      </c>
    </row>
    <row r="1856" spans="1:3" ht="15.5" x14ac:dyDescent="0.35">
      <c r="A1856" s="71" t="s">
        <v>45</v>
      </c>
      <c r="B1856" s="71">
        <v>1983</v>
      </c>
      <c r="C1856" s="71">
        <v>70</v>
      </c>
    </row>
    <row r="1857" spans="1:3" ht="15.5" x14ac:dyDescent="0.35">
      <c r="A1857" s="71" t="s">
        <v>45</v>
      </c>
      <c r="B1857" s="71">
        <v>1984</v>
      </c>
      <c r="C1857" s="71">
        <v>70</v>
      </c>
    </row>
    <row r="1858" spans="1:3" ht="15.5" x14ac:dyDescent="0.35">
      <c r="A1858" s="71" t="s">
        <v>45</v>
      </c>
      <c r="B1858" s="71">
        <v>1985</v>
      </c>
      <c r="C1858" s="71">
        <v>70</v>
      </c>
    </row>
    <row r="1859" spans="1:3" ht="15.5" x14ac:dyDescent="0.35">
      <c r="A1859" s="71" t="s">
        <v>45</v>
      </c>
      <c r="B1859" s="71">
        <v>1986</v>
      </c>
      <c r="C1859" s="71">
        <v>70</v>
      </c>
    </row>
    <row r="1860" spans="1:3" ht="15.5" x14ac:dyDescent="0.35">
      <c r="A1860" s="71" t="s">
        <v>45</v>
      </c>
      <c r="B1860" s="71">
        <v>1987</v>
      </c>
      <c r="C1860" s="71">
        <v>70</v>
      </c>
    </row>
    <row r="1861" spans="1:3" ht="15.5" x14ac:dyDescent="0.35">
      <c r="A1861" s="71" t="s">
        <v>45</v>
      </c>
      <c r="B1861" s="71">
        <v>1988</v>
      </c>
      <c r="C1861" s="71">
        <v>70</v>
      </c>
    </row>
    <row r="1862" spans="1:3" ht="15.5" x14ac:dyDescent="0.35">
      <c r="A1862" s="71" t="s">
        <v>45</v>
      </c>
      <c r="B1862" s="71">
        <v>1989</v>
      </c>
      <c r="C1862" s="71">
        <v>70</v>
      </c>
    </row>
    <row r="1863" spans="1:3" ht="15.5" x14ac:dyDescent="0.35">
      <c r="A1863" s="71" t="s">
        <v>45</v>
      </c>
      <c r="B1863" s="71">
        <v>1990</v>
      </c>
      <c r="C1863" s="71">
        <v>70</v>
      </c>
    </row>
    <row r="1864" spans="1:3" ht="15.5" x14ac:dyDescent="0.35">
      <c r="A1864" s="71" t="s">
        <v>45</v>
      </c>
      <c r="B1864" s="71">
        <v>1991</v>
      </c>
      <c r="C1864" s="71">
        <v>70</v>
      </c>
    </row>
    <row r="1865" spans="1:3" ht="15.5" x14ac:dyDescent="0.35">
      <c r="A1865" s="71" t="s">
        <v>45</v>
      </c>
      <c r="B1865" s="71">
        <v>1992</v>
      </c>
      <c r="C1865" s="71">
        <v>70</v>
      </c>
    </row>
    <row r="1866" spans="1:3" ht="15.5" x14ac:dyDescent="0.35">
      <c r="A1866" s="71" t="s">
        <v>45</v>
      </c>
      <c r="B1866" s="71">
        <v>1993</v>
      </c>
      <c r="C1866" s="71">
        <v>70</v>
      </c>
    </row>
    <row r="1867" spans="1:3" ht="15.5" x14ac:dyDescent="0.35">
      <c r="A1867" s="71" t="s">
        <v>45</v>
      </c>
      <c r="B1867" s="71">
        <v>1994</v>
      </c>
      <c r="C1867" s="71">
        <v>70</v>
      </c>
    </row>
    <row r="1868" spans="1:3" ht="15.5" x14ac:dyDescent="0.35">
      <c r="A1868" s="71" t="s">
        <v>45</v>
      </c>
      <c r="B1868" s="71">
        <v>1995</v>
      </c>
      <c r="C1868" s="71">
        <v>70</v>
      </c>
    </row>
    <row r="1869" spans="1:3" ht="15.5" x14ac:dyDescent="0.35">
      <c r="A1869" s="71" t="s">
        <v>45</v>
      </c>
      <c r="B1869" s="71">
        <v>1996</v>
      </c>
      <c r="C1869" s="71">
        <v>70</v>
      </c>
    </row>
    <row r="1870" spans="1:3" ht="15.5" x14ac:dyDescent="0.35">
      <c r="A1870" s="71" t="s">
        <v>45</v>
      </c>
      <c r="B1870" s="71">
        <v>1997</v>
      </c>
      <c r="C1870" s="71">
        <v>70</v>
      </c>
    </row>
    <row r="1871" spans="1:3" ht="15.5" x14ac:dyDescent="0.35">
      <c r="A1871" s="71" t="s">
        <v>45</v>
      </c>
      <c r="B1871" s="71">
        <v>1998</v>
      </c>
      <c r="C1871" s="71">
        <v>70</v>
      </c>
    </row>
    <row r="1872" spans="1:3" ht="15.5" x14ac:dyDescent="0.35">
      <c r="A1872" s="71" t="s">
        <v>45</v>
      </c>
      <c r="B1872" s="71">
        <v>1999</v>
      </c>
      <c r="C1872" s="71">
        <v>70</v>
      </c>
    </row>
    <row r="1873" spans="1:3" ht="15.5" x14ac:dyDescent="0.35">
      <c r="A1873" s="71" t="s">
        <v>45</v>
      </c>
      <c r="B1873" s="71">
        <v>2000</v>
      </c>
      <c r="C1873" s="71">
        <v>70</v>
      </c>
    </row>
    <row r="1874" spans="1:3" ht="15.5" x14ac:dyDescent="0.35">
      <c r="A1874" s="71" t="s">
        <v>45</v>
      </c>
      <c r="B1874" s="71">
        <v>2001</v>
      </c>
      <c r="C1874" s="71">
        <v>70</v>
      </c>
    </row>
    <row r="1875" spans="1:3" ht="15.5" x14ac:dyDescent="0.35">
      <c r="A1875" s="71" t="s">
        <v>45</v>
      </c>
      <c r="B1875" s="71">
        <v>2002</v>
      </c>
      <c r="C1875" s="71">
        <v>70</v>
      </c>
    </row>
    <row r="1876" spans="1:3" ht="15.5" x14ac:dyDescent="0.35">
      <c r="A1876" s="71" t="s">
        <v>45</v>
      </c>
      <c r="B1876" s="71">
        <v>2003</v>
      </c>
      <c r="C1876" s="71">
        <v>70</v>
      </c>
    </row>
    <row r="1877" spans="1:3" ht="15.5" x14ac:dyDescent="0.35">
      <c r="A1877" s="71" t="s">
        <v>45</v>
      </c>
      <c r="B1877" s="71">
        <v>2004</v>
      </c>
      <c r="C1877" s="71">
        <v>70</v>
      </c>
    </row>
    <row r="1878" spans="1:3" ht="15.5" x14ac:dyDescent="0.35">
      <c r="A1878" s="71" t="s">
        <v>45</v>
      </c>
      <c r="B1878" s="71">
        <v>2005</v>
      </c>
      <c r="C1878" s="71">
        <v>70</v>
      </c>
    </row>
    <row r="1879" spans="1:3" ht="15.5" x14ac:dyDescent="0.35">
      <c r="A1879" s="71" t="s">
        <v>45</v>
      </c>
      <c r="B1879" s="71">
        <v>2006</v>
      </c>
      <c r="C1879" s="71">
        <v>70</v>
      </c>
    </row>
    <row r="1880" spans="1:3" ht="15.5" x14ac:dyDescent="0.35">
      <c r="A1880" s="71" t="s">
        <v>45</v>
      </c>
      <c r="B1880" s="71">
        <v>2007</v>
      </c>
      <c r="C1880" s="71">
        <v>70</v>
      </c>
    </row>
    <row r="1881" spans="1:3" ht="15.5" x14ac:dyDescent="0.35">
      <c r="A1881" s="71" t="s">
        <v>45</v>
      </c>
      <c r="B1881" s="71">
        <v>2008</v>
      </c>
      <c r="C1881" s="71">
        <v>70</v>
      </c>
    </row>
    <row r="1882" spans="1:3" ht="15.5" x14ac:dyDescent="0.35">
      <c r="A1882" s="71" t="s">
        <v>45</v>
      </c>
      <c r="B1882" s="71">
        <v>2009</v>
      </c>
      <c r="C1882" s="71">
        <v>70</v>
      </c>
    </row>
    <row r="1883" spans="1:3" ht="15.5" x14ac:dyDescent="0.35">
      <c r="A1883" s="71" t="s">
        <v>45</v>
      </c>
      <c r="B1883" s="71">
        <v>2010</v>
      </c>
      <c r="C1883" s="71">
        <v>70</v>
      </c>
    </row>
    <row r="1884" spans="1:3" ht="15.5" x14ac:dyDescent="0.35">
      <c r="A1884" s="71" t="s">
        <v>45</v>
      </c>
      <c r="B1884" s="71">
        <v>2011</v>
      </c>
      <c r="C1884" s="71">
        <v>70</v>
      </c>
    </row>
    <row r="1885" spans="1:3" ht="15.5" x14ac:dyDescent="0.35">
      <c r="A1885" s="71" t="s">
        <v>45</v>
      </c>
      <c r="B1885" s="71">
        <v>2012</v>
      </c>
      <c r="C1885" s="71">
        <v>70</v>
      </c>
    </row>
    <row r="1886" spans="1:3" ht="15.5" x14ac:dyDescent="0.35">
      <c r="A1886" s="71" t="s">
        <v>45</v>
      </c>
      <c r="B1886" s="71">
        <v>2013</v>
      </c>
      <c r="C1886" s="71">
        <v>70</v>
      </c>
    </row>
    <row r="1887" spans="1:3" ht="15.5" x14ac:dyDescent="0.35">
      <c r="A1887" s="71" t="s">
        <v>45</v>
      </c>
      <c r="B1887" s="71">
        <v>2014</v>
      </c>
      <c r="C1887" s="71">
        <v>70</v>
      </c>
    </row>
    <row r="1888" spans="1:3" ht="15.5" x14ac:dyDescent="0.35">
      <c r="A1888" s="71" t="s">
        <v>45</v>
      </c>
      <c r="B1888" s="71">
        <v>2015</v>
      </c>
      <c r="C1888" s="71">
        <v>70</v>
      </c>
    </row>
    <row r="1889" spans="1:3" ht="15.5" x14ac:dyDescent="0.35">
      <c r="A1889" s="71" t="s">
        <v>45</v>
      </c>
      <c r="B1889" s="71">
        <v>2016</v>
      </c>
      <c r="C1889" s="71">
        <v>70</v>
      </c>
    </row>
    <row r="1890" spans="1:3" ht="15.5" x14ac:dyDescent="0.35">
      <c r="A1890" s="71" t="s">
        <v>45</v>
      </c>
      <c r="B1890" s="71">
        <v>2017</v>
      </c>
      <c r="C1890" s="71">
        <v>70</v>
      </c>
    </row>
    <row r="1891" spans="1:3" ht="15.5" x14ac:dyDescent="0.35">
      <c r="A1891" s="71" t="s">
        <v>45</v>
      </c>
      <c r="B1891" s="71">
        <v>2018</v>
      </c>
      <c r="C1891" s="71">
        <v>70</v>
      </c>
    </row>
    <row r="1892" spans="1:3" ht="15.5" x14ac:dyDescent="0.35">
      <c r="A1892" s="71" t="s">
        <v>45</v>
      </c>
      <c r="B1892" s="71">
        <v>2019</v>
      </c>
      <c r="C1892" s="71">
        <v>70</v>
      </c>
    </row>
    <row r="1893" spans="1:3" ht="15.5" x14ac:dyDescent="0.35">
      <c r="A1893" s="71" t="s">
        <v>45</v>
      </c>
      <c r="B1893" s="71">
        <v>2020</v>
      </c>
      <c r="C1893" s="71">
        <v>70</v>
      </c>
    </row>
    <row r="1894" spans="1:3" ht="15.5" x14ac:dyDescent="0.35">
      <c r="A1894" s="71" t="s">
        <v>45</v>
      </c>
      <c r="B1894" s="71">
        <v>2021</v>
      </c>
      <c r="C1894" s="71">
        <v>70</v>
      </c>
    </row>
    <row r="1895" spans="1:3" ht="15.5" x14ac:dyDescent="0.35">
      <c r="A1895" s="71" t="s">
        <v>45</v>
      </c>
      <c r="B1895" s="71">
        <v>2022</v>
      </c>
      <c r="C1895" s="71">
        <v>70</v>
      </c>
    </row>
    <row r="1896" spans="1:3" ht="15.5" x14ac:dyDescent="0.35">
      <c r="A1896" s="71" t="s">
        <v>46</v>
      </c>
      <c r="B1896" s="71">
        <v>1980</v>
      </c>
      <c r="C1896" s="71">
        <v>70</v>
      </c>
    </row>
    <row r="1897" spans="1:3" ht="15.5" x14ac:dyDescent="0.35">
      <c r="A1897" s="71" t="s">
        <v>46</v>
      </c>
      <c r="B1897" s="71">
        <v>1981</v>
      </c>
      <c r="C1897" s="71">
        <v>70</v>
      </c>
    </row>
    <row r="1898" spans="1:3" ht="15.5" x14ac:dyDescent="0.35">
      <c r="A1898" s="71" t="s">
        <v>46</v>
      </c>
      <c r="B1898" s="71">
        <v>1982</v>
      </c>
      <c r="C1898" s="71">
        <v>70</v>
      </c>
    </row>
    <row r="1899" spans="1:3" ht="15.5" x14ac:dyDescent="0.35">
      <c r="A1899" s="71" t="s">
        <v>46</v>
      </c>
      <c r="B1899" s="71">
        <v>1983</v>
      </c>
      <c r="C1899" s="71">
        <v>70</v>
      </c>
    </row>
    <row r="1900" spans="1:3" ht="15.5" x14ac:dyDescent="0.35">
      <c r="A1900" s="71" t="s">
        <v>46</v>
      </c>
      <c r="B1900" s="71">
        <v>1984</v>
      </c>
      <c r="C1900" s="71">
        <v>70</v>
      </c>
    </row>
    <row r="1901" spans="1:3" ht="15.5" x14ac:dyDescent="0.35">
      <c r="A1901" s="71" t="s">
        <v>46</v>
      </c>
      <c r="B1901" s="71">
        <v>1985</v>
      </c>
      <c r="C1901" s="71">
        <v>70</v>
      </c>
    </row>
    <row r="1902" spans="1:3" ht="15.5" x14ac:dyDescent="0.35">
      <c r="A1902" s="71" t="s">
        <v>46</v>
      </c>
      <c r="B1902" s="71">
        <v>1986</v>
      </c>
      <c r="C1902" s="71">
        <v>70</v>
      </c>
    </row>
    <row r="1903" spans="1:3" ht="15.5" x14ac:dyDescent="0.35">
      <c r="A1903" s="71" t="s">
        <v>46</v>
      </c>
      <c r="B1903" s="71">
        <v>1987</v>
      </c>
      <c r="C1903" s="71">
        <v>70</v>
      </c>
    </row>
    <row r="1904" spans="1:3" ht="15.5" x14ac:dyDescent="0.35">
      <c r="A1904" s="71" t="s">
        <v>46</v>
      </c>
      <c r="B1904" s="71">
        <v>1988</v>
      </c>
      <c r="C1904" s="71">
        <v>70</v>
      </c>
    </row>
    <row r="1905" spans="1:3" ht="15.5" x14ac:dyDescent="0.35">
      <c r="A1905" s="71" t="s">
        <v>46</v>
      </c>
      <c r="B1905" s="71">
        <v>1989</v>
      </c>
      <c r="C1905" s="71">
        <v>70</v>
      </c>
    </row>
    <row r="1906" spans="1:3" ht="15.5" x14ac:dyDescent="0.35">
      <c r="A1906" s="71" t="s">
        <v>46</v>
      </c>
      <c r="B1906" s="71">
        <v>1990</v>
      </c>
      <c r="C1906" s="71">
        <v>70</v>
      </c>
    </row>
    <row r="1907" spans="1:3" ht="15.5" x14ac:dyDescent="0.35">
      <c r="A1907" s="71" t="s">
        <v>46</v>
      </c>
      <c r="B1907" s="71">
        <v>1991</v>
      </c>
      <c r="C1907" s="71">
        <v>70</v>
      </c>
    </row>
    <row r="1908" spans="1:3" ht="15.5" x14ac:dyDescent="0.35">
      <c r="A1908" s="71" t="s">
        <v>46</v>
      </c>
      <c r="B1908" s="71">
        <v>1992</v>
      </c>
      <c r="C1908" s="71">
        <v>70</v>
      </c>
    </row>
    <row r="1909" spans="1:3" ht="15.5" x14ac:dyDescent="0.35">
      <c r="A1909" s="71" t="s">
        <v>46</v>
      </c>
      <c r="B1909" s="71">
        <v>1993</v>
      </c>
      <c r="C1909" s="71">
        <v>70</v>
      </c>
    </row>
    <row r="1910" spans="1:3" ht="15.5" x14ac:dyDescent="0.35">
      <c r="A1910" s="71" t="s">
        <v>46</v>
      </c>
      <c r="B1910" s="71">
        <v>1994</v>
      </c>
      <c r="C1910" s="71">
        <v>70</v>
      </c>
    </row>
    <row r="1911" spans="1:3" ht="15.5" x14ac:dyDescent="0.35">
      <c r="A1911" s="71" t="s">
        <v>46</v>
      </c>
      <c r="B1911" s="71">
        <v>1995</v>
      </c>
      <c r="C1911" s="71">
        <v>70</v>
      </c>
    </row>
    <row r="1912" spans="1:3" ht="15.5" x14ac:dyDescent="0.35">
      <c r="A1912" s="71" t="s">
        <v>46</v>
      </c>
      <c r="B1912" s="71">
        <v>1996</v>
      </c>
      <c r="C1912" s="71">
        <v>70</v>
      </c>
    </row>
    <row r="1913" spans="1:3" ht="15.5" x14ac:dyDescent="0.35">
      <c r="A1913" s="71" t="s">
        <v>46</v>
      </c>
      <c r="B1913" s="71">
        <v>1997</v>
      </c>
      <c r="C1913" s="71">
        <v>70</v>
      </c>
    </row>
    <row r="1914" spans="1:3" ht="15.5" x14ac:dyDescent="0.35">
      <c r="A1914" s="71" t="s">
        <v>46</v>
      </c>
      <c r="B1914" s="71">
        <v>1998</v>
      </c>
      <c r="C1914" s="71">
        <v>70</v>
      </c>
    </row>
    <row r="1915" spans="1:3" ht="15.5" x14ac:dyDescent="0.35">
      <c r="A1915" s="71" t="s">
        <v>46</v>
      </c>
      <c r="B1915" s="71">
        <v>1999</v>
      </c>
      <c r="C1915" s="71">
        <v>70</v>
      </c>
    </row>
    <row r="1916" spans="1:3" ht="15.5" x14ac:dyDescent="0.35">
      <c r="A1916" s="71" t="s">
        <v>46</v>
      </c>
      <c r="B1916" s="71">
        <v>2000</v>
      </c>
      <c r="C1916" s="71">
        <v>70</v>
      </c>
    </row>
    <row r="1917" spans="1:3" ht="15.5" x14ac:dyDescent="0.35">
      <c r="A1917" s="71" t="s">
        <v>46</v>
      </c>
      <c r="B1917" s="71">
        <v>2001</v>
      </c>
      <c r="C1917" s="71">
        <v>70</v>
      </c>
    </row>
    <row r="1918" spans="1:3" ht="15.5" x14ac:dyDescent="0.35">
      <c r="A1918" s="71" t="s">
        <v>46</v>
      </c>
      <c r="B1918" s="71">
        <v>2002</v>
      </c>
      <c r="C1918" s="71">
        <v>70</v>
      </c>
    </row>
    <row r="1919" spans="1:3" ht="15.5" x14ac:dyDescent="0.35">
      <c r="A1919" s="71" t="s">
        <v>46</v>
      </c>
      <c r="B1919" s="71">
        <v>2003</v>
      </c>
      <c r="C1919" s="71">
        <v>70</v>
      </c>
    </row>
    <row r="1920" spans="1:3" ht="15.5" x14ac:dyDescent="0.35">
      <c r="A1920" s="71" t="s">
        <v>46</v>
      </c>
      <c r="B1920" s="71">
        <v>2004</v>
      </c>
      <c r="C1920" s="71">
        <v>70</v>
      </c>
    </row>
    <row r="1921" spans="1:3" ht="15.5" x14ac:dyDescent="0.35">
      <c r="A1921" s="71" t="s">
        <v>46</v>
      </c>
      <c r="B1921" s="71">
        <v>2005</v>
      </c>
      <c r="C1921" s="71">
        <v>70</v>
      </c>
    </row>
    <row r="1922" spans="1:3" ht="15.5" x14ac:dyDescent="0.35">
      <c r="A1922" s="71" t="s">
        <v>46</v>
      </c>
      <c r="B1922" s="71">
        <v>2006</v>
      </c>
      <c r="C1922" s="71">
        <v>70</v>
      </c>
    </row>
    <row r="1923" spans="1:3" ht="15.5" x14ac:dyDescent="0.35">
      <c r="A1923" s="71" t="s">
        <v>46</v>
      </c>
      <c r="B1923" s="71">
        <v>2007</v>
      </c>
      <c r="C1923" s="71">
        <v>70</v>
      </c>
    </row>
    <row r="1924" spans="1:3" ht="15.5" x14ac:dyDescent="0.35">
      <c r="A1924" s="71" t="s">
        <v>46</v>
      </c>
      <c r="B1924" s="71">
        <v>2008</v>
      </c>
      <c r="C1924" s="71">
        <v>70</v>
      </c>
    </row>
    <row r="1925" spans="1:3" ht="15.5" x14ac:dyDescent="0.35">
      <c r="A1925" s="71" t="s">
        <v>46</v>
      </c>
      <c r="B1925" s="71">
        <v>2009</v>
      </c>
      <c r="C1925" s="71">
        <v>70</v>
      </c>
    </row>
    <row r="1926" spans="1:3" ht="15.5" x14ac:dyDescent="0.35">
      <c r="A1926" s="71" t="s">
        <v>46</v>
      </c>
      <c r="B1926" s="71">
        <v>2010</v>
      </c>
      <c r="C1926" s="71">
        <v>70</v>
      </c>
    </row>
    <row r="1927" spans="1:3" ht="15.5" x14ac:dyDescent="0.35">
      <c r="A1927" s="71" t="s">
        <v>46</v>
      </c>
      <c r="B1927" s="71">
        <v>2011</v>
      </c>
      <c r="C1927" s="71">
        <v>70</v>
      </c>
    </row>
    <row r="1928" spans="1:3" ht="15.5" x14ac:dyDescent="0.35">
      <c r="A1928" s="71" t="s">
        <v>46</v>
      </c>
      <c r="B1928" s="71">
        <v>2012</v>
      </c>
      <c r="C1928" s="71">
        <v>70</v>
      </c>
    </row>
    <row r="1929" spans="1:3" ht="15.5" x14ac:dyDescent="0.35">
      <c r="A1929" s="71" t="s">
        <v>46</v>
      </c>
      <c r="B1929" s="71">
        <v>2013</v>
      </c>
      <c r="C1929" s="71">
        <v>70</v>
      </c>
    </row>
    <row r="1930" spans="1:3" ht="15.5" x14ac:dyDescent="0.35">
      <c r="A1930" s="71" t="s">
        <v>46</v>
      </c>
      <c r="B1930" s="71">
        <v>2014</v>
      </c>
      <c r="C1930" s="71">
        <v>70</v>
      </c>
    </row>
    <row r="1931" spans="1:3" ht="15.5" x14ac:dyDescent="0.35">
      <c r="A1931" s="71" t="s">
        <v>46</v>
      </c>
      <c r="B1931" s="71">
        <v>2015</v>
      </c>
      <c r="C1931" s="71">
        <v>70</v>
      </c>
    </row>
    <row r="1932" spans="1:3" ht="15.5" x14ac:dyDescent="0.35">
      <c r="A1932" s="71" t="s">
        <v>46</v>
      </c>
      <c r="B1932" s="71">
        <v>2016</v>
      </c>
      <c r="C1932" s="71">
        <v>70</v>
      </c>
    </row>
    <row r="1933" spans="1:3" ht="15.5" x14ac:dyDescent="0.35">
      <c r="A1933" s="71" t="s">
        <v>46</v>
      </c>
      <c r="B1933" s="71">
        <v>2017</v>
      </c>
      <c r="C1933" s="71">
        <v>70</v>
      </c>
    </row>
    <row r="1934" spans="1:3" ht="15.5" x14ac:dyDescent="0.35">
      <c r="A1934" s="71" t="s">
        <v>46</v>
      </c>
      <c r="B1934" s="71">
        <v>2018</v>
      </c>
      <c r="C1934" s="71">
        <v>70</v>
      </c>
    </row>
    <row r="1935" spans="1:3" x14ac:dyDescent="0.35">
      <c r="A1935" s="70" t="s">
        <v>46</v>
      </c>
      <c r="B1935" s="70">
        <v>2019</v>
      </c>
      <c r="C1935" s="70">
        <v>70</v>
      </c>
    </row>
    <row r="1936" spans="1:3" x14ac:dyDescent="0.35">
      <c r="A1936" s="70" t="s">
        <v>46</v>
      </c>
      <c r="B1936" s="70">
        <v>2020</v>
      </c>
      <c r="C1936" s="70">
        <v>70</v>
      </c>
    </row>
    <row r="1937" spans="1:3" x14ac:dyDescent="0.35">
      <c r="A1937" s="70" t="s">
        <v>46</v>
      </c>
      <c r="B1937" s="70">
        <v>2021</v>
      </c>
      <c r="C1937" s="70">
        <v>70</v>
      </c>
    </row>
    <row r="1938" spans="1:3" x14ac:dyDescent="0.35">
      <c r="A1938" s="70" t="s">
        <v>46</v>
      </c>
      <c r="B1938" s="70">
        <v>2022</v>
      </c>
      <c r="C1938" s="70">
        <v>70</v>
      </c>
    </row>
    <row r="1939" spans="1:3" x14ac:dyDescent="0.35">
      <c r="A1939" s="70" t="s">
        <v>47</v>
      </c>
      <c r="B1939" s="70">
        <v>1980</v>
      </c>
      <c r="C1939" s="70">
        <v>70</v>
      </c>
    </row>
    <row r="1940" spans="1:3" x14ac:dyDescent="0.35">
      <c r="A1940" s="70" t="s">
        <v>47</v>
      </c>
      <c r="B1940" s="70">
        <v>1981</v>
      </c>
      <c r="C1940" s="70">
        <v>70</v>
      </c>
    </row>
    <row r="1941" spans="1:3" x14ac:dyDescent="0.35">
      <c r="A1941" s="70" t="s">
        <v>47</v>
      </c>
      <c r="B1941" s="70">
        <v>1982</v>
      </c>
      <c r="C1941" s="70">
        <v>70</v>
      </c>
    </row>
    <row r="1942" spans="1:3" x14ac:dyDescent="0.35">
      <c r="A1942" s="70" t="s">
        <v>47</v>
      </c>
      <c r="B1942" s="70">
        <v>1983</v>
      </c>
      <c r="C1942" s="70">
        <v>70</v>
      </c>
    </row>
    <row r="1943" spans="1:3" x14ac:dyDescent="0.35">
      <c r="A1943" s="70" t="s">
        <v>47</v>
      </c>
      <c r="B1943" s="70">
        <v>1984</v>
      </c>
      <c r="C1943" s="70">
        <v>70</v>
      </c>
    </row>
    <row r="1944" spans="1:3" x14ac:dyDescent="0.35">
      <c r="A1944" s="70" t="s">
        <v>47</v>
      </c>
      <c r="B1944" s="70">
        <v>1985</v>
      </c>
      <c r="C1944" s="70">
        <v>70</v>
      </c>
    </row>
    <row r="1945" spans="1:3" x14ac:dyDescent="0.35">
      <c r="A1945" s="70" t="s">
        <v>47</v>
      </c>
      <c r="B1945" s="70">
        <v>1986</v>
      </c>
      <c r="C1945" s="70">
        <v>70</v>
      </c>
    </row>
    <row r="1946" spans="1:3" x14ac:dyDescent="0.35">
      <c r="A1946" s="70" t="s">
        <v>47</v>
      </c>
      <c r="B1946" s="70">
        <v>1987</v>
      </c>
      <c r="C1946" s="70">
        <v>70</v>
      </c>
    </row>
    <row r="1947" spans="1:3" x14ac:dyDescent="0.35">
      <c r="A1947" s="70" t="s">
        <v>47</v>
      </c>
      <c r="B1947" s="70">
        <v>1988</v>
      </c>
      <c r="C1947" s="70">
        <v>70</v>
      </c>
    </row>
    <row r="1948" spans="1:3" x14ac:dyDescent="0.35">
      <c r="A1948" s="70" t="s">
        <v>47</v>
      </c>
      <c r="B1948" s="70">
        <v>1989</v>
      </c>
      <c r="C1948" s="70">
        <v>70</v>
      </c>
    </row>
    <row r="1949" spans="1:3" x14ac:dyDescent="0.35">
      <c r="A1949" s="70" t="s">
        <v>47</v>
      </c>
      <c r="B1949" s="70">
        <v>1990</v>
      </c>
      <c r="C1949" s="70">
        <v>70</v>
      </c>
    </row>
    <row r="1950" spans="1:3" x14ac:dyDescent="0.35">
      <c r="A1950" s="70" t="s">
        <v>47</v>
      </c>
      <c r="B1950" s="70">
        <v>1991</v>
      </c>
      <c r="C1950" s="70">
        <v>70</v>
      </c>
    </row>
    <row r="1951" spans="1:3" x14ac:dyDescent="0.35">
      <c r="A1951" s="70" t="s">
        <v>47</v>
      </c>
      <c r="B1951" s="70">
        <v>1992</v>
      </c>
      <c r="C1951" s="70">
        <v>70</v>
      </c>
    </row>
    <row r="1952" spans="1:3" x14ac:dyDescent="0.35">
      <c r="A1952" s="70" t="s">
        <v>47</v>
      </c>
      <c r="B1952" s="70">
        <v>1993</v>
      </c>
      <c r="C1952" s="70">
        <v>70</v>
      </c>
    </row>
    <row r="1953" spans="1:3" x14ac:dyDescent="0.35">
      <c r="A1953" s="70" t="s">
        <v>47</v>
      </c>
      <c r="B1953" s="70">
        <v>1994</v>
      </c>
      <c r="C1953" s="70">
        <v>70</v>
      </c>
    </row>
    <row r="1954" spans="1:3" x14ac:dyDescent="0.35">
      <c r="A1954" s="70" t="s">
        <v>47</v>
      </c>
      <c r="B1954" s="70">
        <v>1995</v>
      </c>
      <c r="C1954" s="70">
        <v>70</v>
      </c>
    </row>
    <row r="1955" spans="1:3" x14ac:dyDescent="0.35">
      <c r="A1955" s="70" t="s">
        <v>47</v>
      </c>
      <c r="B1955" s="70">
        <v>1996</v>
      </c>
      <c r="C1955" s="70">
        <v>70</v>
      </c>
    </row>
    <row r="1956" spans="1:3" x14ac:dyDescent="0.35">
      <c r="A1956" s="70" t="s">
        <v>47</v>
      </c>
      <c r="B1956" s="70">
        <v>1997</v>
      </c>
      <c r="C1956" s="70">
        <v>70</v>
      </c>
    </row>
    <row r="1957" spans="1:3" x14ac:dyDescent="0.35">
      <c r="A1957" s="70" t="s">
        <v>47</v>
      </c>
      <c r="B1957" s="70">
        <v>1998</v>
      </c>
      <c r="C1957" s="70">
        <v>70</v>
      </c>
    </row>
    <row r="1958" spans="1:3" x14ac:dyDescent="0.35">
      <c r="A1958" s="70" t="s">
        <v>47</v>
      </c>
      <c r="B1958" s="70">
        <v>1999</v>
      </c>
      <c r="C1958" s="70">
        <v>70</v>
      </c>
    </row>
    <row r="1959" spans="1:3" x14ac:dyDescent="0.35">
      <c r="A1959" s="70" t="s">
        <v>47</v>
      </c>
      <c r="B1959" s="70">
        <v>2000</v>
      </c>
      <c r="C1959" s="70">
        <v>70</v>
      </c>
    </row>
    <row r="1960" spans="1:3" x14ac:dyDescent="0.35">
      <c r="A1960" s="70" t="s">
        <v>47</v>
      </c>
      <c r="B1960" s="70">
        <v>2001</v>
      </c>
      <c r="C1960" s="70">
        <v>70</v>
      </c>
    </row>
    <row r="1961" spans="1:3" x14ac:dyDescent="0.35">
      <c r="A1961" s="70" t="s">
        <v>47</v>
      </c>
      <c r="B1961" s="70">
        <v>2002</v>
      </c>
      <c r="C1961" s="70">
        <v>70</v>
      </c>
    </row>
    <row r="1962" spans="1:3" x14ac:dyDescent="0.35">
      <c r="A1962" s="70" t="s">
        <v>47</v>
      </c>
      <c r="B1962" s="70">
        <v>2003</v>
      </c>
      <c r="C1962" s="70">
        <v>70</v>
      </c>
    </row>
    <row r="1963" spans="1:3" x14ac:dyDescent="0.35">
      <c r="A1963" s="70" t="s">
        <v>47</v>
      </c>
      <c r="B1963" s="70">
        <v>2004</v>
      </c>
      <c r="C1963" s="70">
        <v>70</v>
      </c>
    </row>
    <row r="1964" spans="1:3" x14ac:dyDescent="0.35">
      <c r="A1964" s="70" t="s">
        <v>47</v>
      </c>
      <c r="B1964" s="70">
        <v>2005</v>
      </c>
      <c r="C1964" s="70">
        <v>70</v>
      </c>
    </row>
    <row r="1965" spans="1:3" x14ac:dyDescent="0.35">
      <c r="A1965" s="70" t="s">
        <v>47</v>
      </c>
      <c r="B1965" s="70">
        <v>2006</v>
      </c>
      <c r="C1965" s="70">
        <v>70</v>
      </c>
    </row>
    <row r="1966" spans="1:3" x14ac:dyDescent="0.35">
      <c r="A1966" s="70" t="s">
        <v>47</v>
      </c>
      <c r="B1966" s="70">
        <v>2007</v>
      </c>
      <c r="C1966" s="70">
        <v>70</v>
      </c>
    </row>
    <row r="1967" spans="1:3" x14ac:dyDescent="0.35">
      <c r="A1967" s="70" t="s">
        <v>47</v>
      </c>
      <c r="B1967" s="70">
        <v>2008</v>
      </c>
      <c r="C1967" s="70">
        <v>70</v>
      </c>
    </row>
    <row r="1968" spans="1:3" x14ac:dyDescent="0.35">
      <c r="A1968" s="70" t="s">
        <v>47</v>
      </c>
      <c r="B1968" s="70">
        <v>2009</v>
      </c>
      <c r="C1968" s="70">
        <v>70</v>
      </c>
    </row>
    <row r="1969" spans="1:3" x14ac:dyDescent="0.35">
      <c r="A1969" s="70" t="s">
        <v>47</v>
      </c>
      <c r="B1969" s="70">
        <v>2010</v>
      </c>
      <c r="C1969" s="70">
        <v>70</v>
      </c>
    </row>
    <row r="1970" spans="1:3" x14ac:dyDescent="0.35">
      <c r="A1970" s="70" t="s">
        <v>47</v>
      </c>
      <c r="B1970" s="70">
        <v>2011</v>
      </c>
      <c r="C1970" s="70">
        <v>70</v>
      </c>
    </row>
    <row r="1971" spans="1:3" x14ac:dyDescent="0.35">
      <c r="A1971" s="70" t="s">
        <v>47</v>
      </c>
      <c r="B1971" s="70">
        <v>2012</v>
      </c>
      <c r="C1971" s="70">
        <v>70</v>
      </c>
    </row>
    <row r="1972" spans="1:3" x14ac:dyDescent="0.35">
      <c r="A1972" s="70" t="s">
        <v>47</v>
      </c>
      <c r="B1972" s="70">
        <v>2013</v>
      </c>
      <c r="C1972" s="70">
        <v>70</v>
      </c>
    </row>
    <row r="1973" spans="1:3" x14ac:dyDescent="0.35">
      <c r="A1973" s="70" t="s">
        <v>47</v>
      </c>
      <c r="B1973" s="70">
        <v>2014</v>
      </c>
      <c r="C1973" s="70">
        <v>70</v>
      </c>
    </row>
    <row r="1974" spans="1:3" x14ac:dyDescent="0.35">
      <c r="A1974" s="70" t="s">
        <v>47</v>
      </c>
      <c r="B1974" s="70">
        <v>2015</v>
      </c>
      <c r="C1974" s="70">
        <v>70</v>
      </c>
    </row>
    <row r="1975" spans="1:3" x14ac:dyDescent="0.35">
      <c r="A1975" s="70" t="s">
        <v>47</v>
      </c>
      <c r="B1975" s="70">
        <v>2016</v>
      </c>
      <c r="C1975" s="70">
        <v>70</v>
      </c>
    </row>
    <row r="1976" spans="1:3" x14ac:dyDescent="0.35">
      <c r="A1976" s="70" t="s">
        <v>47</v>
      </c>
      <c r="B1976" s="70">
        <v>2017</v>
      </c>
      <c r="C1976" s="70">
        <v>70</v>
      </c>
    </row>
    <row r="1977" spans="1:3" x14ac:dyDescent="0.35">
      <c r="A1977" s="70" t="s">
        <v>47</v>
      </c>
      <c r="B1977" s="70">
        <v>2018</v>
      </c>
      <c r="C1977" s="70">
        <v>70</v>
      </c>
    </row>
    <row r="1978" spans="1:3" x14ac:dyDescent="0.35">
      <c r="A1978" s="70" t="s">
        <v>47</v>
      </c>
      <c r="B1978" s="70">
        <v>2019</v>
      </c>
      <c r="C1978" s="70">
        <v>70</v>
      </c>
    </row>
    <row r="1979" spans="1:3" x14ac:dyDescent="0.35">
      <c r="A1979" s="70" t="s">
        <v>47</v>
      </c>
      <c r="B1979" s="70">
        <v>2020</v>
      </c>
      <c r="C1979" s="70">
        <v>70</v>
      </c>
    </row>
    <row r="1980" spans="1:3" x14ac:dyDescent="0.35">
      <c r="A1980" s="70" t="s">
        <v>47</v>
      </c>
      <c r="B1980" s="70">
        <v>2021</v>
      </c>
      <c r="C1980" s="70">
        <v>70</v>
      </c>
    </row>
    <row r="1981" spans="1:3" x14ac:dyDescent="0.35">
      <c r="A1981" s="70" t="s">
        <v>47</v>
      </c>
      <c r="B1981" s="70">
        <v>2022</v>
      </c>
      <c r="C1981" s="70">
        <v>70</v>
      </c>
    </row>
    <row r="1982" spans="1:3" x14ac:dyDescent="0.35">
      <c r="A1982" s="70" t="s">
        <v>48</v>
      </c>
      <c r="B1982" s="70">
        <v>1980</v>
      </c>
      <c r="C1982" s="70">
        <v>70</v>
      </c>
    </row>
    <row r="1983" spans="1:3" x14ac:dyDescent="0.35">
      <c r="A1983" s="70" t="s">
        <v>48</v>
      </c>
      <c r="B1983" s="70">
        <v>1981</v>
      </c>
      <c r="C1983" s="70">
        <v>70</v>
      </c>
    </row>
    <row r="1984" spans="1:3" x14ac:dyDescent="0.35">
      <c r="A1984" s="70" t="s">
        <v>48</v>
      </c>
      <c r="B1984" s="70">
        <v>1982</v>
      </c>
      <c r="C1984" s="70">
        <v>70</v>
      </c>
    </row>
    <row r="1985" spans="1:3" x14ac:dyDescent="0.35">
      <c r="A1985" s="70" t="s">
        <v>48</v>
      </c>
      <c r="B1985" s="70">
        <v>1983</v>
      </c>
      <c r="C1985" s="70">
        <v>70</v>
      </c>
    </row>
    <row r="1986" spans="1:3" x14ac:dyDescent="0.35">
      <c r="A1986" s="70" t="s">
        <v>48</v>
      </c>
      <c r="B1986" s="70">
        <v>1984</v>
      </c>
      <c r="C1986" s="70">
        <v>70</v>
      </c>
    </row>
    <row r="1987" spans="1:3" x14ac:dyDescent="0.35">
      <c r="A1987" s="70" t="s">
        <v>48</v>
      </c>
      <c r="B1987" s="70">
        <v>1985</v>
      </c>
      <c r="C1987" s="70">
        <v>70</v>
      </c>
    </row>
    <row r="1988" spans="1:3" x14ac:dyDescent="0.35">
      <c r="A1988" s="70" t="s">
        <v>48</v>
      </c>
      <c r="B1988" s="70">
        <v>1986</v>
      </c>
      <c r="C1988" s="70">
        <v>70</v>
      </c>
    </row>
    <row r="1989" spans="1:3" x14ac:dyDescent="0.35">
      <c r="A1989" s="70" t="s">
        <v>48</v>
      </c>
      <c r="B1989" s="70">
        <v>1987</v>
      </c>
      <c r="C1989" s="70">
        <v>70</v>
      </c>
    </row>
    <row r="1990" spans="1:3" x14ac:dyDescent="0.35">
      <c r="A1990" s="70" t="s">
        <v>48</v>
      </c>
      <c r="B1990" s="70">
        <v>1988</v>
      </c>
      <c r="C1990" s="70">
        <v>70</v>
      </c>
    </row>
    <row r="1991" spans="1:3" x14ac:dyDescent="0.35">
      <c r="A1991" s="70" t="s">
        <v>48</v>
      </c>
      <c r="B1991" s="70">
        <v>1989</v>
      </c>
      <c r="C1991" s="70">
        <v>70</v>
      </c>
    </row>
    <row r="1992" spans="1:3" x14ac:dyDescent="0.35">
      <c r="A1992" s="70" t="s">
        <v>48</v>
      </c>
      <c r="B1992" s="70">
        <v>1990</v>
      </c>
      <c r="C1992" s="70">
        <v>70</v>
      </c>
    </row>
    <row r="1993" spans="1:3" x14ac:dyDescent="0.35">
      <c r="A1993" s="70" t="s">
        <v>48</v>
      </c>
      <c r="B1993" s="70">
        <v>1991</v>
      </c>
      <c r="C1993" s="70">
        <v>70</v>
      </c>
    </row>
    <row r="1994" spans="1:3" x14ac:dyDescent="0.35">
      <c r="A1994" s="70" t="s">
        <v>48</v>
      </c>
      <c r="B1994" s="70">
        <v>1992</v>
      </c>
      <c r="C1994" s="70">
        <v>70</v>
      </c>
    </row>
    <row r="1995" spans="1:3" x14ac:dyDescent="0.35">
      <c r="A1995" s="70" t="s">
        <v>48</v>
      </c>
      <c r="B1995" s="70">
        <v>1993</v>
      </c>
      <c r="C1995" s="70">
        <v>70</v>
      </c>
    </row>
    <row r="1996" spans="1:3" x14ac:dyDescent="0.35">
      <c r="A1996" s="70" t="s">
        <v>48</v>
      </c>
      <c r="B1996" s="70">
        <v>1994</v>
      </c>
      <c r="C1996" s="70">
        <v>70</v>
      </c>
    </row>
    <row r="1997" spans="1:3" x14ac:dyDescent="0.35">
      <c r="A1997" s="70" t="s">
        <v>48</v>
      </c>
      <c r="B1997" s="70">
        <v>1995</v>
      </c>
      <c r="C1997" s="70">
        <v>70</v>
      </c>
    </row>
    <row r="1998" spans="1:3" x14ac:dyDescent="0.35">
      <c r="A1998" s="70" t="s">
        <v>48</v>
      </c>
      <c r="B1998" s="70">
        <v>1996</v>
      </c>
      <c r="C1998" s="70">
        <v>70</v>
      </c>
    </row>
    <row r="1999" spans="1:3" x14ac:dyDescent="0.35">
      <c r="A1999" s="70" t="s">
        <v>48</v>
      </c>
      <c r="B1999" s="70">
        <v>1997</v>
      </c>
      <c r="C1999" s="70">
        <v>70</v>
      </c>
    </row>
    <row r="2000" spans="1:3" x14ac:dyDescent="0.35">
      <c r="A2000" s="70" t="s">
        <v>48</v>
      </c>
      <c r="B2000" s="70">
        <v>1998</v>
      </c>
      <c r="C2000" s="70">
        <v>70</v>
      </c>
    </row>
    <row r="2001" spans="1:3" x14ac:dyDescent="0.35">
      <c r="A2001" s="70" t="s">
        <v>48</v>
      </c>
      <c r="B2001" s="70">
        <v>1999</v>
      </c>
      <c r="C2001" s="70">
        <v>70</v>
      </c>
    </row>
    <row r="2002" spans="1:3" x14ac:dyDescent="0.35">
      <c r="A2002" s="70" t="s">
        <v>48</v>
      </c>
      <c r="B2002" s="70">
        <v>2000</v>
      </c>
      <c r="C2002" s="70">
        <v>70</v>
      </c>
    </row>
    <row r="2003" spans="1:3" x14ac:dyDescent="0.35">
      <c r="A2003" s="70" t="s">
        <v>48</v>
      </c>
      <c r="B2003" s="70">
        <v>2001</v>
      </c>
      <c r="C2003" s="70">
        <v>70</v>
      </c>
    </row>
    <row r="2004" spans="1:3" x14ac:dyDescent="0.35">
      <c r="A2004" s="70" t="s">
        <v>48</v>
      </c>
      <c r="B2004" s="70">
        <v>2002</v>
      </c>
      <c r="C2004" s="70">
        <v>70</v>
      </c>
    </row>
    <row r="2005" spans="1:3" x14ac:dyDescent="0.35">
      <c r="A2005" s="70" t="s">
        <v>48</v>
      </c>
      <c r="B2005" s="70">
        <v>2003</v>
      </c>
      <c r="C2005" s="70">
        <v>70</v>
      </c>
    </row>
    <row r="2006" spans="1:3" x14ac:dyDescent="0.35">
      <c r="A2006" s="70" t="s">
        <v>48</v>
      </c>
      <c r="B2006" s="70">
        <v>2004</v>
      </c>
      <c r="C2006" s="70">
        <v>70</v>
      </c>
    </row>
    <row r="2007" spans="1:3" x14ac:dyDescent="0.35">
      <c r="A2007" s="70" t="s">
        <v>48</v>
      </c>
      <c r="B2007" s="70">
        <v>2005</v>
      </c>
      <c r="C2007" s="70">
        <v>70</v>
      </c>
    </row>
    <row r="2008" spans="1:3" x14ac:dyDescent="0.35">
      <c r="A2008" s="70" t="s">
        <v>48</v>
      </c>
      <c r="B2008" s="70">
        <v>2006</v>
      </c>
      <c r="C2008" s="70">
        <v>70</v>
      </c>
    </row>
    <row r="2009" spans="1:3" x14ac:dyDescent="0.35">
      <c r="A2009" s="70" t="s">
        <v>48</v>
      </c>
      <c r="B2009" s="70">
        <v>2007</v>
      </c>
      <c r="C2009" s="70">
        <v>70</v>
      </c>
    </row>
    <row r="2010" spans="1:3" x14ac:dyDescent="0.35">
      <c r="A2010" s="70" t="s">
        <v>48</v>
      </c>
      <c r="B2010" s="70">
        <v>2008</v>
      </c>
      <c r="C2010" s="70">
        <v>70</v>
      </c>
    </row>
    <row r="2011" spans="1:3" x14ac:dyDescent="0.35">
      <c r="A2011" s="70" t="s">
        <v>48</v>
      </c>
      <c r="B2011" s="70">
        <v>2009</v>
      </c>
      <c r="C2011" s="70">
        <v>70</v>
      </c>
    </row>
    <row r="2012" spans="1:3" x14ac:dyDescent="0.35">
      <c r="A2012" s="70" t="s">
        <v>48</v>
      </c>
      <c r="B2012" s="70">
        <v>2010</v>
      </c>
      <c r="C2012" s="70">
        <v>70</v>
      </c>
    </row>
    <row r="2013" spans="1:3" x14ac:dyDescent="0.35">
      <c r="A2013" s="70" t="s">
        <v>48</v>
      </c>
      <c r="B2013" s="70">
        <v>2011</v>
      </c>
      <c r="C2013" s="70">
        <v>70</v>
      </c>
    </row>
    <row r="2014" spans="1:3" x14ac:dyDescent="0.35">
      <c r="A2014" s="70" t="s">
        <v>48</v>
      </c>
      <c r="B2014" s="70">
        <v>2012</v>
      </c>
      <c r="C2014" s="70">
        <v>70</v>
      </c>
    </row>
    <row r="2015" spans="1:3" x14ac:dyDescent="0.35">
      <c r="A2015" s="70" t="s">
        <v>48</v>
      </c>
      <c r="B2015" s="70">
        <v>2013</v>
      </c>
      <c r="C2015" s="70">
        <v>70</v>
      </c>
    </row>
    <row r="2016" spans="1:3" x14ac:dyDescent="0.35">
      <c r="A2016" s="70" t="s">
        <v>48</v>
      </c>
      <c r="B2016" s="70">
        <v>2014</v>
      </c>
      <c r="C2016" s="70">
        <v>70</v>
      </c>
    </row>
    <row r="2017" spans="1:3" x14ac:dyDescent="0.35">
      <c r="A2017" s="70" t="s">
        <v>48</v>
      </c>
      <c r="B2017" s="70">
        <v>2015</v>
      </c>
      <c r="C2017" s="70">
        <v>70</v>
      </c>
    </row>
    <row r="2018" spans="1:3" x14ac:dyDescent="0.35">
      <c r="A2018" s="70" t="s">
        <v>48</v>
      </c>
      <c r="B2018" s="70">
        <v>2016</v>
      </c>
      <c r="C2018" s="70">
        <v>70</v>
      </c>
    </row>
    <row r="2019" spans="1:3" x14ac:dyDescent="0.35">
      <c r="A2019" s="70" t="s">
        <v>48</v>
      </c>
      <c r="B2019" s="70">
        <v>2017</v>
      </c>
      <c r="C2019" s="70">
        <v>70</v>
      </c>
    </row>
    <row r="2020" spans="1:3" x14ac:dyDescent="0.35">
      <c r="A2020" s="70" t="s">
        <v>48</v>
      </c>
      <c r="B2020" s="70">
        <v>2018</v>
      </c>
      <c r="C2020" s="70">
        <v>70</v>
      </c>
    </row>
    <row r="2021" spans="1:3" x14ac:dyDescent="0.35">
      <c r="A2021" s="70" t="s">
        <v>48</v>
      </c>
      <c r="B2021" s="70">
        <v>2019</v>
      </c>
      <c r="C2021" s="70">
        <v>70</v>
      </c>
    </row>
    <row r="2022" spans="1:3" x14ac:dyDescent="0.35">
      <c r="A2022" s="70" t="s">
        <v>48</v>
      </c>
      <c r="B2022" s="70">
        <v>2020</v>
      </c>
      <c r="C2022" s="70">
        <v>70</v>
      </c>
    </row>
    <row r="2023" spans="1:3" x14ac:dyDescent="0.35">
      <c r="A2023" s="70" t="s">
        <v>48</v>
      </c>
      <c r="B2023" s="70">
        <v>2021</v>
      </c>
      <c r="C2023" s="70">
        <v>70</v>
      </c>
    </row>
    <row r="2024" spans="1:3" x14ac:dyDescent="0.35">
      <c r="A2024" s="70" t="s">
        <v>48</v>
      </c>
      <c r="B2024" s="70">
        <v>2022</v>
      </c>
      <c r="C2024" s="70">
        <v>70</v>
      </c>
    </row>
    <row r="2025" spans="1:3" x14ac:dyDescent="0.35">
      <c r="A2025" s="70" t="s">
        <v>49</v>
      </c>
      <c r="B2025" s="70">
        <v>1980</v>
      </c>
      <c r="C2025" s="70">
        <v>70</v>
      </c>
    </row>
    <row r="2026" spans="1:3" x14ac:dyDescent="0.35">
      <c r="A2026" s="70" t="s">
        <v>49</v>
      </c>
      <c r="B2026" s="70">
        <v>1981</v>
      </c>
      <c r="C2026" s="70">
        <v>70</v>
      </c>
    </row>
    <row r="2027" spans="1:3" x14ac:dyDescent="0.35">
      <c r="A2027" s="70" t="s">
        <v>49</v>
      </c>
      <c r="B2027" s="70">
        <v>1982</v>
      </c>
      <c r="C2027" s="70">
        <v>70</v>
      </c>
    </row>
    <row r="2028" spans="1:3" x14ac:dyDescent="0.35">
      <c r="A2028" s="70" t="s">
        <v>49</v>
      </c>
      <c r="B2028" s="70">
        <v>1983</v>
      </c>
      <c r="C2028" s="70">
        <v>70</v>
      </c>
    </row>
    <row r="2029" spans="1:3" x14ac:dyDescent="0.35">
      <c r="A2029" s="70" t="s">
        <v>49</v>
      </c>
      <c r="B2029" s="70">
        <v>1984</v>
      </c>
      <c r="C2029" s="70">
        <v>70</v>
      </c>
    </row>
    <row r="2030" spans="1:3" x14ac:dyDescent="0.35">
      <c r="A2030" s="70" t="s">
        <v>49</v>
      </c>
      <c r="B2030" s="70">
        <v>1985</v>
      </c>
      <c r="C2030" s="70">
        <v>70</v>
      </c>
    </row>
    <row r="2031" spans="1:3" x14ac:dyDescent="0.35">
      <c r="A2031" s="70" t="s">
        <v>49</v>
      </c>
      <c r="B2031" s="70">
        <v>1986</v>
      </c>
      <c r="C2031" s="70">
        <v>70</v>
      </c>
    </row>
    <row r="2032" spans="1:3" x14ac:dyDescent="0.35">
      <c r="A2032" s="70" t="s">
        <v>49</v>
      </c>
      <c r="B2032" s="70">
        <v>1987</v>
      </c>
      <c r="C2032" s="70">
        <v>70</v>
      </c>
    </row>
    <row r="2033" spans="1:3" x14ac:dyDescent="0.35">
      <c r="A2033" s="70" t="s">
        <v>49</v>
      </c>
      <c r="B2033" s="70">
        <v>1988</v>
      </c>
      <c r="C2033" s="70">
        <v>70</v>
      </c>
    </row>
    <row r="2034" spans="1:3" x14ac:dyDescent="0.35">
      <c r="A2034" s="70" t="s">
        <v>49</v>
      </c>
      <c r="B2034" s="70">
        <v>1989</v>
      </c>
      <c r="C2034" s="70">
        <v>70</v>
      </c>
    </row>
    <row r="2035" spans="1:3" x14ac:dyDescent="0.35">
      <c r="A2035" s="70" t="s">
        <v>49</v>
      </c>
      <c r="B2035" s="70">
        <v>1990</v>
      </c>
      <c r="C2035" s="70">
        <v>70</v>
      </c>
    </row>
    <row r="2036" spans="1:3" x14ac:dyDescent="0.35">
      <c r="A2036" s="70" t="s">
        <v>49</v>
      </c>
      <c r="B2036" s="70">
        <v>1991</v>
      </c>
      <c r="C2036" s="70">
        <v>70</v>
      </c>
    </row>
    <row r="2037" spans="1:3" x14ac:dyDescent="0.35">
      <c r="A2037" s="70" t="s">
        <v>49</v>
      </c>
      <c r="B2037" s="70">
        <v>1992</v>
      </c>
      <c r="C2037" s="70">
        <v>70</v>
      </c>
    </row>
    <row r="2038" spans="1:3" x14ac:dyDescent="0.35">
      <c r="A2038" s="70" t="s">
        <v>49</v>
      </c>
      <c r="B2038" s="70">
        <v>1993</v>
      </c>
      <c r="C2038" s="70">
        <v>70</v>
      </c>
    </row>
    <row r="2039" spans="1:3" x14ac:dyDescent="0.35">
      <c r="A2039" s="70" t="s">
        <v>49</v>
      </c>
      <c r="B2039" s="70">
        <v>1994</v>
      </c>
      <c r="C2039" s="70">
        <v>70</v>
      </c>
    </row>
    <row r="2040" spans="1:3" x14ac:dyDescent="0.35">
      <c r="A2040" s="70" t="s">
        <v>49</v>
      </c>
      <c r="B2040" s="70">
        <v>1995</v>
      </c>
      <c r="C2040" s="70">
        <v>70</v>
      </c>
    </row>
    <row r="2041" spans="1:3" x14ac:dyDescent="0.35">
      <c r="A2041" s="70" t="s">
        <v>49</v>
      </c>
      <c r="B2041" s="70">
        <v>1996</v>
      </c>
      <c r="C2041" s="70">
        <v>70</v>
      </c>
    </row>
    <row r="2042" spans="1:3" x14ac:dyDescent="0.35">
      <c r="A2042" s="70" t="s">
        <v>49</v>
      </c>
      <c r="B2042" s="70">
        <v>1997</v>
      </c>
      <c r="C2042" s="70">
        <v>70</v>
      </c>
    </row>
    <row r="2043" spans="1:3" x14ac:dyDescent="0.35">
      <c r="A2043" s="70" t="s">
        <v>49</v>
      </c>
      <c r="B2043" s="70">
        <v>1998</v>
      </c>
      <c r="C2043" s="70">
        <v>70</v>
      </c>
    </row>
    <row r="2044" spans="1:3" x14ac:dyDescent="0.35">
      <c r="A2044" s="70" t="s">
        <v>49</v>
      </c>
      <c r="B2044" s="70">
        <v>1999</v>
      </c>
      <c r="C2044" s="70">
        <v>70</v>
      </c>
    </row>
    <row r="2045" spans="1:3" x14ac:dyDescent="0.35">
      <c r="A2045" s="70" t="s">
        <v>49</v>
      </c>
      <c r="B2045" s="70">
        <v>2000</v>
      </c>
      <c r="C2045" s="70">
        <v>70</v>
      </c>
    </row>
    <row r="2046" spans="1:3" x14ac:dyDescent="0.35">
      <c r="A2046" s="70" t="s">
        <v>49</v>
      </c>
      <c r="B2046" s="70">
        <v>2001</v>
      </c>
      <c r="C2046" s="70">
        <v>70</v>
      </c>
    </row>
    <row r="2047" spans="1:3" x14ac:dyDescent="0.35">
      <c r="A2047" s="70" t="s">
        <v>49</v>
      </c>
      <c r="B2047" s="70">
        <v>2002</v>
      </c>
      <c r="C2047" s="70">
        <v>70</v>
      </c>
    </row>
    <row r="2048" spans="1:3" x14ac:dyDescent="0.35">
      <c r="A2048" s="70" t="s">
        <v>49</v>
      </c>
      <c r="B2048" s="70">
        <v>2003</v>
      </c>
      <c r="C2048" s="70">
        <v>70</v>
      </c>
    </row>
    <row r="2049" spans="1:3" x14ac:dyDescent="0.35">
      <c r="A2049" s="70" t="s">
        <v>49</v>
      </c>
      <c r="B2049" s="70">
        <v>2004</v>
      </c>
      <c r="C2049" s="70">
        <v>70</v>
      </c>
    </row>
    <row r="2050" spans="1:3" x14ac:dyDescent="0.35">
      <c r="A2050" s="70" t="s">
        <v>49</v>
      </c>
      <c r="B2050" s="70">
        <v>2005</v>
      </c>
      <c r="C2050" s="70">
        <v>70</v>
      </c>
    </row>
    <row r="2051" spans="1:3" x14ac:dyDescent="0.35">
      <c r="A2051" s="70" t="s">
        <v>49</v>
      </c>
      <c r="B2051" s="70">
        <v>2006</v>
      </c>
      <c r="C2051" s="70">
        <v>70</v>
      </c>
    </row>
    <row r="2052" spans="1:3" x14ac:dyDescent="0.35">
      <c r="A2052" s="70" t="s">
        <v>49</v>
      </c>
      <c r="B2052" s="70">
        <v>2007</v>
      </c>
      <c r="C2052" s="70">
        <v>70</v>
      </c>
    </row>
    <row r="2053" spans="1:3" x14ac:dyDescent="0.35">
      <c r="A2053" s="70" t="s">
        <v>49</v>
      </c>
      <c r="B2053" s="70">
        <v>2008</v>
      </c>
      <c r="C2053" s="70">
        <v>70</v>
      </c>
    </row>
    <row r="2054" spans="1:3" x14ac:dyDescent="0.35">
      <c r="A2054" s="70" t="s">
        <v>49</v>
      </c>
      <c r="B2054" s="70">
        <v>2009</v>
      </c>
      <c r="C2054" s="70">
        <v>70</v>
      </c>
    </row>
    <row r="2055" spans="1:3" x14ac:dyDescent="0.35">
      <c r="A2055" s="70" t="s">
        <v>49</v>
      </c>
      <c r="B2055" s="70">
        <v>2010</v>
      </c>
      <c r="C2055" s="70">
        <v>70</v>
      </c>
    </row>
    <row r="2056" spans="1:3" x14ac:dyDescent="0.35">
      <c r="A2056" s="70" t="s">
        <v>49</v>
      </c>
      <c r="B2056" s="70">
        <v>2011</v>
      </c>
      <c r="C2056" s="70">
        <v>70</v>
      </c>
    </row>
    <row r="2057" spans="1:3" x14ac:dyDescent="0.35">
      <c r="A2057" s="70" t="s">
        <v>49</v>
      </c>
      <c r="B2057" s="70">
        <v>2012</v>
      </c>
      <c r="C2057" s="70">
        <v>70</v>
      </c>
    </row>
    <row r="2058" spans="1:3" x14ac:dyDescent="0.35">
      <c r="A2058" s="70" t="s">
        <v>49</v>
      </c>
      <c r="B2058" s="70">
        <v>2013</v>
      </c>
      <c r="C2058" s="70">
        <v>70</v>
      </c>
    </row>
    <row r="2059" spans="1:3" x14ac:dyDescent="0.35">
      <c r="A2059" s="70" t="s">
        <v>49</v>
      </c>
      <c r="B2059" s="70">
        <v>2014</v>
      </c>
      <c r="C2059" s="70">
        <v>70</v>
      </c>
    </row>
    <row r="2060" spans="1:3" x14ac:dyDescent="0.35">
      <c r="A2060" s="70" t="s">
        <v>49</v>
      </c>
      <c r="B2060" s="70">
        <v>2015</v>
      </c>
      <c r="C2060" s="70">
        <v>70</v>
      </c>
    </row>
    <row r="2061" spans="1:3" x14ac:dyDescent="0.35">
      <c r="A2061" s="70" t="s">
        <v>49</v>
      </c>
      <c r="B2061" s="70">
        <v>2016</v>
      </c>
      <c r="C2061" s="70">
        <v>70</v>
      </c>
    </row>
    <row r="2062" spans="1:3" x14ac:dyDescent="0.35">
      <c r="A2062" s="70" t="s">
        <v>49</v>
      </c>
      <c r="B2062" s="70">
        <v>2017</v>
      </c>
      <c r="C2062" s="70">
        <v>70</v>
      </c>
    </row>
    <row r="2063" spans="1:3" x14ac:dyDescent="0.35">
      <c r="A2063" s="70" t="s">
        <v>49</v>
      </c>
      <c r="B2063" s="70">
        <v>2018</v>
      </c>
      <c r="C2063" s="70">
        <v>70</v>
      </c>
    </row>
    <row r="2064" spans="1:3" x14ac:dyDescent="0.35">
      <c r="A2064" s="70" t="s">
        <v>49</v>
      </c>
      <c r="B2064" s="70">
        <v>2019</v>
      </c>
      <c r="C2064" s="70">
        <v>70</v>
      </c>
    </row>
    <row r="2065" spans="1:3" x14ac:dyDescent="0.35">
      <c r="A2065" s="70" t="s">
        <v>49</v>
      </c>
      <c r="B2065" s="70">
        <v>2020</v>
      </c>
      <c r="C2065" s="70">
        <v>70</v>
      </c>
    </row>
    <row r="2066" spans="1:3" x14ac:dyDescent="0.35">
      <c r="A2066" s="70" t="s">
        <v>49</v>
      </c>
      <c r="B2066" s="70">
        <v>2021</v>
      </c>
      <c r="C2066" s="70">
        <v>70</v>
      </c>
    </row>
    <row r="2067" spans="1:3" x14ac:dyDescent="0.35">
      <c r="A2067" s="70" t="s">
        <v>49</v>
      </c>
      <c r="B2067" s="70">
        <v>2022</v>
      </c>
      <c r="C2067" s="70">
        <v>70</v>
      </c>
    </row>
    <row r="2068" spans="1:3" x14ac:dyDescent="0.35">
      <c r="A2068" s="70" t="s">
        <v>50</v>
      </c>
      <c r="B2068" s="70">
        <v>1980</v>
      </c>
      <c r="C2068" s="70">
        <v>70</v>
      </c>
    </row>
    <row r="2069" spans="1:3" x14ac:dyDescent="0.35">
      <c r="A2069" s="70" t="s">
        <v>50</v>
      </c>
      <c r="B2069" s="70">
        <v>1981</v>
      </c>
      <c r="C2069" s="70">
        <v>70</v>
      </c>
    </row>
    <row r="2070" spans="1:3" x14ac:dyDescent="0.35">
      <c r="A2070" s="70" t="s">
        <v>50</v>
      </c>
      <c r="B2070" s="70">
        <v>1982</v>
      </c>
      <c r="C2070" s="70">
        <v>70</v>
      </c>
    </row>
    <row r="2071" spans="1:3" x14ac:dyDescent="0.35">
      <c r="A2071" s="70" t="s">
        <v>50</v>
      </c>
      <c r="B2071" s="70">
        <v>1983</v>
      </c>
      <c r="C2071" s="70">
        <v>70</v>
      </c>
    </row>
    <row r="2072" spans="1:3" x14ac:dyDescent="0.35">
      <c r="A2072" s="70" t="s">
        <v>50</v>
      </c>
      <c r="B2072" s="70">
        <v>1984</v>
      </c>
      <c r="C2072" s="70">
        <v>70</v>
      </c>
    </row>
    <row r="2073" spans="1:3" x14ac:dyDescent="0.35">
      <c r="A2073" s="70" t="s">
        <v>50</v>
      </c>
      <c r="B2073" s="70">
        <v>1985</v>
      </c>
      <c r="C2073" s="70">
        <v>70</v>
      </c>
    </row>
    <row r="2074" spans="1:3" x14ac:dyDescent="0.35">
      <c r="A2074" s="70" t="s">
        <v>50</v>
      </c>
      <c r="B2074" s="70">
        <v>1986</v>
      </c>
      <c r="C2074" s="70">
        <v>70</v>
      </c>
    </row>
    <row r="2075" spans="1:3" x14ac:dyDescent="0.35">
      <c r="A2075" s="70" t="s">
        <v>50</v>
      </c>
      <c r="B2075" s="70">
        <v>1987</v>
      </c>
      <c r="C2075" s="70">
        <v>70</v>
      </c>
    </row>
    <row r="2076" spans="1:3" x14ac:dyDescent="0.35">
      <c r="A2076" s="70" t="s">
        <v>50</v>
      </c>
      <c r="B2076" s="70">
        <v>1988</v>
      </c>
      <c r="C2076" s="70">
        <v>70</v>
      </c>
    </row>
    <row r="2077" spans="1:3" x14ac:dyDescent="0.35">
      <c r="A2077" s="70" t="s">
        <v>50</v>
      </c>
      <c r="B2077" s="70">
        <v>1989</v>
      </c>
      <c r="C2077" s="70">
        <v>70</v>
      </c>
    </row>
    <row r="2078" spans="1:3" x14ac:dyDescent="0.35">
      <c r="A2078" s="70" t="s">
        <v>50</v>
      </c>
      <c r="B2078" s="70">
        <v>1990</v>
      </c>
      <c r="C2078" s="70">
        <v>70</v>
      </c>
    </row>
    <row r="2079" spans="1:3" x14ac:dyDescent="0.35">
      <c r="A2079" s="70" t="s">
        <v>50</v>
      </c>
      <c r="B2079" s="70">
        <v>1991</v>
      </c>
      <c r="C2079" s="70">
        <v>70</v>
      </c>
    </row>
    <row r="2080" spans="1:3" x14ac:dyDescent="0.35">
      <c r="A2080" s="70" t="s">
        <v>50</v>
      </c>
      <c r="B2080" s="70">
        <v>1992</v>
      </c>
      <c r="C2080" s="70">
        <v>70</v>
      </c>
    </row>
    <row r="2081" spans="1:3" x14ac:dyDescent="0.35">
      <c r="A2081" s="70" t="s">
        <v>50</v>
      </c>
      <c r="B2081" s="70">
        <v>1993</v>
      </c>
      <c r="C2081" s="70">
        <v>70</v>
      </c>
    </row>
    <row r="2082" spans="1:3" x14ac:dyDescent="0.35">
      <c r="A2082" s="70" t="s">
        <v>50</v>
      </c>
      <c r="B2082" s="70">
        <v>1994</v>
      </c>
      <c r="C2082" s="70">
        <v>70</v>
      </c>
    </row>
    <row r="2083" spans="1:3" x14ac:dyDescent="0.35">
      <c r="A2083" s="70" t="s">
        <v>50</v>
      </c>
      <c r="B2083" s="70">
        <v>1995</v>
      </c>
      <c r="C2083" s="70">
        <v>70</v>
      </c>
    </row>
    <row r="2084" spans="1:3" x14ac:dyDescent="0.35">
      <c r="A2084" s="70" t="s">
        <v>50</v>
      </c>
      <c r="B2084" s="70">
        <v>1996</v>
      </c>
      <c r="C2084" s="70">
        <v>70</v>
      </c>
    </row>
    <row r="2085" spans="1:3" x14ac:dyDescent="0.35">
      <c r="A2085" s="70" t="s">
        <v>50</v>
      </c>
      <c r="B2085" s="70">
        <v>1997</v>
      </c>
      <c r="C2085" s="70">
        <v>70</v>
      </c>
    </row>
    <row r="2086" spans="1:3" x14ac:dyDescent="0.35">
      <c r="A2086" s="70" t="s">
        <v>50</v>
      </c>
      <c r="B2086" s="70">
        <v>1998</v>
      </c>
      <c r="C2086" s="70">
        <v>70</v>
      </c>
    </row>
    <row r="2087" spans="1:3" x14ac:dyDescent="0.35">
      <c r="A2087" s="70" t="s">
        <v>50</v>
      </c>
      <c r="B2087" s="70">
        <v>1999</v>
      </c>
      <c r="C2087" s="70">
        <v>70</v>
      </c>
    </row>
    <row r="2088" spans="1:3" x14ac:dyDescent="0.35">
      <c r="A2088" s="70" t="s">
        <v>50</v>
      </c>
      <c r="B2088" s="70">
        <v>2000</v>
      </c>
      <c r="C2088" s="70">
        <v>70</v>
      </c>
    </row>
    <row r="2089" spans="1:3" x14ac:dyDescent="0.35">
      <c r="A2089" s="70" t="s">
        <v>50</v>
      </c>
      <c r="B2089" s="70">
        <v>2001</v>
      </c>
      <c r="C2089" s="70">
        <v>70</v>
      </c>
    </row>
    <row r="2090" spans="1:3" x14ac:dyDescent="0.35">
      <c r="A2090" s="70" t="s">
        <v>50</v>
      </c>
      <c r="B2090" s="70">
        <v>2002</v>
      </c>
      <c r="C2090" s="70">
        <v>70</v>
      </c>
    </row>
    <row r="2091" spans="1:3" x14ac:dyDescent="0.35">
      <c r="A2091" s="70" t="s">
        <v>50</v>
      </c>
      <c r="B2091" s="70">
        <v>2003</v>
      </c>
      <c r="C2091" s="70">
        <v>70</v>
      </c>
    </row>
    <row r="2092" spans="1:3" x14ac:dyDescent="0.35">
      <c r="A2092" s="70" t="s">
        <v>50</v>
      </c>
      <c r="B2092" s="70">
        <v>2004</v>
      </c>
      <c r="C2092" s="70">
        <v>70</v>
      </c>
    </row>
    <row r="2093" spans="1:3" x14ac:dyDescent="0.35">
      <c r="A2093" s="70" t="s">
        <v>50</v>
      </c>
      <c r="B2093" s="70">
        <v>2005</v>
      </c>
      <c r="C2093" s="70">
        <v>70</v>
      </c>
    </row>
    <row r="2094" spans="1:3" x14ac:dyDescent="0.35">
      <c r="A2094" s="70" t="s">
        <v>50</v>
      </c>
      <c r="B2094" s="70">
        <v>2006</v>
      </c>
      <c r="C2094" s="70">
        <v>70</v>
      </c>
    </row>
    <row r="2095" spans="1:3" x14ac:dyDescent="0.35">
      <c r="A2095" s="70" t="s">
        <v>50</v>
      </c>
      <c r="B2095" s="70">
        <v>2007</v>
      </c>
      <c r="C2095" s="70">
        <v>70</v>
      </c>
    </row>
    <row r="2096" spans="1:3" x14ac:dyDescent="0.35">
      <c r="A2096" s="70" t="s">
        <v>50</v>
      </c>
      <c r="B2096" s="70">
        <v>2008</v>
      </c>
      <c r="C2096" s="70">
        <v>70</v>
      </c>
    </row>
    <row r="2097" spans="1:3" x14ac:dyDescent="0.35">
      <c r="A2097" s="70" t="s">
        <v>50</v>
      </c>
      <c r="B2097" s="70">
        <v>2009</v>
      </c>
      <c r="C2097" s="70">
        <v>70</v>
      </c>
    </row>
    <row r="2098" spans="1:3" x14ac:dyDescent="0.35">
      <c r="A2098" s="70" t="s">
        <v>50</v>
      </c>
      <c r="B2098" s="70">
        <v>2010</v>
      </c>
      <c r="C2098" s="70">
        <v>70</v>
      </c>
    </row>
    <row r="2099" spans="1:3" x14ac:dyDescent="0.35">
      <c r="A2099" s="70" t="s">
        <v>50</v>
      </c>
      <c r="B2099" s="70">
        <v>2011</v>
      </c>
      <c r="C2099" s="70">
        <v>70</v>
      </c>
    </row>
    <row r="2100" spans="1:3" x14ac:dyDescent="0.35">
      <c r="A2100" s="70" t="s">
        <v>50</v>
      </c>
      <c r="B2100" s="70">
        <v>2012</v>
      </c>
      <c r="C2100" s="70">
        <v>70</v>
      </c>
    </row>
    <row r="2101" spans="1:3" x14ac:dyDescent="0.35">
      <c r="A2101" s="70" t="s">
        <v>50</v>
      </c>
      <c r="B2101" s="70">
        <v>2013</v>
      </c>
      <c r="C2101" s="70">
        <v>70</v>
      </c>
    </row>
    <row r="2102" spans="1:3" x14ac:dyDescent="0.35">
      <c r="A2102" s="70" t="s">
        <v>50</v>
      </c>
      <c r="B2102" s="70">
        <v>2014</v>
      </c>
      <c r="C2102" s="70">
        <v>70</v>
      </c>
    </row>
    <row r="2103" spans="1:3" x14ac:dyDescent="0.35">
      <c r="A2103" s="70" t="s">
        <v>50</v>
      </c>
      <c r="B2103" s="70">
        <v>2015</v>
      </c>
      <c r="C2103" s="70">
        <v>70</v>
      </c>
    </row>
    <row r="2104" spans="1:3" x14ac:dyDescent="0.35">
      <c r="A2104" s="70" t="s">
        <v>50</v>
      </c>
      <c r="B2104" s="70">
        <v>2016</v>
      </c>
      <c r="C2104" s="70">
        <v>70</v>
      </c>
    </row>
    <row r="2105" spans="1:3" x14ac:dyDescent="0.35">
      <c r="A2105" s="70" t="s">
        <v>50</v>
      </c>
      <c r="B2105" s="70">
        <v>2017</v>
      </c>
      <c r="C2105" s="70">
        <v>70</v>
      </c>
    </row>
    <row r="2106" spans="1:3" x14ac:dyDescent="0.35">
      <c r="A2106" s="70" t="s">
        <v>50</v>
      </c>
      <c r="B2106" s="70">
        <v>2018</v>
      </c>
      <c r="C2106" s="70">
        <v>70</v>
      </c>
    </row>
    <row r="2107" spans="1:3" x14ac:dyDescent="0.35">
      <c r="A2107" s="70" t="s">
        <v>50</v>
      </c>
      <c r="B2107" s="70">
        <v>2019</v>
      </c>
      <c r="C2107" s="70">
        <v>70</v>
      </c>
    </row>
    <row r="2108" spans="1:3" x14ac:dyDescent="0.35">
      <c r="A2108" s="70" t="s">
        <v>50</v>
      </c>
      <c r="B2108" s="70">
        <v>2020</v>
      </c>
      <c r="C2108" s="70">
        <v>70</v>
      </c>
    </row>
    <row r="2109" spans="1:3" x14ac:dyDescent="0.35">
      <c r="A2109" s="70" t="s">
        <v>50</v>
      </c>
      <c r="B2109" s="70">
        <v>2021</v>
      </c>
      <c r="C2109" s="70">
        <v>70</v>
      </c>
    </row>
    <row r="2110" spans="1:3" x14ac:dyDescent="0.35">
      <c r="A2110" s="70" t="s">
        <v>50</v>
      </c>
      <c r="B2110" s="70">
        <v>2022</v>
      </c>
      <c r="C2110" s="70">
        <v>70</v>
      </c>
    </row>
    <row r="2111" spans="1:3" x14ac:dyDescent="0.35">
      <c r="A2111" s="70" t="s">
        <v>51</v>
      </c>
      <c r="B2111" s="70">
        <v>1980</v>
      </c>
      <c r="C2111" s="70">
        <v>70</v>
      </c>
    </row>
    <row r="2112" spans="1:3" x14ac:dyDescent="0.35">
      <c r="A2112" s="70" t="s">
        <v>51</v>
      </c>
      <c r="B2112" s="70">
        <v>1981</v>
      </c>
      <c r="C2112" s="70">
        <v>70</v>
      </c>
    </row>
    <row r="2113" spans="1:3" x14ac:dyDescent="0.35">
      <c r="A2113" s="70" t="s">
        <v>51</v>
      </c>
      <c r="B2113" s="70">
        <v>1982</v>
      </c>
      <c r="C2113" s="70">
        <v>70</v>
      </c>
    </row>
    <row r="2114" spans="1:3" x14ac:dyDescent="0.35">
      <c r="A2114" s="70" t="s">
        <v>51</v>
      </c>
      <c r="B2114" s="70">
        <v>1983</v>
      </c>
      <c r="C2114" s="70">
        <v>70</v>
      </c>
    </row>
    <row r="2115" spans="1:3" x14ac:dyDescent="0.35">
      <c r="A2115" s="70" t="s">
        <v>51</v>
      </c>
      <c r="B2115" s="70">
        <v>1984</v>
      </c>
      <c r="C2115" s="70">
        <v>70</v>
      </c>
    </row>
    <row r="2116" spans="1:3" x14ac:dyDescent="0.35">
      <c r="A2116" s="70" t="s">
        <v>51</v>
      </c>
      <c r="B2116" s="70">
        <v>1985</v>
      </c>
      <c r="C2116" s="70">
        <v>70</v>
      </c>
    </row>
    <row r="2117" spans="1:3" x14ac:dyDescent="0.35">
      <c r="A2117" s="70" t="s">
        <v>51</v>
      </c>
      <c r="B2117" s="70">
        <v>1986</v>
      </c>
      <c r="C2117" s="70">
        <v>70</v>
      </c>
    </row>
    <row r="2118" spans="1:3" x14ac:dyDescent="0.35">
      <c r="A2118" s="70" t="s">
        <v>51</v>
      </c>
      <c r="B2118" s="70">
        <v>1987</v>
      </c>
      <c r="C2118" s="70">
        <v>70</v>
      </c>
    </row>
    <row r="2119" spans="1:3" x14ac:dyDescent="0.35">
      <c r="A2119" s="70" t="s">
        <v>51</v>
      </c>
      <c r="B2119" s="70">
        <v>1988</v>
      </c>
      <c r="C2119" s="70">
        <v>70</v>
      </c>
    </row>
    <row r="2120" spans="1:3" x14ac:dyDescent="0.35">
      <c r="A2120" s="70" t="s">
        <v>51</v>
      </c>
      <c r="B2120" s="70">
        <v>1989</v>
      </c>
      <c r="C2120" s="70">
        <v>70</v>
      </c>
    </row>
    <row r="2121" spans="1:3" x14ac:dyDescent="0.35">
      <c r="A2121" s="70" t="s">
        <v>51</v>
      </c>
      <c r="B2121" s="70">
        <v>1990</v>
      </c>
      <c r="C2121" s="70">
        <v>70</v>
      </c>
    </row>
    <row r="2122" spans="1:3" x14ac:dyDescent="0.35">
      <c r="A2122" s="70" t="s">
        <v>51</v>
      </c>
      <c r="B2122" s="70">
        <v>1991</v>
      </c>
      <c r="C2122" s="70">
        <v>70</v>
      </c>
    </row>
    <row r="2123" spans="1:3" x14ac:dyDescent="0.35">
      <c r="A2123" s="70" t="s">
        <v>51</v>
      </c>
      <c r="B2123" s="70">
        <v>1992</v>
      </c>
      <c r="C2123" s="70">
        <v>70</v>
      </c>
    </row>
    <row r="2124" spans="1:3" x14ac:dyDescent="0.35">
      <c r="A2124" s="70" t="s">
        <v>51</v>
      </c>
      <c r="B2124" s="70">
        <v>1993</v>
      </c>
      <c r="C2124" s="70">
        <v>70</v>
      </c>
    </row>
    <row r="2125" spans="1:3" x14ac:dyDescent="0.35">
      <c r="A2125" s="70" t="s">
        <v>51</v>
      </c>
      <c r="B2125" s="70">
        <v>1994</v>
      </c>
      <c r="C2125" s="70">
        <v>70</v>
      </c>
    </row>
    <row r="2126" spans="1:3" x14ac:dyDescent="0.35">
      <c r="A2126" s="70" t="s">
        <v>51</v>
      </c>
      <c r="B2126" s="70">
        <v>1995</v>
      </c>
      <c r="C2126" s="70">
        <v>70</v>
      </c>
    </row>
    <row r="2127" spans="1:3" x14ac:dyDescent="0.35">
      <c r="A2127" s="70" t="s">
        <v>51</v>
      </c>
      <c r="B2127" s="70">
        <v>1996</v>
      </c>
      <c r="C2127" s="70">
        <v>70</v>
      </c>
    </row>
    <row r="2128" spans="1:3" x14ac:dyDescent="0.35">
      <c r="A2128" s="70" t="s">
        <v>51</v>
      </c>
      <c r="B2128" s="70">
        <v>1997</v>
      </c>
      <c r="C2128" s="70">
        <v>70</v>
      </c>
    </row>
    <row r="2129" spans="1:3" x14ac:dyDescent="0.35">
      <c r="A2129" s="70" t="s">
        <v>51</v>
      </c>
      <c r="B2129" s="70">
        <v>1998</v>
      </c>
      <c r="C2129" s="70">
        <v>70</v>
      </c>
    </row>
    <row r="2130" spans="1:3" x14ac:dyDescent="0.35">
      <c r="A2130" s="70" t="s">
        <v>51</v>
      </c>
      <c r="B2130" s="70">
        <v>1999</v>
      </c>
      <c r="C2130" s="70">
        <v>70</v>
      </c>
    </row>
    <row r="2131" spans="1:3" x14ac:dyDescent="0.35">
      <c r="A2131" s="70" t="s">
        <v>51</v>
      </c>
      <c r="B2131" s="70">
        <v>2000</v>
      </c>
      <c r="C2131" s="70">
        <v>70</v>
      </c>
    </row>
    <row r="2132" spans="1:3" x14ac:dyDescent="0.35">
      <c r="A2132" s="70" t="s">
        <v>51</v>
      </c>
      <c r="B2132" s="70">
        <v>2001</v>
      </c>
      <c r="C2132" s="70">
        <v>70</v>
      </c>
    </row>
    <row r="2133" spans="1:3" x14ac:dyDescent="0.35">
      <c r="A2133" s="70" t="s">
        <v>51</v>
      </c>
      <c r="B2133" s="70">
        <v>2002</v>
      </c>
      <c r="C2133" s="70">
        <v>70</v>
      </c>
    </row>
    <row r="2134" spans="1:3" x14ac:dyDescent="0.35">
      <c r="A2134" s="70" t="s">
        <v>51</v>
      </c>
      <c r="B2134" s="70">
        <v>2003</v>
      </c>
      <c r="C2134" s="70">
        <v>70</v>
      </c>
    </row>
    <row r="2135" spans="1:3" x14ac:dyDescent="0.35">
      <c r="A2135" s="70" t="s">
        <v>51</v>
      </c>
      <c r="B2135" s="70">
        <v>2004</v>
      </c>
      <c r="C2135" s="70">
        <v>70</v>
      </c>
    </row>
    <row r="2136" spans="1:3" x14ac:dyDescent="0.35">
      <c r="A2136" s="70" t="s">
        <v>51</v>
      </c>
      <c r="B2136" s="70">
        <v>2005</v>
      </c>
      <c r="C2136" s="70">
        <v>70</v>
      </c>
    </row>
    <row r="2137" spans="1:3" x14ac:dyDescent="0.35">
      <c r="A2137" s="70" t="s">
        <v>51</v>
      </c>
      <c r="B2137" s="70">
        <v>2006</v>
      </c>
      <c r="C2137" s="70">
        <v>70</v>
      </c>
    </row>
    <row r="2138" spans="1:3" x14ac:dyDescent="0.35">
      <c r="A2138" s="70" t="s">
        <v>51</v>
      </c>
      <c r="B2138" s="70">
        <v>2007</v>
      </c>
      <c r="C2138" s="70">
        <v>70</v>
      </c>
    </row>
    <row r="2139" spans="1:3" x14ac:dyDescent="0.35">
      <c r="A2139" s="70" t="s">
        <v>51</v>
      </c>
      <c r="B2139" s="70">
        <v>2008</v>
      </c>
      <c r="C2139" s="70">
        <v>70</v>
      </c>
    </row>
    <row r="2140" spans="1:3" x14ac:dyDescent="0.35">
      <c r="A2140" s="70" t="s">
        <v>51</v>
      </c>
      <c r="B2140" s="70">
        <v>2009</v>
      </c>
      <c r="C2140" s="70">
        <v>70</v>
      </c>
    </row>
    <row r="2141" spans="1:3" x14ac:dyDescent="0.35">
      <c r="A2141" s="70" t="s">
        <v>51</v>
      </c>
      <c r="B2141" s="70">
        <v>2010</v>
      </c>
      <c r="C2141" s="70">
        <v>70</v>
      </c>
    </row>
    <row r="2142" spans="1:3" x14ac:dyDescent="0.35">
      <c r="A2142" s="70" t="s">
        <v>51</v>
      </c>
      <c r="B2142" s="70">
        <v>2011</v>
      </c>
      <c r="C2142" s="70">
        <v>70</v>
      </c>
    </row>
    <row r="2143" spans="1:3" x14ac:dyDescent="0.35">
      <c r="A2143" s="70" t="s">
        <v>51</v>
      </c>
      <c r="B2143" s="70">
        <v>2012</v>
      </c>
      <c r="C2143" s="70">
        <v>70</v>
      </c>
    </row>
    <row r="2144" spans="1:3" x14ac:dyDescent="0.35">
      <c r="A2144" s="70" t="s">
        <v>51</v>
      </c>
      <c r="B2144" s="70">
        <v>2013</v>
      </c>
      <c r="C2144" s="70">
        <v>70</v>
      </c>
    </row>
    <row r="2145" spans="1:3" x14ac:dyDescent="0.35">
      <c r="A2145" s="70" t="s">
        <v>51</v>
      </c>
      <c r="B2145" s="70">
        <v>2014</v>
      </c>
      <c r="C2145" s="70">
        <v>70</v>
      </c>
    </row>
    <row r="2146" spans="1:3" x14ac:dyDescent="0.35">
      <c r="A2146" s="70" t="s">
        <v>51</v>
      </c>
      <c r="B2146" s="70">
        <v>2015</v>
      </c>
      <c r="C2146" s="70">
        <v>70</v>
      </c>
    </row>
    <row r="2147" spans="1:3" x14ac:dyDescent="0.35">
      <c r="A2147" s="70" t="s">
        <v>51</v>
      </c>
      <c r="B2147" s="70">
        <v>2016</v>
      </c>
      <c r="C2147" s="70">
        <v>70</v>
      </c>
    </row>
    <row r="2148" spans="1:3" x14ac:dyDescent="0.35">
      <c r="A2148" s="70" t="s">
        <v>51</v>
      </c>
      <c r="B2148" s="70">
        <v>2017</v>
      </c>
      <c r="C2148" s="70">
        <v>70</v>
      </c>
    </row>
    <row r="2149" spans="1:3" x14ac:dyDescent="0.35">
      <c r="A2149" s="70" t="s">
        <v>51</v>
      </c>
      <c r="B2149" s="70">
        <v>2018</v>
      </c>
      <c r="C2149" s="70">
        <v>70</v>
      </c>
    </row>
    <row r="2150" spans="1:3" x14ac:dyDescent="0.35">
      <c r="A2150" s="70" t="s">
        <v>51</v>
      </c>
      <c r="B2150" s="70">
        <v>2019</v>
      </c>
      <c r="C2150" s="70">
        <v>70</v>
      </c>
    </row>
    <row r="2151" spans="1:3" x14ac:dyDescent="0.35">
      <c r="A2151" s="70" t="s">
        <v>51</v>
      </c>
      <c r="B2151" s="70">
        <v>2020</v>
      </c>
      <c r="C2151" s="70">
        <v>70</v>
      </c>
    </row>
    <row r="2152" spans="1:3" x14ac:dyDescent="0.35">
      <c r="A2152" s="70" t="s">
        <v>51</v>
      </c>
      <c r="B2152" s="70">
        <v>2021</v>
      </c>
      <c r="C2152" s="70">
        <v>70</v>
      </c>
    </row>
    <row r="2153" spans="1:3" x14ac:dyDescent="0.35">
      <c r="A2153" s="70" t="s">
        <v>51</v>
      </c>
      <c r="B2153" s="70">
        <v>2022</v>
      </c>
      <c r="C2153" s="70">
        <v>70</v>
      </c>
    </row>
    <row r="2154" spans="1:3" x14ac:dyDescent="0.35">
      <c r="A2154" s="70" t="s">
        <v>52</v>
      </c>
      <c r="B2154" s="70">
        <v>1980</v>
      </c>
      <c r="C2154" s="70">
        <v>70</v>
      </c>
    </row>
    <row r="2155" spans="1:3" x14ac:dyDescent="0.35">
      <c r="A2155" s="70" t="s">
        <v>52</v>
      </c>
      <c r="B2155" s="70">
        <v>1981</v>
      </c>
      <c r="C2155" s="70">
        <v>70</v>
      </c>
    </row>
    <row r="2156" spans="1:3" x14ac:dyDescent="0.35">
      <c r="A2156" s="70" t="s">
        <v>52</v>
      </c>
      <c r="B2156" s="70">
        <v>1982</v>
      </c>
      <c r="C2156" s="70">
        <v>70</v>
      </c>
    </row>
    <row r="2157" spans="1:3" x14ac:dyDescent="0.35">
      <c r="A2157" s="70" t="s">
        <v>52</v>
      </c>
      <c r="B2157" s="70">
        <v>1983</v>
      </c>
      <c r="C2157" s="70">
        <v>70</v>
      </c>
    </row>
    <row r="2158" spans="1:3" x14ac:dyDescent="0.35">
      <c r="A2158" s="70" t="s">
        <v>52</v>
      </c>
      <c r="B2158" s="70">
        <v>1984</v>
      </c>
      <c r="C2158" s="70">
        <v>70</v>
      </c>
    </row>
    <row r="2159" spans="1:3" x14ac:dyDescent="0.35">
      <c r="A2159" s="70" t="s">
        <v>52</v>
      </c>
      <c r="B2159" s="70">
        <v>1985</v>
      </c>
      <c r="C2159" s="70">
        <v>70</v>
      </c>
    </row>
    <row r="2160" spans="1:3" x14ac:dyDescent="0.35">
      <c r="A2160" s="70" t="s">
        <v>52</v>
      </c>
      <c r="B2160" s="70">
        <v>1986</v>
      </c>
      <c r="C2160" s="70">
        <v>70</v>
      </c>
    </row>
    <row r="2161" spans="1:3" x14ac:dyDescent="0.35">
      <c r="A2161" s="70" t="s">
        <v>52</v>
      </c>
      <c r="B2161" s="70">
        <v>1987</v>
      </c>
      <c r="C2161" s="70">
        <v>70</v>
      </c>
    </row>
    <row r="2162" spans="1:3" x14ac:dyDescent="0.35">
      <c r="A2162" s="70" t="s">
        <v>52</v>
      </c>
      <c r="B2162" s="70">
        <v>1988</v>
      </c>
      <c r="C2162" s="70">
        <v>70</v>
      </c>
    </row>
    <row r="2163" spans="1:3" x14ac:dyDescent="0.35">
      <c r="A2163" s="70" t="s">
        <v>52</v>
      </c>
      <c r="B2163" s="70">
        <v>1989</v>
      </c>
      <c r="C2163" s="70">
        <v>70</v>
      </c>
    </row>
    <row r="2164" spans="1:3" x14ac:dyDescent="0.35">
      <c r="A2164" s="70" t="s">
        <v>52</v>
      </c>
      <c r="B2164" s="70">
        <v>1990</v>
      </c>
      <c r="C2164" s="70">
        <v>70</v>
      </c>
    </row>
    <row r="2165" spans="1:3" x14ac:dyDescent="0.35">
      <c r="A2165" s="70" t="s">
        <v>52</v>
      </c>
      <c r="B2165" s="70">
        <v>1991</v>
      </c>
      <c r="C2165" s="70">
        <v>70</v>
      </c>
    </row>
    <row r="2166" spans="1:3" x14ac:dyDescent="0.35">
      <c r="A2166" s="70" t="s">
        <v>52</v>
      </c>
      <c r="B2166" s="70">
        <v>1992</v>
      </c>
      <c r="C2166" s="70">
        <v>70</v>
      </c>
    </row>
    <row r="2167" spans="1:3" x14ac:dyDescent="0.35">
      <c r="A2167" s="70" t="s">
        <v>52</v>
      </c>
      <c r="B2167" s="70">
        <v>1993</v>
      </c>
      <c r="C2167" s="70">
        <v>70</v>
      </c>
    </row>
    <row r="2168" spans="1:3" x14ac:dyDescent="0.35">
      <c r="A2168" s="70" t="s">
        <v>52</v>
      </c>
      <c r="B2168" s="70">
        <v>1994</v>
      </c>
      <c r="C2168" s="70">
        <v>70</v>
      </c>
    </row>
    <row r="2169" spans="1:3" x14ac:dyDescent="0.35">
      <c r="A2169" s="70" t="s">
        <v>52</v>
      </c>
      <c r="B2169" s="70">
        <v>1995</v>
      </c>
      <c r="C2169" s="70">
        <v>70</v>
      </c>
    </row>
    <row r="2170" spans="1:3" x14ac:dyDescent="0.35">
      <c r="A2170" s="70" t="s">
        <v>52</v>
      </c>
      <c r="B2170" s="70">
        <v>1996</v>
      </c>
      <c r="C2170" s="70">
        <v>70</v>
      </c>
    </row>
    <row r="2171" spans="1:3" x14ac:dyDescent="0.35">
      <c r="A2171" s="70" t="s">
        <v>52</v>
      </c>
      <c r="B2171" s="70">
        <v>1997</v>
      </c>
      <c r="C2171" s="70">
        <v>70</v>
      </c>
    </row>
    <row r="2172" spans="1:3" x14ac:dyDescent="0.35">
      <c r="A2172" s="70" t="s">
        <v>52</v>
      </c>
      <c r="B2172" s="70">
        <v>1998</v>
      </c>
      <c r="C2172" s="70">
        <v>70</v>
      </c>
    </row>
    <row r="2173" spans="1:3" x14ac:dyDescent="0.35">
      <c r="A2173" s="70" t="s">
        <v>52</v>
      </c>
      <c r="B2173" s="70">
        <v>1999</v>
      </c>
      <c r="C2173" s="70">
        <v>70</v>
      </c>
    </row>
    <row r="2174" spans="1:3" x14ac:dyDescent="0.35">
      <c r="A2174" s="70" t="s">
        <v>52</v>
      </c>
      <c r="B2174" s="70">
        <v>2000</v>
      </c>
      <c r="C2174" s="70">
        <v>70</v>
      </c>
    </row>
    <row r="2175" spans="1:3" x14ac:dyDescent="0.35">
      <c r="A2175" s="70" t="s">
        <v>52</v>
      </c>
      <c r="B2175" s="70">
        <v>2001</v>
      </c>
      <c r="C2175" s="70">
        <v>70</v>
      </c>
    </row>
    <row r="2176" spans="1:3" x14ac:dyDescent="0.35">
      <c r="A2176" s="70" t="s">
        <v>52</v>
      </c>
      <c r="B2176" s="70">
        <v>2002</v>
      </c>
      <c r="C2176" s="70">
        <v>70</v>
      </c>
    </row>
    <row r="2177" spans="1:3" x14ac:dyDescent="0.35">
      <c r="A2177" s="70" t="s">
        <v>52</v>
      </c>
      <c r="B2177" s="70">
        <v>2003</v>
      </c>
      <c r="C2177" s="70">
        <v>70</v>
      </c>
    </row>
    <row r="2178" spans="1:3" x14ac:dyDescent="0.35">
      <c r="A2178" s="70" t="s">
        <v>52</v>
      </c>
      <c r="B2178" s="70">
        <v>2004</v>
      </c>
      <c r="C2178" s="70">
        <v>70</v>
      </c>
    </row>
    <row r="2179" spans="1:3" x14ac:dyDescent="0.35">
      <c r="A2179" s="70" t="s">
        <v>52</v>
      </c>
      <c r="B2179" s="70">
        <v>2005</v>
      </c>
      <c r="C2179" s="70">
        <v>70</v>
      </c>
    </row>
    <row r="2180" spans="1:3" x14ac:dyDescent="0.35">
      <c r="A2180" s="70" t="s">
        <v>52</v>
      </c>
      <c r="B2180" s="70">
        <v>2006</v>
      </c>
      <c r="C2180" s="70">
        <v>70</v>
      </c>
    </row>
    <row r="2181" spans="1:3" x14ac:dyDescent="0.35">
      <c r="A2181" s="70" t="s">
        <v>52</v>
      </c>
      <c r="B2181" s="70">
        <v>2007</v>
      </c>
      <c r="C2181" s="70">
        <v>70</v>
      </c>
    </row>
    <row r="2182" spans="1:3" x14ac:dyDescent="0.35">
      <c r="A2182" s="70" t="s">
        <v>52</v>
      </c>
      <c r="B2182" s="70">
        <v>2008</v>
      </c>
      <c r="C2182" s="70">
        <v>70</v>
      </c>
    </row>
    <row r="2183" spans="1:3" x14ac:dyDescent="0.35">
      <c r="A2183" s="70" t="s">
        <v>52</v>
      </c>
      <c r="B2183" s="70">
        <v>2009</v>
      </c>
      <c r="C2183" s="70">
        <v>70</v>
      </c>
    </row>
    <row r="2184" spans="1:3" x14ac:dyDescent="0.35">
      <c r="A2184" s="70" t="s">
        <v>52</v>
      </c>
      <c r="B2184" s="70">
        <v>2010</v>
      </c>
      <c r="C2184" s="70">
        <v>70</v>
      </c>
    </row>
    <row r="2185" spans="1:3" x14ac:dyDescent="0.35">
      <c r="A2185" s="70" t="s">
        <v>52</v>
      </c>
      <c r="B2185" s="70">
        <v>2011</v>
      </c>
      <c r="C2185" s="70">
        <v>70</v>
      </c>
    </row>
    <row r="2186" spans="1:3" x14ac:dyDescent="0.35">
      <c r="A2186" s="70" t="s">
        <v>52</v>
      </c>
      <c r="B2186" s="70">
        <v>2012</v>
      </c>
      <c r="C2186" s="70">
        <v>70</v>
      </c>
    </row>
    <row r="2187" spans="1:3" x14ac:dyDescent="0.35">
      <c r="A2187" s="70" t="s">
        <v>52</v>
      </c>
      <c r="B2187" s="70">
        <v>2013</v>
      </c>
      <c r="C2187" s="70">
        <v>70</v>
      </c>
    </row>
    <row r="2188" spans="1:3" x14ac:dyDescent="0.35">
      <c r="A2188" s="70" t="s">
        <v>52</v>
      </c>
      <c r="B2188" s="70">
        <v>2014</v>
      </c>
      <c r="C2188" s="70">
        <v>70</v>
      </c>
    </row>
    <row r="2189" spans="1:3" x14ac:dyDescent="0.35">
      <c r="A2189" s="70" t="s">
        <v>52</v>
      </c>
      <c r="B2189" s="70">
        <v>2015</v>
      </c>
      <c r="C2189" s="70">
        <v>70</v>
      </c>
    </row>
    <row r="2190" spans="1:3" x14ac:dyDescent="0.35">
      <c r="A2190" s="70" t="s">
        <v>52</v>
      </c>
      <c r="B2190" s="70">
        <v>2016</v>
      </c>
      <c r="C2190" s="70">
        <v>70</v>
      </c>
    </row>
    <row r="2191" spans="1:3" x14ac:dyDescent="0.35">
      <c r="A2191" s="70" t="s">
        <v>52</v>
      </c>
      <c r="B2191" s="70">
        <v>2017</v>
      </c>
      <c r="C2191" s="70">
        <v>70</v>
      </c>
    </row>
    <row r="2192" spans="1:3" x14ac:dyDescent="0.35">
      <c r="A2192" s="70" t="s">
        <v>52</v>
      </c>
      <c r="B2192" s="70">
        <v>2018</v>
      </c>
      <c r="C2192" s="70">
        <v>70</v>
      </c>
    </row>
    <row r="2193" spans="1:3" x14ac:dyDescent="0.35">
      <c r="A2193" s="70" t="s">
        <v>52</v>
      </c>
      <c r="B2193" s="70">
        <v>2019</v>
      </c>
      <c r="C2193" s="70">
        <v>70</v>
      </c>
    </row>
    <row r="2194" spans="1:3" x14ac:dyDescent="0.35">
      <c r="A2194" s="70" t="s">
        <v>52</v>
      </c>
      <c r="B2194" s="70">
        <v>2020</v>
      </c>
      <c r="C2194" s="70">
        <v>70</v>
      </c>
    </row>
    <row r="2195" spans="1:3" x14ac:dyDescent="0.35">
      <c r="A2195" s="70" t="s">
        <v>52</v>
      </c>
      <c r="B2195" s="70">
        <v>2021</v>
      </c>
      <c r="C2195" s="70">
        <v>70</v>
      </c>
    </row>
    <row r="2196" spans="1:3" x14ac:dyDescent="0.35">
      <c r="A2196" s="70" t="s">
        <v>52</v>
      </c>
      <c r="B2196" s="70">
        <v>2022</v>
      </c>
      <c r="C2196" s="70">
        <v>70</v>
      </c>
    </row>
    <row r="2197" spans="1:3" x14ac:dyDescent="0.35">
      <c r="A2197" s="70" t="s">
        <v>53</v>
      </c>
      <c r="B2197" s="70">
        <v>1980</v>
      </c>
      <c r="C2197" s="70">
        <v>70</v>
      </c>
    </row>
    <row r="2198" spans="1:3" x14ac:dyDescent="0.35">
      <c r="A2198" s="70" t="s">
        <v>53</v>
      </c>
      <c r="B2198" s="70">
        <v>1981</v>
      </c>
      <c r="C2198" s="70">
        <v>70</v>
      </c>
    </row>
    <row r="2199" spans="1:3" x14ac:dyDescent="0.35">
      <c r="A2199" s="70" t="s">
        <v>53</v>
      </c>
      <c r="B2199" s="70">
        <v>1982</v>
      </c>
      <c r="C2199" s="70">
        <v>70</v>
      </c>
    </row>
    <row r="2200" spans="1:3" x14ac:dyDescent="0.35">
      <c r="A2200" s="70" t="s">
        <v>53</v>
      </c>
      <c r="B2200" s="70">
        <v>1983</v>
      </c>
      <c r="C2200" s="70">
        <v>70</v>
      </c>
    </row>
    <row r="2201" spans="1:3" x14ac:dyDescent="0.35">
      <c r="A2201" s="70" t="s">
        <v>53</v>
      </c>
      <c r="B2201" s="70">
        <v>1984</v>
      </c>
      <c r="C2201" s="70">
        <v>70</v>
      </c>
    </row>
    <row r="2202" spans="1:3" x14ac:dyDescent="0.35">
      <c r="A2202" s="70" t="s">
        <v>53</v>
      </c>
      <c r="B2202" s="70">
        <v>1985</v>
      </c>
      <c r="C2202" s="70">
        <v>70</v>
      </c>
    </row>
    <row r="2203" spans="1:3" x14ac:dyDescent="0.35">
      <c r="A2203" s="70" t="s">
        <v>53</v>
      </c>
      <c r="B2203" s="70">
        <v>1986</v>
      </c>
      <c r="C2203" s="70">
        <v>70</v>
      </c>
    </row>
    <row r="2204" spans="1:3" x14ac:dyDescent="0.35">
      <c r="A2204" s="70" t="s">
        <v>53</v>
      </c>
      <c r="B2204" s="70">
        <v>1987</v>
      </c>
      <c r="C2204" s="70">
        <v>70</v>
      </c>
    </row>
    <row r="2205" spans="1:3" x14ac:dyDescent="0.35">
      <c r="A2205" s="70" t="s">
        <v>53</v>
      </c>
      <c r="B2205" s="70">
        <v>1988</v>
      </c>
      <c r="C2205" s="70">
        <v>70</v>
      </c>
    </row>
    <row r="2206" spans="1:3" x14ac:dyDescent="0.35">
      <c r="A2206" s="70" t="s">
        <v>53</v>
      </c>
      <c r="B2206" s="70">
        <v>1989</v>
      </c>
      <c r="C2206" s="70">
        <v>70</v>
      </c>
    </row>
    <row r="2207" spans="1:3" x14ac:dyDescent="0.35">
      <c r="A2207" s="70" t="s">
        <v>53</v>
      </c>
      <c r="B2207" s="70">
        <v>1990</v>
      </c>
      <c r="C2207" s="70">
        <v>70</v>
      </c>
    </row>
    <row r="2208" spans="1:3" x14ac:dyDescent="0.35">
      <c r="A2208" s="70" t="s">
        <v>53</v>
      </c>
      <c r="B2208" s="70">
        <v>1991</v>
      </c>
      <c r="C2208" s="70">
        <v>70</v>
      </c>
    </row>
    <row r="2209" spans="1:3" x14ac:dyDescent="0.35">
      <c r="A2209" s="70" t="s">
        <v>53</v>
      </c>
      <c r="B2209" s="70">
        <v>1992</v>
      </c>
      <c r="C2209" s="70">
        <v>70</v>
      </c>
    </row>
    <row r="2210" spans="1:3" x14ac:dyDescent="0.35">
      <c r="A2210" s="70" t="s">
        <v>53</v>
      </c>
      <c r="B2210" s="70">
        <v>1993</v>
      </c>
      <c r="C2210" s="70">
        <v>70</v>
      </c>
    </row>
    <row r="2211" spans="1:3" x14ac:dyDescent="0.35">
      <c r="A2211" s="70" t="s">
        <v>53</v>
      </c>
      <c r="B2211" s="70">
        <v>1994</v>
      </c>
      <c r="C2211" s="70">
        <v>70</v>
      </c>
    </row>
    <row r="2212" spans="1:3" x14ac:dyDescent="0.35">
      <c r="A2212" s="70" t="s">
        <v>53</v>
      </c>
      <c r="B2212" s="70">
        <v>1995</v>
      </c>
      <c r="C2212" s="70">
        <v>70</v>
      </c>
    </row>
    <row r="2213" spans="1:3" x14ac:dyDescent="0.35">
      <c r="A2213" s="70" t="s">
        <v>53</v>
      </c>
      <c r="B2213" s="70">
        <v>1996</v>
      </c>
      <c r="C2213" s="70">
        <v>70</v>
      </c>
    </row>
    <row r="2214" spans="1:3" x14ac:dyDescent="0.35">
      <c r="A2214" s="70" t="s">
        <v>53</v>
      </c>
      <c r="B2214" s="70">
        <v>1997</v>
      </c>
      <c r="C2214" s="70">
        <v>70</v>
      </c>
    </row>
    <row r="2215" spans="1:3" x14ac:dyDescent="0.35">
      <c r="A2215" s="70" t="s">
        <v>53</v>
      </c>
      <c r="B2215" s="70">
        <v>1998</v>
      </c>
      <c r="C2215" s="70">
        <v>70</v>
      </c>
    </row>
    <row r="2216" spans="1:3" x14ac:dyDescent="0.35">
      <c r="A2216" s="70" t="s">
        <v>53</v>
      </c>
      <c r="B2216" s="70">
        <v>1999</v>
      </c>
      <c r="C2216" s="70">
        <v>70</v>
      </c>
    </row>
    <row r="2217" spans="1:3" x14ac:dyDescent="0.35">
      <c r="A2217" s="70" t="s">
        <v>53</v>
      </c>
      <c r="B2217" s="70">
        <v>2000</v>
      </c>
      <c r="C2217" s="70">
        <v>70</v>
      </c>
    </row>
    <row r="2218" spans="1:3" x14ac:dyDescent="0.35">
      <c r="A2218" s="70" t="s">
        <v>53</v>
      </c>
      <c r="B2218" s="70">
        <v>2001</v>
      </c>
      <c r="C2218" s="70">
        <v>70</v>
      </c>
    </row>
    <row r="2219" spans="1:3" x14ac:dyDescent="0.35">
      <c r="A2219" s="70" t="s">
        <v>53</v>
      </c>
      <c r="B2219" s="70">
        <v>2002</v>
      </c>
      <c r="C2219" s="70">
        <v>70</v>
      </c>
    </row>
    <row r="2220" spans="1:3" x14ac:dyDescent="0.35">
      <c r="A2220" s="70" t="s">
        <v>53</v>
      </c>
      <c r="B2220" s="70">
        <v>2003</v>
      </c>
      <c r="C2220" s="70">
        <v>70</v>
      </c>
    </row>
    <row r="2221" spans="1:3" x14ac:dyDescent="0.35">
      <c r="A2221" s="70" t="s">
        <v>53</v>
      </c>
      <c r="B2221" s="70">
        <v>2004</v>
      </c>
      <c r="C2221" s="70">
        <v>70</v>
      </c>
    </row>
    <row r="2222" spans="1:3" x14ac:dyDescent="0.35">
      <c r="A2222" s="70" t="s">
        <v>53</v>
      </c>
      <c r="B2222" s="70">
        <v>2005</v>
      </c>
      <c r="C2222" s="70">
        <v>70</v>
      </c>
    </row>
    <row r="2223" spans="1:3" x14ac:dyDescent="0.35">
      <c r="A2223" s="70" t="s">
        <v>53</v>
      </c>
      <c r="B2223" s="70">
        <v>2006</v>
      </c>
      <c r="C2223" s="70">
        <v>70</v>
      </c>
    </row>
    <row r="2224" spans="1:3" x14ac:dyDescent="0.35">
      <c r="A2224" s="70" t="s">
        <v>53</v>
      </c>
      <c r="B2224" s="70">
        <v>2007</v>
      </c>
      <c r="C2224" s="70">
        <v>70</v>
      </c>
    </row>
    <row r="2225" spans="1:3" x14ac:dyDescent="0.35">
      <c r="A2225" s="70" t="s">
        <v>53</v>
      </c>
      <c r="B2225" s="70">
        <v>2008</v>
      </c>
      <c r="C2225" s="70">
        <v>70</v>
      </c>
    </row>
    <row r="2226" spans="1:3" x14ac:dyDescent="0.35">
      <c r="A2226" s="70" t="s">
        <v>53</v>
      </c>
      <c r="B2226" s="70">
        <v>2009</v>
      </c>
      <c r="C2226" s="70">
        <v>70</v>
      </c>
    </row>
    <row r="2227" spans="1:3" x14ac:dyDescent="0.35">
      <c r="A2227" s="70" t="s">
        <v>53</v>
      </c>
      <c r="B2227" s="70">
        <v>2010</v>
      </c>
      <c r="C2227" s="70">
        <v>70</v>
      </c>
    </row>
    <row r="2228" spans="1:3" x14ac:dyDescent="0.35">
      <c r="A2228" s="70" t="s">
        <v>53</v>
      </c>
      <c r="B2228" s="70">
        <v>2011</v>
      </c>
      <c r="C2228" s="70">
        <v>70</v>
      </c>
    </row>
    <row r="2229" spans="1:3" x14ac:dyDescent="0.35">
      <c r="A2229" s="70" t="s">
        <v>53</v>
      </c>
      <c r="B2229" s="70">
        <v>2012</v>
      </c>
      <c r="C2229" s="70">
        <v>70</v>
      </c>
    </row>
    <row r="2230" spans="1:3" x14ac:dyDescent="0.35">
      <c r="A2230" s="70" t="s">
        <v>53</v>
      </c>
      <c r="B2230" s="70">
        <v>2013</v>
      </c>
      <c r="C2230" s="70">
        <v>70</v>
      </c>
    </row>
    <row r="2231" spans="1:3" x14ac:dyDescent="0.35">
      <c r="A2231" s="70" t="s">
        <v>53</v>
      </c>
      <c r="B2231" s="70">
        <v>2014</v>
      </c>
      <c r="C2231" s="70">
        <v>70</v>
      </c>
    </row>
    <row r="2232" spans="1:3" x14ac:dyDescent="0.35">
      <c r="A2232" s="70" t="s">
        <v>53</v>
      </c>
      <c r="B2232" s="70">
        <v>2015</v>
      </c>
      <c r="C2232" s="70">
        <v>70</v>
      </c>
    </row>
    <row r="2233" spans="1:3" x14ac:dyDescent="0.35">
      <c r="A2233" s="70" t="s">
        <v>53</v>
      </c>
      <c r="B2233" s="70">
        <v>2016</v>
      </c>
      <c r="C2233" s="70">
        <v>70</v>
      </c>
    </row>
    <row r="2234" spans="1:3" x14ac:dyDescent="0.35">
      <c r="A2234" s="70" t="s">
        <v>53</v>
      </c>
      <c r="B2234" s="70">
        <v>2017</v>
      </c>
      <c r="C2234" s="70">
        <v>70</v>
      </c>
    </row>
    <row r="2235" spans="1:3" x14ac:dyDescent="0.35">
      <c r="A2235" s="70" t="s">
        <v>53</v>
      </c>
      <c r="B2235" s="70">
        <v>2018</v>
      </c>
      <c r="C2235" s="70">
        <v>70</v>
      </c>
    </row>
    <row r="2236" spans="1:3" x14ac:dyDescent="0.35">
      <c r="A2236" s="70" t="s">
        <v>53</v>
      </c>
      <c r="B2236" s="70">
        <v>2019</v>
      </c>
      <c r="C2236" s="70">
        <v>70</v>
      </c>
    </row>
    <row r="2237" spans="1:3" x14ac:dyDescent="0.35">
      <c r="A2237" s="70" t="s">
        <v>53</v>
      </c>
      <c r="B2237" s="70">
        <v>2020</v>
      </c>
      <c r="C2237" s="70">
        <v>70</v>
      </c>
    </row>
    <row r="2238" spans="1:3" x14ac:dyDescent="0.35">
      <c r="A2238" s="70" t="s">
        <v>53</v>
      </c>
      <c r="B2238" s="70">
        <v>2021</v>
      </c>
      <c r="C2238" s="70">
        <v>70</v>
      </c>
    </row>
    <row r="2239" spans="1:3" x14ac:dyDescent="0.35">
      <c r="A2239" s="70" t="s">
        <v>53</v>
      </c>
      <c r="B2239" s="70">
        <v>2022</v>
      </c>
      <c r="C2239" s="70">
        <v>70</v>
      </c>
    </row>
    <row r="2240" spans="1:3" x14ac:dyDescent="0.35">
      <c r="A2240" s="70" t="s">
        <v>54</v>
      </c>
      <c r="B2240" s="70">
        <v>1980</v>
      </c>
      <c r="C2240" s="70">
        <v>70</v>
      </c>
    </row>
    <row r="2241" spans="1:3" x14ac:dyDescent="0.35">
      <c r="A2241" s="70" t="s">
        <v>54</v>
      </c>
      <c r="B2241" s="70">
        <v>1981</v>
      </c>
      <c r="C2241" s="70">
        <v>70</v>
      </c>
    </row>
    <row r="2242" spans="1:3" x14ac:dyDescent="0.35">
      <c r="A2242" s="70" t="s">
        <v>54</v>
      </c>
      <c r="B2242" s="70">
        <v>1982</v>
      </c>
      <c r="C2242" s="70">
        <v>70</v>
      </c>
    </row>
    <row r="2243" spans="1:3" x14ac:dyDescent="0.35">
      <c r="A2243" s="70" t="s">
        <v>54</v>
      </c>
      <c r="B2243" s="70">
        <v>1983</v>
      </c>
      <c r="C2243" s="70">
        <v>70</v>
      </c>
    </row>
    <row r="2244" spans="1:3" x14ac:dyDescent="0.35">
      <c r="A2244" s="70" t="s">
        <v>54</v>
      </c>
      <c r="B2244" s="70">
        <v>1984</v>
      </c>
      <c r="C2244" s="70">
        <v>70</v>
      </c>
    </row>
    <row r="2245" spans="1:3" x14ac:dyDescent="0.35">
      <c r="A2245" s="70" t="s">
        <v>54</v>
      </c>
      <c r="B2245" s="70">
        <v>1985</v>
      </c>
      <c r="C2245" s="70">
        <v>70</v>
      </c>
    </row>
    <row r="2246" spans="1:3" x14ac:dyDescent="0.35">
      <c r="A2246" s="70" t="s">
        <v>54</v>
      </c>
      <c r="B2246" s="70">
        <v>1986</v>
      </c>
      <c r="C2246" s="70">
        <v>70</v>
      </c>
    </row>
    <row r="2247" spans="1:3" x14ac:dyDescent="0.35">
      <c r="A2247" s="70" t="s">
        <v>54</v>
      </c>
      <c r="B2247" s="70">
        <v>1987</v>
      </c>
      <c r="C2247" s="70">
        <v>70</v>
      </c>
    </row>
    <row r="2248" spans="1:3" x14ac:dyDescent="0.35">
      <c r="A2248" s="70" t="s">
        <v>54</v>
      </c>
      <c r="B2248" s="70">
        <v>1988</v>
      </c>
      <c r="C2248" s="70">
        <v>70</v>
      </c>
    </row>
    <row r="2249" spans="1:3" x14ac:dyDescent="0.35">
      <c r="A2249" s="70" t="s">
        <v>54</v>
      </c>
      <c r="B2249" s="70">
        <v>1989</v>
      </c>
      <c r="C2249" s="70">
        <v>70</v>
      </c>
    </row>
    <row r="2250" spans="1:3" x14ac:dyDescent="0.35">
      <c r="A2250" s="70" t="s">
        <v>54</v>
      </c>
      <c r="B2250" s="70">
        <v>1990</v>
      </c>
      <c r="C2250" s="70">
        <v>70</v>
      </c>
    </row>
    <row r="2251" spans="1:3" x14ac:dyDescent="0.35">
      <c r="A2251" s="70" t="s">
        <v>54</v>
      </c>
      <c r="B2251" s="70">
        <v>1991</v>
      </c>
      <c r="C2251" s="70">
        <v>70</v>
      </c>
    </row>
    <row r="2252" spans="1:3" x14ac:dyDescent="0.35">
      <c r="A2252" s="70" t="s">
        <v>54</v>
      </c>
      <c r="B2252" s="70">
        <v>1992</v>
      </c>
      <c r="C2252" s="70">
        <v>70</v>
      </c>
    </row>
    <row r="2253" spans="1:3" x14ac:dyDescent="0.35">
      <c r="A2253" s="70" t="s">
        <v>54</v>
      </c>
      <c r="B2253" s="70">
        <v>1993</v>
      </c>
      <c r="C2253" s="70">
        <v>70</v>
      </c>
    </row>
    <row r="2254" spans="1:3" x14ac:dyDescent="0.35">
      <c r="A2254" s="70" t="s">
        <v>54</v>
      </c>
      <c r="B2254" s="70">
        <v>1994</v>
      </c>
      <c r="C2254" s="70">
        <v>70</v>
      </c>
    </row>
    <row r="2255" spans="1:3" x14ac:dyDescent="0.35">
      <c r="A2255" s="70" t="s">
        <v>54</v>
      </c>
      <c r="B2255" s="70">
        <v>1995</v>
      </c>
      <c r="C2255" s="70">
        <v>70</v>
      </c>
    </row>
    <row r="2256" spans="1:3" x14ac:dyDescent="0.35">
      <c r="A2256" s="70" t="s">
        <v>54</v>
      </c>
      <c r="B2256" s="70">
        <v>1996</v>
      </c>
      <c r="C2256" s="70">
        <v>70</v>
      </c>
    </row>
    <row r="2257" spans="1:3" x14ac:dyDescent="0.35">
      <c r="A2257" s="70" t="s">
        <v>54</v>
      </c>
      <c r="B2257" s="70">
        <v>1997</v>
      </c>
      <c r="C2257" s="70">
        <v>70</v>
      </c>
    </row>
    <row r="2258" spans="1:3" x14ac:dyDescent="0.35">
      <c r="A2258" s="70" t="s">
        <v>54</v>
      </c>
      <c r="B2258" s="70">
        <v>1998</v>
      </c>
      <c r="C2258" s="70">
        <v>70</v>
      </c>
    </row>
    <row r="2259" spans="1:3" x14ac:dyDescent="0.35">
      <c r="A2259" s="70" t="s">
        <v>54</v>
      </c>
      <c r="B2259" s="70">
        <v>1999</v>
      </c>
      <c r="C2259" s="70">
        <v>70</v>
      </c>
    </row>
    <row r="2260" spans="1:3" x14ac:dyDescent="0.35">
      <c r="A2260" s="70" t="s">
        <v>54</v>
      </c>
      <c r="B2260" s="70">
        <v>2000</v>
      </c>
      <c r="C2260" s="70">
        <v>70</v>
      </c>
    </row>
    <row r="2261" spans="1:3" x14ac:dyDescent="0.35">
      <c r="A2261" s="70" t="s">
        <v>54</v>
      </c>
      <c r="B2261" s="70">
        <v>2001</v>
      </c>
      <c r="C2261" s="70">
        <v>70</v>
      </c>
    </row>
    <row r="2262" spans="1:3" x14ac:dyDescent="0.35">
      <c r="A2262" s="70" t="s">
        <v>54</v>
      </c>
      <c r="B2262" s="70">
        <v>2002</v>
      </c>
      <c r="C2262" s="70">
        <v>70</v>
      </c>
    </row>
    <row r="2263" spans="1:3" x14ac:dyDescent="0.35">
      <c r="A2263" s="70" t="s">
        <v>54</v>
      </c>
      <c r="B2263" s="70">
        <v>2003</v>
      </c>
      <c r="C2263" s="70">
        <v>70</v>
      </c>
    </row>
    <row r="2264" spans="1:3" x14ac:dyDescent="0.35">
      <c r="A2264" s="70" t="s">
        <v>54</v>
      </c>
      <c r="B2264" s="70">
        <v>2004</v>
      </c>
      <c r="C2264" s="70">
        <v>70</v>
      </c>
    </row>
    <row r="2265" spans="1:3" x14ac:dyDescent="0.35">
      <c r="A2265" s="70" t="s">
        <v>54</v>
      </c>
      <c r="B2265" s="70">
        <v>2005</v>
      </c>
      <c r="C2265" s="70">
        <v>70</v>
      </c>
    </row>
    <row r="2266" spans="1:3" x14ac:dyDescent="0.35">
      <c r="A2266" s="70" t="s">
        <v>54</v>
      </c>
      <c r="B2266" s="70">
        <v>2006</v>
      </c>
      <c r="C2266" s="70">
        <v>70</v>
      </c>
    </row>
    <row r="2267" spans="1:3" x14ac:dyDescent="0.35">
      <c r="A2267" s="70" t="s">
        <v>54</v>
      </c>
      <c r="B2267" s="70">
        <v>2007</v>
      </c>
      <c r="C2267" s="70">
        <v>70</v>
      </c>
    </row>
    <row r="2268" spans="1:3" x14ac:dyDescent="0.35">
      <c r="A2268" s="70" t="s">
        <v>54</v>
      </c>
      <c r="B2268" s="70">
        <v>2008</v>
      </c>
      <c r="C2268" s="70">
        <v>70</v>
      </c>
    </row>
    <row r="2269" spans="1:3" x14ac:dyDescent="0.35">
      <c r="A2269" s="70" t="s">
        <v>54</v>
      </c>
      <c r="B2269" s="70">
        <v>2009</v>
      </c>
      <c r="C2269" s="70">
        <v>70</v>
      </c>
    </row>
    <row r="2270" spans="1:3" x14ac:dyDescent="0.35">
      <c r="A2270" s="70" t="s">
        <v>54</v>
      </c>
      <c r="B2270" s="70">
        <v>2010</v>
      </c>
      <c r="C2270" s="70">
        <v>70</v>
      </c>
    </row>
    <row r="2271" spans="1:3" x14ac:dyDescent="0.35">
      <c r="A2271" s="70" t="s">
        <v>54</v>
      </c>
      <c r="B2271" s="70">
        <v>2011</v>
      </c>
      <c r="C2271" s="70">
        <v>70</v>
      </c>
    </row>
    <row r="2272" spans="1:3" x14ac:dyDescent="0.35">
      <c r="A2272" s="70" t="s">
        <v>54</v>
      </c>
      <c r="B2272" s="70">
        <v>2012</v>
      </c>
      <c r="C2272" s="70">
        <v>70</v>
      </c>
    </row>
    <row r="2273" spans="1:3" x14ac:dyDescent="0.35">
      <c r="A2273" s="70" t="s">
        <v>54</v>
      </c>
      <c r="B2273" s="70">
        <v>2013</v>
      </c>
      <c r="C2273" s="70">
        <v>70</v>
      </c>
    </row>
    <row r="2274" spans="1:3" x14ac:dyDescent="0.35">
      <c r="A2274" s="70" t="s">
        <v>54</v>
      </c>
      <c r="B2274" s="70">
        <v>2014</v>
      </c>
      <c r="C2274" s="70">
        <v>70</v>
      </c>
    </row>
    <row r="2275" spans="1:3" x14ac:dyDescent="0.35">
      <c r="A2275" s="70" t="s">
        <v>54</v>
      </c>
      <c r="B2275" s="70">
        <v>2015</v>
      </c>
      <c r="C2275" s="70">
        <v>70</v>
      </c>
    </row>
    <row r="2276" spans="1:3" x14ac:dyDescent="0.35">
      <c r="A2276" s="70" t="s">
        <v>54</v>
      </c>
      <c r="B2276" s="70">
        <v>2016</v>
      </c>
      <c r="C2276" s="70">
        <v>70</v>
      </c>
    </row>
    <row r="2277" spans="1:3" x14ac:dyDescent="0.35">
      <c r="A2277" s="70" t="s">
        <v>54</v>
      </c>
      <c r="B2277" s="70">
        <v>2017</v>
      </c>
      <c r="C2277" s="70">
        <v>70</v>
      </c>
    </row>
    <row r="2278" spans="1:3" x14ac:dyDescent="0.35">
      <c r="A2278" s="70" t="s">
        <v>54</v>
      </c>
      <c r="B2278" s="70">
        <v>2018</v>
      </c>
      <c r="C2278" s="70">
        <v>70</v>
      </c>
    </row>
    <row r="2279" spans="1:3" x14ac:dyDescent="0.35">
      <c r="A2279" s="70" t="s">
        <v>54</v>
      </c>
      <c r="B2279" s="70">
        <v>2019</v>
      </c>
      <c r="C2279" s="70">
        <v>70</v>
      </c>
    </row>
    <row r="2280" spans="1:3" x14ac:dyDescent="0.35">
      <c r="A2280" s="70" t="s">
        <v>54</v>
      </c>
      <c r="B2280" s="70">
        <v>2020</v>
      </c>
      <c r="C2280" s="70">
        <v>70</v>
      </c>
    </row>
    <row r="2281" spans="1:3" x14ac:dyDescent="0.35">
      <c r="A2281" s="70" t="s">
        <v>54</v>
      </c>
      <c r="B2281" s="70">
        <v>2021</v>
      </c>
      <c r="C2281" s="70">
        <v>70</v>
      </c>
    </row>
    <row r="2282" spans="1:3" x14ac:dyDescent="0.35">
      <c r="A2282" s="70" t="s">
        <v>54</v>
      </c>
      <c r="B2282" s="70">
        <v>2022</v>
      </c>
      <c r="C2282" s="70">
        <v>70</v>
      </c>
    </row>
    <row r="2283" spans="1:3" x14ac:dyDescent="0.35">
      <c r="A2283" s="70" t="s">
        <v>55</v>
      </c>
      <c r="B2283" s="70">
        <v>1980</v>
      </c>
      <c r="C2283" s="70">
        <v>70</v>
      </c>
    </row>
    <row r="2284" spans="1:3" x14ac:dyDescent="0.35">
      <c r="A2284" s="70" t="s">
        <v>55</v>
      </c>
      <c r="B2284" s="70">
        <v>1981</v>
      </c>
      <c r="C2284" s="70">
        <v>70</v>
      </c>
    </row>
    <row r="2285" spans="1:3" x14ac:dyDescent="0.35">
      <c r="A2285" s="70" t="s">
        <v>55</v>
      </c>
      <c r="B2285" s="70">
        <v>1982</v>
      </c>
      <c r="C2285" s="70">
        <v>70</v>
      </c>
    </row>
    <row r="2286" spans="1:3" x14ac:dyDescent="0.35">
      <c r="A2286" s="70" t="s">
        <v>55</v>
      </c>
      <c r="B2286" s="70">
        <v>1983</v>
      </c>
      <c r="C2286" s="70">
        <v>70</v>
      </c>
    </row>
    <row r="2287" spans="1:3" x14ac:dyDescent="0.35">
      <c r="A2287" s="70" t="s">
        <v>55</v>
      </c>
      <c r="B2287" s="70">
        <v>1984</v>
      </c>
      <c r="C2287" s="70">
        <v>70</v>
      </c>
    </row>
    <row r="2288" spans="1:3" x14ac:dyDescent="0.35">
      <c r="A2288" s="70" t="s">
        <v>55</v>
      </c>
      <c r="B2288" s="70">
        <v>1985</v>
      </c>
      <c r="C2288" s="70">
        <v>70</v>
      </c>
    </row>
    <row r="2289" spans="1:3" x14ac:dyDescent="0.35">
      <c r="A2289" s="70" t="s">
        <v>55</v>
      </c>
      <c r="B2289" s="70">
        <v>1986</v>
      </c>
      <c r="C2289" s="70">
        <v>70</v>
      </c>
    </row>
    <row r="2290" spans="1:3" x14ac:dyDescent="0.35">
      <c r="A2290" s="70" t="s">
        <v>55</v>
      </c>
      <c r="B2290" s="70">
        <v>1987</v>
      </c>
      <c r="C2290" s="70">
        <v>70</v>
      </c>
    </row>
    <row r="2291" spans="1:3" x14ac:dyDescent="0.35">
      <c r="A2291" s="70" t="s">
        <v>55</v>
      </c>
      <c r="B2291" s="70">
        <v>1988</v>
      </c>
      <c r="C2291" s="70">
        <v>70</v>
      </c>
    </row>
    <row r="2292" spans="1:3" x14ac:dyDescent="0.35">
      <c r="A2292" s="70" t="s">
        <v>55</v>
      </c>
      <c r="B2292" s="70">
        <v>1989</v>
      </c>
      <c r="C2292" s="70">
        <v>70</v>
      </c>
    </row>
    <row r="2293" spans="1:3" x14ac:dyDescent="0.35">
      <c r="A2293" s="70" t="s">
        <v>55</v>
      </c>
      <c r="B2293" s="70">
        <v>1990</v>
      </c>
      <c r="C2293" s="70">
        <v>70</v>
      </c>
    </row>
    <row r="2294" spans="1:3" x14ac:dyDescent="0.35">
      <c r="A2294" s="70" t="s">
        <v>55</v>
      </c>
      <c r="B2294" s="70">
        <v>1991</v>
      </c>
      <c r="C2294" s="70">
        <v>70</v>
      </c>
    </row>
    <row r="2295" spans="1:3" x14ac:dyDescent="0.35">
      <c r="A2295" s="70" t="s">
        <v>55</v>
      </c>
      <c r="B2295" s="70">
        <v>1992</v>
      </c>
      <c r="C2295" s="70">
        <v>70</v>
      </c>
    </row>
    <row r="2296" spans="1:3" x14ac:dyDescent="0.35">
      <c r="A2296" s="70" t="s">
        <v>55</v>
      </c>
      <c r="B2296" s="70">
        <v>1993</v>
      </c>
      <c r="C2296" s="70">
        <v>70</v>
      </c>
    </row>
    <row r="2297" spans="1:3" x14ac:dyDescent="0.35">
      <c r="A2297" s="70" t="s">
        <v>55</v>
      </c>
      <c r="B2297" s="70">
        <v>1994</v>
      </c>
      <c r="C2297" s="70">
        <v>70</v>
      </c>
    </row>
    <row r="2298" spans="1:3" x14ac:dyDescent="0.35">
      <c r="A2298" s="70" t="s">
        <v>55</v>
      </c>
      <c r="B2298" s="70">
        <v>1995</v>
      </c>
      <c r="C2298" s="70">
        <v>70</v>
      </c>
    </row>
    <row r="2299" spans="1:3" x14ac:dyDescent="0.35">
      <c r="A2299" s="70" t="s">
        <v>55</v>
      </c>
      <c r="B2299" s="70">
        <v>1996</v>
      </c>
      <c r="C2299" s="70">
        <v>70</v>
      </c>
    </row>
    <row r="2300" spans="1:3" x14ac:dyDescent="0.35">
      <c r="A2300" s="70" t="s">
        <v>55</v>
      </c>
      <c r="B2300" s="70">
        <v>1997</v>
      </c>
      <c r="C2300" s="70">
        <v>70</v>
      </c>
    </row>
    <row r="2301" spans="1:3" x14ac:dyDescent="0.35">
      <c r="A2301" s="70" t="s">
        <v>55</v>
      </c>
      <c r="B2301" s="70">
        <v>1998</v>
      </c>
      <c r="C2301" s="70">
        <v>70</v>
      </c>
    </row>
    <row r="2302" spans="1:3" x14ac:dyDescent="0.35">
      <c r="A2302" s="70" t="s">
        <v>55</v>
      </c>
      <c r="B2302" s="70">
        <v>1999</v>
      </c>
      <c r="C2302" s="70">
        <v>70</v>
      </c>
    </row>
    <row r="2303" spans="1:3" x14ac:dyDescent="0.35">
      <c r="A2303" s="70" t="s">
        <v>55</v>
      </c>
      <c r="B2303" s="70">
        <v>2000</v>
      </c>
      <c r="C2303" s="70">
        <v>70</v>
      </c>
    </row>
    <row r="2304" spans="1:3" x14ac:dyDescent="0.35">
      <c r="A2304" s="70" t="s">
        <v>55</v>
      </c>
      <c r="B2304" s="70">
        <v>2001</v>
      </c>
      <c r="C2304" s="70">
        <v>70</v>
      </c>
    </row>
    <row r="2305" spans="1:3" x14ac:dyDescent="0.35">
      <c r="A2305" s="70" t="s">
        <v>55</v>
      </c>
      <c r="B2305" s="70">
        <v>2002</v>
      </c>
      <c r="C2305" s="70">
        <v>70</v>
      </c>
    </row>
    <row r="2306" spans="1:3" x14ac:dyDescent="0.35">
      <c r="A2306" s="70" t="s">
        <v>55</v>
      </c>
      <c r="B2306" s="70">
        <v>2003</v>
      </c>
      <c r="C2306" s="70">
        <v>70</v>
      </c>
    </row>
    <row r="2307" spans="1:3" x14ac:dyDescent="0.35">
      <c r="A2307" s="70" t="s">
        <v>55</v>
      </c>
      <c r="B2307" s="70">
        <v>2004</v>
      </c>
      <c r="C2307" s="70">
        <v>70</v>
      </c>
    </row>
    <row r="2308" spans="1:3" x14ac:dyDescent="0.35">
      <c r="A2308" s="70" t="s">
        <v>55</v>
      </c>
      <c r="B2308" s="70">
        <v>2005</v>
      </c>
      <c r="C2308" s="70">
        <v>70</v>
      </c>
    </row>
    <row r="2309" spans="1:3" x14ac:dyDescent="0.35">
      <c r="A2309" s="70" t="s">
        <v>55</v>
      </c>
      <c r="B2309" s="70">
        <v>2006</v>
      </c>
      <c r="C2309" s="70">
        <v>70</v>
      </c>
    </row>
    <row r="2310" spans="1:3" x14ac:dyDescent="0.35">
      <c r="A2310" s="70" t="s">
        <v>55</v>
      </c>
      <c r="B2310" s="70">
        <v>2007</v>
      </c>
      <c r="C2310" s="70">
        <v>70</v>
      </c>
    </row>
    <row r="2311" spans="1:3" x14ac:dyDescent="0.35">
      <c r="A2311" s="70" t="s">
        <v>55</v>
      </c>
      <c r="B2311" s="70">
        <v>2008</v>
      </c>
      <c r="C2311" s="70">
        <v>70</v>
      </c>
    </row>
    <row r="2312" spans="1:3" x14ac:dyDescent="0.35">
      <c r="A2312" s="70" t="s">
        <v>55</v>
      </c>
      <c r="B2312" s="70">
        <v>2009</v>
      </c>
      <c r="C2312" s="70">
        <v>70</v>
      </c>
    </row>
    <row r="2313" spans="1:3" x14ac:dyDescent="0.35">
      <c r="A2313" s="70" t="s">
        <v>55</v>
      </c>
      <c r="B2313" s="70">
        <v>2010</v>
      </c>
      <c r="C2313" s="70">
        <v>70</v>
      </c>
    </row>
    <row r="2314" spans="1:3" x14ac:dyDescent="0.35">
      <c r="A2314" s="70" t="s">
        <v>55</v>
      </c>
      <c r="B2314" s="70">
        <v>2011</v>
      </c>
      <c r="C2314" s="70">
        <v>70</v>
      </c>
    </row>
    <row r="2315" spans="1:3" x14ac:dyDescent="0.35">
      <c r="A2315" s="70" t="s">
        <v>55</v>
      </c>
      <c r="B2315" s="70">
        <v>2012</v>
      </c>
      <c r="C2315" s="70">
        <v>70</v>
      </c>
    </row>
    <row r="2316" spans="1:3" x14ac:dyDescent="0.35">
      <c r="A2316" s="70" t="s">
        <v>55</v>
      </c>
      <c r="B2316" s="70">
        <v>2013</v>
      </c>
      <c r="C2316" s="70">
        <v>70</v>
      </c>
    </row>
    <row r="2317" spans="1:3" x14ac:dyDescent="0.35">
      <c r="A2317" s="70" t="s">
        <v>55</v>
      </c>
      <c r="B2317" s="70">
        <v>2014</v>
      </c>
      <c r="C2317" s="70">
        <v>70</v>
      </c>
    </row>
    <row r="2318" spans="1:3" x14ac:dyDescent="0.35">
      <c r="A2318" s="70" t="s">
        <v>55</v>
      </c>
      <c r="B2318" s="70">
        <v>2015</v>
      </c>
      <c r="C2318" s="70">
        <v>70</v>
      </c>
    </row>
    <row r="2319" spans="1:3" x14ac:dyDescent="0.35">
      <c r="A2319" s="70" t="s">
        <v>55</v>
      </c>
      <c r="B2319" s="70">
        <v>2016</v>
      </c>
      <c r="C2319" s="70">
        <v>70</v>
      </c>
    </row>
    <row r="2320" spans="1:3" x14ac:dyDescent="0.35">
      <c r="A2320" s="70" t="s">
        <v>55</v>
      </c>
      <c r="B2320" s="70">
        <v>2017</v>
      </c>
      <c r="C2320" s="70">
        <v>70</v>
      </c>
    </row>
    <row r="2321" spans="1:3" x14ac:dyDescent="0.35">
      <c r="A2321" s="70" t="s">
        <v>55</v>
      </c>
      <c r="B2321" s="70">
        <v>2018</v>
      </c>
      <c r="C2321" s="70">
        <v>70</v>
      </c>
    </row>
    <row r="2322" spans="1:3" x14ac:dyDescent="0.35">
      <c r="A2322" s="70" t="s">
        <v>55</v>
      </c>
      <c r="B2322" s="70">
        <v>2019</v>
      </c>
      <c r="C2322" s="70">
        <v>70</v>
      </c>
    </row>
    <row r="2323" spans="1:3" x14ac:dyDescent="0.35">
      <c r="A2323" s="70" t="s">
        <v>55</v>
      </c>
      <c r="B2323" s="70">
        <v>2020</v>
      </c>
      <c r="C2323" s="70">
        <v>70</v>
      </c>
    </row>
    <row r="2324" spans="1:3" x14ac:dyDescent="0.35">
      <c r="A2324" s="70" t="s">
        <v>55</v>
      </c>
      <c r="B2324" s="70">
        <v>2021</v>
      </c>
      <c r="C2324" s="70">
        <v>70</v>
      </c>
    </row>
    <row r="2325" spans="1:3" x14ac:dyDescent="0.35">
      <c r="A2325" s="70" t="s">
        <v>55</v>
      </c>
      <c r="B2325" s="70">
        <v>2022</v>
      </c>
      <c r="C2325" s="70">
        <v>70</v>
      </c>
    </row>
    <row r="2326" spans="1:3" x14ac:dyDescent="0.35">
      <c r="A2326" s="70" t="s">
        <v>245</v>
      </c>
      <c r="B2326" s="70">
        <v>2001</v>
      </c>
      <c r="C2326" s="70"/>
    </row>
    <row r="2327" spans="1:3" x14ac:dyDescent="0.35">
      <c r="A2327" s="70" t="s">
        <v>245</v>
      </c>
      <c r="B2327" s="70">
        <v>2002</v>
      </c>
      <c r="C2327" s="70"/>
    </row>
    <row r="2328" spans="1:3" x14ac:dyDescent="0.35">
      <c r="A2328" s="70" t="s">
        <v>245</v>
      </c>
      <c r="B2328" s="70">
        <v>2003</v>
      </c>
      <c r="C2328" s="70"/>
    </row>
    <row r="2329" spans="1:3" x14ac:dyDescent="0.35">
      <c r="A2329" s="70" t="s">
        <v>245</v>
      </c>
      <c r="B2329" s="70">
        <v>2004</v>
      </c>
      <c r="C2329" s="70"/>
    </row>
    <row r="2330" spans="1:3" x14ac:dyDescent="0.35">
      <c r="A2330" s="70" t="s">
        <v>245</v>
      </c>
      <c r="B2330" s="70">
        <v>2005</v>
      </c>
      <c r="C2330" s="70"/>
    </row>
    <row r="2331" spans="1:3" x14ac:dyDescent="0.35">
      <c r="A2331" s="70" t="s">
        <v>245</v>
      </c>
      <c r="B2331" s="70">
        <v>2006</v>
      </c>
      <c r="C2331" s="70"/>
    </row>
    <row r="2332" spans="1:3" x14ac:dyDescent="0.35">
      <c r="A2332" s="70" t="s">
        <v>245</v>
      </c>
      <c r="B2332" s="70">
        <v>2007</v>
      </c>
      <c r="C2332" s="70"/>
    </row>
    <row r="2333" spans="1:3" x14ac:dyDescent="0.35">
      <c r="A2333" s="70" t="s">
        <v>245</v>
      </c>
      <c r="B2333" s="70">
        <v>2008</v>
      </c>
      <c r="C2333" s="70"/>
    </row>
    <row r="2334" spans="1:3" x14ac:dyDescent="0.35">
      <c r="A2334" s="70" t="s">
        <v>245</v>
      </c>
      <c r="B2334" s="70">
        <v>2009</v>
      </c>
      <c r="C2334" s="70"/>
    </row>
    <row r="2335" spans="1:3" x14ac:dyDescent="0.35">
      <c r="A2335" s="70" t="s">
        <v>245</v>
      </c>
      <c r="B2335" s="70">
        <v>2010</v>
      </c>
      <c r="C2335" s="70"/>
    </row>
    <row r="2336" spans="1:3" x14ac:dyDescent="0.35">
      <c r="A2336" s="70" t="s">
        <v>245</v>
      </c>
      <c r="B2336" s="70">
        <v>2011</v>
      </c>
      <c r="C2336" s="70"/>
    </row>
    <row r="2337" spans="1:3" x14ac:dyDescent="0.35">
      <c r="A2337" s="70" t="s">
        <v>245</v>
      </c>
      <c r="B2337" s="70">
        <v>2012</v>
      </c>
      <c r="C2337" s="70"/>
    </row>
    <row r="2338" spans="1:3" x14ac:dyDescent="0.35">
      <c r="A2338" s="70" t="s">
        <v>245</v>
      </c>
      <c r="B2338" s="70">
        <v>2013</v>
      </c>
      <c r="C2338" s="70"/>
    </row>
    <row r="2339" spans="1:3" x14ac:dyDescent="0.35">
      <c r="A2339" s="70" t="s">
        <v>245</v>
      </c>
      <c r="B2339" s="70">
        <v>2014</v>
      </c>
      <c r="C2339" s="70"/>
    </row>
    <row r="2340" spans="1:3" x14ac:dyDescent="0.35">
      <c r="A2340" s="70" t="s">
        <v>245</v>
      </c>
      <c r="B2340" s="70">
        <v>2015</v>
      </c>
      <c r="C2340" s="70"/>
    </row>
    <row r="2341" spans="1:3" x14ac:dyDescent="0.35">
      <c r="A2341" s="70" t="s">
        <v>245</v>
      </c>
      <c r="B2341" s="70">
        <v>2016</v>
      </c>
      <c r="C2341" s="70"/>
    </row>
    <row r="2342" spans="1:3" x14ac:dyDescent="0.35">
      <c r="A2342" s="70" t="s">
        <v>245</v>
      </c>
      <c r="B2342" s="70">
        <v>2017</v>
      </c>
      <c r="C2342" s="70"/>
    </row>
    <row r="2343" spans="1:3" x14ac:dyDescent="0.35">
      <c r="A2343" s="70" t="s">
        <v>245</v>
      </c>
      <c r="B2343" s="70">
        <v>2018</v>
      </c>
      <c r="C2343" s="70"/>
    </row>
    <row r="2344" spans="1:3" x14ac:dyDescent="0.35">
      <c r="A2344" s="70" t="s">
        <v>246</v>
      </c>
      <c r="B2344" s="70">
        <v>1980</v>
      </c>
      <c r="C2344" s="70"/>
    </row>
    <row r="2345" spans="1:3" x14ac:dyDescent="0.35">
      <c r="A2345" s="70" t="s">
        <v>246</v>
      </c>
      <c r="B2345" s="70">
        <v>1981</v>
      </c>
      <c r="C2345" s="70"/>
    </row>
    <row r="2346" spans="1:3" x14ac:dyDescent="0.35">
      <c r="A2346" s="70" t="s">
        <v>246</v>
      </c>
      <c r="B2346" s="70">
        <v>1982</v>
      </c>
      <c r="C2346" s="70"/>
    </row>
    <row r="2347" spans="1:3" x14ac:dyDescent="0.35">
      <c r="A2347" s="70" t="s">
        <v>246</v>
      </c>
      <c r="B2347" s="70">
        <v>1983</v>
      </c>
      <c r="C2347" s="70"/>
    </row>
    <row r="2348" spans="1:3" x14ac:dyDescent="0.35">
      <c r="A2348" s="70" t="s">
        <v>246</v>
      </c>
      <c r="B2348" s="70">
        <v>1984</v>
      </c>
      <c r="C2348" s="70"/>
    </row>
    <row r="2349" spans="1:3" x14ac:dyDescent="0.35">
      <c r="A2349" s="70" t="s">
        <v>246</v>
      </c>
      <c r="B2349" s="70">
        <v>1985</v>
      </c>
      <c r="C2349" s="70"/>
    </row>
    <row r="2350" spans="1:3" x14ac:dyDescent="0.35">
      <c r="A2350" s="70" t="s">
        <v>246</v>
      </c>
      <c r="B2350" s="70">
        <v>1986</v>
      </c>
      <c r="C2350" s="70"/>
    </row>
    <row r="2351" spans="1:3" x14ac:dyDescent="0.35">
      <c r="A2351" s="70" t="s">
        <v>246</v>
      </c>
      <c r="B2351" s="70">
        <v>1987</v>
      </c>
      <c r="C2351" s="70"/>
    </row>
    <row r="2352" spans="1:3" x14ac:dyDescent="0.35">
      <c r="A2352" s="70" t="s">
        <v>246</v>
      </c>
      <c r="B2352" s="70">
        <v>1988</v>
      </c>
      <c r="C2352" s="70"/>
    </row>
    <row r="2353" spans="1:3" x14ac:dyDescent="0.35">
      <c r="A2353" s="70" t="s">
        <v>246</v>
      </c>
      <c r="B2353" s="70">
        <v>1989</v>
      </c>
      <c r="C2353" s="70"/>
    </row>
    <row r="2354" spans="1:3" x14ac:dyDescent="0.35">
      <c r="A2354" s="70" t="s">
        <v>246</v>
      </c>
      <c r="B2354" s="70">
        <v>1990</v>
      </c>
      <c r="C2354" s="70"/>
    </row>
    <row r="2355" spans="1:3" x14ac:dyDescent="0.35">
      <c r="A2355" s="70" t="s">
        <v>246</v>
      </c>
      <c r="B2355" s="70">
        <v>1991</v>
      </c>
      <c r="C2355" s="70"/>
    </row>
    <row r="2356" spans="1:3" x14ac:dyDescent="0.35">
      <c r="A2356" s="70" t="s">
        <v>246</v>
      </c>
      <c r="B2356" s="70">
        <v>1992</v>
      </c>
      <c r="C2356" s="70"/>
    </row>
    <row r="2357" spans="1:3" x14ac:dyDescent="0.35">
      <c r="A2357" s="70" t="s">
        <v>246</v>
      </c>
      <c r="B2357" s="70">
        <v>1993</v>
      </c>
      <c r="C2357" s="70"/>
    </row>
    <row r="2358" spans="1:3" x14ac:dyDescent="0.35">
      <c r="A2358" s="70" t="s">
        <v>246</v>
      </c>
      <c r="B2358" s="70">
        <v>1994</v>
      </c>
      <c r="C2358" s="70"/>
    </row>
    <row r="2359" spans="1:3" x14ac:dyDescent="0.35">
      <c r="A2359" s="70" t="s">
        <v>246</v>
      </c>
      <c r="B2359" s="70">
        <v>1995</v>
      </c>
      <c r="C2359" s="70"/>
    </row>
    <row r="2360" spans="1:3" x14ac:dyDescent="0.35">
      <c r="A2360" s="70" t="s">
        <v>246</v>
      </c>
      <c r="B2360" s="70">
        <v>1996</v>
      </c>
      <c r="C2360" s="70"/>
    </row>
    <row r="2361" spans="1:3" x14ac:dyDescent="0.35">
      <c r="A2361" s="70" t="s">
        <v>246</v>
      </c>
      <c r="B2361" s="70">
        <v>1997</v>
      </c>
      <c r="C2361" s="70"/>
    </row>
    <row r="2362" spans="1:3" x14ac:dyDescent="0.35">
      <c r="A2362" s="70" t="s">
        <v>246</v>
      </c>
      <c r="B2362" s="70">
        <v>1998</v>
      </c>
      <c r="C2362" s="70"/>
    </row>
    <row r="2363" spans="1:3" x14ac:dyDescent="0.35">
      <c r="A2363" s="70" t="s">
        <v>246</v>
      </c>
      <c r="B2363" s="70">
        <v>1999</v>
      </c>
      <c r="C2363" s="70"/>
    </row>
    <row r="2364" spans="1:3" x14ac:dyDescent="0.35">
      <c r="A2364" s="70" t="s">
        <v>246</v>
      </c>
      <c r="B2364" s="70">
        <v>2000</v>
      </c>
      <c r="C2364" s="70"/>
    </row>
    <row r="2365" spans="1:3" x14ac:dyDescent="0.35">
      <c r="A2365" s="70" t="s">
        <v>246</v>
      </c>
      <c r="B2365" s="70">
        <v>2001</v>
      </c>
      <c r="C2365" s="70"/>
    </row>
    <row r="2366" spans="1:3" x14ac:dyDescent="0.35">
      <c r="A2366" s="70" t="s">
        <v>246</v>
      </c>
      <c r="B2366" s="70">
        <v>2002</v>
      </c>
      <c r="C2366" s="70"/>
    </row>
    <row r="2367" spans="1:3" x14ac:dyDescent="0.35">
      <c r="A2367" s="70" t="s">
        <v>246</v>
      </c>
      <c r="B2367" s="70">
        <v>2003</v>
      </c>
      <c r="C2367" s="70"/>
    </row>
    <row r="2368" spans="1:3" x14ac:dyDescent="0.35">
      <c r="A2368" s="70" t="s">
        <v>246</v>
      </c>
      <c r="B2368" s="70">
        <v>2004</v>
      </c>
      <c r="C2368" s="70"/>
    </row>
    <row r="2369" spans="1:3" x14ac:dyDescent="0.35">
      <c r="A2369" s="70" t="s">
        <v>246</v>
      </c>
      <c r="B2369" s="70">
        <v>2005</v>
      </c>
      <c r="C2369" s="70"/>
    </row>
    <row r="2370" spans="1:3" x14ac:dyDescent="0.35">
      <c r="A2370" s="70" t="s">
        <v>246</v>
      </c>
      <c r="B2370" s="70">
        <v>2006</v>
      </c>
      <c r="C2370" s="70"/>
    </row>
    <row r="2371" spans="1:3" x14ac:dyDescent="0.35">
      <c r="A2371" s="70" t="s">
        <v>246</v>
      </c>
      <c r="B2371" s="70">
        <v>2007</v>
      </c>
      <c r="C2371" s="70"/>
    </row>
    <row r="2372" spans="1:3" x14ac:dyDescent="0.35">
      <c r="A2372" s="70" t="s">
        <v>246</v>
      </c>
      <c r="B2372" s="70">
        <v>2008</v>
      </c>
      <c r="C2372" s="70"/>
    </row>
    <row r="2373" spans="1:3" x14ac:dyDescent="0.35">
      <c r="A2373" s="70" t="s">
        <v>246</v>
      </c>
      <c r="B2373" s="70">
        <v>2009</v>
      </c>
      <c r="C2373" s="70"/>
    </row>
    <row r="2374" spans="1:3" x14ac:dyDescent="0.35">
      <c r="A2374" s="70" t="s">
        <v>246</v>
      </c>
      <c r="B2374" s="70">
        <v>2010</v>
      </c>
      <c r="C2374" s="70"/>
    </row>
    <row r="2375" spans="1:3" x14ac:dyDescent="0.35">
      <c r="A2375" s="70" t="s">
        <v>246</v>
      </c>
      <c r="B2375" s="70">
        <v>2011</v>
      </c>
      <c r="C2375" s="70"/>
    </row>
    <row r="2376" spans="1:3" x14ac:dyDescent="0.35">
      <c r="A2376" s="70" t="s">
        <v>246</v>
      </c>
      <c r="B2376" s="70">
        <v>2012</v>
      </c>
      <c r="C2376" s="70"/>
    </row>
    <row r="2377" spans="1:3" x14ac:dyDescent="0.35">
      <c r="A2377" s="70" t="s">
        <v>246</v>
      </c>
      <c r="B2377" s="70">
        <v>2013</v>
      </c>
      <c r="C2377" s="70"/>
    </row>
    <row r="2378" spans="1:3" x14ac:dyDescent="0.35">
      <c r="A2378" s="70" t="s">
        <v>246</v>
      </c>
      <c r="B2378" s="70">
        <v>2014</v>
      </c>
      <c r="C2378" s="70"/>
    </row>
    <row r="2379" spans="1:3" x14ac:dyDescent="0.35">
      <c r="A2379" s="70" t="s">
        <v>246</v>
      </c>
      <c r="B2379" s="70">
        <v>2015</v>
      </c>
      <c r="C2379" s="70"/>
    </row>
    <row r="2380" spans="1:3" x14ac:dyDescent="0.35">
      <c r="A2380" s="70" t="s">
        <v>246</v>
      </c>
      <c r="B2380" s="70">
        <v>2016</v>
      </c>
      <c r="C2380" s="70"/>
    </row>
    <row r="2381" spans="1:3" x14ac:dyDescent="0.35">
      <c r="A2381" s="70" t="s">
        <v>246</v>
      </c>
      <c r="B2381" s="70">
        <v>2017</v>
      </c>
      <c r="C2381" s="70"/>
    </row>
    <row r="2382" spans="1:3" x14ac:dyDescent="0.35">
      <c r="A2382" s="70" t="s">
        <v>246</v>
      </c>
      <c r="B2382" s="70">
        <v>2018</v>
      </c>
      <c r="C2382" s="70"/>
    </row>
    <row r="2383" spans="1:3" x14ac:dyDescent="0.35">
      <c r="A2383" s="70" t="s">
        <v>247</v>
      </c>
      <c r="B2383" s="70">
        <v>1980</v>
      </c>
      <c r="C2383" s="70"/>
    </row>
    <row r="2384" spans="1:3" x14ac:dyDescent="0.35">
      <c r="A2384" s="70" t="s">
        <v>247</v>
      </c>
      <c r="B2384" s="70">
        <v>1981</v>
      </c>
      <c r="C2384" s="70"/>
    </row>
    <row r="2385" spans="1:3" x14ac:dyDescent="0.35">
      <c r="A2385" s="70" t="s">
        <v>247</v>
      </c>
      <c r="B2385" s="70">
        <v>1982</v>
      </c>
      <c r="C2385" s="70"/>
    </row>
    <row r="2386" spans="1:3" x14ac:dyDescent="0.35">
      <c r="A2386" s="70" t="s">
        <v>247</v>
      </c>
      <c r="B2386" s="70">
        <v>1983</v>
      </c>
      <c r="C2386" s="70"/>
    </row>
    <row r="2387" spans="1:3" x14ac:dyDescent="0.35">
      <c r="A2387" s="70" t="s">
        <v>247</v>
      </c>
      <c r="B2387" s="70">
        <v>1984</v>
      </c>
      <c r="C2387" s="70"/>
    </row>
    <row r="2388" spans="1:3" x14ac:dyDescent="0.35">
      <c r="A2388" s="70" t="s">
        <v>247</v>
      </c>
      <c r="B2388" s="70">
        <v>1985</v>
      </c>
      <c r="C2388" s="70"/>
    </row>
    <row r="2389" spans="1:3" x14ac:dyDescent="0.35">
      <c r="A2389" s="70" t="s">
        <v>247</v>
      </c>
      <c r="B2389" s="70">
        <v>1986</v>
      </c>
      <c r="C2389" s="70"/>
    </row>
    <row r="2390" spans="1:3" x14ac:dyDescent="0.35">
      <c r="A2390" s="70" t="s">
        <v>247</v>
      </c>
      <c r="B2390" s="70">
        <v>1987</v>
      </c>
      <c r="C2390" s="70"/>
    </row>
    <row r="2391" spans="1:3" x14ac:dyDescent="0.35">
      <c r="A2391" s="70" t="s">
        <v>247</v>
      </c>
      <c r="B2391" s="70">
        <v>1988</v>
      </c>
      <c r="C2391" s="70"/>
    </row>
    <row r="2392" spans="1:3" x14ac:dyDescent="0.35">
      <c r="A2392" s="70" t="s">
        <v>247</v>
      </c>
      <c r="B2392" s="70">
        <v>1989</v>
      </c>
      <c r="C2392" s="70"/>
    </row>
    <row r="2393" spans="1:3" x14ac:dyDescent="0.35">
      <c r="A2393" s="70" t="s">
        <v>247</v>
      </c>
      <c r="B2393" s="70">
        <v>1990</v>
      </c>
      <c r="C2393" s="70"/>
    </row>
    <row r="2394" spans="1:3" x14ac:dyDescent="0.35">
      <c r="A2394" s="70" t="s">
        <v>247</v>
      </c>
      <c r="B2394" s="70">
        <v>1991</v>
      </c>
      <c r="C2394" s="70"/>
    </row>
    <row r="2395" spans="1:3" x14ac:dyDescent="0.35">
      <c r="A2395" s="70" t="s">
        <v>247</v>
      </c>
      <c r="B2395" s="70">
        <v>1992</v>
      </c>
      <c r="C2395" s="70"/>
    </row>
    <row r="2396" spans="1:3" x14ac:dyDescent="0.35">
      <c r="A2396" s="70" t="s">
        <v>247</v>
      </c>
      <c r="B2396" s="70">
        <v>1993</v>
      </c>
      <c r="C2396" s="70"/>
    </row>
    <row r="2397" spans="1:3" x14ac:dyDescent="0.35">
      <c r="A2397" s="70" t="s">
        <v>247</v>
      </c>
      <c r="B2397" s="70">
        <v>1994</v>
      </c>
      <c r="C2397" s="70"/>
    </row>
    <row r="2398" spans="1:3" x14ac:dyDescent="0.35">
      <c r="A2398" s="70" t="s">
        <v>247</v>
      </c>
      <c r="B2398" s="70">
        <v>1995</v>
      </c>
      <c r="C2398" s="70"/>
    </row>
    <row r="2399" spans="1:3" x14ac:dyDescent="0.35">
      <c r="A2399" s="70" t="s">
        <v>247</v>
      </c>
      <c r="B2399" s="70">
        <v>1996</v>
      </c>
      <c r="C2399" s="70"/>
    </row>
    <row r="2400" spans="1:3" x14ac:dyDescent="0.35">
      <c r="A2400" s="70" t="s">
        <v>247</v>
      </c>
      <c r="B2400" s="70">
        <v>1997</v>
      </c>
      <c r="C2400" s="70"/>
    </row>
    <row r="2401" spans="1:3" x14ac:dyDescent="0.35">
      <c r="A2401" s="70" t="s">
        <v>247</v>
      </c>
      <c r="B2401" s="70">
        <v>1998</v>
      </c>
      <c r="C2401" s="70"/>
    </row>
    <row r="2402" spans="1:3" x14ac:dyDescent="0.35">
      <c r="A2402" s="70" t="s">
        <v>247</v>
      </c>
      <c r="B2402" s="70">
        <v>1999</v>
      </c>
      <c r="C2402" s="70"/>
    </row>
    <row r="2403" spans="1:3" x14ac:dyDescent="0.35">
      <c r="A2403" s="70" t="s">
        <v>247</v>
      </c>
      <c r="B2403" s="70">
        <v>2000</v>
      </c>
      <c r="C2403" s="70"/>
    </row>
    <row r="2404" spans="1:3" x14ac:dyDescent="0.35">
      <c r="A2404" s="70" t="s">
        <v>247</v>
      </c>
      <c r="B2404" s="70">
        <v>2001</v>
      </c>
      <c r="C2404" s="70"/>
    </row>
    <row r="2405" spans="1:3" x14ac:dyDescent="0.35">
      <c r="A2405" s="70" t="s">
        <v>247</v>
      </c>
      <c r="B2405" s="70">
        <v>2002</v>
      </c>
      <c r="C2405" s="70"/>
    </row>
    <row r="2406" spans="1:3" x14ac:dyDescent="0.35">
      <c r="A2406" s="70" t="s">
        <v>247</v>
      </c>
      <c r="B2406" s="70">
        <v>2003</v>
      </c>
      <c r="C2406" s="70"/>
    </row>
    <row r="2407" spans="1:3" x14ac:dyDescent="0.35">
      <c r="A2407" s="70" t="s">
        <v>247</v>
      </c>
      <c r="B2407" s="70">
        <v>2004</v>
      </c>
      <c r="C2407" s="70"/>
    </row>
    <row r="2408" spans="1:3" x14ac:dyDescent="0.35">
      <c r="A2408" s="70" t="s">
        <v>247</v>
      </c>
      <c r="B2408" s="70">
        <v>2005</v>
      </c>
      <c r="C2408" s="70"/>
    </row>
    <row r="2409" spans="1:3" x14ac:dyDescent="0.35">
      <c r="A2409" s="70" t="s">
        <v>247</v>
      </c>
      <c r="B2409" s="70">
        <v>2006</v>
      </c>
      <c r="C2409" s="70"/>
    </row>
    <row r="2410" spans="1:3" x14ac:dyDescent="0.35">
      <c r="A2410" s="70" t="s">
        <v>247</v>
      </c>
      <c r="B2410" s="70">
        <v>2007</v>
      </c>
      <c r="C2410" s="70"/>
    </row>
    <row r="2411" spans="1:3" x14ac:dyDescent="0.35">
      <c r="A2411" s="70" t="s">
        <v>247</v>
      </c>
      <c r="B2411" s="70">
        <v>2008</v>
      </c>
      <c r="C2411" s="70"/>
    </row>
    <row r="2412" spans="1:3" x14ac:dyDescent="0.35">
      <c r="A2412" s="70" t="s">
        <v>247</v>
      </c>
      <c r="B2412" s="70">
        <v>2009</v>
      </c>
      <c r="C2412" s="70"/>
    </row>
    <row r="2413" spans="1:3" x14ac:dyDescent="0.35">
      <c r="A2413" s="70" t="s">
        <v>247</v>
      </c>
      <c r="B2413" s="70">
        <v>2010</v>
      </c>
      <c r="C2413" s="70"/>
    </row>
    <row r="2414" spans="1:3" x14ac:dyDescent="0.35">
      <c r="A2414" s="70" t="s">
        <v>247</v>
      </c>
      <c r="B2414" s="70">
        <v>2011</v>
      </c>
      <c r="C2414" s="70"/>
    </row>
    <row r="2415" spans="1:3" x14ac:dyDescent="0.35">
      <c r="A2415" s="70" t="s">
        <v>247</v>
      </c>
      <c r="B2415" s="70">
        <v>2012</v>
      </c>
      <c r="C2415" s="70"/>
    </row>
    <row r="2416" spans="1:3" x14ac:dyDescent="0.35">
      <c r="A2416" s="70" t="s">
        <v>247</v>
      </c>
      <c r="B2416" s="70">
        <v>2013</v>
      </c>
      <c r="C2416" s="70"/>
    </row>
    <row r="2417" spans="1:3" x14ac:dyDescent="0.35">
      <c r="A2417" s="70" t="s">
        <v>247</v>
      </c>
      <c r="B2417" s="70">
        <v>2014</v>
      </c>
      <c r="C2417" s="70"/>
    </row>
    <row r="2418" spans="1:3" x14ac:dyDescent="0.35">
      <c r="A2418" s="70" t="s">
        <v>247</v>
      </c>
      <c r="B2418" s="70">
        <v>2015</v>
      </c>
      <c r="C2418" s="70"/>
    </row>
    <row r="2419" spans="1:3" x14ac:dyDescent="0.35">
      <c r="A2419" s="70" t="s">
        <v>247</v>
      </c>
      <c r="B2419" s="70">
        <v>2016</v>
      </c>
      <c r="C2419" s="70"/>
    </row>
    <row r="2420" spans="1:3" x14ac:dyDescent="0.35">
      <c r="A2420" s="70" t="s">
        <v>247</v>
      </c>
      <c r="B2420" s="70">
        <v>2017</v>
      </c>
      <c r="C2420" s="70"/>
    </row>
    <row r="2421" spans="1:3" x14ac:dyDescent="0.35">
      <c r="A2421" s="70" t="s">
        <v>247</v>
      </c>
      <c r="B2421" s="70">
        <v>2018</v>
      </c>
      <c r="C2421" s="70"/>
    </row>
    <row r="2422" spans="1:3" x14ac:dyDescent="0.35">
      <c r="A2422" s="70" t="s">
        <v>248</v>
      </c>
      <c r="B2422" s="70">
        <v>1980</v>
      </c>
      <c r="C2422" s="70"/>
    </row>
    <row r="2423" spans="1:3" x14ac:dyDescent="0.35">
      <c r="A2423" s="70" t="s">
        <v>248</v>
      </c>
      <c r="B2423" s="70">
        <v>1981</v>
      </c>
      <c r="C2423" s="70"/>
    </row>
    <row r="2424" spans="1:3" x14ac:dyDescent="0.35">
      <c r="A2424" s="70" t="s">
        <v>248</v>
      </c>
      <c r="B2424" s="70">
        <v>1982</v>
      </c>
      <c r="C2424" s="70"/>
    </row>
    <row r="2425" spans="1:3" x14ac:dyDescent="0.35">
      <c r="A2425" s="70" t="s">
        <v>248</v>
      </c>
      <c r="B2425" s="70">
        <v>1983</v>
      </c>
      <c r="C2425" s="70"/>
    </row>
    <row r="2426" spans="1:3" x14ac:dyDescent="0.35">
      <c r="A2426" s="70" t="s">
        <v>248</v>
      </c>
      <c r="B2426" s="70">
        <v>1984</v>
      </c>
      <c r="C2426" s="70"/>
    </row>
    <row r="2427" spans="1:3" x14ac:dyDescent="0.35">
      <c r="A2427" s="70" t="s">
        <v>248</v>
      </c>
      <c r="B2427" s="70">
        <v>1985</v>
      </c>
      <c r="C2427" s="70"/>
    </row>
    <row r="2428" spans="1:3" x14ac:dyDescent="0.35">
      <c r="A2428" s="70" t="s">
        <v>248</v>
      </c>
      <c r="B2428" s="70">
        <v>1986</v>
      </c>
      <c r="C2428" s="70"/>
    </row>
    <row r="2429" spans="1:3" x14ac:dyDescent="0.35">
      <c r="A2429" s="70" t="s">
        <v>248</v>
      </c>
      <c r="B2429" s="70">
        <v>1987</v>
      </c>
      <c r="C2429" s="70"/>
    </row>
    <row r="2430" spans="1:3" x14ac:dyDescent="0.35">
      <c r="A2430" s="70" t="s">
        <v>248</v>
      </c>
      <c r="B2430" s="70">
        <v>1988</v>
      </c>
      <c r="C2430" s="70"/>
    </row>
    <row r="2431" spans="1:3" x14ac:dyDescent="0.35">
      <c r="A2431" s="70" t="s">
        <v>248</v>
      </c>
      <c r="B2431" s="70">
        <v>1989</v>
      </c>
      <c r="C2431" s="70"/>
    </row>
    <row r="2432" spans="1:3" x14ac:dyDescent="0.35">
      <c r="A2432" s="70" t="s">
        <v>248</v>
      </c>
      <c r="B2432" s="70">
        <v>1990</v>
      </c>
      <c r="C2432" s="70"/>
    </row>
    <row r="2433" spans="1:3" x14ac:dyDescent="0.35">
      <c r="A2433" s="70" t="s">
        <v>248</v>
      </c>
      <c r="B2433" s="70">
        <v>1991</v>
      </c>
      <c r="C2433" s="70"/>
    </row>
    <row r="2434" spans="1:3" x14ac:dyDescent="0.35">
      <c r="A2434" s="70" t="s">
        <v>248</v>
      </c>
      <c r="B2434" s="70">
        <v>1992</v>
      </c>
      <c r="C2434" s="70"/>
    </row>
    <row r="2435" spans="1:3" x14ac:dyDescent="0.35">
      <c r="A2435" s="70" t="s">
        <v>248</v>
      </c>
      <c r="B2435" s="70">
        <v>1993</v>
      </c>
      <c r="C2435" s="70"/>
    </row>
    <row r="2436" spans="1:3" x14ac:dyDescent="0.35">
      <c r="A2436" s="70" t="s">
        <v>248</v>
      </c>
      <c r="B2436" s="70">
        <v>1994</v>
      </c>
      <c r="C2436" s="70"/>
    </row>
    <row r="2437" spans="1:3" x14ac:dyDescent="0.35">
      <c r="A2437" s="70" t="s">
        <v>248</v>
      </c>
      <c r="B2437" s="70">
        <v>1995</v>
      </c>
      <c r="C2437" s="70"/>
    </row>
    <row r="2438" spans="1:3" x14ac:dyDescent="0.35">
      <c r="A2438" s="70" t="s">
        <v>248</v>
      </c>
      <c r="B2438" s="70">
        <v>1996</v>
      </c>
      <c r="C2438" s="70"/>
    </row>
    <row r="2439" spans="1:3" x14ac:dyDescent="0.35">
      <c r="A2439" s="70" t="s">
        <v>248</v>
      </c>
      <c r="B2439" s="70">
        <v>1997</v>
      </c>
      <c r="C2439" s="70"/>
    </row>
    <row r="2440" spans="1:3" x14ac:dyDescent="0.35">
      <c r="A2440" s="70" t="s">
        <v>248</v>
      </c>
      <c r="B2440" s="70">
        <v>1998</v>
      </c>
      <c r="C2440" s="70"/>
    </row>
    <row r="2441" spans="1:3" x14ac:dyDescent="0.35">
      <c r="A2441" s="70" t="s">
        <v>248</v>
      </c>
      <c r="B2441" s="70">
        <v>1999</v>
      </c>
      <c r="C2441" s="70"/>
    </row>
    <row r="2442" spans="1:3" x14ac:dyDescent="0.35">
      <c r="A2442" s="70" t="s">
        <v>248</v>
      </c>
      <c r="B2442" s="70">
        <v>2000</v>
      </c>
      <c r="C2442" s="70"/>
    </row>
    <row r="2443" spans="1:3" x14ac:dyDescent="0.35">
      <c r="A2443" s="70" t="s">
        <v>248</v>
      </c>
      <c r="B2443" s="70">
        <v>2001</v>
      </c>
      <c r="C2443" s="70"/>
    </row>
    <row r="2444" spans="1:3" x14ac:dyDescent="0.35">
      <c r="A2444" s="70" t="s">
        <v>248</v>
      </c>
      <c r="B2444" s="70">
        <v>2002</v>
      </c>
      <c r="C2444" s="70"/>
    </row>
    <row r="2445" spans="1:3" x14ac:dyDescent="0.35">
      <c r="A2445" s="70" t="s">
        <v>248</v>
      </c>
      <c r="B2445" s="70">
        <v>2003</v>
      </c>
      <c r="C2445" s="70"/>
    </row>
    <row r="2446" spans="1:3" x14ac:dyDescent="0.35">
      <c r="A2446" s="70" t="s">
        <v>248</v>
      </c>
      <c r="B2446" s="70">
        <v>2004</v>
      </c>
      <c r="C2446" s="70"/>
    </row>
    <row r="2447" spans="1:3" x14ac:dyDescent="0.35">
      <c r="A2447" s="70" t="s">
        <v>248</v>
      </c>
      <c r="B2447" s="70">
        <v>2005</v>
      </c>
      <c r="C2447" s="70"/>
    </row>
    <row r="2448" spans="1:3" x14ac:dyDescent="0.35">
      <c r="A2448" s="70" t="s">
        <v>248</v>
      </c>
      <c r="B2448" s="70">
        <v>2006</v>
      </c>
      <c r="C2448" s="70"/>
    </row>
    <row r="2449" spans="1:3" x14ac:dyDescent="0.35">
      <c r="A2449" s="70" t="s">
        <v>248</v>
      </c>
      <c r="B2449" s="70">
        <v>2007</v>
      </c>
      <c r="C2449" s="70"/>
    </row>
    <row r="2450" spans="1:3" x14ac:dyDescent="0.35">
      <c r="A2450" s="70" t="s">
        <v>248</v>
      </c>
      <c r="B2450" s="70">
        <v>2008</v>
      </c>
      <c r="C2450" s="70"/>
    </row>
    <row r="2451" spans="1:3" x14ac:dyDescent="0.35">
      <c r="A2451" s="70" t="s">
        <v>248</v>
      </c>
      <c r="B2451" s="70">
        <v>2009</v>
      </c>
      <c r="C2451" s="70"/>
    </row>
    <row r="2452" spans="1:3" x14ac:dyDescent="0.35">
      <c r="A2452" s="70" t="s">
        <v>248</v>
      </c>
      <c r="B2452" s="70">
        <v>2010</v>
      </c>
      <c r="C2452" s="70"/>
    </row>
    <row r="2453" spans="1:3" x14ac:dyDescent="0.35">
      <c r="A2453" s="70" t="s">
        <v>248</v>
      </c>
      <c r="B2453" s="70">
        <v>2011</v>
      </c>
      <c r="C2453" s="70"/>
    </row>
    <row r="2454" spans="1:3" x14ac:dyDescent="0.35">
      <c r="A2454" s="70" t="s">
        <v>248</v>
      </c>
      <c r="B2454" s="70">
        <v>2012</v>
      </c>
      <c r="C2454" s="70"/>
    </row>
    <row r="2455" spans="1:3" x14ac:dyDescent="0.35">
      <c r="A2455" s="70" t="s">
        <v>248</v>
      </c>
      <c r="B2455" s="70">
        <v>2013</v>
      </c>
      <c r="C2455" s="70"/>
    </row>
    <row r="2456" spans="1:3" x14ac:dyDescent="0.35">
      <c r="A2456" s="70" t="s">
        <v>248</v>
      </c>
      <c r="B2456" s="70">
        <v>2014</v>
      </c>
      <c r="C2456" s="70"/>
    </row>
    <row r="2457" spans="1:3" x14ac:dyDescent="0.35">
      <c r="A2457" s="70" t="s">
        <v>248</v>
      </c>
      <c r="B2457" s="70">
        <v>2015</v>
      </c>
      <c r="C2457" s="70"/>
    </row>
    <row r="2458" spans="1:3" x14ac:dyDescent="0.35">
      <c r="A2458" s="70" t="s">
        <v>248</v>
      </c>
      <c r="B2458" s="70">
        <v>2016</v>
      </c>
      <c r="C2458" s="70"/>
    </row>
    <row r="2459" spans="1:3" x14ac:dyDescent="0.35">
      <c r="A2459" s="70" t="s">
        <v>248</v>
      </c>
      <c r="B2459" s="70">
        <v>2017</v>
      </c>
      <c r="C2459" s="70"/>
    </row>
    <row r="2460" spans="1:3" x14ac:dyDescent="0.35">
      <c r="A2460" s="70" t="s">
        <v>248</v>
      </c>
      <c r="B2460" s="70">
        <v>2018</v>
      </c>
      <c r="C2460" s="70"/>
    </row>
    <row r="2461" spans="1:3" x14ac:dyDescent="0.35">
      <c r="A2461" s="70" t="s">
        <v>249</v>
      </c>
      <c r="B2461" s="70">
        <v>1980</v>
      </c>
      <c r="C2461" s="70"/>
    </row>
    <row r="2462" spans="1:3" x14ac:dyDescent="0.35">
      <c r="A2462" s="70" t="s">
        <v>249</v>
      </c>
      <c r="B2462" s="70">
        <v>1981</v>
      </c>
      <c r="C2462" s="70"/>
    </row>
    <row r="2463" spans="1:3" x14ac:dyDescent="0.35">
      <c r="A2463" s="70" t="s">
        <v>249</v>
      </c>
      <c r="B2463" s="70">
        <v>1982</v>
      </c>
      <c r="C2463" s="70"/>
    </row>
    <row r="2464" spans="1:3" x14ac:dyDescent="0.35">
      <c r="A2464" s="70" t="s">
        <v>249</v>
      </c>
      <c r="B2464" s="70">
        <v>1983</v>
      </c>
      <c r="C2464" s="70"/>
    </row>
    <row r="2465" spans="1:3" x14ac:dyDescent="0.35">
      <c r="A2465" s="70" t="s">
        <v>249</v>
      </c>
      <c r="B2465" s="70">
        <v>1984</v>
      </c>
      <c r="C2465" s="70"/>
    </row>
    <row r="2466" spans="1:3" x14ac:dyDescent="0.35">
      <c r="A2466" s="70" t="s">
        <v>249</v>
      </c>
      <c r="B2466" s="70">
        <v>1985</v>
      </c>
      <c r="C2466" s="70"/>
    </row>
    <row r="2467" spans="1:3" x14ac:dyDescent="0.35">
      <c r="A2467" s="70" t="s">
        <v>249</v>
      </c>
      <c r="B2467" s="70">
        <v>1986</v>
      </c>
      <c r="C2467" s="70"/>
    </row>
    <row r="2468" spans="1:3" x14ac:dyDescent="0.35">
      <c r="A2468" s="70" t="s">
        <v>249</v>
      </c>
      <c r="B2468" s="70">
        <v>1987</v>
      </c>
      <c r="C2468" s="70"/>
    </row>
    <row r="2469" spans="1:3" x14ac:dyDescent="0.35">
      <c r="A2469" s="70" t="s">
        <v>249</v>
      </c>
      <c r="B2469" s="70">
        <v>1988</v>
      </c>
      <c r="C2469" s="70"/>
    </row>
    <row r="2470" spans="1:3" x14ac:dyDescent="0.35">
      <c r="A2470" s="70" t="s">
        <v>249</v>
      </c>
      <c r="B2470" s="70">
        <v>1989</v>
      </c>
      <c r="C2470" s="70"/>
    </row>
    <row r="2471" spans="1:3" x14ac:dyDescent="0.35">
      <c r="A2471" s="70" t="s">
        <v>249</v>
      </c>
      <c r="B2471" s="70">
        <v>1990</v>
      </c>
      <c r="C2471" s="70"/>
    </row>
    <row r="2472" spans="1:3" x14ac:dyDescent="0.35">
      <c r="A2472" s="70" t="s">
        <v>249</v>
      </c>
      <c r="B2472" s="70">
        <v>1991</v>
      </c>
      <c r="C2472" s="70"/>
    </row>
    <row r="2473" spans="1:3" x14ac:dyDescent="0.35">
      <c r="A2473" s="70" t="s">
        <v>249</v>
      </c>
      <c r="B2473" s="70">
        <v>1992</v>
      </c>
      <c r="C2473" s="70"/>
    </row>
    <row r="2474" spans="1:3" x14ac:dyDescent="0.35">
      <c r="A2474" s="70" t="s">
        <v>249</v>
      </c>
      <c r="B2474" s="70">
        <v>1993</v>
      </c>
      <c r="C2474" s="70"/>
    </row>
    <row r="2475" spans="1:3" x14ac:dyDescent="0.35">
      <c r="A2475" s="70" t="s">
        <v>249</v>
      </c>
      <c r="B2475" s="70">
        <v>1994</v>
      </c>
      <c r="C2475" s="70"/>
    </row>
    <row r="2476" spans="1:3" x14ac:dyDescent="0.35">
      <c r="A2476" s="70" t="s">
        <v>249</v>
      </c>
      <c r="B2476" s="70">
        <v>1995</v>
      </c>
      <c r="C2476" s="70"/>
    </row>
    <row r="2477" spans="1:3" x14ac:dyDescent="0.35">
      <c r="A2477" s="70" t="s">
        <v>249</v>
      </c>
      <c r="B2477" s="70">
        <v>1996</v>
      </c>
      <c r="C2477" s="70"/>
    </row>
    <row r="2478" spans="1:3" x14ac:dyDescent="0.35">
      <c r="A2478" s="70" t="s">
        <v>249</v>
      </c>
      <c r="B2478" s="70">
        <v>1997</v>
      </c>
      <c r="C2478" s="70"/>
    </row>
    <row r="2479" spans="1:3" x14ac:dyDescent="0.35">
      <c r="A2479" s="70" t="s">
        <v>249</v>
      </c>
      <c r="B2479" s="70">
        <v>1998</v>
      </c>
      <c r="C2479" s="70"/>
    </row>
    <row r="2480" spans="1:3" x14ac:dyDescent="0.35">
      <c r="A2480" s="70" t="s">
        <v>249</v>
      </c>
      <c r="B2480" s="70">
        <v>1999</v>
      </c>
      <c r="C2480" s="70"/>
    </row>
    <row r="2481" spans="1:3" x14ac:dyDescent="0.35">
      <c r="A2481" s="70" t="s">
        <v>249</v>
      </c>
      <c r="B2481" s="70">
        <v>2000</v>
      </c>
      <c r="C2481" s="70"/>
    </row>
    <row r="2482" spans="1:3" x14ac:dyDescent="0.35">
      <c r="A2482" s="70" t="s">
        <v>249</v>
      </c>
      <c r="B2482" s="70">
        <v>2001</v>
      </c>
      <c r="C2482" s="70"/>
    </row>
    <row r="2483" spans="1:3" x14ac:dyDescent="0.35">
      <c r="A2483" s="70" t="s">
        <v>249</v>
      </c>
      <c r="B2483" s="70">
        <v>2002</v>
      </c>
      <c r="C2483" s="70"/>
    </row>
    <row r="2484" spans="1:3" x14ac:dyDescent="0.35">
      <c r="A2484" s="70" t="s">
        <v>249</v>
      </c>
      <c r="B2484" s="70">
        <v>2003</v>
      </c>
      <c r="C2484" s="70"/>
    </row>
    <row r="2485" spans="1:3" x14ac:dyDescent="0.35">
      <c r="A2485" s="70" t="s">
        <v>249</v>
      </c>
      <c r="B2485" s="70">
        <v>2004</v>
      </c>
      <c r="C2485" s="70"/>
    </row>
    <row r="2486" spans="1:3" x14ac:dyDescent="0.35">
      <c r="A2486" s="70" t="s">
        <v>249</v>
      </c>
      <c r="B2486" s="70">
        <v>2005</v>
      </c>
      <c r="C2486" s="70"/>
    </row>
    <row r="2487" spans="1:3" x14ac:dyDescent="0.35">
      <c r="A2487" s="70" t="s">
        <v>249</v>
      </c>
      <c r="B2487" s="70">
        <v>2006</v>
      </c>
      <c r="C2487" s="70"/>
    </row>
    <row r="2488" spans="1:3" x14ac:dyDescent="0.35">
      <c r="A2488" s="70" t="s">
        <v>249</v>
      </c>
      <c r="B2488" s="70">
        <v>2007</v>
      </c>
      <c r="C2488" s="70"/>
    </row>
    <row r="2489" spans="1:3" x14ac:dyDescent="0.35">
      <c r="A2489" s="70" t="s">
        <v>249</v>
      </c>
      <c r="B2489" s="70">
        <v>2008</v>
      </c>
      <c r="C2489" s="70"/>
    </row>
    <row r="2490" spans="1:3" x14ac:dyDescent="0.35">
      <c r="A2490" s="70" t="s">
        <v>249</v>
      </c>
      <c r="B2490" s="70">
        <v>2009</v>
      </c>
      <c r="C2490" s="70"/>
    </row>
    <row r="2491" spans="1:3" x14ac:dyDescent="0.35">
      <c r="A2491" s="70" t="s">
        <v>249</v>
      </c>
      <c r="B2491" s="70">
        <v>2010</v>
      </c>
      <c r="C2491" s="70"/>
    </row>
    <row r="2492" spans="1:3" x14ac:dyDescent="0.35">
      <c r="A2492" s="70" t="s">
        <v>249</v>
      </c>
      <c r="B2492" s="70">
        <v>2011</v>
      </c>
      <c r="C2492" s="70"/>
    </row>
    <row r="2493" spans="1:3" x14ac:dyDescent="0.35">
      <c r="A2493" s="70" t="s">
        <v>249</v>
      </c>
      <c r="B2493" s="70">
        <v>2012</v>
      </c>
      <c r="C2493" s="70"/>
    </row>
    <row r="2494" spans="1:3" x14ac:dyDescent="0.35">
      <c r="A2494" s="70" t="s">
        <v>249</v>
      </c>
      <c r="B2494" s="70">
        <v>2013</v>
      </c>
      <c r="C2494" s="70"/>
    </row>
    <row r="2495" spans="1:3" x14ac:dyDescent="0.35">
      <c r="A2495" s="70" t="s">
        <v>249</v>
      </c>
      <c r="B2495" s="70">
        <v>2014</v>
      </c>
      <c r="C2495" s="70"/>
    </row>
    <row r="2496" spans="1:3" x14ac:dyDescent="0.35">
      <c r="A2496" s="70" t="s">
        <v>249</v>
      </c>
      <c r="B2496" s="70">
        <v>2015</v>
      </c>
      <c r="C2496" s="70"/>
    </row>
    <row r="2497" spans="1:3" x14ac:dyDescent="0.35">
      <c r="A2497" s="70" t="s">
        <v>249</v>
      </c>
      <c r="B2497" s="70">
        <v>2016</v>
      </c>
      <c r="C2497" s="70"/>
    </row>
    <row r="2498" spans="1:3" x14ac:dyDescent="0.35">
      <c r="A2498" s="70" t="s">
        <v>249</v>
      </c>
      <c r="B2498" s="70">
        <v>2017</v>
      </c>
      <c r="C2498" s="70"/>
    </row>
    <row r="2499" spans="1:3" x14ac:dyDescent="0.35">
      <c r="A2499" s="70" t="s">
        <v>249</v>
      </c>
      <c r="B2499" s="70">
        <v>2018</v>
      </c>
      <c r="C2499" s="70"/>
    </row>
    <row r="2500" spans="1:3" x14ac:dyDescent="0.35">
      <c r="A2500" s="70" t="s">
        <v>250</v>
      </c>
      <c r="B2500" s="70">
        <v>1980</v>
      </c>
      <c r="C2500" s="70"/>
    </row>
    <row r="2501" spans="1:3" x14ac:dyDescent="0.35">
      <c r="A2501" s="70" t="s">
        <v>250</v>
      </c>
      <c r="B2501" s="70">
        <v>1981</v>
      </c>
      <c r="C2501" s="70"/>
    </row>
    <row r="2502" spans="1:3" x14ac:dyDescent="0.35">
      <c r="A2502" s="70" t="s">
        <v>250</v>
      </c>
      <c r="B2502" s="70">
        <v>1982</v>
      </c>
      <c r="C2502" s="70"/>
    </row>
    <row r="2503" spans="1:3" x14ac:dyDescent="0.35">
      <c r="A2503" s="70" t="s">
        <v>250</v>
      </c>
      <c r="B2503" s="70">
        <v>1983</v>
      </c>
      <c r="C2503" s="70"/>
    </row>
    <row r="2504" spans="1:3" x14ac:dyDescent="0.35">
      <c r="A2504" s="70" t="s">
        <v>250</v>
      </c>
      <c r="B2504" s="70">
        <v>1984</v>
      </c>
      <c r="C2504" s="70"/>
    </row>
    <row r="2505" spans="1:3" x14ac:dyDescent="0.35">
      <c r="A2505" s="70" t="s">
        <v>250</v>
      </c>
      <c r="B2505" s="70">
        <v>1985</v>
      </c>
      <c r="C2505" s="70"/>
    </row>
    <row r="2506" spans="1:3" x14ac:dyDescent="0.35">
      <c r="A2506" s="70" t="s">
        <v>250</v>
      </c>
      <c r="B2506" s="70">
        <v>1986</v>
      </c>
      <c r="C2506" s="70"/>
    </row>
    <row r="2507" spans="1:3" x14ac:dyDescent="0.35">
      <c r="A2507" s="70" t="s">
        <v>250</v>
      </c>
      <c r="B2507" s="70">
        <v>1987</v>
      </c>
      <c r="C2507" s="70"/>
    </row>
    <row r="2508" spans="1:3" x14ac:dyDescent="0.35">
      <c r="A2508" s="70" t="s">
        <v>250</v>
      </c>
      <c r="B2508" s="70">
        <v>1988</v>
      </c>
      <c r="C2508" s="70"/>
    </row>
    <row r="2509" spans="1:3" x14ac:dyDescent="0.35">
      <c r="A2509" s="70" t="s">
        <v>250</v>
      </c>
      <c r="B2509" s="70">
        <v>1989</v>
      </c>
      <c r="C2509" s="70"/>
    </row>
    <row r="2510" spans="1:3" x14ac:dyDescent="0.35">
      <c r="A2510" s="70" t="s">
        <v>250</v>
      </c>
      <c r="B2510" s="70">
        <v>1990</v>
      </c>
      <c r="C2510" s="70"/>
    </row>
    <row r="2511" spans="1:3" x14ac:dyDescent="0.35">
      <c r="A2511" s="70" t="s">
        <v>250</v>
      </c>
      <c r="B2511" s="70">
        <v>1991</v>
      </c>
      <c r="C2511" s="70"/>
    </row>
    <row r="2512" spans="1:3" x14ac:dyDescent="0.35">
      <c r="A2512" s="70" t="s">
        <v>250</v>
      </c>
      <c r="B2512" s="70">
        <v>1992</v>
      </c>
      <c r="C2512" s="70"/>
    </row>
    <row r="2513" spans="1:3" x14ac:dyDescent="0.35">
      <c r="A2513" s="70" t="s">
        <v>250</v>
      </c>
      <c r="B2513" s="70">
        <v>1993</v>
      </c>
      <c r="C2513" s="70"/>
    </row>
    <row r="2514" spans="1:3" x14ac:dyDescent="0.35">
      <c r="A2514" s="70" t="s">
        <v>250</v>
      </c>
      <c r="B2514" s="70">
        <v>1994</v>
      </c>
      <c r="C2514" s="70"/>
    </row>
    <row r="2515" spans="1:3" x14ac:dyDescent="0.35">
      <c r="A2515" s="70" t="s">
        <v>250</v>
      </c>
      <c r="B2515" s="70">
        <v>1995</v>
      </c>
      <c r="C2515" s="70"/>
    </row>
    <row r="2516" spans="1:3" x14ac:dyDescent="0.35">
      <c r="A2516" s="70" t="s">
        <v>250</v>
      </c>
      <c r="B2516" s="70">
        <v>1996</v>
      </c>
      <c r="C2516" s="70"/>
    </row>
    <row r="2517" spans="1:3" x14ac:dyDescent="0.35">
      <c r="A2517" s="70" t="s">
        <v>250</v>
      </c>
      <c r="B2517" s="70">
        <v>1997</v>
      </c>
      <c r="C2517" s="70"/>
    </row>
    <row r="2518" spans="1:3" x14ac:dyDescent="0.35">
      <c r="A2518" s="70" t="s">
        <v>250</v>
      </c>
      <c r="B2518" s="70">
        <v>1998</v>
      </c>
      <c r="C2518" s="70"/>
    </row>
    <row r="2519" spans="1:3" x14ac:dyDescent="0.35">
      <c r="A2519" s="70" t="s">
        <v>250</v>
      </c>
      <c r="B2519" s="70">
        <v>1999</v>
      </c>
      <c r="C2519" s="70"/>
    </row>
    <row r="2520" spans="1:3" x14ac:dyDescent="0.35">
      <c r="A2520" s="70" t="s">
        <v>250</v>
      </c>
      <c r="B2520" s="70">
        <v>2000</v>
      </c>
      <c r="C2520" s="70"/>
    </row>
    <row r="2521" spans="1:3" x14ac:dyDescent="0.35">
      <c r="A2521" s="70" t="s">
        <v>250</v>
      </c>
      <c r="B2521" s="70">
        <v>2001</v>
      </c>
      <c r="C2521" s="70"/>
    </row>
    <row r="2522" spans="1:3" x14ac:dyDescent="0.35">
      <c r="A2522" s="70" t="s">
        <v>250</v>
      </c>
      <c r="B2522" s="70">
        <v>2002</v>
      </c>
      <c r="C2522" s="70"/>
    </row>
    <row r="2523" spans="1:3" x14ac:dyDescent="0.35">
      <c r="A2523" s="70" t="s">
        <v>250</v>
      </c>
      <c r="B2523" s="70">
        <v>2003</v>
      </c>
      <c r="C2523" s="70"/>
    </row>
    <row r="2524" spans="1:3" x14ac:dyDescent="0.35">
      <c r="A2524" s="70" t="s">
        <v>250</v>
      </c>
      <c r="B2524" s="70">
        <v>2004</v>
      </c>
      <c r="C2524" s="70"/>
    </row>
    <row r="2525" spans="1:3" x14ac:dyDescent="0.35">
      <c r="A2525" s="70" t="s">
        <v>250</v>
      </c>
      <c r="B2525" s="70">
        <v>2005</v>
      </c>
      <c r="C2525" s="70"/>
    </row>
    <row r="2526" spans="1:3" x14ac:dyDescent="0.35">
      <c r="A2526" s="70" t="s">
        <v>250</v>
      </c>
      <c r="B2526" s="70">
        <v>2006</v>
      </c>
      <c r="C2526" s="70"/>
    </row>
    <row r="2527" spans="1:3" x14ac:dyDescent="0.35">
      <c r="A2527" s="70" t="s">
        <v>250</v>
      </c>
      <c r="B2527" s="70">
        <v>2007</v>
      </c>
      <c r="C2527" s="70"/>
    </row>
    <row r="2528" spans="1:3" x14ac:dyDescent="0.35">
      <c r="A2528" s="70" t="s">
        <v>250</v>
      </c>
      <c r="B2528" s="70">
        <v>2008</v>
      </c>
      <c r="C2528" s="70"/>
    </row>
    <row r="2529" spans="1:3" x14ac:dyDescent="0.35">
      <c r="A2529" s="70" t="s">
        <v>250</v>
      </c>
      <c r="B2529" s="70">
        <v>2009</v>
      </c>
      <c r="C2529" s="70"/>
    </row>
    <row r="2530" spans="1:3" x14ac:dyDescent="0.35">
      <c r="A2530" s="70" t="s">
        <v>250</v>
      </c>
      <c r="B2530" s="70">
        <v>2010</v>
      </c>
      <c r="C2530" s="70"/>
    </row>
    <row r="2531" spans="1:3" x14ac:dyDescent="0.35">
      <c r="A2531" s="70" t="s">
        <v>250</v>
      </c>
      <c r="B2531" s="70">
        <v>2011</v>
      </c>
      <c r="C2531" s="70"/>
    </row>
    <row r="2532" spans="1:3" x14ac:dyDescent="0.35">
      <c r="A2532" s="70" t="s">
        <v>250</v>
      </c>
      <c r="B2532" s="70">
        <v>2012</v>
      </c>
      <c r="C2532" s="70"/>
    </row>
    <row r="2533" spans="1:3" x14ac:dyDescent="0.35">
      <c r="A2533" s="70" t="s">
        <v>250</v>
      </c>
      <c r="B2533" s="70">
        <v>2013</v>
      </c>
      <c r="C2533" s="70"/>
    </row>
    <row r="2534" spans="1:3" x14ac:dyDescent="0.35">
      <c r="A2534" s="70" t="s">
        <v>250</v>
      </c>
      <c r="B2534" s="70">
        <v>2014</v>
      </c>
      <c r="C2534" s="70"/>
    </row>
    <row r="2535" spans="1:3" x14ac:dyDescent="0.35">
      <c r="A2535" s="70" t="s">
        <v>250</v>
      </c>
      <c r="B2535" s="70">
        <v>2015</v>
      </c>
      <c r="C2535" s="70"/>
    </row>
    <row r="2536" spans="1:3" x14ac:dyDescent="0.35">
      <c r="A2536" s="70" t="s">
        <v>250</v>
      </c>
      <c r="B2536" s="70">
        <v>2016</v>
      </c>
      <c r="C2536" s="70"/>
    </row>
    <row r="2537" spans="1:3" x14ac:dyDescent="0.35">
      <c r="A2537" s="70" t="s">
        <v>250</v>
      </c>
      <c r="B2537" s="70">
        <v>2017</v>
      </c>
      <c r="C2537" s="70"/>
    </row>
    <row r="2538" spans="1:3" x14ac:dyDescent="0.35">
      <c r="A2538" s="70" t="s">
        <v>250</v>
      </c>
      <c r="B2538" s="70">
        <v>2018</v>
      </c>
      <c r="C2538" s="70"/>
    </row>
    <row r="2539" spans="1:3" x14ac:dyDescent="0.35">
      <c r="A2539" s="70" t="s">
        <v>251</v>
      </c>
      <c r="B2539" s="70">
        <v>1980</v>
      </c>
      <c r="C2539" s="70"/>
    </row>
    <row r="2540" spans="1:3" x14ac:dyDescent="0.35">
      <c r="A2540" s="70" t="s">
        <v>251</v>
      </c>
      <c r="B2540" s="70">
        <v>1981</v>
      </c>
      <c r="C2540" s="70"/>
    </row>
    <row r="2541" spans="1:3" x14ac:dyDescent="0.35">
      <c r="A2541" s="70" t="s">
        <v>251</v>
      </c>
      <c r="B2541" s="70">
        <v>1982</v>
      </c>
      <c r="C2541" s="70"/>
    </row>
    <row r="2542" spans="1:3" x14ac:dyDescent="0.35">
      <c r="A2542" s="70" t="s">
        <v>251</v>
      </c>
      <c r="B2542" s="70">
        <v>1983</v>
      </c>
      <c r="C2542" s="70"/>
    </row>
    <row r="2543" spans="1:3" x14ac:dyDescent="0.35">
      <c r="A2543" s="70" t="s">
        <v>251</v>
      </c>
      <c r="B2543" s="70">
        <v>1984</v>
      </c>
      <c r="C2543" s="70"/>
    </row>
    <row r="2544" spans="1:3" x14ac:dyDescent="0.35">
      <c r="A2544" s="70" t="s">
        <v>251</v>
      </c>
      <c r="B2544" s="70">
        <v>1985</v>
      </c>
      <c r="C2544" s="70"/>
    </row>
    <row r="2545" spans="1:3" x14ac:dyDescent="0.35">
      <c r="A2545" s="70" t="s">
        <v>251</v>
      </c>
      <c r="B2545" s="70">
        <v>1986</v>
      </c>
      <c r="C2545" s="70"/>
    </row>
    <row r="2546" spans="1:3" x14ac:dyDescent="0.35">
      <c r="A2546" s="70" t="s">
        <v>251</v>
      </c>
      <c r="B2546" s="70">
        <v>1987</v>
      </c>
      <c r="C2546" s="70"/>
    </row>
    <row r="2547" spans="1:3" x14ac:dyDescent="0.35">
      <c r="A2547" s="70" t="s">
        <v>251</v>
      </c>
      <c r="B2547" s="70">
        <v>1988</v>
      </c>
      <c r="C2547" s="70"/>
    </row>
    <row r="2548" spans="1:3" x14ac:dyDescent="0.35">
      <c r="A2548" s="70" t="s">
        <v>251</v>
      </c>
      <c r="B2548" s="70">
        <v>1989</v>
      </c>
      <c r="C2548" s="70"/>
    </row>
    <row r="2549" spans="1:3" x14ac:dyDescent="0.35">
      <c r="A2549" s="70" t="s">
        <v>251</v>
      </c>
      <c r="B2549" s="70">
        <v>1990</v>
      </c>
      <c r="C2549" s="70"/>
    </row>
    <row r="2550" spans="1:3" x14ac:dyDescent="0.35">
      <c r="A2550" s="70" t="s">
        <v>251</v>
      </c>
      <c r="B2550" s="70">
        <v>1991</v>
      </c>
      <c r="C2550" s="70"/>
    </row>
    <row r="2551" spans="1:3" x14ac:dyDescent="0.35">
      <c r="A2551" s="70" t="s">
        <v>251</v>
      </c>
      <c r="B2551" s="70">
        <v>1992</v>
      </c>
      <c r="C2551" s="70"/>
    </row>
    <row r="2552" spans="1:3" x14ac:dyDescent="0.35">
      <c r="A2552" s="70" t="s">
        <v>251</v>
      </c>
      <c r="B2552" s="70">
        <v>1993</v>
      </c>
      <c r="C2552" s="70"/>
    </row>
    <row r="2553" spans="1:3" x14ac:dyDescent="0.35">
      <c r="A2553" s="70" t="s">
        <v>251</v>
      </c>
      <c r="B2553" s="70">
        <v>1994</v>
      </c>
      <c r="C2553" s="70"/>
    </row>
    <row r="2554" spans="1:3" x14ac:dyDescent="0.35">
      <c r="A2554" s="70" t="s">
        <v>251</v>
      </c>
      <c r="B2554" s="70">
        <v>1995</v>
      </c>
      <c r="C2554" s="70"/>
    </row>
    <row r="2555" spans="1:3" x14ac:dyDescent="0.35">
      <c r="A2555" s="70" t="s">
        <v>251</v>
      </c>
      <c r="B2555" s="70">
        <v>1996</v>
      </c>
      <c r="C2555" s="70"/>
    </row>
    <row r="2556" spans="1:3" x14ac:dyDescent="0.35">
      <c r="A2556" s="70" t="s">
        <v>251</v>
      </c>
      <c r="B2556" s="70">
        <v>1997</v>
      </c>
      <c r="C2556" s="70"/>
    </row>
    <row r="2557" spans="1:3" x14ac:dyDescent="0.35">
      <c r="A2557" s="70" t="s">
        <v>251</v>
      </c>
      <c r="B2557" s="70">
        <v>1998</v>
      </c>
      <c r="C2557" s="70"/>
    </row>
    <row r="2558" spans="1:3" x14ac:dyDescent="0.35">
      <c r="A2558" s="70" t="s">
        <v>251</v>
      </c>
      <c r="B2558" s="70">
        <v>1999</v>
      </c>
      <c r="C2558" s="70"/>
    </row>
    <row r="2559" spans="1:3" x14ac:dyDescent="0.35">
      <c r="A2559" s="70" t="s">
        <v>251</v>
      </c>
      <c r="B2559" s="70">
        <v>2000</v>
      </c>
      <c r="C2559" s="70"/>
    </row>
    <row r="2560" spans="1:3" x14ac:dyDescent="0.35">
      <c r="A2560" s="70" t="s">
        <v>251</v>
      </c>
      <c r="B2560" s="70">
        <v>2001</v>
      </c>
      <c r="C2560" s="70"/>
    </row>
    <row r="2561" spans="1:3" x14ac:dyDescent="0.35">
      <c r="A2561" s="70" t="s">
        <v>251</v>
      </c>
      <c r="B2561" s="70">
        <v>2002</v>
      </c>
      <c r="C2561" s="70"/>
    </row>
    <row r="2562" spans="1:3" x14ac:dyDescent="0.35">
      <c r="A2562" s="70" t="s">
        <v>251</v>
      </c>
      <c r="B2562" s="70">
        <v>2003</v>
      </c>
      <c r="C2562" s="70"/>
    </row>
    <row r="2563" spans="1:3" x14ac:dyDescent="0.35">
      <c r="A2563" s="70" t="s">
        <v>251</v>
      </c>
      <c r="B2563" s="70">
        <v>2004</v>
      </c>
      <c r="C2563" s="70"/>
    </row>
    <row r="2564" spans="1:3" x14ac:dyDescent="0.35">
      <c r="A2564" s="70" t="s">
        <v>251</v>
      </c>
      <c r="B2564" s="70">
        <v>2005</v>
      </c>
      <c r="C2564" s="70"/>
    </row>
    <row r="2565" spans="1:3" x14ac:dyDescent="0.35">
      <c r="A2565" s="70" t="s">
        <v>251</v>
      </c>
      <c r="B2565" s="70">
        <v>2006</v>
      </c>
      <c r="C2565" s="70"/>
    </row>
    <row r="2566" spans="1:3" x14ac:dyDescent="0.35">
      <c r="A2566" s="70" t="s">
        <v>251</v>
      </c>
      <c r="B2566" s="70">
        <v>2007</v>
      </c>
      <c r="C2566" s="70"/>
    </row>
    <row r="2567" spans="1:3" x14ac:dyDescent="0.35">
      <c r="A2567" s="70" t="s">
        <v>251</v>
      </c>
      <c r="B2567" s="70">
        <v>2008</v>
      </c>
      <c r="C2567" s="70"/>
    </row>
    <row r="2568" spans="1:3" x14ac:dyDescent="0.35">
      <c r="A2568" s="70" t="s">
        <v>251</v>
      </c>
      <c r="B2568" s="70">
        <v>2009</v>
      </c>
      <c r="C2568" s="70"/>
    </row>
    <row r="2569" spans="1:3" x14ac:dyDescent="0.35">
      <c r="A2569" s="70" t="s">
        <v>251</v>
      </c>
      <c r="B2569" s="70">
        <v>2010</v>
      </c>
      <c r="C2569" s="70"/>
    </row>
    <row r="2570" spans="1:3" x14ac:dyDescent="0.35">
      <c r="A2570" s="70" t="s">
        <v>251</v>
      </c>
      <c r="B2570" s="70">
        <v>2011</v>
      </c>
      <c r="C2570" s="70"/>
    </row>
    <row r="2571" spans="1:3" x14ac:dyDescent="0.35">
      <c r="A2571" s="70" t="s">
        <v>251</v>
      </c>
      <c r="B2571" s="70">
        <v>2012</v>
      </c>
      <c r="C2571" s="70"/>
    </row>
    <row r="2572" spans="1:3" x14ac:dyDescent="0.35">
      <c r="A2572" s="70" t="s">
        <v>251</v>
      </c>
      <c r="B2572" s="70">
        <v>2013</v>
      </c>
      <c r="C2572" s="70"/>
    </row>
    <row r="2573" spans="1:3" x14ac:dyDescent="0.35">
      <c r="A2573" s="70" t="s">
        <v>251</v>
      </c>
      <c r="B2573" s="70">
        <v>2014</v>
      </c>
      <c r="C2573" s="70"/>
    </row>
    <row r="2574" spans="1:3" x14ac:dyDescent="0.35">
      <c r="A2574" s="70" t="s">
        <v>251</v>
      </c>
      <c r="B2574" s="70">
        <v>2015</v>
      </c>
      <c r="C2574" s="70"/>
    </row>
    <row r="2575" spans="1:3" x14ac:dyDescent="0.35">
      <c r="A2575" s="70" t="s">
        <v>251</v>
      </c>
      <c r="B2575" s="70">
        <v>2016</v>
      </c>
      <c r="C2575" s="70"/>
    </row>
    <row r="2576" spans="1:3" x14ac:dyDescent="0.35">
      <c r="A2576" s="70" t="s">
        <v>251</v>
      </c>
      <c r="B2576" s="70">
        <v>2017</v>
      </c>
      <c r="C2576" s="70"/>
    </row>
    <row r="2577" spans="1:3" x14ac:dyDescent="0.35">
      <c r="A2577" s="70" t="s">
        <v>251</v>
      </c>
      <c r="B2577" s="70">
        <v>2018</v>
      </c>
      <c r="C2577" s="70"/>
    </row>
    <row r="2578" spans="1:3" x14ac:dyDescent="0.35">
      <c r="A2578" s="70" t="s">
        <v>252</v>
      </c>
      <c r="B2578" s="70">
        <v>1980</v>
      </c>
      <c r="C2578" s="70"/>
    </row>
    <row r="2579" spans="1:3" x14ac:dyDescent="0.35">
      <c r="A2579" s="70" t="s">
        <v>252</v>
      </c>
      <c r="B2579" s="70">
        <v>1981</v>
      </c>
      <c r="C2579" s="70"/>
    </row>
    <row r="2580" spans="1:3" x14ac:dyDescent="0.35">
      <c r="A2580" s="70" t="s">
        <v>252</v>
      </c>
      <c r="B2580" s="70">
        <v>1982</v>
      </c>
      <c r="C2580" s="70"/>
    </row>
    <row r="2581" spans="1:3" x14ac:dyDescent="0.35">
      <c r="A2581" s="70" t="s">
        <v>252</v>
      </c>
      <c r="B2581" s="70">
        <v>1983</v>
      </c>
      <c r="C2581" s="70"/>
    </row>
    <row r="2582" spans="1:3" x14ac:dyDescent="0.35">
      <c r="A2582" s="70" t="s">
        <v>252</v>
      </c>
      <c r="B2582" s="70">
        <v>1984</v>
      </c>
      <c r="C2582" s="70"/>
    </row>
    <row r="2583" spans="1:3" x14ac:dyDescent="0.35">
      <c r="A2583" s="70" t="s">
        <v>252</v>
      </c>
      <c r="B2583" s="70">
        <v>1985</v>
      </c>
      <c r="C2583" s="70"/>
    </row>
    <row r="2584" spans="1:3" x14ac:dyDescent="0.35">
      <c r="A2584" s="70" t="s">
        <v>252</v>
      </c>
      <c r="B2584" s="70">
        <v>1986</v>
      </c>
      <c r="C2584" s="70"/>
    </row>
    <row r="2585" spans="1:3" x14ac:dyDescent="0.35">
      <c r="A2585" s="70" t="s">
        <v>252</v>
      </c>
      <c r="B2585" s="70">
        <v>1987</v>
      </c>
      <c r="C2585" s="70"/>
    </row>
    <row r="2586" spans="1:3" x14ac:dyDescent="0.35">
      <c r="A2586" s="70" t="s">
        <v>252</v>
      </c>
      <c r="B2586" s="70">
        <v>1988</v>
      </c>
      <c r="C2586" s="70"/>
    </row>
    <row r="2587" spans="1:3" x14ac:dyDescent="0.35">
      <c r="A2587" s="70" t="s">
        <v>252</v>
      </c>
      <c r="B2587" s="70">
        <v>1989</v>
      </c>
      <c r="C2587" s="70"/>
    </row>
    <row r="2588" spans="1:3" x14ac:dyDescent="0.35">
      <c r="A2588" s="70" t="s">
        <v>252</v>
      </c>
      <c r="B2588" s="70">
        <v>1990</v>
      </c>
      <c r="C2588" s="70"/>
    </row>
    <row r="2589" spans="1:3" x14ac:dyDescent="0.35">
      <c r="A2589" s="70" t="s">
        <v>252</v>
      </c>
      <c r="B2589" s="70">
        <v>1991</v>
      </c>
      <c r="C2589" s="70"/>
    </row>
    <row r="2590" spans="1:3" x14ac:dyDescent="0.35">
      <c r="A2590" s="70" t="s">
        <v>252</v>
      </c>
      <c r="B2590" s="70">
        <v>1992</v>
      </c>
      <c r="C2590" s="70"/>
    </row>
    <row r="2591" spans="1:3" x14ac:dyDescent="0.35">
      <c r="A2591" s="70" t="s">
        <v>252</v>
      </c>
      <c r="B2591" s="70">
        <v>1993</v>
      </c>
      <c r="C2591" s="70"/>
    </row>
    <row r="2592" spans="1:3" x14ac:dyDescent="0.35">
      <c r="A2592" s="70" t="s">
        <v>252</v>
      </c>
      <c r="B2592" s="70">
        <v>1994</v>
      </c>
      <c r="C2592" s="70"/>
    </row>
    <row r="2593" spans="1:3" x14ac:dyDescent="0.35">
      <c r="A2593" s="70" t="s">
        <v>252</v>
      </c>
      <c r="B2593" s="70">
        <v>1995</v>
      </c>
      <c r="C2593" s="70"/>
    </row>
    <row r="2594" spans="1:3" x14ac:dyDescent="0.35">
      <c r="A2594" s="70" t="s">
        <v>252</v>
      </c>
      <c r="B2594" s="70">
        <v>1996</v>
      </c>
      <c r="C2594" s="70"/>
    </row>
    <row r="2595" spans="1:3" x14ac:dyDescent="0.35">
      <c r="A2595" s="70" t="s">
        <v>252</v>
      </c>
      <c r="B2595" s="70">
        <v>1997</v>
      </c>
      <c r="C2595" s="70"/>
    </row>
    <row r="2596" spans="1:3" x14ac:dyDescent="0.35">
      <c r="A2596" s="70" t="s">
        <v>252</v>
      </c>
      <c r="B2596" s="70">
        <v>1998</v>
      </c>
      <c r="C2596" s="70"/>
    </row>
    <row r="2597" spans="1:3" x14ac:dyDescent="0.35">
      <c r="A2597" s="70" t="s">
        <v>252</v>
      </c>
      <c r="B2597" s="70">
        <v>1999</v>
      </c>
      <c r="C2597" s="70"/>
    </row>
    <row r="2598" spans="1:3" x14ac:dyDescent="0.35">
      <c r="A2598" s="70" t="s">
        <v>252</v>
      </c>
      <c r="B2598" s="70">
        <v>2000</v>
      </c>
      <c r="C2598" s="70"/>
    </row>
    <row r="2599" spans="1:3" x14ac:dyDescent="0.35">
      <c r="A2599" s="70" t="s">
        <v>252</v>
      </c>
      <c r="B2599" s="70">
        <v>2001</v>
      </c>
      <c r="C2599" s="70"/>
    </row>
    <row r="2600" spans="1:3" x14ac:dyDescent="0.35">
      <c r="A2600" s="70" t="s">
        <v>252</v>
      </c>
      <c r="B2600" s="70">
        <v>2002</v>
      </c>
      <c r="C2600" s="70"/>
    </row>
    <row r="2601" spans="1:3" x14ac:dyDescent="0.35">
      <c r="A2601" s="70" t="s">
        <v>252</v>
      </c>
      <c r="B2601" s="70">
        <v>2003</v>
      </c>
      <c r="C2601" s="70"/>
    </row>
    <row r="2602" spans="1:3" x14ac:dyDescent="0.35">
      <c r="A2602" s="70" t="s">
        <v>252</v>
      </c>
      <c r="B2602" s="70">
        <v>2004</v>
      </c>
      <c r="C2602" s="70"/>
    </row>
    <row r="2603" spans="1:3" x14ac:dyDescent="0.35">
      <c r="A2603" s="70" t="s">
        <v>252</v>
      </c>
      <c r="B2603" s="70">
        <v>2005</v>
      </c>
      <c r="C2603" s="70"/>
    </row>
    <row r="2604" spans="1:3" x14ac:dyDescent="0.35">
      <c r="A2604" s="70" t="s">
        <v>252</v>
      </c>
      <c r="B2604" s="70">
        <v>2006</v>
      </c>
      <c r="C2604" s="70"/>
    </row>
    <row r="2605" spans="1:3" x14ac:dyDescent="0.35">
      <c r="A2605" s="70" t="s">
        <v>252</v>
      </c>
      <c r="B2605" s="70">
        <v>2007</v>
      </c>
      <c r="C2605" s="70"/>
    </row>
    <row r="2606" spans="1:3" x14ac:dyDescent="0.35">
      <c r="A2606" s="70" t="s">
        <v>252</v>
      </c>
      <c r="B2606" s="70">
        <v>2008</v>
      </c>
      <c r="C2606" s="70"/>
    </row>
    <row r="2607" spans="1:3" x14ac:dyDescent="0.35">
      <c r="A2607" s="70" t="s">
        <v>252</v>
      </c>
      <c r="B2607" s="70">
        <v>2009</v>
      </c>
      <c r="C2607" s="70"/>
    </row>
    <row r="2608" spans="1:3" x14ac:dyDescent="0.35">
      <c r="A2608" s="70" t="s">
        <v>252</v>
      </c>
      <c r="B2608" s="70">
        <v>2010</v>
      </c>
      <c r="C2608" s="70"/>
    </row>
    <row r="2609" spans="1:3" x14ac:dyDescent="0.35">
      <c r="A2609" s="70" t="s">
        <v>252</v>
      </c>
      <c r="B2609" s="70">
        <v>2011</v>
      </c>
      <c r="C2609" s="70"/>
    </row>
    <row r="2610" spans="1:3" x14ac:dyDescent="0.35">
      <c r="A2610" s="70" t="s">
        <v>252</v>
      </c>
      <c r="B2610" s="70">
        <v>2012</v>
      </c>
      <c r="C2610" s="70"/>
    </row>
    <row r="2611" spans="1:3" x14ac:dyDescent="0.35">
      <c r="A2611" s="70" t="s">
        <v>252</v>
      </c>
      <c r="B2611" s="70">
        <v>2013</v>
      </c>
      <c r="C2611" s="70"/>
    </row>
    <row r="2612" spans="1:3" x14ac:dyDescent="0.35">
      <c r="A2612" s="70" t="s">
        <v>252</v>
      </c>
      <c r="B2612" s="70">
        <v>2014</v>
      </c>
      <c r="C2612" s="70"/>
    </row>
    <row r="2613" spans="1:3" x14ac:dyDescent="0.35">
      <c r="A2613" s="70" t="s">
        <v>252</v>
      </c>
      <c r="B2613" s="70">
        <v>2015</v>
      </c>
      <c r="C2613" s="70"/>
    </row>
    <row r="2614" spans="1:3" x14ac:dyDescent="0.35">
      <c r="A2614" s="70" t="s">
        <v>252</v>
      </c>
      <c r="B2614" s="70">
        <v>2016</v>
      </c>
      <c r="C2614" s="70"/>
    </row>
    <row r="2615" spans="1:3" x14ac:dyDescent="0.35">
      <c r="A2615" s="70" t="s">
        <v>252</v>
      </c>
      <c r="B2615" s="70">
        <v>2017</v>
      </c>
      <c r="C2615" s="70"/>
    </row>
    <row r="2616" spans="1:3" x14ac:dyDescent="0.35">
      <c r="A2616" s="70" t="s">
        <v>252</v>
      </c>
      <c r="B2616" s="70">
        <v>2018</v>
      </c>
      <c r="C2616" s="70"/>
    </row>
    <row r="2617" spans="1:3" x14ac:dyDescent="0.35">
      <c r="A2617" s="70" t="s">
        <v>253</v>
      </c>
      <c r="B2617" s="70">
        <v>1980</v>
      </c>
      <c r="C2617" s="70"/>
    </row>
    <row r="2618" spans="1:3" x14ac:dyDescent="0.35">
      <c r="A2618" s="70" t="s">
        <v>253</v>
      </c>
      <c r="B2618" s="70">
        <v>1981</v>
      </c>
      <c r="C2618" s="70"/>
    </row>
    <row r="2619" spans="1:3" x14ac:dyDescent="0.35">
      <c r="A2619" s="70" t="s">
        <v>253</v>
      </c>
      <c r="B2619" s="70">
        <v>1982</v>
      </c>
      <c r="C2619" s="70"/>
    </row>
    <row r="2620" spans="1:3" x14ac:dyDescent="0.35">
      <c r="A2620" s="70" t="s">
        <v>253</v>
      </c>
      <c r="B2620" s="70">
        <v>1983</v>
      </c>
      <c r="C2620" s="70"/>
    </row>
    <row r="2621" spans="1:3" x14ac:dyDescent="0.35">
      <c r="A2621" s="70" t="s">
        <v>253</v>
      </c>
      <c r="B2621" s="70">
        <v>1984</v>
      </c>
      <c r="C2621" s="70"/>
    </row>
    <row r="2622" spans="1:3" x14ac:dyDescent="0.35">
      <c r="A2622" s="70" t="s">
        <v>253</v>
      </c>
      <c r="B2622" s="70">
        <v>1985</v>
      </c>
      <c r="C2622" s="70"/>
    </row>
    <row r="2623" spans="1:3" x14ac:dyDescent="0.35">
      <c r="A2623" s="70" t="s">
        <v>253</v>
      </c>
      <c r="B2623" s="70">
        <v>1986</v>
      </c>
      <c r="C2623" s="70"/>
    </row>
    <row r="2624" spans="1:3" x14ac:dyDescent="0.35">
      <c r="A2624" s="70" t="s">
        <v>253</v>
      </c>
      <c r="B2624" s="70">
        <v>1987</v>
      </c>
      <c r="C2624" s="70"/>
    </row>
    <row r="2625" spans="1:3" x14ac:dyDescent="0.35">
      <c r="A2625" s="70" t="s">
        <v>253</v>
      </c>
      <c r="B2625" s="70">
        <v>1988</v>
      </c>
      <c r="C2625" s="70"/>
    </row>
    <row r="2626" spans="1:3" x14ac:dyDescent="0.35">
      <c r="A2626" s="70" t="s">
        <v>253</v>
      </c>
      <c r="B2626" s="70">
        <v>1989</v>
      </c>
      <c r="C2626" s="70"/>
    </row>
    <row r="2627" spans="1:3" x14ac:dyDescent="0.35">
      <c r="A2627" s="70" t="s">
        <v>253</v>
      </c>
      <c r="B2627" s="70">
        <v>1990</v>
      </c>
      <c r="C2627" s="70"/>
    </row>
    <row r="2628" spans="1:3" x14ac:dyDescent="0.35">
      <c r="A2628" s="70" t="s">
        <v>253</v>
      </c>
      <c r="B2628" s="70">
        <v>1991</v>
      </c>
      <c r="C2628" s="70"/>
    </row>
    <row r="2629" spans="1:3" x14ac:dyDescent="0.35">
      <c r="A2629" s="70" t="s">
        <v>253</v>
      </c>
      <c r="B2629" s="70">
        <v>1992</v>
      </c>
      <c r="C2629" s="70"/>
    </row>
    <row r="2630" spans="1:3" x14ac:dyDescent="0.35">
      <c r="A2630" s="70" t="s">
        <v>253</v>
      </c>
      <c r="B2630" s="70">
        <v>1993</v>
      </c>
      <c r="C2630" s="70"/>
    </row>
    <row r="2631" spans="1:3" x14ac:dyDescent="0.35">
      <c r="A2631" s="70" t="s">
        <v>253</v>
      </c>
      <c r="B2631" s="70">
        <v>1994</v>
      </c>
      <c r="C2631" s="70"/>
    </row>
    <row r="2632" spans="1:3" x14ac:dyDescent="0.35">
      <c r="A2632" s="70" t="s">
        <v>253</v>
      </c>
      <c r="B2632" s="70">
        <v>1995</v>
      </c>
      <c r="C2632" s="70"/>
    </row>
    <row r="2633" spans="1:3" x14ac:dyDescent="0.35">
      <c r="A2633" s="70" t="s">
        <v>253</v>
      </c>
      <c r="B2633" s="70">
        <v>1996</v>
      </c>
      <c r="C2633" s="70"/>
    </row>
    <row r="2634" spans="1:3" x14ac:dyDescent="0.35">
      <c r="A2634" s="70" t="s">
        <v>253</v>
      </c>
      <c r="B2634" s="70">
        <v>1997</v>
      </c>
      <c r="C2634" s="70"/>
    </row>
    <row r="2635" spans="1:3" x14ac:dyDescent="0.35">
      <c r="A2635" s="70" t="s">
        <v>253</v>
      </c>
      <c r="B2635" s="70">
        <v>1998</v>
      </c>
      <c r="C2635" s="70"/>
    </row>
    <row r="2636" spans="1:3" x14ac:dyDescent="0.35">
      <c r="A2636" s="70" t="s">
        <v>253</v>
      </c>
      <c r="B2636" s="70">
        <v>1999</v>
      </c>
      <c r="C2636" s="70"/>
    </row>
    <row r="2637" spans="1:3" x14ac:dyDescent="0.35">
      <c r="A2637" s="70" t="s">
        <v>253</v>
      </c>
      <c r="B2637" s="70">
        <v>2000</v>
      </c>
      <c r="C2637" s="70"/>
    </row>
    <row r="2638" spans="1:3" x14ac:dyDescent="0.35">
      <c r="A2638" s="70" t="s">
        <v>253</v>
      </c>
      <c r="B2638" s="70">
        <v>2001</v>
      </c>
      <c r="C2638" s="70"/>
    </row>
    <row r="2639" spans="1:3" x14ac:dyDescent="0.35">
      <c r="A2639" s="70" t="s">
        <v>253</v>
      </c>
      <c r="B2639" s="70">
        <v>2002</v>
      </c>
      <c r="C2639" s="70"/>
    </row>
    <row r="2640" spans="1:3" x14ac:dyDescent="0.35">
      <c r="A2640" s="70" t="s">
        <v>253</v>
      </c>
      <c r="B2640" s="70">
        <v>2003</v>
      </c>
      <c r="C2640" s="70"/>
    </row>
    <row r="2641" spans="1:3" x14ac:dyDescent="0.35">
      <c r="A2641" s="70" t="s">
        <v>253</v>
      </c>
      <c r="B2641" s="70">
        <v>2004</v>
      </c>
      <c r="C2641" s="70"/>
    </row>
    <row r="2642" spans="1:3" x14ac:dyDescent="0.35">
      <c r="A2642" s="70" t="s">
        <v>253</v>
      </c>
      <c r="B2642" s="70">
        <v>2005</v>
      </c>
      <c r="C2642" s="70"/>
    </row>
    <row r="2643" spans="1:3" x14ac:dyDescent="0.35">
      <c r="A2643" s="70" t="s">
        <v>253</v>
      </c>
      <c r="B2643" s="70">
        <v>2006</v>
      </c>
      <c r="C2643" s="70"/>
    </row>
    <row r="2644" spans="1:3" x14ac:dyDescent="0.35">
      <c r="A2644" s="70" t="s">
        <v>253</v>
      </c>
      <c r="B2644" s="70">
        <v>2007</v>
      </c>
      <c r="C2644" s="70"/>
    </row>
    <row r="2645" spans="1:3" x14ac:dyDescent="0.35">
      <c r="A2645" s="70" t="s">
        <v>253</v>
      </c>
      <c r="B2645" s="70">
        <v>2008</v>
      </c>
      <c r="C2645" s="70"/>
    </row>
    <row r="2646" spans="1:3" x14ac:dyDescent="0.35">
      <c r="A2646" s="70" t="s">
        <v>253</v>
      </c>
      <c r="B2646" s="70">
        <v>2009</v>
      </c>
      <c r="C2646" s="70"/>
    </row>
    <row r="2647" spans="1:3" x14ac:dyDescent="0.35">
      <c r="A2647" s="70" t="s">
        <v>253</v>
      </c>
      <c r="B2647" s="70">
        <v>2010</v>
      </c>
      <c r="C2647" s="70"/>
    </row>
    <row r="2648" spans="1:3" x14ac:dyDescent="0.35">
      <c r="A2648" s="70" t="s">
        <v>253</v>
      </c>
      <c r="B2648" s="70">
        <v>2011</v>
      </c>
      <c r="C2648" s="70"/>
    </row>
    <row r="2649" spans="1:3" x14ac:dyDescent="0.35">
      <c r="A2649" s="70" t="s">
        <v>253</v>
      </c>
      <c r="B2649" s="70">
        <v>2012</v>
      </c>
      <c r="C2649" s="70"/>
    </row>
    <row r="2650" spans="1:3" x14ac:dyDescent="0.35">
      <c r="A2650" s="70" t="s">
        <v>253</v>
      </c>
      <c r="B2650" s="70">
        <v>2013</v>
      </c>
      <c r="C2650" s="70"/>
    </row>
    <row r="2651" spans="1:3" x14ac:dyDescent="0.35">
      <c r="A2651" s="70" t="s">
        <v>253</v>
      </c>
      <c r="B2651" s="70">
        <v>2014</v>
      </c>
      <c r="C2651" s="70"/>
    </row>
    <row r="2652" spans="1:3" x14ac:dyDescent="0.35">
      <c r="A2652" s="70" t="s">
        <v>253</v>
      </c>
      <c r="B2652" s="70">
        <v>2015</v>
      </c>
      <c r="C2652" s="70"/>
    </row>
    <row r="2653" spans="1:3" x14ac:dyDescent="0.35">
      <c r="A2653" s="70" t="s">
        <v>253</v>
      </c>
      <c r="B2653" s="70">
        <v>2016</v>
      </c>
      <c r="C2653" s="70"/>
    </row>
    <row r="2654" spans="1:3" x14ac:dyDescent="0.35">
      <c r="A2654" s="70" t="s">
        <v>253</v>
      </c>
      <c r="B2654" s="70">
        <v>2017</v>
      </c>
      <c r="C2654" s="70"/>
    </row>
    <row r="2655" spans="1:3" x14ac:dyDescent="0.35">
      <c r="A2655" s="70" t="s">
        <v>253</v>
      </c>
      <c r="B2655" s="70">
        <v>2018</v>
      </c>
      <c r="C2655" s="70"/>
    </row>
    <row r="2656" spans="1:3" x14ac:dyDescent="0.35">
      <c r="A2656" s="70" t="s">
        <v>254</v>
      </c>
      <c r="B2656" s="70">
        <v>1980</v>
      </c>
      <c r="C2656" s="70"/>
    </row>
    <row r="2657" spans="1:3" x14ac:dyDescent="0.35">
      <c r="A2657" s="70" t="s">
        <v>254</v>
      </c>
      <c r="B2657" s="70">
        <v>1981</v>
      </c>
      <c r="C2657" s="70"/>
    </row>
    <row r="2658" spans="1:3" x14ac:dyDescent="0.35">
      <c r="A2658" s="70" t="s">
        <v>254</v>
      </c>
      <c r="B2658" s="70">
        <v>1982</v>
      </c>
      <c r="C2658" s="70"/>
    </row>
    <row r="2659" spans="1:3" x14ac:dyDescent="0.35">
      <c r="A2659" s="70" t="s">
        <v>254</v>
      </c>
      <c r="B2659" s="70">
        <v>1983</v>
      </c>
      <c r="C2659" s="70"/>
    </row>
    <row r="2660" spans="1:3" x14ac:dyDescent="0.35">
      <c r="A2660" s="70" t="s">
        <v>254</v>
      </c>
      <c r="B2660" s="70">
        <v>1984</v>
      </c>
      <c r="C2660" s="70"/>
    </row>
    <row r="2661" spans="1:3" x14ac:dyDescent="0.35">
      <c r="A2661" s="70" t="s">
        <v>254</v>
      </c>
      <c r="B2661" s="70">
        <v>1985</v>
      </c>
      <c r="C2661" s="70"/>
    </row>
    <row r="2662" spans="1:3" x14ac:dyDescent="0.35">
      <c r="A2662" s="70" t="s">
        <v>254</v>
      </c>
      <c r="B2662" s="70">
        <v>1986</v>
      </c>
      <c r="C2662" s="70"/>
    </row>
    <row r="2663" spans="1:3" x14ac:dyDescent="0.35">
      <c r="A2663" s="70" t="s">
        <v>254</v>
      </c>
      <c r="B2663" s="70">
        <v>1987</v>
      </c>
      <c r="C2663" s="70"/>
    </row>
    <row r="2664" spans="1:3" x14ac:dyDescent="0.35">
      <c r="A2664" s="70" t="s">
        <v>254</v>
      </c>
      <c r="B2664" s="70">
        <v>1988</v>
      </c>
      <c r="C2664" s="70"/>
    </row>
    <row r="2665" spans="1:3" x14ac:dyDescent="0.35">
      <c r="A2665" s="70" t="s">
        <v>254</v>
      </c>
      <c r="B2665" s="70">
        <v>1989</v>
      </c>
      <c r="C2665" s="70"/>
    </row>
    <row r="2666" spans="1:3" x14ac:dyDescent="0.35">
      <c r="A2666" s="70" t="s">
        <v>254</v>
      </c>
      <c r="B2666" s="70">
        <v>1990</v>
      </c>
      <c r="C2666" s="70"/>
    </row>
    <row r="2667" spans="1:3" x14ac:dyDescent="0.35">
      <c r="A2667" s="70" t="s">
        <v>254</v>
      </c>
      <c r="B2667" s="70">
        <v>1991</v>
      </c>
      <c r="C2667" s="70"/>
    </row>
    <row r="2668" spans="1:3" x14ac:dyDescent="0.35">
      <c r="A2668" s="70" t="s">
        <v>254</v>
      </c>
      <c r="B2668" s="70">
        <v>1992</v>
      </c>
      <c r="C2668" s="70"/>
    </row>
    <row r="2669" spans="1:3" x14ac:dyDescent="0.35">
      <c r="A2669" s="70" t="s">
        <v>254</v>
      </c>
      <c r="B2669" s="70">
        <v>1993</v>
      </c>
      <c r="C2669" s="70"/>
    </row>
    <row r="2670" spans="1:3" x14ac:dyDescent="0.35">
      <c r="A2670" s="70" t="s">
        <v>254</v>
      </c>
      <c r="B2670" s="70">
        <v>1994</v>
      </c>
      <c r="C2670" s="70"/>
    </row>
    <row r="2671" spans="1:3" x14ac:dyDescent="0.35">
      <c r="A2671" s="70" t="s">
        <v>254</v>
      </c>
      <c r="B2671" s="70">
        <v>1995</v>
      </c>
      <c r="C2671" s="70"/>
    </row>
    <row r="2672" spans="1:3" x14ac:dyDescent="0.35">
      <c r="A2672" s="70" t="s">
        <v>254</v>
      </c>
      <c r="B2672" s="70">
        <v>1996</v>
      </c>
      <c r="C2672" s="70"/>
    </row>
    <row r="2673" spans="1:3" x14ac:dyDescent="0.35">
      <c r="A2673" s="70" t="s">
        <v>254</v>
      </c>
      <c r="B2673" s="70">
        <v>1997</v>
      </c>
      <c r="C2673" s="70"/>
    </row>
    <row r="2674" spans="1:3" x14ac:dyDescent="0.35">
      <c r="A2674" s="70" t="s">
        <v>254</v>
      </c>
      <c r="B2674" s="70">
        <v>1998</v>
      </c>
      <c r="C2674" s="70"/>
    </row>
    <row r="2675" spans="1:3" x14ac:dyDescent="0.35">
      <c r="A2675" s="70" t="s">
        <v>254</v>
      </c>
      <c r="B2675" s="70">
        <v>1999</v>
      </c>
      <c r="C2675" s="70"/>
    </row>
    <row r="2676" spans="1:3" x14ac:dyDescent="0.35">
      <c r="A2676" s="70" t="s">
        <v>254</v>
      </c>
      <c r="B2676" s="70">
        <v>2000</v>
      </c>
      <c r="C2676" s="70"/>
    </row>
    <row r="2677" spans="1:3" x14ac:dyDescent="0.35">
      <c r="A2677" s="70" t="s">
        <v>254</v>
      </c>
      <c r="B2677" s="70">
        <v>2001</v>
      </c>
      <c r="C2677" s="70"/>
    </row>
    <row r="2678" spans="1:3" x14ac:dyDescent="0.35">
      <c r="A2678" s="70" t="s">
        <v>254</v>
      </c>
      <c r="B2678" s="70">
        <v>2002</v>
      </c>
      <c r="C2678" s="70"/>
    </row>
    <row r="2679" spans="1:3" x14ac:dyDescent="0.35">
      <c r="A2679" s="70" t="s">
        <v>254</v>
      </c>
      <c r="B2679" s="70">
        <v>2003</v>
      </c>
      <c r="C2679" s="70"/>
    </row>
    <row r="2680" spans="1:3" x14ac:dyDescent="0.35">
      <c r="A2680" s="70" t="s">
        <v>254</v>
      </c>
      <c r="B2680" s="70">
        <v>2004</v>
      </c>
      <c r="C2680" s="70"/>
    </row>
    <row r="2681" spans="1:3" x14ac:dyDescent="0.35">
      <c r="A2681" s="70" t="s">
        <v>254</v>
      </c>
      <c r="B2681" s="70">
        <v>2005</v>
      </c>
      <c r="C2681" s="70"/>
    </row>
    <row r="2682" spans="1:3" x14ac:dyDescent="0.35">
      <c r="A2682" s="70" t="s">
        <v>254</v>
      </c>
      <c r="B2682" s="70">
        <v>2006</v>
      </c>
      <c r="C2682" s="70"/>
    </row>
    <row r="2683" spans="1:3" x14ac:dyDescent="0.35">
      <c r="A2683" s="70" t="s">
        <v>254</v>
      </c>
      <c r="B2683" s="70">
        <v>2007</v>
      </c>
      <c r="C2683" s="70"/>
    </row>
    <row r="2684" spans="1:3" x14ac:dyDescent="0.35">
      <c r="A2684" s="70" t="s">
        <v>254</v>
      </c>
      <c r="B2684" s="70">
        <v>2008</v>
      </c>
      <c r="C2684" s="70"/>
    </row>
    <row r="2685" spans="1:3" x14ac:dyDescent="0.35">
      <c r="A2685" s="70" t="s">
        <v>254</v>
      </c>
      <c r="B2685" s="70">
        <v>2009</v>
      </c>
      <c r="C2685" s="70"/>
    </row>
    <row r="2686" spans="1:3" x14ac:dyDescent="0.35">
      <c r="A2686" s="70" t="s">
        <v>254</v>
      </c>
      <c r="B2686" s="70">
        <v>2010</v>
      </c>
      <c r="C2686" s="70"/>
    </row>
    <row r="2687" spans="1:3" x14ac:dyDescent="0.35">
      <c r="A2687" s="70" t="s">
        <v>254</v>
      </c>
      <c r="B2687" s="70">
        <v>2011</v>
      </c>
      <c r="C2687" s="70"/>
    </row>
    <row r="2688" spans="1:3" x14ac:dyDescent="0.35">
      <c r="A2688" s="70" t="s">
        <v>254</v>
      </c>
      <c r="B2688" s="70">
        <v>2012</v>
      </c>
      <c r="C2688" s="70"/>
    </row>
    <row r="2689" spans="1:3" x14ac:dyDescent="0.35">
      <c r="A2689" s="70" t="s">
        <v>254</v>
      </c>
      <c r="B2689" s="70">
        <v>2013</v>
      </c>
      <c r="C2689" s="70"/>
    </row>
    <row r="2690" spans="1:3" x14ac:dyDescent="0.35">
      <c r="A2690" s="70" t="s">
        <v>254</v>
      </c>
      <c r="B2690" s="70">
        <v>2014</v>
      </c>
      <c r="C2690" s="70"/>
    </row>
    <row r="2691" spans="1:3" x14ac:dyDescent="0.35">
      <c r="A2691" s="70" t="s">
        <v>254</v>
      </c>
      <c r="B2691" s="70">
        <v>2015</v>
      </c>
      <c r="C2691" s="70"/>
    </row>
    <row r="2692" spans="1:3" x14ac:dyDescent="0.35">
      <c r="A2692" s="70" t="s">
        <v>254</v>
      </c>
      <c r="B2692" s="70">
        <v>2016</v>
      </c>
      <c r="C2692" s="70"/>
    </row>
    <row r="2693" spans="1:3" x14ac:dyDescent="0.35">
      <c r="A2693" s="70" t="s">
        <v>254</v>
      </c>
      <c r="B2693" s="70">
        <v>2017</v>
      </c>
      <c r="C2693" s="70"/>
    </row>
    <row r="2694" spans="1:3" x14ac:dyDescent="0.35">
      <c r="A2694" s="70" t="s">
        <v>254</v>
      </c>
      <c r="B2694" s="70">
        <v>2018</v>
      </c>
      <c r="C2694" s="70"/>
    </row>
    <row r="2695" spans="1:3" x14ac:dyDescent="0.35">
      <c r="A2695" s="70" t="s">
        <v>255</v>
      </c>
      <c r="B2695" s="70">
        <v>1980</v>
      </c>
      <c r="C2695" s="70"/>
    </row>
    <row r="2696" spans="1:3" x14ac:dyDescent="0.35">
      <c r="A2696" s="70" t="s">
        <v>255</v>
      </c>
      <c r="B2696" s="70">
        <v>1981</v>
      </c>
      <c r="C2696" s="70"/>
    </row>
    <row r="2697" spans="1:3" x14ac:dyDescent="0.35">
      <c r="A2697" s="70" t="s">
        <v>255</v>
      </c>
      <c r="B2697" s="70">
        <v>1982</v>
      </c>
      <c r="C2697" s="70"/>
    </row>
    <row r="2698" spans="1:3" x14ac:dyDescent="0.35">
      <c r="A2698" s="70" t="s">
        <v>255</v>
      </c>
      <c r="B2698" s="70">
        <v>1983</v>
      </c>
      <c r="C2698" s="70"/>
    </row>
    <row r="2699" spans="1:3" x14ac:dyDescent="0.35">
      <c r="A2699" s="70" t="s">
        <v>255</v>
      </c>
      <c r="B2699" s="70">
        <v>1984</v>
      </c>
      <c r="C2699" s="70"/>
    </row>
    <row r="2700" spans="1:3" x14ac:dyDescent="0.35">
      <c r="A2700" s="70" t="s">
        <v>255</v>
      </c>
      <c r="B2700" s="70">
        <v>1985</v>
      </c>
      <c r="C2700" s="70"/>
    </row>
    <row r="2701" spans="1:3" x14ac:dyDescent="0.35">
      <c r="A2701" s="70" t="s">
        <v>255</v>
      </c>
      <c r="B2701" s="70">
        <v>1986</v>
      </c>
      <c r="C2701" s="70"/>
    </row>
    <row r="2702" spans="1:3" x14ac:dyDescent="0.35">
      <c r="A2702" s="70" t="s">
        <v>255</v>
      </c>
      <c r="B2702" s="70">
        <v>1987</v>
      </c>
      <c r="C2702" s="70"/>
    </row>
    <row r="2703" spans="1:3" x14ac:dyDescent="0.35">
      <c r="A2703" s="70" t="s">
        <v>255</v>
      </c>
      <c r="B2703" s="70">
        <v>1988</v>
      </c>
      <c r="C2703" s="70"/>
    </row>
    <row r="2704" spans="1:3" x14ac:dyDescent="0.35">
      <c r="A2704" s="70" t="s">
        <v>255</v>
      </c>
      <c r="B2704" s="70">
        <v>1989</v>
      </c>
      <c r="C2704" s="70"/>
    </row>
    <row r="2705" spans="1:3" x14ac:dyDescent="0.35">
      <c r="A2705" s="70" t="s">
        <v>255</v>
      </c>
      <c r="B2705" s="70">
        <v>1990</v>
      </c>
      <c r="C2705" s="70"/>
    </row>
    <row r="2706" spans="1:3" x14ac:dyDescent="0.35">
      <c r="A2706" s="70" t="s">
        <v>255</v>
      </c>
      <c r="B2706" s="70">
        <v>1991</v>
      </c>
      <c r="C2706" s="70"/>
    </row>
    <row r="2707" spans="1:3" x14ac:dyDescent="0.35">
      <c r="A2707" s="70" t="s">
        <v>255</v>
      </c>
      <c r="B2707" s="70">
        <v>1992</v>
      </c>
      <c r="C2707" s="70"/>
    </row>
    <row r="2708" spans="1:3" x14ac:dyDescent="0.35">
      <c r="A2708" s="70" t="s">
        <v>255</v>
      </c>
      <c r="B2708" s="70">
        <v>1993</v>
      </c>
      <c r="C2708" s="70"/>
    </row>
    <row r="2709" spans="1:3" x14ac:dyDescent="0.35">
      <c r="A2709" s="70" t="s">
        <v>255</v>
      </c>
      <c r="B2709" s="70">
        <v>1994</v>
      </c>
      <c r="C2709" s="70"/>
    </row>
    <row r="2710" spans="1:3" x14ac:dyDescent="0.35">
      <c r="A2710" s="70" t="s">
        <v>255</v>
      </c>
      <c r="B2710" s="70">
        <v>1995</v>
      </c>
      <c r="C2710" s="70"/>
    </row>
    <row r="2711" spans="1:3" x14ac:dyDescent="0.35">
      <c r="A2711" s="70" t="s">
        <v>255</v>
      </c>
      <c r="B2711" s="70">
        <v>1996</v>
      </c>
      <c r="C2711" s="70"/>
    </row>
    <row r="2712" spans="1:3" x14ac:dyDescent="0.35">
      <c r="A2712" s="70" t="s">
        <v>255</v>
      </c>
      <c r="B2712" s="70">
        <v>1997</v>
      </c>
      <c r="C2712" s="70"/>
    </row>
    <row r="2713" spans="1:3" x14ac:dyDescent="0.35">
      <c r="A2713" s="70" t="s">
        <v>255</v>
      </c>
      <c r="B2713" s="70">
        <v>1998</v>
      </c>
      <c r="C2713" s="70"/>
    </row>
    <row r="2714" spans="1:3" x14ac:dyDescent="0.35">
      <c r="A2714" s="70" t="s">
        <v>255</v>
      </c>
      <c r="B2714" s="70">
        <v>1999</v>
      </c>
      <c r="C2714" s="70"/>
    </row>
    <row r="2715" spans="1:3" x14ac:dyDescent="0.35">
      <c r="A2715" s="70" t="s">
        <v>255</v>
      </c>
      <c r="B2715" s="70">
        <v>2000</v>
      </c>
      <c r="C2715" s="70"/>
    </row>
    <row r="2716" spans="1:3" x14ac:dyDescent="0.35">
      <c r="A2716" s="70" t="s">
        <v>255</v>
      </c>
      <c r="B2716" s="70">
        <v>2001</v>
      </c>
      <c r="C2716" s="70"/>
    </row>
    <row r="2717" spans="1:3" x14ac:dyDescent="0.35">
      <c r="A2717" s="70" t="s">
        <v>255</v>
      </c>
      <c r="B2717" s="70">
        <v>2002</v>
      </c>
      <c r="C2717" s="70"/>
    </row>
    <row r="2718" spans="1:3" x14ac:dyDescent="0.35">
      <c r="A2718" s="70" t="s">
        <v>255</v>
      </c>
      <c r="B2718" s="70">
        <v>2003</v>
      </c>
      <c r="C2718" s="70"/>
    </row>
    <row r="2719" spans="1:3" x14ac:dyDescent="0.35">
      <c r="A2719" s="70" t="s">
        <v>255</v>
      </c>
      <c r="B2719" s="70">
        <v>2004</v>
      </c>
      <c r="C2719" s="70"/>
    </row>
    <row r="2720" spans="1:3" x14ac:dyDescent="0.35">
      <c r="A2720" s="70" t="s">
        <v>255</v>
      </c>
      <c r="B2720" s="70">
        <v>2005</v>
      </c>
      <c r="C2720" s="70"/>
    </row>
    <row r="2721" spans="1:3" x14ac:dyDescent="0.35">
      <c r="A2721" s="70" t="s">
        <v>255</v>
      </c>
      <c r="B2721" s="70">
        <v>2006</v>
      </c>
      <c r="C2721" s="70"/>
    </row>
    <row r="2722" spans="1:3" x14ac:dyDescent="0.35">
      <c r="A2722" s="70" t="s">
        <v>255</v>
      </c>
      <c r="B2722" s="70">
        <v>2007</v>
      </c>
      <c r="C2722" s="70"/>
    </row>
    <row r="2723" spans="1:3" x14ac:dyDescent="0.35">
      <c r="A2723" s="70" t="s">
        <v>255</v>
      </c>
      <c r="B2723" s="70">
        <v>2008</v>
      </c>
      <c r="C2723" s="70"/>
    </row>
    <row r="2724" spans="1:3" x14ac:dyDescent="0.35">
      <c r="A2724" s="70" t="s">
        <v>255</v>
      </c>
      <c r="B2724" s="70">
        <v>2009</v>
      </c>
      <c r="C2724" s="70"/>
    </row>
    <row r="2725" spans="1:3" x14ac:dyDescent="0.35">
      <c r="A2725" s="70" t="s">
        <v>255</v>
      </c>
      <c r="B2725" s="70">
        <v>2010</v>
      </c>
      <c r="C2725" s="70"/>
    </row>
    <row r="2726" spans="1:3" x14ac:dyDescent="0.35">
      <c r="A2726" s="70" t="s">
        <v>255</v>
      </c>
      <c r="B2726" s="70">
        <v>2011</v>
      </c>
      <c r="C2726" s="70"/>
    </row>
    <row r="2727" spans="1:3" x14ac:dyDescent="0.35">
      <c r="A2727" s="70" t="s">
        <v>255</v>
      </c>
      <c r="B2727" s="70">
        <v>2012</v>
      </c>
      <c r="C2727" s="70"/>
    </row>
    <row r="2728" spans="1:3" x14ac:dyDescent="0.35">
      <c r="A2728" s="70" t="s">
        <v>255</v>
      </c>
      <c r="B2728" s="70">
        <v>2013</v>
      </c>
      <c r="C2728" s="70"/>
    </row>
    <row r="2729" spans="1:3" x14ac:dyDescent="0.35">
      <c r="A2729" s="70" t="s">
        <v>255</v>
      </c>
      <c r="B2729" s="70">
        <v>2014</v>
      </c>
      <c r="C2729" s="70"/>
    </row>
    <row r="2730" spans="1:3" x14ac:dyDescent="0.35">
      <c r="A2730" s="70" t="s">
        <v>255</v>
      </c>
      <c r="B2730" s="70">
        <v>2015</v>
      </c>
      <c r="C2730" s="70"/>
    </row>
    <row r="2731" spans="1:3" x14ac:dyDescent="0.35">
      <c r="A2731" s="70" t="s">
        <v>255</v>
      </c>
      <c r="B2731" s="70">
        <v>2016</v>
      </c>
      <c r="C2731" s="70"/>
    </row>
    <row r="2732" spans="1:3" x14ac:dyDescent="0.35">
      <c r="A2732" s="70" t="s">
        <v>255</v>
      </c>
      <c r="B2732" s="70">
        <v>2017</v>
      </c>
      <c r="C2732" s="70"/>
    </row>
    <row r="2733" spans="1:3" x14ac:dyDescent="0.35">
      <c r="A2733" s="70" t="s">
        <v>255</v>
      </c>
      <c r="B2733" s="70">
        <v>2018</v>
      </c>
      <c r="C2733" s="70"/>
    </row>
    <row r="2734" spans="1:3" x14ac:dyDescent="0.35">
      <c r="A2734" s="70" t="s">
        <v>256</v>
      </c>
      <c r="B2734" s="70">
        <v>1980</v>
      </c>
      <c r="C2734" s="70"/>
    </row>
    <row r="2735" spans="1:3" x14ac:dyDescent="0.35">
      <c r="A2735" s="70" t="s">
        <v>256</v>
      </c>
      <c r="B2735" s="70">
        <v>1981</v>
      </c>
      <c r="C2735" s="70"/>
    </row>
    <row r="2736" spans="1:3" x14ac:dyDescent="0.35">
      <c r="A2736" s="70" t="s">
        <v>256</v>
      </c>
      <c r="B2736" s="70">
        <v>1982</v>
      </c>
      <c r="C2736" s="70"/>
    </row>
    <row r="2737" spans="1:3" x14ac:dyDescent="0.35">
      <c r="A2737" s="70" t="s">
        <v>256</v>
      </c>
      <c r="B2737" s="70">
        <v>1983</v>
      </c>
      <c r="C2737" s="70"/>
    </row>
    <row r="2738" spans="1:3" x14ac:dyDescent="0.35">
      <c r="A2738" s="70" t="s">
        <v>256</v>
      </c>
      <c r="B2738" s="70">
        <v>1984</v>
      </c>
      <c r="C2738" s="70"/>
    </row>
    <row r="2739" spans="1:3" x14ac:dyDescent="0.35">
      <c r="A2739" s="70" t="s">
        <v>256</v>
      </c>
      <c r="B2739" s="70">
        <v>1985</v>
      </c>
      <c r="C2739" s="70"/>
    </row>
    <row r="2740" spans="1:3" x14ac:dyDescent="0.35">
      <c r="A2740" s="70" t="s">
        <v>256</v>
      </c>
      <c r="B2740" s="70">
        <v>1986</v>
      </c>
      <c r="C2740" s="70"/>
    </row>
    <row r="2741" spans="1:3" x14ac:dyDescent="0.35">
      <c r="A2741" s="70" t="s">
        <v>256</v>
      </c>
      <c r="B2741" s="70">
        <v>1987</v>
      </c>
      <c r="C2741" s="70"/>
    </row>
    <row r="2742" spans="1:3" x14ac:dyDescent="0.35">
      <c r="A2742" s="70" t="s">
        <v>256</v>
      </c>
      <c r="B2742" s="70">
        <v>1988</v>
      </c>
      <c r="C2742" s="70"/>
    </row>
    <row r="2743" spans="1:3" x14ac:dyDescent="0.35">
      <c r="A2743" s="70" t="s">
        <v>256</v>
      </c>
      <c r="B2743" s="70">
        <v>1989</v>
      </c>
      <c r="C2743" s="70"/>
    </row>
    <row r="2744" spans="1:3" x14ac:dyDescent="0.35">
      <c r="A2744" s="70" t="s">
        <v>256</v>
      </c>
      <c r="B2744" s="70">
        <v>1990</v>
      </c>
      <c r="C2744" s="70"/>
    </row>
    <row r="2745" spans="1:3" x14ac:dyDescent="0.35">
      <c r="A2745" s="70" t="s">
        <v>256</v>
      </c>
      <c r="B2745" s="70">
        <v>1991</v>
      </c>
      <c r="C2745" s="70"/>
    </row>
    <row r="2746" spans="1:3" x14ac:dyDescent="0.35">
      <c r="A2746" s="70" t="s">
        <v>256</v>
      </c>
      <c r="B2746" s="70">
        <v>1992</v>
      </c>
      <c r="C2746" s="70"/>
    </row>
    <row r="2747" spans="1:3" x14ac:dyDescent="0.35">
      <c r="A2747" s="70" t="s">
        <v>256</v>
      </c>
      <c r="B2747" s="70">
        <v>1993</v>
      </c>
      <c r="C2747" s="70"/>
    </row>
    <row r="2748" spans="1:3" x14ac:dyDescent="0.35">
      <c r="A2748" s="70" t="s">
        <v>256</v>
      </c>
      <c r="B2748" s="70">
        <v>1994</v>
      </c>
      <c r="C2748" s="70"/>
    </row>
    <row r="2749" spans="1:3" x14ac:dyDescent="0.35">
      <c r="A2749" s="70" t="s">
        <v>256</v>
      </c>
      <c r="B2749" s="70">
        <v>1995</v>
      </c>
      <c r="C2749" s="70"/>
    </row>
    <row r="2750" spans="1:3" x14ac:dyDescent="0.35">
      <c r="A2750" s="70" t="s">
        <v>256</v>
      </c>
      <c r="B2750" s="70">
        <v>1996</v>
      </c>
      <c r="C2750" s="70"/>
    </row>
    <row r="2751" spans="1:3" x14ac:dyDescent="0.35">
      <c r="A2751" s="70" t="s">
        <v>256</v>
      </c>
      <c r="B2751" s="70">
        <v>1997</v>
      </c>
      <c r="C2751" s="70"/>
    </row>
    <row r="2752" spans="1:3" x14ac:dyDescent="0.35">
      <c r="A2752" s="70" t="s">
        <v>256</v>
      </c>
      <c r="B2752" s="70">
        <v>1998</v>
      </c>
      <c r="C2752" s="70"/>
    </row>
    <row r="2753" spans="1:3" x14ac:dyDescent="0.35">
      <c r="A2753" s="70" t="s">
        <v>256</v>
      </c>
      <c r="B2753" s="70">
        <v>1999</v>
      </c>
      <c r="C2753" s="70"/>
    </row>
    <row r="2754" spans="1:3" x14ac:dyDescent="0.35">
      <c r="A2754" s="70" t="s">
        <v>256</v>
      </c>
      <c r="B2754" s="70">
        <v>2000</v>
      </c>
      <c r="C2754" s="70"/>
    </row>
    <row r="2755" spans="1:3" x14ac:dyDescent="0.35">
      <c r="A2755" s="70" t="s">
        <v>256</v>
      </c>
      <c r="B2755" s="70">
        <v>2001</v>
      </c>
      <c r="C2755" s="70"/>
    </row>
    <row r="2756" spans="1:3" x14ac:dyDescent="0.35">
      <c r="A2756" s="70" t="s">
        <v>256</v>
      </c>
      <c r="B2756" s="70">
        <v>2002</v>
      </c>
      <c r="C2756" s="70"/>
    </row>
    <row r="2757" spans="1:3" x14ac:dyDescent="0.35">
      <c r="A2757" s="70" t="s">
        <v>256</v>
      </c>
      <c r="B2757" s="70">
        <v>2003</v>
      </c>
      <c r="C2757" s="70"/>
    </row>
    <row r="2758" spans="1:3" x14ac:dyDescent="0.35">
      <c r="A2758" s="70" t="s">
        <v>256</v>
      </c>
      <c r="B2758" s="70">
        <v>2004</v>
      </c>
      <c r="C2758" s="70"/>
    </row>
    <row r="2759" spans="1:3" x14ac:dyDescent="0.35">
      <c r="A2759" s="70" t="s">
        <v>256</v>
      </c>
      <c r="B2759" s="70">
        <v>2005</v>
      </c>
      <c r="C2759" s="70"/>
    </row>
    <row r="2760" spans="1:3" x14ac:dyDescent="0.35">
      <c r="A2760" s="70" t="s">
        <v>256</v>
      </c>
      <c r="B2760" s="70">
        <v>2006</v>
      </c>
      <c r="C2760" s="70"/>
    </row>
    <row r="2761" spans="1:3" x14ac:dyDescent="0.35">
      <c r="A2761" s="70" t="s">
        <v>256</v>
      </c>
      <c r="B2761" s="70">
        <v>2007</v>
      </c>
      <c r="C2761" s="70"/>
    </row>
    <row r="2762" spans="1:3" x14ac:dyDescent="0.35">
      <c r="A2762" s="70" t="s">
        <v>256</v>
      </c>
      <c r="B2762" s="70">
        <v>2008</v>
      </c>
      <c r="C2762" s="70"/>
    </row>
    <row r="2763" spans="1:3" x14ac:dyDescent="0.35">
      <c r="A2763" s="70" t="s">
        <v>256</v>
      </c>
      <c r="B2763" s="70">
        <v>2009</v>
      </c>
      <c r="C2763" s="70"/>
    </row>
    <row r="2764" spans="1:3" x14ac:dyDescent="0.35">
      <c r="A2764" s="70" t="s">
        <v>256</v>
      </c>
      <c r="B2764" s="70">
        <v>2010</v>
      </c>
      <c r="C2764" s="70"/>
    </row>
    <row r="2765" spans="1:3" x14ac:dyDescent="0.35">
      <c r="A2765" s="70" t="s">
        <v>256</v>
      </c>
      <c r="B2765" s="70">
        <v>2011</v>
      </c>
      <c r="C2765" s="70"/>
    </row>
    <row r="2766" spans="1:3" x14ac:dyDescent="0.35">
      <c r="A2766" s="70" t="s">
        <v>256</v>
      </c>
      <c r="B2766" s="70">
        <v>2012</v>
      </c>
      <c r="C2766" s="70"/>
    </row>
    <row r="2767" spans="1:3" x14ac:dyDescent="0.35">
      <c r="A2767" s="70" t="s">
        <v>256</v>
      </c>
      <c r="B2767" s="70">
        <v>2013</v>
      </c>
      <c r="C2767" s="70"/>
    </row>
    <row r="2768" spans="1:3" x14ac:dyDescent="0.35">
      <c r="A2768" s="70" t="s">
        <v>256</v>
      </c>
      <c r="B2768" s="70">
        <v>2014</v>
      </c>
      <c r="C2768" s="70"/>
    </row>
    <row r="2769" spans="1:3" x14ac:dyDescent="0.35">
      <c r="A2769" s="70" t="s">
        <v>256</v>
      </c>
      <c r="B2769" s="70">
        <v>2015</v>
      </c>
      <c r="C2769" s="70"/>
    </row>
    <row r="2770" spans="1:3" x14ac:dyDescent="0.35">
      <c r="A2770" s="70" t="s">
        <v>256</v>
      </c>
      <c r="B2770" s="70">
        <v>2016</v>
      </c>
      <c r="C2770" s="70"/>
    </row>
    <row r="2771" spans="1:3" x14ac:dyDescent="0.35">
      <c r="A2771" s="70" t="s">
        <v>256</v>
      </c>
      <c r="B2771" s="70">
        <v>2017</v>
      </c>
      <c r="C2771" s="70"/>
    </row>
    <row r="2772" spans="1:3" x14ac:dyDescent="0.35">
      <c r="A2772" s="70" t="s">
        <v>256</v>
      </c>
      <c r="B2772" s="70">
        <v>2018</v>
      </c>
      <c r="C2772" s="70"/>
    </row>
    <row r="2773" spans="1:3" x14ac:dyDescent="0.35">
      <c r="A2773" s="70" t="s">
        <v>257</v>
      </c>
      <c r="B2773" s="70">
        <v>1980</v>
      </c>
      <c r="C2773" s="70"/>
    </row>
    <row r="2774" spans="1:3" x14ac:dyDescent="0.35">
      <c r="A2774" s="70" t="s">
        <v>257</v>
      </c>
      <c r="B2774" s="70">
        <v>1981</v>
      </c>
      <c r="C2774" s="70"/>
    </row>
    <row r="2775" spans="1:3" x14ac:dyDescent="0.35">
      <c r="A2775" s="70" t="s">
        <v>257</v>
      </c>
      <c r="B2775" s="70">
        <v>1982</v>
      </c>
      <c r="C2775" s="70"/>
    </row>
    <row r="2776" spans="1:3" x14ac:dyDescent="0.35">
      <c r="A2776" s="70" t="s">
        <v>257</v>
      </c>
      <c r="B2776" s="70">
        <v>1983</v>
      </c>
      <c r="C2776" s="70"/>
    </row>
    <row r="2777" spans="1:3" x14ac:dyDescent="0.35">
      <c r="A2777" s="70" t="s">
        <v>257</v>
      </c>
      <c r="B2777" s="70">
        <v>1984</v>
      </c>
      <c r="C2777" s="70"/>
    </row>
    <row r="2778" spans="1:3" x14ac:dyDescent="0.35">
      <c r="A2778" s="70" t="s">
        <v>257</v>
      </c>
      <c r="B2778" s="70">
        <v>1985</v>
      </c>
      <c r="C2778" s="70"/>
    </row>
    <row r="2779" spans="1:3" x14ac:dyDescent="0.35">
      <c r="A2779" s="70" t="s">
        <v>257</v>
      </c>
      <c r="B2779" s="70">
        <v>1986</v>
      </c>
      <c r="C2779" s="70"/>
    </row>
    <row r="2780" spans="1:3" x14ac:dyDescent="0.35">
      <c r="A2780" s="70" t="s">
        <v>257</v>
      </c>
      <c r="B2780" s="70">
        <v>1987</v>
      </c>
      <c r="C2780" s="70"/>
    </row>
    <row r="2781" spans="1:3" x14ac:dyDescent="0.35">
      <c r="A2781" s="70" t="s">
        <v>257</v>
      </c>
      <c r="B2781" s="70">
        <v>1988</v>
      </c>
      <c r="C2781" s="70"/>
    </row>
    <row r="2782" spans="1:3" x14ac:dyDescent="0.35">
      <c r="A2782" s="70" t="s">
        <v>257</v>
      </c>
      <c r="B2782" s="70">
        <v>1989</v>
      </c>
      <c r="C2782" s="70"/>
    </row>
    <row r="2783" spans="1:3" x14ac:dyDescent="0.35">
      <c r="A2783" s="70" t="s">
        <v>257</v>
      </c>
      <c r="B2783" s="70">
        <v>1990</v>
      </c>
      <c r="C2783" s="70"/>
    </row>
    <row r="2784" spans="1:3" x14ac:dyDescent="0.35">
      <c r="A2784" s="70" t="s">
        <v>257</v>
      </c>
      <c r="B2784" s="70">
        <v>1991</v>
      </c>
      <c r="C2784" s="70"/>
    </row>
    <row r="2785" spans="1:3" x14ac:dyDescent="0.35">
      <c r="A2785" s="70" t="s">
        <v>257</v>
      </c>
      <c r="B2785" s="70">
        <v>1992</v>
      </c>
      <c r="C2785" s="70"/>
    </row>
    <row r="2786" spans="1:3" x14ac:dyDescent="0.35">
      <c r="A2786" s="70" t="s">
        <v>257</v>
      </c>
      <c r="B2786" s="70">
        <v>1993</v>
      </c>
      <c r="C2786" s="70"/>
    </row>
    <row r="2787" spans="1:3" x14ac:dyDescent="0.35">
      <c r="A2787" s="70" t="s">
        <v>257</v>
      </c>
      <c r="B2787" s="70">
        <v>1994</v>
      </c>
      <c r="C2787" s="70"/>
    </row>
    <row r="2788" spans="1:3" x14ac:dyDescent="0.35">
      <c r="A2788" s="70" t="s">
        <v>257</v>
      </c>
      <c r="B2788" s="70">
        <v>1995</v>
      </c>
      <c r="C2788" s="70"/>
    </row>
    <row r="2789" spans="1:3" x14ac:dyDescent="0.35">
      <c r="A2789" s="70" t="s">
        <v>257</v>
      </c>
      <c r="B2789" s="70">
        <v>1996</v>
      </c>
      <c r="C2789" s="70"/>
    </row>
    <row r="2790" spans="1:3" x14ac:dyDescent="0.35">
      <c r="A2790" s="70" t="s">
        <v>257</v>
      </c>
      <c r="B2790" s="70">
        <v>1997</v>
      </c>
      <c r="C2790" s="70"/>
    </row>
    <row r="2791" spans="1:3" x14ac:dyDescent="0.35">
      <c r="A2791" s="70" t="s">
        <v>257</v>
      </c>
      <c r="B2791" s="70">
        <v>1998</v>
      </c>
      <c r="C2791" s="70"/>
    </row>
    <row r="2792" spans="1:3" x14ac:dyDescent="0.35">
      <c r="A2792" s="70" t="s">
        <v>257</v>
      </c>
      <c r="B2792" s="70">
        <v>1999</v>
      </c>
      <c r="C2792" s="70"/>
    </row>
    <row r="2793" spans="1:3" x14ac:dyDescent="0.35">
      <c r="A2793" s="70" t="s">
        <v>257</v>
      </c>
      <c r="B2793" s="70">
        <v>2000</v>
      </c>
      <c r="C2793" s="70"/>
    </row>
    <row r="2794" spans="1:3" x14ac:dyDescent="0.35">
      <c r="A2794" s="70" t="s">
        <v>257</v>
      </c>
      <c r="B2794" s="70">
        <v>2001</v>
      </c>
      <c r="C2794" s="70"/>
    </row>
    <row r="2795" spans="1:3" x14ac:dyDescent="0.35">
      <c r="A2795" s="70" t="s">
        <v>257</v>
      </c>
      <c r="B2795" s="70">
        <v>2002</v>
      </c>
      <c r="C2795" s="70"/>
    </row>
    <row r="2796" spans="1:3" x14ac:dyDescent="0.35">
      <c r="A2796" s="70" t="s">
        <v>257</v>
      </c>
      <c r="B2796" s="70">
        <v>2003</v>
      </c>
      <c r="C2796" s="70"/>
    </row>
    <row r="2797" spans="1:3" x14ac:dyDescent="0.35">
      <c r="A2797" s="70" t="s">
        <v>257</v>
      </c>
      <c r="B2797" s="70">
        <v>2004</v>
      </c>
      <c r="C2797" s="70"/>
    </row>
    <row r="2798" spans="1:3" x14ac:dyDescent="0.35">
      <c r="A2798" s="70" t="s">
        <v>257</v>
      </c>
      <c r="B2798" s="70">
        <v>2005</v>
      </c>
      <c r="C2798" s="70"/>
    </row>
    <row r="2799" spans="1:3" x14ac:dyDescent="0.35">
      <c r="A2799" s="70" t="s">
        <v>257</v>
      </c>
      <c r="B2799" s="70">
        <v>2006</v>
      </c>
      <c r="C2799" s="70"/>
    </row>
    <row r="2800" spans="1:3" x14ac:dyDescent="0.35">
      <c r="A2800" s="70" t="s">
        <v>257</v>
      </c>
      <c r="B2800" s="70">
        <v>2007</v>
      </c>
      <c r="C2800" s="70"/>
    </row>
    <row r="2801" spans="1:3" x14ac:dyDescent="0.35">
      <c r="A2801" s="70" t="s">
        <v>257</v>
      </c>
      <c r="B2801" s="70">
        <v>2008</v>
      </c>
      <c r="C2801" s="70"/>
    </row>
    <row r="2802" spans="1:3" x14ac:dyDescent="0.35">
      <c r="A2802" s="70" t="s">
        <v>257</v>
      </c>
      <c r="B2802" s="70">
        <v>2009</v>
      </c>
      <c r="C2802" s="70"/>
    </row>
    <row r="2803" spans="1:3" x14ac:dyDescent="0.35">
      <c r="A2803" s="70" t="s">
        <v>257</v>
      </c>
      <c r="B2803" s="70">
        <v>2010</v>
      </c>
      <c r="C2803" s="70"/>
    </row>
    <row r="2804" spans="1:3" x14ac:dyDescent="0.35">
      <c r="A2804" s="70" t="s">
        <v>257</v>
      </c>
      <c r="B2804" s="70">
        <v>2011</v>
      </c>
      <c r="C2804" s="70"/>
    </row>
    <row r="2805" spans="1:3" x14ac:dyDescent="0.35">
      <c r="A2805" s="70" t="s">
        <v>257</v>
      </c>
      <c r="B2805" s="70">
        <v>2012</v>
      </c>
      <c r="C2805" s="70"/>
    </row>
    <row r="2806" spans="1:3" x14ac:dyDescent="0.35">
      <c r="A2806" s="70" t="s">
        <v>257</v>
      </c>
      <c r="B2806" s="70">
        <v>2013</v>
      </c>
      <c r="C2806" s="70"/>
    </row>
    <row r="2807" spans="1:3" x14ac:dyDescent="0.35">
      <c r="A2807" s="70" t="s">
        <v>257</v>
      </c>
      <c r="B2807" s="70">
        <v>2014</v>
      </c>
      <c r="C2807" s="70"/>
    </row>
    <row r="2808" spans="1:3" x14ac:dyDescent="0.35">
      <c r="A2808" s="70" t="s">
        <v>257</v>
      </c>
      <c r="B2808" s="70">
        <v>2015</v>
      </c>
      <c r="C2808" s="70"/>
    </row>
    <row r="2809" spans="1:3" x14ac:dyDescent="0.35">
      <c r="A2809" s="70" t="s">
        <v>257</v>
      </c>
      <c r="B2809" s="70">
        <v>2016</v>
      </c>
      <c r="C2809" s="70"/>
    </row>
    <row r="2810" spans="1:3" x14ac:dyDescent="0.35">
      <c r="A2810" s="70" t="s">
        <v>257</v>
      </c>
      <c r="B2810" s="70">
        <v>2017</v>
      </c>
      <c r="C2810" s="70"/>
    </row>
    <row r="2811" spans="1:3" x14ac:dyDescent="0.35">
      <c r="A2811" s="70" t="s">
        <v>257</v>
      </c>
      <c r="B2811" s="70">
        <v>2018</v>
      </c>
      <c r="C2811" s="70"/>
    </row>
    <row r="2812" spans="1:3" x14ac:dyDescent="0.35">
      <c r="A2812" s="70" t="s">
        <v>258</v>
      </c>
      <c r="B2812" s="70">
        <v>1980</v>
      </c>
      <c r="C2812" s="70"/>
    </row>
    <row r="2813" spans="1:3" x14ac:dyDescent="0.35">
      <c r="A2813" s="70" t="s">
        <v>258</v>
      </c>
      <c r="B2813" s="70">
        <v>1981</v>
      </c>
      <c r="C2813" s="70"/>
    </row>
    <row r="2814" spans="1:3" x14ac:dyDescent="0.35">
      <c r="A2814" s="70" t="s">
        <v>258</v>
      </c>
      <c r="B2814" s="70">
        <v>1982</v>
      </c>
      <c r="C2814" s="70"/>
    </row>
    <row r="2815" spans="1:3" x14ac:dyDescent="0.35">
      <c r="A2815" s="70" t="s">
        <v>258</v>
      </c>
      <c r="B2815" s="70">
        <v>1983</v>
      </c>
      <c r="C2815" s="70"/>
    </row>
    <row r="2816" spans="1:3" x14ac:dyDescent="0.35">
      <c r="A2816" s="70" t="s">
        <v>258</v>
      </c>
      <c r="B2816" s="70">
        <v>1984</v>
      </c>
      <c r="C2816" s="70"/>
    </row>
    <row r="2817" spans="1:3" x14ac:dyDescent="0.35">
      <c r="A2817" s="70" t="s">
        <v>258</v>
      </c>
      <c r="B2817" s="70">
        <v>1985</v>
      </c>
      <c r="C2817" s="70"/>
    </row>
    <row r="2818" spans="1:3" x14ac:dyDescent="0.35">
      <c r="A2818" s="70" t="s">
        <v>258</v>
      </c>
      <c r="B2818" s="70">
        <v>1986</v>
      </c>
      <c r="C2818" s="70"/>
    </row>
    <row r="2819" spans="1:3" x14ac:dyDescent="0.35">
      <c r="A2819" s="70" t="s">
        <v>258</v>
      </c>
      <c r="B2819" s="70">
        <v>1987</v>
      </c>
      <c r="C2819" s="70"/>
    </row>
    <row r="2820" spans="1:3" x14ac:dyDescent="0.35">
      <c r="A2820" s="70" t="s">
        <v>258</v>
      </c>
      <c r="B2820" s="70">
        <v>1988</v>
      </c>
      <c r="C2820" s="70"/>
    </row>
    <row r="2821" spans="1:3" x14ac:dyDescent="0.35">
      <c r="A2821" s="70" t="s">
        <v>258</v>
      </c>
      <c r="B2821" s="70">
        <v>1989</v>
      </c>
      <c r="C2821" s="70"/>
    </row>
    <row r="2822" spans="1:3" x14ac:dyDescent="0.35">
      <c r="A2822" s="70" t="s">
        <v>258</v>
      </c>
      <c r="B2822" s="70">
        <v>1990</v>
      </c>
      <c r="C2822" s="70"/>
    </row>
    <row r="2823" spans="1:3" x14ac:dyDescent="0.35">
      <c r="A2823" s="70" t="s">
        <v>258</v>
      </c>
      <c r="B2823" s="70">
        <v>1991</v>
      </c>
      <c r="C2823" s="70"/>
    </row>
    <row r="2824" spans="1:3" x14ac:dyDescent="0.35">
      <c r="A2824" s="70" t="s">
        <v>258</v>
      </c>
      <c r="B2824" s="70">
        <v>1992</v>
      </c>
      <c r="C2824" s="70"/>
    </row>
    <row r="2825" spans="1:3" x14ac:dyDescent="0.35">
      <c r="A2825" s="70" t="s">
        <v>258</v>
      </c>
      <c r="B2825" s="70">
        <v>1993</v>
      </c>
      <c r="C2825" s="70"/>
    </row>
    <row r="2826" spans="1:3" x14ac:dyDescent="0.35">
      <c r="A2826" s="70" t="s">
        <v>258</v>
      </c>
      <c r="B2826" s="70">
        <v>1994</v>
      </c>
      <c r="C2826" s="70"/>
    </row>
    <row r="2827" spans="1:3" x14ac:dyDescent="0.35">
      <c r="A2827" s="70" t="s">
        <v>258</v>
      </c>
      <c r="B2827" s="70">
        <v>1995</v>
      </c>
      <c r="C2827" s="70"/>
    </row>
    <row r="2828" spans="1:3" x14ac:dyDescent="0.35">
      <c r="A2828" s="70" t="s">
        <v>258</v>
      </c>
      <c r="B2828" s="70">
        <v>1996</v>
      </c>
      <c r="C2828" s="70"/>
    </row>
    <row r="2829" spans="1:3" x14ac:dyDescent="0.35">
      <c r="A2829" s="70" t="s">
        <v>258</v>
      </c>
      <c r="B2829" s="70">
        <v>1997</v>
      </c>
      <c r="C2829" s="70"/>
    </row>
    <row r="2830" spans="1:3" x14ac:dyDescent="0.35">
      <c r="A2830" s="70" t="s">
        <v>258</v>
      </c>
      <c r="B2830" s="70">
        <v>1998</v>
      </c>
      <c r="C2830" s="70"/>
    </row>
    <row r="2831" spans="1:3" x14ac:dyDescent="0.35">
      <c r="A2831" s="70" t="s">
        <v>258</v>
      </c>
      <c r="B2831" s="70">
        <v>1999</v>
      </c>
      <c r="C2831" s="70"/>
    </row>
    <row r="2832" spans="1:3" x14ac:dyDescent="0.35">
      <c r="A2832" s="70" t="s">
        <v>258</v>
      </c>
      <c r="B2832" s="70">
        <v>2000</v>
      </c>
      <c r="C2832" s="70"/>
    </row>
    <row r="2833" spans="1:3" x14ac:dyDescent="0.35">
      <c r="A2833" s="70" t="s">
        <v>258</v>
      </c>
      <c r="B2833" s="70">
        <v>2001</v>
      </c>
      <c r="C2833" s="70"/>
    </row>
    <row r="2834" spans="1:3" x14ac:dyDescent="0.35">
      <c r="A2834" s="70" t="s">
        <v>258</v>
      </c>
      <c r="B2834" s="70">
        <v>2002</v>
      </c>
      <c r="C2834" s="70"/>
    </row>
    <row r="2835" spans="1:3" x14ac:dyDescent="0.35">
      <c r="A2835" s="70" t="s">
        <v>258</v>
      </c>
      <c r="B2835" s="70">
        <v>2003</v>
      </c>
      <c r="C2835" s="70"/>
    </row>
    <row r="2836" spans="1:3" x14ac:dyDescent="0.35">
      <c r="A2836" s="70" t="s">
        <v>258</v>
      </c>
      <c r="B2836" s="70">
        <v>2004</v>
      </c>
      <c r="C2836" s="70"/>
    </row>
    <row r="2837" spans="1:3" x14ac:dyDescent="0.35">
      <c r="A2837" s="70" t="s">
        <v>258</v>
      </c>
      <c r="B2837" s="70">
        <v>2005</v>
      </c>
      <c r="C2837" s="70"/>
    </row>
    <row r="2838" spans="1:3" x14ac:dyDescent="0.35">
      <c r="A2838" s="70" t="s">
        <v>258</v>
      </c>
      <c r="B2838" s="70">
        <v>2006</v>
      </c>
      <c r="C2838" s="70"/>
    </row>
    <row r="2839" spans="1:3" x14ac:dyDescent="0.35">
      <c r="A2839" s="70" t="s">
        <v>258</v>
      </c>
      <c r="B2839" s="70">
        <v>2007</v>
      </c>
      <c r="C2839" s="70"/>
    </row>
    <row r="2840" spans="1:3" x14ac:dyDescent="0.35">
      <c r="A2840" s="70" t="s">
        <v>258</v>
      </c>
      <c r="B2840" s="70">
        <v>2008</v>
      </c>
      <c r="C2840" s="70"/>
    </row>
    <row r="2841" spans="1:3" x14ac:dyDescent="0.35">
      <c r="A2841" s="70" t="s">
        <v>258</v>
      </c>
      <c r="B2841" s="70">
        <v>2009</v>
      </c>
      <c r="C2841" s="70"/>
    </row>
    <row r="2842" spans="1:3" x14ac:dyDescent="0.35">
      <c r="A2842" s="70" t="s">
        <v>258</v>
      </c>
      <c r="B2842" s="70">
        <v>2010</v>
      </c>
      <c r="C2842" s="70"/>
    </row>
    <row r="2843" spans="1:3" x14ac:dyDescent="0.35">
      <c r="A2843" s="70" t="s">
        <v>258</v>
      </c>
      <c r="B2843" s="70">
        <v>2011</v>
      </c>
      <c r="C2843" s="70"/>
    </row>
    <row r="2844" spans="1:3" x14ac:dyDescent="0.35">
      <c r="A2844" s="70" t="s">
        <v>258</v>
      </c>
      <c r="B2844" s="70">
        <v>2012</v>
      </c>
      <c r="C2844" s="70"/>
    </row>
    <row r="2845" spans="1:3" x14ac:dyDescent="0.35">
      <c r="A2845" s="70" t="s">
        <v>258</v>
      </c>
      <c r="B2845" s="70">
        <v>2013</v>
      </c>
      <c r="C2845" s="70"/>
    </row>
    <row r="2846" spans="1:3" x14ac:dyDescent="0.35">
      <c r="A2846" s="70" t="s">
        <v>258</v>
      </c>
      <c r="B2846" s="70">
        <v>2014</v>
      </c>
      <c r="C2846" s="70"/>
    </row>
    <row r="2847" spans="1:3" x14ac:dyDescent="0.35">
      <c r="A2847" s="70" t="s">
        <v>258</v>
      </c>
      <c r="B2847" s="70">
        <v>2015</v>
      </c>
      <c r="C2847" s="70"/>
    </row>
    <row r="2848" spans="1:3" x14ac:dyDescent="0.35">
      <c r="A2848" s="70" t="s">
        <v>258</v>
      </c>
      <c r="B2848" s="70">
        <v>2016</v>
      </c>
      <c r="C2848" s="70"/>
    </row>
    <row r="2849" spans="1:3" x14ac:dyDescent="0.35">
      <c r="A2849" s="70" t="s">
        <v>258</v>
      </c>
      <c r="B2849" s="70">
        <v>2017</v>
      </c>
      <c r="C2849" s="70"/>
    </row>
    <row r="2850" spans="1:3" x14ac:dyDescent="0.35">
      <c r="A2850" s="70" t="s">
        <v>258</v>
      </c>
      <c r="B2850" s="70">
        <v>2018</v>
      </c>
      <c r="C2850" s="70"/>
    </row>
    <row r="2851" spans="1:3" x14ac:dyDescent="0.35">
      <c r="A2851" s="70" t="s">
        <v>259</v>
      </c>
      <c r="B2851" s="70">
        <v>1980</v>
      </c>
      <c r="C2851" s="70"/>
    </row>
    <row r="2852" spans="1:3" x14ac:dyDescent="0.35">
      <c r="A2852" s="70" t="s">
        <v>259</v>
      </c>
      <c r="B2852" s="70">
        <v>1981</v>
      </c>
      <c r="C2852" s="70"/>
    </row>
    <row r="2853" spans="1:3" x14ac:dyDescent="0.35">
      <c r="A2853" s="70" t="s">
        <v>259</v>
      </c>
      <c r="B2853" s="70">
        <v>1982</v>
      </c>
      <c r="C2853" s="70"/>
    </row>
    <row r="2854" spans="1:3" x14ac:dyDescent="0.35">
      <c r="A2854" s="70" t="s">
        <v>259</v>
      </c>
      <c r="B2854" s="70">
        <v>1983</v>
      </c>
      <c r="C2854" s="70"/>
    </row>
    <row r="2855" spans="1:3" x14ac:dyDescent="0.35">
      <c r="A2855" s="70" t="s">
        <v>259</v>
      </c>
      <c r="B2855" s="70">
        <v>1984</v>
      </c>
      <c r="C2855" s="70"/>
    </row>
    <row r="2856" spans="1:3" x14ac:dyDescent="0.35">
      <c r="A2856" s="70" t="s">
        <v>259</v>
      </c>
      <c r="B2856" s="70">
        <v>1985</v>
      </c>
      <c r="C2856" s="70"/>
    </row>
    <row r="2857" spans="1:3" x14ac:dyDescent="0.35">
      <c r="A2857" s="70" t="s">
        <v>259</v>
      </c>
      <c r="B2857" s="70">
        <v>1986</v>
      </c>
      <c r="C2857" s="70"/>
    </row>
    <row r="2858" spans="1:3" x14ac:dyDescent="0.35">
      <c r="A2858" s="70" t="s">
        <v>259</v>
      </c>
      <c r="B2858" s="70">
        <v>1987</v>
      </c>
      <c r="C2858" s="70"/>
    </row>
    <row r="2859" spans="1:3" x14ac:dyDescent="0.35">
      <c r="A2859" s="70" t="s">
        <v>259</v>
      </c>
      <c r="B2859" s="70">
        <v>1988</v>
      </c>
      <c r="C2859" s="70"/>
    </row>
    <row r="2860" spans="1:3" x14ac:dyDescent="0.35">
      <c r="A2860" s="70" t="s">
        <v>259</v>
      </c>
      <c r="B2860" s="70">
        <v>1989</v>
      </c>
      <c r="C2860" s="70"/>
    </row>
    <row r="2861" spans="1:3" x14ac:dyDescent="0.35">
      <c r="A2861" s="70" t="s">
        <v>259</v>
      </c>
      <c r="B2861" s="70">
        <v>1990</v>
      </c>
      <c r="C2861" s="70"/>
    </row>
    <row r="2862" spans="1:3" x14ac:dyDescent="0.35">
      <c r="A2862" s="70" t="s">
        <v>259</v>
      </c>
      <c r="B2862" s="70">
        <v>1991</v>
      </c>
      <c r="C2862" s="70"/>
    </row>
    <row r="2863" spans="1:3" x14ac:dyDescent="0.35">
      <c r="A2863" s="70" t="s">
        <v>259</v>
      </c>
      <c r="B2863" s="70">
        <v>1992</v>
      </c>
      <c r="C2863" s="70"/>
    </row>
    <row r="2864" spans="1:3" x14ac:dyDescent="0.35">
      <c r="A2864" s="70" t="s">
        <v>259</v>
      </c>
      <c r="B2864" s="70">
        <v>1993</v>
      </c>
      <c r="C2864" s="70"/>
    </row>
    <row r="2865" spans="1:3" x14ac:dyDescent="0.35">
      <c r="A2865" s="70" t="s">
        <v>259</v>
      </c>
      <c r="B2865" s="70">
        <v>1994</v>
      </c>
      <c r="C2865" s="70"/>
    </row>
    <row r="2866" spans="1:3" x14ac:dyDescent="0.35">
      <c r="A2866" s="70" t="s">
        <v>259</v>
      </c>
      <c r="B2866" s="70">
        <v>1995</v>
      </c>
      <c r="C2866" s="70"/>
    </row>
    <row r="2867" spans="1:3" x14ac:dyDescent="0.35">
      <c r="A2867" s="70" t="s">
        <v>259</v>
      </c>
      <c r="B2867" s="70">
        <v>1996</v>
      </c>
      <c r="C2867" s="70"/>
    </row>
    <row r="2868" spans="1:3" x14ac:dyDescent="0.35">
      <c r="A2868" s="70" t="s">
        <v>259</v>
      </c>
      <c r="B2868" s="70">
        <v>1997</v>
      </c>
      <c r="C2868" s="70"/>
    </row>
    <row r="2869" spans="1:3" x14ac:dyDescent="0.35">
      <c r="A2869" s="70" t="s">
        <v>259</v>
      </c>
      <c r="B2869" s="70">
        <v>1998</v>
      </c>
      <c r="C2869" s="70"/>
    </row>
    <row r="2870" spans="1:3" x14ac:dyDescent="0.35">
      <c r="A2870" s="70" t="s">
        <v>259</v>
      </c>
      <c r="B2870" s="70">
        <v>1999</v>
      </c>
      <c r="C2870" s="70"/>
    </row>
    <row r="2871" spans="1:3" x14ac:dyDescent="0.35">
      <c r="A2871" s="70" t="s">
        <v>259</v>
      </c>
      <c r="B2871" s="70">
        <v>2000</v>
      </c>
      <c r="C2871" s="70"/>
    </row>
    <row r="2872" spans="1:3" x14ac:dyDescent="0.35">
      <c r="A2872" s="70" t="s">
        <v>259</v>
      </c>
      <c r="B2872" s="70">
        <v>2001</v>
      </c>
      <c r="C2872" s="70"/>
    </row>
    <row r="2873" spans="1:3" x14ac:dyDescent="0.35">
      <c r="A2873" s="70" t="s">
        <v>259</v>
      </c>
      <c r="B2873" s="70">
        <v>2002</v>
      </c>
      <c r="C2873" s="70"/>
    </row>
    <row r="2874" spans="1:3" x14ac:dyDescent="0.35">
      <c r="A2874" s="70" t="s">
        <v>259</v>
      </c>
      <c r="B2874" s="70">
        <v>2003</v>
      </c>
      <c r="C2874" s="70"/>
    </row>
    <row r="2875" spans="1:3" x14ac:dyDescent="0.35">
      <c r="A2875" s="70" t="s">
        <v>259</v>
      </c>
      <c r="B2875" s="70">
        <v>2004</v>
      </c>
      <c r="C2875" s="70"/>
    </row>
    <row r="2876" spans="1:3" x14ac:dyDescent="0.35">
      <c r="A2876" s="70" t="s">
        <v>259</v>
      </c>
      <c r="B2876" s="70">
        <v>2005</v>
      </c>
      <c r="C2876" s="70"/>
    </row>
    <row r="2877" spans="1:3" x14ac:dyDescent="0.35">
      <c r="A2877" s="70" t="s">
        <v>259</v>
      </c>
      <c r="B2877" s="70">
        <v>2006</v>
      </c>
      <c r="C2877" s="70"/>
    </row>
    <row r="2878" spans="1:3" x14ac:dyDescent="0.35">
      <c r="A2878" s="70" t="s">
        <v>259</v>
      </c>
      <c r="B2878" s="70">
        <v>2007</v>
      </c>
      <c r="C2878" s="70"/>
    </row>
    <row r="2879" spans="1:3" x14ac:dyDescent="0.35">
      <c r="A2879" s="70" t="s">
        <v>259</v>
      </c>
      <c r="B2879" s="70">
        <v>2008</v>
      </c>
      <c r="C2879" s="70"/>
    </row>
    <row r="2880" spans="1:3" x14ac:dyDescent="0.35">
      <c r="A2880" s="70" t="s">
        <v>259</v>
      </c>
      <c r="B2880" s="70">
        <v>2009</v>
      </c>
      <c r="C2880" s="70"/>
    </row>
    <row r="2881" spans="1:3" x14ac:dyDescent="0.35">
      <c r="A2881" s="70" t="s">
        <v>259</v>
      </c>
      <c r="B2881" s="70">
        <v>2010</v>
      </c>
      <c r="C2881" s="70"/>
    </row>
    <row r="2882" spans="1:3" x14ac:dyDescent="0.35">
      <c r="A2882" s="70" t="s">
        <v>259</v>
      </c>
      <c r="B2882" s="70">
        <v>2011</v>
      </c>
      <c r="C2882" s="70"/>
    </row>
    <row r="2883" spans="1:3" x14ac:dyDescent="0.35">
      <c r="A2883" s="70" t="s">
        <v>259</v>
      </c>
      <c r="B2883" s="70">
        <v>2012</v>
      </c>
      <c r="C2883" s="70"/>
    </row>
    <row r="2884" spans="1:3" x14ac:dyDescent="0.35">
      <c r="A2884" s="70" t="s">
        <v>259</v>
      </c>
      <c r="B2884" s="70">
        <v>2013</v>
      </c>
      <c r="C2884" s="70"/>
    </row>
    <row r="2885" spans="1:3" x14ac:dyDescent="0.35">
      <c r="A2885" s="70" t="s">
        <v>259</v>
      </c>
      <c r="B2885" s="70">
        <v>2014</v>
      </c>
      <c r="C2885" s="70"/>
    </row>
    <row r="2886" spans="1:3" x14ac:dyDescent="0.35">
      <c r="A2886" s="70" t="s">
        <v>259</v>
      </c>
      <c r="B2886" s="70">
        <v>2015</v>
      </c>
      <c r="C2886" s="70"/>
    </row>
    <row r="2887" spans="1:3" x14ac:dyDescent="0.35">
      <c r="A2887" s="70" t="s">
        <v>259</v>
      </c>
      <c r="B2887" s="70">
        <v>2016</v>
      </c>
      <c r="C2887" s="70"/>
    </row>
    <row r="2888" spans="1:3" x14ac:dyDescent="0.35">
      <c r="A2888" s="70" t="s">
        <v>259</v>
      </c>
      <c r="B2888" s="70">
        <v>2017</v>
      </c>
      <c r="C2888" s="70"/>
    </row>
    <row r="2889" spans="1:3" x14ac:dyDescent="0.35">
      <c r="A2889" s="70" t="s">
        <v>259</v>
      </c>
      <c r="B2889" s="70">
        <v>2018</v>
      </c>
      <c r="C2889" s="70"/>
    </row>
    <row r="2890" spans="1:3" x14ac:dyDescent="0.35">
      <c r="A2890" s="70" t="s">
        <v>42</v>
      </c>
      <c r="B2890" s="70">
        <v>1980</v>
      </c>
      <c r="C2890" s="70"/>
    </row>
    <row r="2891" spans="1:3" x14ac:dyDescent="0.35">
      <c r="A2891" s="70" t="s">
        <v>42</v>
      </c>
      <c r="B2891" s="70">
        <v>1981</v>
      </c>
      <c r="C2891" s="70"/>
    </row>
    <row r="2892" spans="1:3" x14ac:dyDescent="0.35">
      <c r="A2892" s="70" t="s">
        <v>42</v>
      </c>
      <c r="B2892" s="70">
        <v>1982</v>
      </c>
      <c r="C2892" s="70"/>
    </row>
    <row r="2893" spans="1:3" x14ac:dyDescent="0.35">
      <c r="A2893" s="70" t="s">
        <v>42</v>
      </c>
      <c r="B2893" s="70">
        <v>1983</v>
      </c>
      <c r="C2893" s="70"/>
    </row>
    <row r="2894" spans="1:3" x14ac:dyDescent="0.35">
      <c r="A2894" s="70" t="s">
        <v>42</v>
      </c>
      <c r="B2894" s="70">
        <v>1984</v>
      </c>
      <c r="C2894" s="70"/>
    </row>
    <row r="2895" spans="1:3" x14ac:dyDescent="0.35">
      <c r="A2895" s="70" t="s">
        <v>42</v>
      </c>
      <c r="B2895" s="70">
        <v>1985</v>
      </c>
      <c r="C2895" s="70"/>
    </row>
    <row r="2896" spans="1:3" x14ac:dyDescent="0.35">
      <c r="A2896" s="70" t="s">
        <v>42</v>
      </c>
      <c r="B2896" s="70">
        <v>1986</v>
      </c>
      <c r="C2896" s="70"/>
    </row>
    <row r="2897" spans="1:3" x14ac:dyDescent="0.35">
      <c r="A2897" s="70" t="s">
        <v>42</v>
      </c>
      <c r="B2897" s="70">
        <v>1987</v>
      </c>
      <c r="C2897" s="70"/>
    </row>
    <row r="2898" spans="1:3" x14ac:dyDescent="0.35">
      <c r="A2898" s="70" t="s">
        <v>42</v>
      </c>
      <c r="B2898" s="70">
        <v>1988</v>
      </c>
      <c r="C2898" s="70"/>
    </row>
    <row r="2899" spans="1:3" x14ac:dyDescent="0.35">
      <c r="A2899" s="70" t="s">
        <v>42</v>
      </c>
      <c r="B2899" s="70">
        <v>1989</v>
      </c>
      <c r="C2899" s="70"/>
    </row>
    <row r="2900" spans="1:3" x14ac:dyDescent="0.35">
      <c r="A2900" s="70" t="s">
        <v>42</v>
      </c>
      <c r="B2900" s="70">
        <v>1990</v>
      </c>
      <c r="C2900" s="70"/>
    </row>
    <row r="2901" spans="1:3" x14ac:dyDescent="0.35">
      <c r="A2901" s="70" t="s">
        <v>42</v>
      </c>
      <c r="B2901" s="70">
        <v>1991</v>
      </c>
      <c r="C2901" s="70"/>
    </row>
    <row r="2902" spans="1:3" x14ac:dyDescent="0.35">
      <c r="A2902" s="70" t="s">
        <v>42</v>
      </c>
      <c r="B2902" s="70">
        <v>1992</v>
      </c>
      <c r="C2902" s="70"/>
    </row>
    <row r="2903" spans="1:3" x14ac:dyDescent="0.35">
      <c r="A2903" s="70" t="s">
        <v>42</v>
      </c>
      <c r="B2903" s="70">
        <v>1993</v>
      </c>
      <c r="C2903" s="70"/>
    </row>
    <row r="2904" spans="1:3" x14ac:dyDescent="0.35">
      <c r="A2904" s="70" t="s">
        <v>42</v>
      </c>
      <c r="B2904" s="70">
        <v>1994</v>
      </c>
      <c r="C2904" s="70"/>
    </row>
    <row r="2905" spans="1:3" x14ac:dyDescent="0.35">
      <c r="A2905" s="70" t="s">
        <v>42</v>
      </c>
      <c r="B2905" s="70">
        <v>1995</v>
      </c>
      <c r="C2905" s="70"/>
    </row>
    <row r="2906" spans="1:3" x14ac:dyDescent="0.35">
      <c r="A2906" s="70" t="s">
        <v>42</v>
      </c>
      <c r="B2906" s="70">
        <v>1996</v>
      </c>
      <c r="C2906" s="70"/>
    </row>
    <row r="2907" spans="1:3" x14ac:dyDescent="0.35">
      <c r="A2907" s="70" t="s">
        <v>42</v>
      </c>
      <c r="B2907" s="70">
        <v>1997</v>
      </c>
      <c r="C2907" s="70"/>
    </row>
    <row r="2908" spans="1:3" x14ac:dyDescent="0.35">
      <c r="A2908" s="70" t="s">
        <v>42</v>
      </c>
      <c r="B2908" s="70">
        <v>1998</v>
      </c>
      <c r="C2908" s="70"/>
    </row>
    <row r="2909" spans="1:3" x14ac:dyDescent="0.35">
      <c r="A2909" s="70" t="s">
        <v>42</v>
      </c>
      <c r="B2909" s="70">
        <v>1999</v>
      </c>
      <c r="C2909" s="70"/>
    </row>
    <row r="2910" spans="1:3" x14ac:dyDescent="0.35">
      <c r="A2910" s="70" t="s">
        <v>42</v>
      </c>
      <c r="B2910" s="70">
        <v>2000</v>
      </c>
      <c r="C2910" s="70"/>
    </row>
    <row r="2911" spans="1:3" x14ac:dyDescent="0.35">
      <c r="A2911" s="70" t="s">
        <v>42</v>
      </c>
      <c r="B2911" s="70">
        <v>2001</v>
      </c>
      <c r="C2911" s="70"/>
    </row>
    <row r="2912" spans="1:3" x14ac:dyDescent="0.35">
      <c r="A2912" s="70" t="s">
        <v>42</v>
      </c>
      <c r="B2912" s="70">
        <v>2002</v>
      </c>
      <c r="C2912" s="70"/>
    </row>
    <row r="2913" spans="1:3" x14ac:dyDescent="0.35">
      <c r="A2913" s="70" t="s">
        <v>42</v>
      </c>
      <c r="B2913" s="70">
        <v>2003</v>
      </c>
      <c r="C2913" s="70"/>
    </row>
    <row r="2914" spans="1:3" x14ac:dyDescent="0.35">
      <c r="A2914" s="70" t="s">
        <v>42</v>
      </c>
      <c r="B2914" s="70">
        <v>2004</v>
      </c>
      <c r="C2914" s="70"/>
    </row>
    <row r="2915" spans="1:3" x14ac:dyDescent="0.35">
      <c r="A2915" s="70" t="s">
        <v>42</v>
      </c>
      <c r="B2915" s="70">
        <v>2005</v>
      </c>
      <c r="C2915" s="70"/>
    </row>
    <row r="2916" spans="1:3" x14ac:dyDescent="0.35">
      <c r="A2916" s="70" t="s">
        <v>42</v>
      </c>
      <c r="B2916" s="70">
        <v>2006</v>
      </c>
      <c r="C2916" s="70"/>
    </row>
    <row r="2917" spans="1:3" x14ac:dyDescent="0.35">
      <c r="A2917" s="70" t="s">
        <v>42</v>
      </c>
      <c r="B2917" s="70">
        <v>2007</v>
      </c>
      <c r="C2917" s="70"/>
    </row>
    <row r="2918" spans="1:3" x14ac:dyDescent="0.35">
      <c r="A2918" s="70" t="s">
        <v>42</v>
      </c>
      <c r="B2918" s="70">
        <v>2008</v>
      </c>
      <c r="C2918" s="70"/>
    </row>
    <row r="2919" spans="1:3" x14ac:dyDescent="0.35">
      <c r="A2919" s="70" t="s">
        <v>42</v>
      </c>
      <c r="B2919" s="70">
        <v>2009</v>
      </c>
      <c r="C2919" s="70"/>
    </row>
    <row r="2920" spans="1:3" x14ac:dyDescent="0.35">
      <c r="A2920" s="70" t="s">
        <v>42</v>
      </c>
      <c r="B2920" s="70">
        <v>2010</v>
      </c>
      <c r="C2920" s="70"/>
    </row>
    <row r="2921" spans="1:3" x14ac:dyDescent="0.35">
      <c r="A2921" s="70" t="s">
        <v>42</v>
      </c>
      <c r="B2921" s="70">
        <v>2011</v>
      </c>
      <c r="C2921" s="70"/>
    </row>
    <row r="2922" spans="1:3" x14ac:dyDescent="0.35">
      <c r="A2922" s="70" t="s">
        <v>42</v>
      </c>
      <c r="B2922" s="70">
        <v>2012</v>
      </c>
      <c r="C2922" s="70"/>
    </row>
    <row r="2923" spans="1:3" x14ac:dyDescent="0.35">
      <c r="A2923" s="70" t="s">
        <v>42</v>
      </c>
      <c r="B2923" s="70">
        <v>2013</v>
      </c>
      <c r="C2923" s="70"/>
    </row>
    <row r="2924" spans="1:3" x14ac:dyDescent="0.35">
      <c r="A2924" s="70" t="s">
        <v>42</v>
      </c>
      <c r="B2924" s="70">
        <v>2014</v>
      </c>
      <c r="C2924" s="70"/>
    </row>
    <row r="2925" spans="1:3" x14ac:dyDescent="0.35">
      <c r="A2925" s="70" t="s">
        <v>42</v>
      </c>
      <c r="B2925" s="70">
        <v>2015</v>
      </c>
      <c r="C2925" s="70"/>
    </row>
    <row r="2926" spans="1:3" x14ac:dyDescent="0.35">
      <c r="A2926" s="70" t="s">
        <v>42</v>
      </c>
      <c r="B2926" s="70">
        <v>2016</v>
      </c>
      <c r="C2926" s="70"/>
    </row>
    <row r="2927" spans="1:3" x14ac:dyDescent="0.35">
      <c r="A2927" s="70" t="s">
        <v>42</v>
      </c>
      <c r="B2927" s="70">
        <v>2017</v>
      </c>
      <c r="C2927" s="70"/>
    </row>
    <row r="2928" spans="1:3" x14ac:dyDescent="0.35">
      <c r="A2928" s="70" t="s">
        <v>42</v>
      </c>
      <c r="B2928" s="70">
        <v>2018</v>
      </c>
      <c r="C2928" s="70"/>
    </row>
    <row r="2929" spans="1:3" x14ac:dyDescent="0.35">
      <c r="A2929" s="70" t="s">
        <v>39</v>
      </c>
      <c r="B2929" s="70">
        <v>1980</v>
      </c>
      <c r="C2929" s="70"/>
    </row>
    <row r="2930" spans="1:3" x14ac:dyDescent="0.35">
      <c r="A2930" s="70" t="s">
        <v>39</v>
      </c>
      <c r="B2930" s="70">
        <v>1981</v>
      </c>
      <c r="C2930" s="70"/>
    </row>
    <row r="2931" spans="1:3" x14ac:dyDescent="0.35">
      <c r="A2931" s="70" t="s">
        <v>39</v>
      </c>
      <c r="B2931" s="70">
        <v>1982</v>
      </c>
      <c r="C2931" s="70"/>
    </row>
    <row r="2932" spans="1:3" x14ac:dyDescent="0.35">
      <c r="A2932" s="70" t="s">
        <v>39</v>
      </c>
      <c r="B2932" s="70">
        <v>1983</v>
      </c>
      <c r="C2932" s="70"/>
    </row>
    <row r="2933" spans="1:3" x14ac:dyDescent="0.35">
      <c r="A2933" s="70" t="s">
        <v>39</v>
      </c>
      <c r="B2933" s="70">
        <v>1984</v>
      </c>
      <c r="C2933" s="70"/>
    </row>
    <row r="2934" spans="1:3" x14ac:dyDescent="0.35">
      <c r="A2934" s="70" t="s">
        <v>39</v>
      </c>
      <c r="B2934" s="70">
        <v>1985</v>
      </c>
      <c r="C2934" s="70"/>
    </row>
    <row r="2935" spans="1:3" x14ac:dyDescent="0.35">
      <c r="A2935" s="70" t="s">
        <v>39</v>
      </c>
      <c r="B2935" s="70">
        <v>1986</v>
      </c>
      <c r="C2935" s="70"/>
    </row>
    <row r="2936" spans="1:3" x14ac:dyDescent="0.35">
      <c r="A2936" s="70" t="s">
        <v>39</v>
      </c>
      <c r="B2936" s="70">
        <v>1987</v>
      </c>
      <c r="C2936" s="70"/>
    </row>
    <row r="2937" spans="1:3" x14ac:dyDescent="0.35">
      <c r="A2937" s="70" t="s">
        <v>39</v>
      </c>
      <c r="B2937" s="70">
        <v>1988</v>
      </c>
      <c r="C2937" s="70"/>
    </row>
    <row r="2938" spans="1:3" x14ac:dyDescent="0.35">
      <c r="A2938" s="70" t="s">
        <v>39</v>
      </c>
      <c r="B2938" s="70">
        <v>1989</v>
      </c>
      <c r="C2938" s="70"/>
    </row>
    <row r="2939" spans="1:3" x14ac:dyDescent="0.35">
      <c r="A2939" s="70" t="s">
        <v>39</v>
      </c>
      <c r="B2939" s="70">
        <v>1990</v>
      </c>
      <c r="C2939" s="70"/>
    </row>
    <row r="2940" spans="1:3" x14ac:dyDescent="0.35">
      <c r="A2940" s="70" t="s">
        <v>39</v>
      </c>
      <c r="B2940" s="70">
        <v>1991</v>
      </c>
      <c r="C2940" s="70"/>
    </row>
    <row r="2941" spans="1:3" x14ac:dyDescent="0.35">
      <c r="A2941" s="70" t="s">
        <v>39</v>
      </c>
      <c r="B2941" s="70">
        <v>1992</v>
      </c>
      <c r="C2941" s="70"/>
    </row>
    <row r="2942" spans="1:3" x14ac:dyDescent="0.35">
      <c r="A2942" s="70" t="s">
        <v>39</v>
      </c>
      <c r="B2942" s="70">
        <v>1993</v>
      </c>
      <c r="C2942" s="70"/>
    </row>
    <row r="2943" spans="1:3" x14ac:dyDescent="0.35">
      <c r="A2943" s="70" t="s">
        <v>39</v>
      </c>
      <c r="B2943" s="70">
        <v>1994</v>
      </c>
      <c r="C2943" s="70"/>
    </row>
    <row r="2944" spans="1:3" x14ac:dyDescent="0.35">
      <c r="A2944" s="70" t="s">
        <v>39</v>
      </c>
      <c r="B2944" s="70">
        <v>1995</v>
      </c>
      <c r="C2944" s="70"/>
    </row>
    <row r="2945" spans="1:3" x14ac:dyDescent="0.35">
      <c r="A2945" s="70" t="s">
        <v>39</v>
      </c>
      <c r="B2945" s="70">
        <v>1996</v>
      </c>
      <c r="C2945" s="70"/>
    </row>
    <row r="2946" spans="1:3" x14ac:dyDescent="0.35">
      <c r="A2946" s="70" t="s">
        <v>39</v>
      </c>
      <c r="B2946" s="70">
        <v>1997</v>
      </c>
      <c r="C2946" s="70"/>
    </row>
    <row r="2947" spans="1:3" x14ac:dyDescent="0.35">
      <c r="A2947" s="70" t="s">
        <v>39</v>
      </c>
      <c r="B2947" s="70">
        <v>1998</v>
      </c>
      <c r="C2947" s="70"/>
    </row>
    <row r="2948" spans="1:3" x14ac:dyDescent="0.35">
      <c r="A2948" s="70" t="s">
        <v>39</v>
      </c>
      <c r="B2948" s="70">
        <v>1999</v>
      </c>
      <c r="C2948" s="70"/>
    </row>
    <row r="2949" spans="1:3" x14ac:dyDescent="0.35">
      <c r="A2949" s="70" t="s">
        <v>39</v>
      </c>
      <c r="B2949" s="70">
        <v>2000</v>
      </c>
      <c r="C2949" s="70"/>
    </row>
    <row r="2950" spans="1:3" x14ac:dyDescent="0.35">
      <c r="A2950" s="70" t="s">
        <v>39</v>
      </c>
      <c r="B2950" s="70">
        <v>2001</v>
      </c>
      <c r="C2950" s="70"/>
    </row>
    <row r="2951" spans="1:3" x14ac:dyDescent="0.35">
      <c r="A2951" s="70" t="s">
        <v>39</v>
      </c>
      <c r="B2951" s="70">
        <v>2002</v>
      </c>
      <c r="C2951" s="70"/>
    </row>
    <row r="2952" spans="1:3" x14ac:dyDescent="0.35">
      <c r="A2952" s="70" t="s">
        <v>39</v>
      </c>
      <c r="B2952" s="70">
        <v>2003</v>
      </c>
      <c r="C2952" s="70"/>
    </row>
    <row r="2953" spans="1:3" x14ac:dyDescent="0.35">
      <c r="A2953" s="70" t="s">
        <v>39</v>
      </c>
      <c r="B2953" s="70">
        <v>2004</v>
      </c>
      <c r="C2953" s="70"/>
    </row>
    <row r="2954" spans="1:3" x14ac:dyDescent="0.35">
      <c r="A2954" s="70" t="s">
        <v>39</v>
      </c>
      <c r="B2954" s="70">
        <v>2005</v>
      </c>
      <c r="C2954" s="70"/>
    </row>
    <row r="2955" spans="1:3" x14ac:dyDescent="0.35">
      <c r="A2955" s="70" t="s">
        <v>39</v>
      </c>
      <c r="B2955" s="70">
        <v>2006</v>
      </c>
      <c r="C2955" s="70"/>
    </row>
    <row r="2956" spans="1:3" x14ac:dyDescent="0.35">
      <c r="A2956" s="70" t="s">
        <v>39</v>
      </c>
      <c r="B2956" s="70">
        <v>2007</v>
      </c>
      <c r="C2956" s="70"/>
    </row>
    <row r="2957" spans="1:3" x14ac:dyDescent="0.35">
      <c r="A2957" s="70" t="s">
        <v>39</v>
      </c>
      <c r="B2957" s="70">
        <v>2008</v>
      </c>
      <c r="C2957" s="70"/>
    </row>
    <row r="2958" spans="1:3" x14ac:dyDescent="0.35">
      <c r="A2958" s="70" t="s">
        <v>39</v>
      </c>
      <c r="B2958" s="70">
        <v>2009</v>
      </c>
      <c r="C2958" s="70"/>
    </row>
    <row r="2959" spans="1:3" x14ac:dyDescent="0.35">
      <c r="A2959" s="70" t="s">
        <v>39</v>
      </c>
      <c r="B2959" s="70">
        <v>2010</v>
      </c>
      <c r="C2959" s="70"/>
    </row>
    <row r="2960" spans="1:3" x14ac:dyDescent="0.35">
      <c r="A2960" s="70" t="s">
        <v>39</v>
      </c>
      <c r="B2960" s="70">
        <v>2011</v>
      </c>
      <c r="C2960" s="70"/>
    </row>
    <row r="2961" spans="1:3" x14ac:dyDescent="0.35">
      <c r="A2961" s="70" t="s">
        <v>39</v>
      </c>
      <c r="B2961" s="70">
        <v>2012</v>
      </c>
      <c r="C2961" s="70"/>
    </row>
    <row r="2962" spans="1:3" x14ac:dyDescent="0.35">
      <c r="A2962" s="70" t="s">
        <v>39</v>
      </c>
      <c r="B2962" s="70">
        <v>2013</v>
      </c>
      <c r="C2962" s="70"/>
    </row>
    <row r="2963" spans="1:3" x14ac:dyDescent="0.35">
      <c r="A2963" s="70" t="s">
        <v>39</v>
      </c>
      <c r="B2963" s="70">
        <v>2014</v>
      </c>
      <c r="C2963" s="70"/>
    </row>
    <row r="2964" spans="1:3" x14ac:dyDescent="0.35">
      <c r="A2964" s="70" t="s">
        <v>39</v>
      </c>
      <c r="B2964" s="70">
        <v>2015</v>
      </c>
      <c r="C2964" s="70"/>
    </row>
    <row r="2965" spans="1:3" x14ac:dyDescent="0.35">
      <c r="A2965" s="70" t="s">
        <v>39</v>
      </c>
      <c r="B2965" s="70">
        <v>2016</v>
      </c>
      <c r="C2965" s="70"/>
    </row>
    <row r="2966" spans="1:3" x14ac:dyDescent="0.35">
      <c r="A2966" s="70" t="s">
        <v>39</v>
      </c>
      <c r="B2966" s="70">
        <v>2017</v>
      </c>
      <c r="C2966" s="70"/>
    </row>
    <row r="2967" spans="1:3" x14ac:dyDescent="0.35">
      <c r="A2967" s="70" t="s">
        <v>39</v>
      </c>
      <c r="B2967" s="70">
        <v>2018</v>
      </c>
      <c r="C2967" s="70"/>
    </row>
    <row r="2968" spans="1:3" x14ac:dyDescent="0.35">
      <c r="A2968" s="70" t="s">
        <v>3</v>
      </c>
      <c r="B2968" s="70">
        <v>1980</v>
      </c>
      <c r="C2968" s="70"/>
    </row>
    <row r="2969" spans="1:3" x14ac:dyDescent="0.35">
      <c r="A2969" s="70" t="s">
        <v>3</v>
      </c>
      <c r="B2969" s="70">
        <v>1981</v>
      </c>
      <c r="C2969" s="70"/>
    </row>
    <row r="2970" spans="1:3" x14ac:dyDescent="0.35">
      <c r="A2970" s="70" t="s">
        <v>3</v>
      </c>
      <c r="B2970" s="70">
        <v>1982</v>
      </c>
      <c r="C2970" s="70"/>
    </row>
    <row r="2971" spans="1:3" x14ac:dyDescent="0.35">
      <c r="A2971" s="70" t="s">
        <v>3</v>
      </c>
      <c r="B2971" s="70">
        <v>1983</v>
      </c>
      <c r="C2971" s="70"/>
    </row>
    <row r="2972" spans="1:3" x14ac:dyDescent="0.35">
      <c r="A2972" s="70" t="s">
        <v>3</v>
      </c>
      <c r="B2972" s="70">
        <v>1984</v>
      </c>
      <c r="C2972" s="70"/>
    </row>
    <row r="2973" spans="1:3" x14ac:dyDescent="0.35">
      <c r="A2973" s="70" t="s">
        <v>3</v>
      </c>
      <c r="B2973" s="70">
        <v>1985</v>
      </c>
      <c r="C2973" s="70"/>
    </row>
    <row r="2974" spans="1:3" x14ac:dyDescent="0.35">
      <c r="A2974" s="70" t="s">
        <v>3</v>
      </c>
      <c r="B2974" s="70">
        <v>1986</v>
      </c>
      <c r="C2974" s="70"/>
    </row>
    <row r="2975" spans="1:3" x14ac:dyDescent="0.35">
      <c r="A2975" s="70" t="s">
        <v>3</v>
      </c>
      <c r="B2975" s="70">
        <v>1987</v>
      </c>
      <c r="C2975" s="70"/>
    </row>
    <row r="2976" spans="1:3" x14ac:dyDescent="0.35">
      <c r="A2976" s="70" t="s">
        <v>3</v>
      </c>
      <c r="B2976" s="70">
        <v>1988</v>
      </c>
      <c r="C2976" s="70"/>
    </row>
    <row r="2977" spans="1:3" x14ac:dyDescent="0.35">
      <c r="A2977" s="70" t="s">
        <v>3</v>
      </c>
      <c r="B2977" s="70">
        <v>1989</v>
      </c>
      <c r="C2977" s="70"/>
    </row>
    <row r="2978" spans="1:3" x14ac:dyDescent="0.35">
      <c r="A2978" s="70" t="s">
        <v>3</v>
      </c>
      <c r="B2978" s="70">
        <v>1990</v>
      </c>
      <c r="C2978" s="70"/>
    </row>
    <row r="2979" spans="1:3" x14ac:dyDescent="0.35">
      <c r="A2979" s="70" t="s">
        <v>3</v>
      </c>
      <c r="B2979" s="70">
        <v>1991</v>
      </c>
      <c r="C2979" s="70"/>
    </row>
    <row r="2980" spans="1:3" x14ac:dyDescent="0.35">
      <c r="A2980" s="70" t="s">
        <v>3</v>
      </c>
      <c r="B2980" s="70">
        <v>1992</v>
      </c>
      <c r="C2980" s="70"/>
    </row>
    <row r="2981" spans="1:3" x14ac:dyDescent="0.35">
      <c r="A2981" s="70" t="s">
        <v>3</v>
      </c>
      <c r="B2981" s="70">
        <v>1993</v>
      </c>
      <c r="C2981" s="70"/>
    </row>
    <row r="2982" spans="1:3" x14ac:dyDescent="0.35">
      <c r="A2982" s="70" t="s">
        <v>3</v>
      </c>
      <c r="B2982" s="70">
        <v>1994</v>
      </c>
      <c r="C2982" s="70"/>
    </row>
    <row r="2983" spans="1:3" x14ac:dyDescent="0.35">
      <c r="A2983" s="70" t="s">
        <v>3</v>
      </c>
      <c r="B2983" s="70">
        <v>1995</v>
      </c>
      <c r="C2983" s="70"/>
    </row>
    <row r="2984" spans="1:3" x14ac:dyDescent="0.35">
      <c r="A2984" s="70" t="s">
        <v>3</v>
      </c>
      <c r="B2984" s="70">
        <v>1996</v>
      </c>
      <c r="C2984" s="70"/>
    </row>
    <row r="2985" spans="1:3" x14ac:dyDescent="0.35">
      <c r="A2985" s="70" t="s">
        <v>3</v>
      </c>
      <c r="B2985" s="70">
        <v>1997</v>
      </c>
      <c r="C2985" s="70"/>
    </row>
    <row r="2986" spans="1:3" x14ac:dyDescent="0.35">
      <c r="A2986" s="70" t="s">
        <v>3</v>
      </c>
      <c r="B2986" s="70">
        <v>1998</v>
      </c>
      <c r="C2986" s="70"/>
    </row>
    <row r="2987" spans="1:3" x14ac:dyDescent="0.35">
      <c r="A2987" s="70" t="s">
        <v>3</v>
      </c>
      <c r="B2987" s="70">
        <v>1999</v>
      </c>
      <c r="C2987" s="70"/>
    </row>
    <row r="2988" spans="1:3" x14ac:dyDescent="0.35">
      <c r="A2988" s="70" t="s">
        <v>3</v>
      </c>
      <c r="B2988" s="70">
        <v>2000</v>
      </c>
      <c r="C2988" s="70"/>
    </row>
    <row r="2989" spans="1:3" x14ac:dyDescent="0.35">
      <c r="A2989" s="70" t="s">
        <v>3</v>
      </c>
      <c r="B2989" s="70">
        <v>2001</v>
      </c>
      <c r="C2989" s="70"/>
    </row>
    <row r="2990" spans="1:3" x14ac:dyDescent="0.35">
      <c r="A2990" s="70" t="s">
        <v>3</v>
      </c>
      <c r="B2990" s="70">
        <v>2002</v>
      </c>
      <c r="C2990" s="70"/>
    </row>
    <row r="2991" spans="1:3" x14ac:dyDescent="0.35">
      <c r="A2991" s="70" t="s">
        <v>3</v>
      </c>
      <c r="B2991" s="70">
        <v>2003</v>
      </c>
      <c r="C2991" s="70"/>
    </row>
    <row r="2992" spans="1:3" x14ac:dyDescent="0.35">
      <c r="A2992" s="70" t="s">
        <v>3</v>
      </c>
      <c r="B2992" s="70">
        <v>2004</v>
      </c>
      <c r="C2992" s="70"/>
    </row>
    <row r="2993" spans="1:3" x14ac:dyDescent="0.35">
      <c r="A2993" s="70" t="s">
        <v>3</v>
      </c>
      <c r="B2993" s="70">
        <v>2005</v>
      </c>
      <c r="C2993" s="70"/>
    </row>
    <row r="2994" spans="1:3" x14ac:dyDescent="0.35">
      <c r="A2994" s="70" t="s">
        <v>3</v>
      </c>
      <c r="B2994" s="70">
        <v>2006</v>
      </c>
      <c r="C2994" s="70"/>
    </row>
    <row r="2995" spans="1:3" x14ac:dyDescent="0.35">
      <c r="A2995" s="70" t="s">
        <v>3</v>
      </c>
      <c r="B2995" s="70">
        <v>2007</v>
      </c>
      <c r="C2995" s="70"/>
    </row>
    <row r="2996" spans="1:3" x14ac:dyDescent="0.35">
      <c r="A2996" s="70" t="s">
        <v>3</v>
      </c>
      <c r="B2996" s="70">
        <v>2008</v>
      </c>
      <c r="C2996" s="70"/>
    </row>
    <row r="2997" spans="1:3" x14ac:dyDescent="0.35">
      <c r="A2997" s="70" t="s">
        <v>3</v>
      </c>
      <c r="B2997" s="70">
        <v>2009</v>
      </c>
      <c r="C2997" s="70"/>
    </row>
    <row r="2998" spans="1:3" x14ac:dyDescent="0.35">
      <c r="A2998" s="70" t="s">
        <v>3</v>
      </c>
      <c r="B2998" s="70">
        <v>2010</v>
      </c>
      <c r="C2998" s="70"/>
    </row>
    <row r="2999" spans="1:3" x14ac:dyDescent="0.35">
      <c r="A2999" s="70" t="s">
        <v>3</v>
      </c>
      <c r="B2999" s="70">
        <v>2011</v>
      </c>
      <c r="C2999" s="70"/>
    </row>
    <row r="3000" spans="1:3" x14ac:dyDescent="0.35">
      <c r="A3000" s="70" t="s">
        <v>3</v>
      </c>
      <c r="B3000" s="70">
        <v>2012</v>
      </c>
      <c r="C3000" s="70"/>
    </row>
    <row r="3001" spans="1:3" x14ac:dyDescent="0.35">
      <c r="A3001" s="70" t="s">
        <v>3</v>
      </c>
      <c r="B3001" s="70">
        <v>2013</v>
      </c>
      <c r="C3001" s="70"/>
    </row>
    <row r="3002" spans="1:3" x14ac:dyDescent="0.35">
      <c r="A3002" s="70" t="s">
        <v>3</v>
      </c>
      <c r="B3002" s="70">
        <v>2014</v>
      </c>
      <c r="C3002" s="70"/>
    </row>
    <row r="3003" spans="1:3" x14ac:dyDescent="0.35">
      <c r="A3003" s="70" t="s">
        <v>3</v>
      </c>
      <c r="B3003" s="70">
        <v>2015</v>
      </c>
      <c r="C3003" s="70"/>
    </row>
    <row r="3004" spans="1:3" x14ac:dyDescent="0.35">
      <c r="A3004" s="70" t="s">
        <v>3</v>
      </c>
      <c r="B3004" s="70">
        <v>2016</v>
      </c>
      <c r="C3004" s="70"/>
    </row>
    <row r="3005" spans="1:3" x14ac:dyDescent="0.35">
      <c r="A3005" s="70" t="s">
        <v>3</v>
      </c>
      <c r="B3005" s="70">
        <v>2017</v>
      </c>
      <c r="C3005" s="70"/>
    </row>
    <row r="3006" spans="1:3" x14ac:dyDescent="0.35">
      <c r="A3006" s="70" t="s">
        <v>3</v>
      </c>
      <c r="B3006" s="70">
        <v>2018</v>
      </c>
      <c r="C3006" s="70"/>
    </row>
    <row r="3007" spans="1:3" x14ac:dyDescent="0.35">
      <c r="A3007" s="70"/>
      <c r="B3007" s="70"/>
      <c r="C3007" s="70"/>
    </row>
    <row r="3008" spans="1:3" x14ac:dyDescent="0.35">
      <c r="A3008" s="70"/>
      <c r="B3008" s="70"/>
      <c r="C3008" s="70"/>
    </row>
    <row r="3009" spans="1:3" x14ac:dyDescent="0.35">
      <c r="A3009" s="70"/>
      <c r="B3009" s="70"/>
      <c r="C3009" s="70"/>
    </row>
    <row r="3010" spans="1:3" x14ac:dyDescent="0.35">
      <c r="A3010" s="70"/>
      <c r="B3010" s="70"/>
      <c r="C3010" s="70"/>
    </row>
    <row r="3011" spans="1:3" x14ac:dyDescent="0.35">
      <c r="A3011" s="70"/>
      <c r="B3011" s="70"/>
      <c r="C3011" s="70"/>
    </row>
    <row r="3012" spans="1:3" x14ac:dyDescent="0.35">
      <c r="A3012" s="70"/>
      <c r="B3012" s="70"/>
      <c r="C3012" s="70"/>
    </row>
    <row r="3013" spans="1:3" x14ac:dyDescent="0.35">
      <c r="A3013" s="70"/>
      <c r="B3013" s="70"/>
      <c r="C3013" s="70"/>
    </row>
    <row r="3014" spans="1:3" x14ac:dyDescent="0.35">
      <c r="A3014" s="70"/>
      <c r="B3014" s="70"/>
      <c r="C3014" s="70"/>
    </row>
    <row r="3015" spans="1:3" x14ac:dyDescent="0.35">
      <c r="A3015" s="70"/>
      <c r="B3015" s="70"/>
      <c r="C3015" s="70"/>
    </row>
    <row r="3016" spans="1:3" x14ac:dyDescent="0.35">
      <c r="A3016" s="70"/>
      <c r="B3016" s="70"/>
      <c r="C3016" s="70"/>
    </row>
    <row r="3017" spans="1:3" x14ac:dyDescent="0.35">
      <c r="A3017" s="70"/>
      <c r="B3017" s="70"/>
      <c r="C3017" s="70"/>
    </row>
    <row r="3018" spans="1:3" x14ac:dyDescent="0.35">
      <c r="A3018" s="70"/>
      <c r="B3018" s="70"/>
      <c r="C3018" s="70"/>
    </row>
    <row r="3019" spans="1:3" x14ac:dyDescent="0.35">
      <c r="A3019" s="70"/>
      <c r="B3019" s="70"/>
      <c r="C3019" s="70"/>
    </row>
    <row r="3020" spans="1:3" x14ac:dyDescent="0.35">
      <c r="A3020" s="70"/>
      <c r="B3020" s="70"/>
      <c r="C3020" s="70"/>
    </row>
    <row r="3021" spans="1:3" x14ac:dyDescent="0.35">
      <c r="A3021" s="70"/>
      <c r="B3021" s="70"/>
      <c r="C3021" s="70"/>
    </row>
    <row r="3022" spans="1:3" x14ac:dyDescent="0.35">
      <c r="A3022" s="70"/>
      <c r="B3022" s="70"/>
      <c r="C3022" s="70"/>
    </row>
    <row r="3023" spans="1:3" x14ac:dyDescent="0.35">
      <c r="A3023" s="70"/>
      <c r="B3023" s="70"/>
      <c r="C3023" s="70"/>
    </row>
    <row r="3024" spans="1:3" x14ac:dyDescent="0.35">
      <c r="A3024" s="70"/>
      <c r="B3024" s="70"/>
      <c r="C3024" s="70"/>
    </row>
    <row r="3025" spans="1:3" x14ac:dyDescent="0.35">
      <c r="A3025" s="70"/>
      <c r="B3025" s="70"/>
      <c r="C3025" s="70"/>
    </row>
    <row r="3026" spans="1:3" x14ac:dyDescent="0.35">
      <c r="A3026" s="70"/>
      <c r="B3026" s="70"/>
      <c r="C3026" s="70"/>
    </row>
    <row r="3027" spans="1:3" x14ac:dyDescent="0.35">
      <c r="A3027" s="70"/>
      <c r="B3027" s="70"/>
      <c r="C3027" s="70"/>
    </row>
    <row r="3028" spans="1:3" x14ac:dyDescent="0.35">
      <c r="A3028" s="70"/>
      <c r="B3028" s="70"/>
      <c r="C3028" s="70"/>
    </row>
    <row r="3029" spans="1:3" x14ac:dyDescent="0.35">
      <c r="A3029" s="70"/>
      <c r="B3029" s="70"/>
      <c r="C3029" s="70"/>
    </row>
    <row r="3030" spans="1:3" x14ac:dyDescent="0.35">
      <c r="A3030" s="70"/>
      <c r="B3030" s="70"/>
      <c r="C3030" s="70"/>
    </row>
    <row r="3031" spans="1:3" x14ac:dyDescent="0.35">
      <c r="A3031" s="70"/>
      <c r="B3031" s="70"/>
      <c r="C3031" s="70"/>
    </row>
    <row r="3032" spans="1:3" x14ac:dyDescent="0.35">
      <c r="A3032" s="70"/>
      <c r="B3032" s="70"/>
      <c r="C3032" s="70"/>
    </row>
    <row r="3033" spans="1:3" x14ac:dyDescent="0.35">
      <c r="A3033" s="70"/>
      <c r="B3033" s="70"/>
      <c r="C3033" s="70"/>
    </row>
    <row r="3034" spans="1:3" x14ac:dyDescent="0.35">
      <c r="A3034" s="70"/>
      <c r="B3034" s="70"/>
      <c r="C3034" s="70"/>
    </row>
    <row r="3035" spans="1:3" x14ac:dyDescent="0.35">
      <c r="A3035" s="70"/>
      <c r="B3035" s="70"/>
      <c r="C3035" s="70"/>
    </row>
    <row r="3036" spans="1:3" x14ac:dyDescent="0.35">
      <c r="A3036" s="70"/>
      <c r="B3036" s="70"/>
      <c r="C3036" s="70"/>
    </row>
    <row r="3037" spans="1:3" x14ac:dyDescent="0.35">
      <c r="A3037" s="70"/>
      <c r="B3037" s="70"/>
      <c r="C3037" s="70"/>
    </row>
    <row r="3038" spans="1:3" x14ac:dyDescent="0.35">
      <c r="A3038" s="70"/>
      <c r="B3038" s="70"/>
      <c r="C3038" s="70"/>
    </row>
    <row r="3039" spans="1:3" x14ac:dyDescent="0.35">
      <c r="A3039" s="70"/>
      <c r="B3039" s="70"/>
      <c r="C3039" s="70"/>
    </row>
    <row r="3040" spans="1:3" x14ac:dyDescent="0.35">
      <c r="A3040" s="70"/>
      <c r="B3040" s="70"/>
      <c r="C3040" s="70"/>
    </row>
    <row r="3041" spans="1:3" x14ac:dyDescent="0.35">
      <c r="A3041" s="70"/>
      <c r="B3041" s="70"/>
      <c r="C3041" s="70"/>
    </row>
    <row r="3042" spans="1:3" x14ac:dyDescent="0.35">
      <c r="A3042" s="70"/>
      <c r="B3042" s="70"/>
      <c r="C3042" s="70"/>
    </row>
    <row r="3043" spans="1:3" x14ac:dyDescent="0.35">
      <c r="A3043" s="70"/>
      <c r="B3043" s="70"/>
      <c r="C3043" s="70"/>
    </row>
    <row r="3044" spans="1:3" x14ac:dyDescent="0.35">
      <c r="A3044" s="70"/>
      <c r="B3044" s="70"/>
      <c r="C3044" s="70"/>
    </row>
    <row r="3045" spans="1:3" x14ac:dyDescent="0.35">
      <c r="A3045" s="70"/>
      <c r="B3045" s="70"/>
      <c r="C3045" s="70"/>
    </row>
    <row r="3046" spans="1:3" x14ac:dyDescent="0.35">
      <c r="A3046" s="70"/>
      <c r="B3046" s="70"/>
      <c r="C3046" s="70"/>
    </row>
    <row r="3047" spans="1:3" x14ac:dyDescent="0.35">
      <c r="A3047" s="70"/>
      <c r="B3047" s="70"/>
      <c r="C3047" s="70"/>
    </row>
    <row r="3048" spans="1:3" x14ac:dyDescent="0.35">
      <c r="A3048" s="70"/>
      <c r="B3048" s="70"/>
      <c r="C3048" s="70"/>
    </row>
    <row r="3049" spans="1:3" x14ac:dyDescent="0.35">
      <c r="A3049" s="70"/>
      <c r="B3049" s="70"/>
      <c r="C3049" s="70"/>
    </row>
    <row r="3050" spans="1:3" x14ac:dyDescent="0.35">
      <c r="A3050" s="70"/>
      <c r="B3050" s="70"/>
      <c r="C3050" s="70"/>
    </row>
    <row r="3051" spans="1:3" x14ac:dyDescent="0.35">
      <c r="A3051" s="70"/>
      <c r="B3051" s="70"/>
      <c r="C3051" s="70"/>
    </row>
    <row r="3052" spans="1:3" x14ac:dyDescent="0.35">
      <c r="A3052" s="70"/>
      <c r="B3052" s="70"/>
      <c r="C3052" s="70"/>
    </row>
    <row r="3053" spans="1:3" x14ac:dyDescent="0.35">
      <c r="A3053" s="70"/>
      <c r="B3053" s="70"/>
      <c r="C3053" s="70"/>
    </row>
    <row r="3054" spans="1:3" x14ac:dyDescent="0.35">
      <c r="A3054" s="70"/>
      <c r="B3054" s="70"/>
      <c r="C3054" s="70"/>
    </row>
    <row r="3055" spans="1:3" x14ac:dyDescent="0.35">
      <c r="A3055" s="70"/>
      <c r="B3055" s="70"/>
      <c r="C3055" s="70"/>
    </row>
    <row r="3056" spans="1:3" x14ac:dyDescent="0.35">
      <c r="A3056" s="70"/>
      <c r="B3056" s="70"/>
      <c r="C3056" s="70"/>
    </row>
    <row r="3057" spans="1:3" x14ac:dyDescent="0.35">
      <c r="A3057" s="70"/>
      <c r="B3057" s="70"/>
      <c r="C3057" s="70"/>
    </row>
    <row r="3058" spans="1:3" x14ac:dyDescent="0.35">
      <c r="A3058" s="70"/>
      <c r="B3058" s="70"/>
      <c r="C3058" s="70"/>
    </row>
    <row r="3059" spans="1:3" x14ac:dyDescent="0.35">
      <c r="A3059" s="70"/>
      <c r="B3059" s="70"/>
      <c r="C3059" s="70"/>
    </row>
    <row r="3060" spans="1:3" x14ac:dyDescent="0.35">
      <c r="A3060" s="70"/>
      <c r="B3060" s="70"/>
      <c r="C3060" s="70"/>
    </row>
    <row r="3061" spans="1:3" x14ac:dyDescent="0.35">
      <c r="A3061" s="70"/>
      <c r="B3061" s="70"/>
      <c r="C3061" s="70"/>
    </row>
    <row r="3062" spans="1:3" x14ac:dyDescent="0.35">
      <c r="A3062" s="70"/>
      <c r="B3062" s="70"/>
      <c r="C3062" s="70"/>
    </row>
    <row r="3063" spans="1:3" x14ac:dyDescent="0.35">
      <c r="A3063" s="70"/>
      <c r="B3063" s="70"/>
      <c r="C3063" s="70"/>
    </row>
    <row r="3064" spans="1:3" x14ac:dyDescent="0.35">
      <c r="A3064" s="70"/>
      <c r="B3064" s="70"/>
      <c r="C3064" s="70"/>
    </row>
    <row r="3065" spans="1:3" x14ac:dyDescent="0.35">
      <c r="A3065" s="70"/>
      <c r="B3065" s="70"/>
      <c r="C3065" s="70"/>
    </row>
    <row r="3066" spans="1:3" x14ac:dyDescent="0.35">
      <c r="A3066" s="70"/>
      <c r="B3066" s="70"/>
      <c r="C3066" s="70"/>
    </row>
    <row r="3067" spans="1:3" x14ac:dyDescent="0.35">
      <c r="A3067" s="70"/>
      <c r="B3067" s="70"/>
      <c r="C3067" s="7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6"/>
  <dimension ref="A1:BF59"/>
  <sheetViews>
    <sheetView zoomScale="85" zoomScaleNormal="85" workbookViewId="0"/>
  </sheetViews>
  <sheetFormatPr defaultColWidth="8.81640625" defaultRowHeight="14.5" x14ac:dyDescent="0.35"/>
  <cols>
    <col min="1" max="6" width="8.81640625" style="18"/>
    <col min="7" max="57" width="12.453125" style="18" customWidth="1"/>
    <col min="58" max="58" width="6.453125" style="18" customWidth="1"/>
    <col min="59" max="16384" width="8.81640625" style="18"/>
  </cols>
  <sheetData>
    <row r="1" spans="1:58" ht="23.5" x14ac:dyDescent="0.55000000000000004">
      <c r="A1" s="19" t="s">
        <v>56</v>
      </c>
      <c r="F1" s="104" t="s">
        <v>86</v>
      </c>
      <c r="G1" s="104">
        <f>COUNT(G6:G59)</f>
        <v>54</v>
      </c>
      <c r="H1" s="104">
        <f t="shared" ref="H1:AU1" si="0">COUNT(H6:H59)</f>
        <v>54</v>
      </c>
      <c r="I1" s="104">
        <f t="shared" si="0"/>
        <v>54</v>
      </c>
      <c r="J1" s="104">
        <f t="shared" si="0"/>
        <v>54</v>
      </c>
      <c r="K1" s="104">
        <f t="shared" si="0"/>
        <v>54</v>
      </c>
      <c r="L1" s="104">
        <f t="shared" si="0"/>
        <v>54</v>
      </c>
      <c r="M1" s="104">
        <f t="shared" si="0"/>
        <v>54</v>
      </c>
      <c r="N1" s="104">
        <f t="shared" si="0"/>
        <v>54</v>
      </c>
      <c r="O1" s="104">
        <f t="shared" si="0"/>
        <v>54</v>
      </c>
      <c r="P1" s="104">
        <f t="shared" si="0"/>
        <v>54</v>
      </c>
      <c r="Q1" s="104">
        <f t="shared" si="0"/>
        <v>54</v>
      </c>
      <c r="R1" s="104">
        <f t="shared" si="0"/>
        <v>54</v>
      </c>
      <c r="S1" s="104">
        <f t="shared" si="0"/>
        <v>54</v>
      </c>
      <c r="T1" s="104">
        <f t="shared" si="0"/>
        <v>54</v>
      </c>
      <c r="U1" s="104">
        <f t="shared" si="0"/>
        <v>54</v>
      </c>
      <c r="V1" s="104">
        <f t="shared" si="0"/>
        <v>54</v>
      </c>
      <c r="W1" s="104">
        <f t="shared" si="0"/>
        <v>54</v>
      </c>
      <c r="X1" s="104">
        <f t="shared" si="0"/>
        <v>54</v>
      </c>
      <c r="Y1" s="104">
        <f t="shared" si="0"/>
        <v>54</v>
      </c>
      <c r="Z1" s="104">
        <f t="shared" si="0"/>
        <v>54</v>
      </c>
      <c r="AA1" s="104">
        <f t="shared" si="0"/>
        <v>54</v>
      </c>
      <c r="AB1" s="104">
        <f t="shared" si="0"/>
        <v>54</v>
      </c>
      <c r="AC1" s="104">
        <f t="shared" si="0"/>
        <v>54</v>
      </c>
      <c r="AD1" s="104">
        <f t="shared" si="0"/>
        <v>54</v>
      </c>
      <c r="AE1" s="104">
        <f t="shared" si="0"/>
        <v>54</v>
      </c>
      <c r="AF1" s="104">
        <f t="shared" si="0"/>
        <v>54</v>
      </c>
      <c r="AG1" s="104">
        <f t="shared" si="0"/>
        <v>54</v>
      </c>
      <c r="AH1" s="104">
        <f t="shared" si="0"/>
        <v>54</v>
      </c>
      <c r="AI1" s="104">
        <f t="shared" si="0"/>
        <v>54</v>
      </c>
      <c r="AJ1" s="104">
        <f t="shared" si="0"/>
        <v>54</v>
      </c>
      <c r="AK1" s="104">
        <f t="shared" si="0"/>
        <v>54</v>
      </c>
      <c r="AL1" s="104">
        <f t="shared" si="0"/>
        <v>54</v>
      </c>
      <c r="AM1" s="104">
        <f t="shared" si="0"/>
        <v>54</v>
      </c>
      <c r="AN1" s="104">
        <f t="shared" si="0"/>
        <v>54</v>
      </c>
      <c r="AO1" s="104">
        <f t="shared" si="0"/>
        <v>54</v>
      </c>
      <c r="AP1" s="104">
        <f t="shared" si="0"/>
        <v>54</v>
      </c>
      <c r="AQ1" s="104">
        <f t="shared" si="0"/>
        <v>54</v>
      </c>
      <c r="AR1" s="104">
        <f t="shared" si="0"/>
        <v>54</v>
      </c>
      <c r="AS1" s="104">
        <f t="shared" si="0"/>
        <v>54</v>
      </c>
      <c r="AT1" s="104">
        <f t="shared" si="0"/>
        <v>54</v>
      </c>
      <c r="AU1" s="104">
        <f t="shared" si="0"/>
        <v>54</v>
      </c>
      <c r="AV1" s="104">
        <f t="shared" ref="AV1:BC1" si="1">COUNT(AV6:AV59)</f>
        <v>54</v>
      </c>
      <c r="AW1" s="104">
        <f t="shared" si="1"/>
        <v>54</v>
      </c>
      <c r="AX1" s="104">
        <f t="shared" si="1"/>
        <v>0</v>
      </c>
      <c r="AY1" s="104">
        <f t="shared" si="1"/>
        <v>0</v>
      </c>
      <c r="AZ1" s="104">
        <f t="shared" si="1"/>
        <v>0</v>
      </c>
      <c r="BA1" s="104">
        <f t="shared" si="1"/>
        <v>0</v>
      </c>
      <c r="BB1" s="104">
        <f t="shared" si="1"/>
        <v>0</v>
      </c>
      <c r="BC1" s="104">
        <f t="shared" si="1"/>
        <v>0</v>
      </c>
      <c r="BD1" s="104">
        <f t="shared" ref="BD1:BE1" si="2">COUNT(BD6:BD59)</f>
        <v>0</v>
      </c>
      <c r="BE1" s="104">
        <f t="shared" si="2"/>
        <v>0</v>
      </c>
      <c r="BF1" s="105">
        <f t="shared" ref="BF1" si="3">COUNT(BF6:BF59)</f>
        <v>0</v>
      </c>
    </row>
    <row r="2" spans="1:58" x14ac:dyDescent="0.35">
      <c r="F2" s="104" t="s">
        <v>87</v>
      </c>
      <c r="G2" s="106">
        <v>68104.616000000024</v>
      </c>
      <c r="H2" s="106">
        <f t="shared" ref="H2:AU2" si="4">SUM(H6:H59)</f>
        <v>22338.902000000006</v>
      </c>
      <c r="I2" s="106">
        <f t="shared" si="4"/>
        <v>23958.293999999994</v>
      </c>
      <c r="J2" s="106">
        <f t="shared" si="4"/>
        <v>25585.673999999999</v>
      </c>
      <c r="K2" s="106">
        <f t="shared" si="4"/>
        <v>27326.129000000001</v>
      </c>
      <c r="L2" s="106">
        <f t="shared" si="4"/>
        <v>29148.974999999999</v>
      </c>
      <c r="M2" s="106">
        <f t="shared" si="4"/>
        <v>30887.294999999998</v>
      </c>
      <c r="N2" s="106">
        <f t="shared" si="4"/>
        <v>32680.491999999987</v>
      </c>
      <c r="O2" s="106">
        <f t="shared" si="4"/>
        <v>34284.02199999999</v>
      </c>
      <c r="P2" s="106">
        <f t="shared" si="4"/>
        <v>35802.009000000013</v>
      </c>
      <c r="Q2" s="106">
        <f t="shared" si="4"/>
        <v>37639.359999999993</v>
      </c>
      <c r="R2" s="106">
        <f t="shared" si="4"/>
        <v>39740.974000000009</v>
      </c>
      <c r="S2" s="106">
        <f t="shared" si="4"/>
        <v>41981.061999999998</v>
      </c>
      <c r="T2" s="106">
        <f t="shared" si="4"/>
        <v>44118.274000000012</v>
      </c>
      <c r="U2" s="106">
        <f t="shared" si="4"/>
        <v>46001.126000000011</v>
      </c>
      <c r="V2" s="106">
        <f t="shared" si="4"/>
        <v>45168.22</v>
      </c>
      <c r="W2" s="106">
        <f t="shared" si="4"/>
        <v>43428.729000000007</v>
      </c>
      <c r="X2" s="106">
        <f t="shared" si="4"/>
        <v>49594.775000000016</v>
      </c>
      <c r="Y2" s="106">
        <f t="shared" si="4"/>
        <v>54231.313999999998</v>
      </c>
      <c r="Z2" s="106">
        <f t="shared" si="4"/>
        <v>71264.781000000017</v>
      </c>
      <c r="AA2" s="106">
        <f t="shared" si="4"/>
        <v>78316.871999999988</v>
      </c>
      <c r="AB2" s="106">
        <f t="shared" si="4"/>
        <v>82968.084000000003</v>
      </c>
      <c r="AC2" s="106">
        <f t="shared" si="4"/>
        <v>84962.314999999988</v>
      </c>
      <c r="AD2" s="106">
        <f t="shared" si="4"/>
        <v>89697.005000000005</v>
      </c>
      <c r="AE2" s="106">
        <f t="shared" si="4"/>
        <v>95455.957000000024</v>
      </c>
      <c r="AF2" s="106">
        <f t="shared" si="4"/>
        <v>109589.36599999998</v>
      </c>
      <c r="AG2" s="106">
        <f t="shared" si="4"/>
        <v>116479.03200000001</v>
      </c>
      <c r="AH2" s="106">
        <f t="shared" si="4"/>
        <v>112191.06100000005</v>
      </c>
      <c r="AI2" s="106">
        <f t="shared" si="4"/>
        <v>104406.60099999998</v>
      </c>
      <c r="AJ2" s="106">
        <f t="shared" si="4"/>
        <v>97473.201000000015</v>
      </c>
      <c r="AK2" s="106">
        <f t="shared" si="4"/>
        <v>99802.715999999986</v>
      </c>
      <c r="AL2" s="106">
        <f t="shared" si="4"/>
        <v>105812.20600000001</v>
      </c>
      <c r="AM2" s="106">
        <f t="shared" si="4"/>
        <v>105335.49500000002</v>
      </c>
      <c r="AN2" s="106">
        <f t="shared" si="4"/>
        <v>106188.99400000001</v>
      </c>
      <c r="AO2" s="106">
        <f t="shared" si="4"/>
        <v>107819.645</v>
      </c>
      <c r="AP2" s="106">
        <f t="shared" si="4"/>
        <v>109241.41000000002</v>
      </c>
      <c r="AQ2" s="106">
        <f t="shared" ref="AQ2" si="5">SUM(AQ6:AQ59)</f>
        <v>111591.24299999999</v>
      </c>
      <c r="AR2" s="106">
        <f t="shared" si="4"/>
        <v>120950.21399999998</v>
      </c>
      <c r="AS2" s="106">
        <f t="shared" si="4"/>
        <v>126246.48799999997</v>
      </c>
      <c r="AT2" s="106">
        <f t="shared" si="4"/>
        <v>129911.71200000003</v>
      </c>
      <c r="AU2" s="106">
        <f t="shared" si="4"/>
        <v>124379.59099999999</v>
      </c>
      <c r="AV2" s="106">
        <f t="shared" ref="AV2:BC2" si="6">SUM(AV6:AV59)</f>
        <v>124088.26300000005</v>
      </c>
      <c r="AW2" s="106">
        <f t="shared" si="6"/>
        <v>125685.54199999999</v>
      </c>
      <c r="AX2" s="106">
        <f t="shared" si="6"/>
        <v>0</v>
      </c>
      <c r="AY2" s="106">
        <f t="shared" si="6"/>
        <v>0</v>
      </c>
      <c r="AZ2" s="106">
        <f t="shared" si="6"/>
        <v>0</v>
      </c>
      <c r="BA2" s="106">
        <f t="shared" si="6"/>
        <v>0</v>
      </c>
      <c r="BB2" s="106">
        <f t="shared" si="6"/>
        <v>0</v>
      </c>
      <c r="BC2" s="106">
        <f t="shared" si="6"/>
        <v>0</v>
      </c>
      <c r="BD2" s="106">
        <f t="shared" ref="BD2:BE2" si="7">SUM(BD6:BD59)</f>
        <v>0</v>
      </c>
      <c r="BE2" s="106">
        <f t="shared" si="7"/>
        <v>0</v>
      </c>
      <c r="BF2" s="107">
        <f t="shared" ref="BF2" si="8">SUM(BF6:BF59)</f>
        <v>0</v>
      </c>
    </row>
    <row r="3" spans="1:58" x14ac:dyDescent="0.35">
      <c r="A3" s="22" t="s">
        <v>114</v>
      </c>
    </row>
    <row r="4" spans="1:58" x14ac:dyDescent="0.35">
      <c r="B4" s="80" t="s">
        <v>72</v>
      </c>
      <c r="C4" s="80"/>
      <c r="D4" s="76"/>
      <c r="E4" s="76"/>
      <c r="G4" s="21" t="s">
        <v>58</v>
      </c>
    </row>
    <row r="5" spans="1:58" x14ac:dyDescent="0.35">
      <c r="A5" s="21" t="s">
        <v>57</v>
      </c>
      <c r="B5" s="108" t="s">
        <v>69</v>
      </c>
      <c r="C5" s="108" t="s">
        <v>117</v>
      </c>
      <c r="D5" s="108" t="s">
        <v>70</v>
      </c>
      <c r="E5" s="108" t="s">
        <v>118</v>
      </c>
      <c r="G5" s="109">
        <v>1980</v>
      </c>
      <c r="H5" s="109">
        <v>1981</v>
      </c>
      <c r="I5" s="109">
        <v>1982</v>
      </c>
      <c r="J5" s="109">
        <v>1983</v>
      </c>
      <c r="K5" s="109">
        <v>1984</v>
      </c>
      <c r="L5" s="109">
        <v>1985</v>
      </c>
      <c r="M5" s="109">
        <v>1986</v>
      </c>
      <c r="N5" s="109">
        <v>1987</v>
      </c>
      <c r="O5" s="109">
        <v>1988</v>
      </c>
      <c r="P5" s="109">
        <v>1989</v>
      </c>
      <c r="Q5" s="109">
        <v>1990</v>
      </c>
      <c r="R5" s="109">
        <v>1991</v>
      </c>
      <c r="S5" s="109">
        <v>1992</v>
      </c>
      <c r="T5" s="109">
        <v>1993</v>
      </c>
      <c r="U5" s="109">
        <v>1994</v>
      </c>
      <c r="V5" s="109">
        <v>1995</v>
      </c>
      <c r="W5" s="109">
        <v>1996</v>
      </c>
      <c r="X5" s="109">
        <v>1997</v>
      </c>
      <c r="Y5" s="109">
        <v>1998</v>
      </c>
      <c r="Z5" s="109">
        <v>1999</v>
      </c>
      <c r="AA5" s="109">
        <v>2000</v>
      </c>
      <c r="AB5" s="109">
        <v>2001</v>
      </c>
      <c r="AC5" s="109">
        <v>2002</v>
      </c>
      <c r="AD5" s="109">
        <v>2003</v>
      </c>
      <c r="AE5" s="109">
        <v>2004</v>
      </c>
      <c r="AF5" s="109">
        <v>2005</v>
      </c>
      <c r="AG5" s="109">
        <v>2006</v>
      </c>
      <c r="AH5" s="109">
        <v>2007</v>
      </c>
      <c r="AI5" s="109">
        <v>2008</v>
      </c>
      <c r="AJ5" s="109">
        <v>2009</v>
      </c>
      <c r="AK5" s="109">
        <v>2010</v>
      </c>
      <c r="AL5" s="109">
        <v>2011</v>
      </c>
      <c r="AM5" s="109">
        <v>2012</v>
      </c>
      <c r="AN5" s="109">
        <v>2013</v>
      </c>
      <c r="AO5" s="109">
        <v>2014</v>
      </c>
      <c r="AP5" s="109">
        <v>2015</v>
      </c>
      <c r="AQ5" s="109">
        <v>2016</v>
      </c>
      <c r="AR5" s="109">
        <v>2017</v>
      </c>
      <c r="AS5" s="109">
        <v>2018</v>
      </c>
      <c r="AT5" s="109">
        <v>2019</v>
      </c>
      <c r="AU5" s="109">
        <v>2020</v>
      </c>
      <c r="AV5" s="109">
        <v>2021</v>
      </c>
      <c r="AW5" s="109">
        <v>2022</v>
      </c>
      <c r="AX5" s="109">
        <v>2023</v>
      </c>
      <c r="AY5" s="109">
        <v>2024</v>
      </c>
      <c r="AZ5" s="109">
        <v>2025</v>
      </c>
      <c r="BA5" s="109">
        <v>2026</v>
      </c>
      <c r="BB5" s="109">
        <v>2027</v>
      </c>
      <c r="BC5" s="109">
        <v>2028</v>
      </c>
      <c r="BD5" s="109">
        <v>2029</v>
      </c>
      <c r="BE5" s="109">
        <v>2030</v>
      </c>
    </row>
    <row r="6" spans="1:58" x14ac:dyDescent="0.35">
      <c r="A6" s="104" t="s">
        <v>2</v>
      </c>
      <c r="B6" s="110">
        <v>4</v>
      </c>
      <c r="C6" s="110" t="s">
        <v>120</v>
      </c>
      <c r="D6" s="110">
        <v>1</v>
      </c>
      <c r="E6" s="110">
        <v>1</v>
      </c>
      <c r="G6" s="106">
        <v>1346.7349999999999</v>
      </c>
      <c r="H6" s="106">
        <v>1428.567</v>
      </c>
      <c r="I6" s="106">
        <v>1508.9970000000001</v>
      </c>
      <c r="J6" s="106">
        <v>1585.8330000000001</v>
      </c>
      <c r="K6" s="106">
        <v>1663.606</v>
      </c>
      <c r="L6" s="106">
        <v>1735.502</v>
      </c>
      <c r="M6" s="106">
        <v>1802.252</v>
      </c>
      <c r="N6" s="106">
        <v>1872.146</v>
      </c>
      <c r="O6" s="106">
        <v>1930.8679999999999</v>
      </c>
      <c r="P6" s="106">
        <v>1985.0989999999999</v>
      </c>
      <c r="Q6" s="106">
        <v>2048.9479999999999</v>
      </c>
      <c r="R6" s="106">
        <v>2127.02</v>
      </c>
      <c r="S6" s="106">
        <v>2212.0149999999999</v>
      </c>
      <c r="T6" s="106">
        <v>2291.1350000000002</v>
      </c>
      <c r="U6" s="106">
        <v>2366.3809999999999</v>
      </c>
      <c r="V6" s="106">
        <v>2142.3000000000002</v>
      </c>
      <c r="W6" s="106">
        <v>2542.6759999999999</v>
      </c>
      <c r="X6" s="106">
        <v>2643.1410000000001</v>
      </c>
      <c r="Y6" s="106">
        <v>2909.0650000000001</v>
      </c>
      <c r="Z6" s="106">
        <v>3725.7809999999999</v>
      </c>
      <c r="AA6" s="106">
        <v>3830.864</v>
      </c>
      <c r="AB6" s="106">
        <v>4795.7139999999999</v>
      </c>
      <c r="AC6" s="106">
        <v>4034.8820000000001</v>
      </c>
      <c r="AD6" s="106">
        <v>3786.5079999999998</v>
      </c>
      <c r="AE6" s="106">
        <v>3378.6579999999999</v>
      </c>
      <c r="AF6" s="106">
        <v>2968.848</v>
      </c>
      <c r="AG6" s="106">
        <v>2868.95</v>
      </c>
      <c r="AH6" s="106">
        <v>2517.4899999999998</v>
      </c>
      <c r="AI6" s="106">
        <v>1922.9349999999999</v>
      </c>
      <c r="AJ6" s="106">
        <v>1721.1120000000001</v>
      </c>
      <c r="AK6" s="106">
        <v>1501.146</v>
      </c>
      <c r="AL6" s="106">
        <v>1276.473</v>
      </c>
      <c r="AM6" s="106">
        <v>2087.4940000000001</v>
      </c>
      <c r="AN6" s="106">
        <v>2906.2939999999999</v>
      </c>
      <c r="AO6" s="106">
        <v>3738.402</v>
      </c>
      <c r="AP6" s="106">
        <v>4399.3549999999996</v>
      </c>
      <c r="AQ6" s="106">
        <v>4533.5720000000001</v>
      </c>
      <c r="AR6" s="106">
        <v>4532.4719999999998</v>
      </c>
      <c r="AS6" s="106">
        <v>4473.7550000000001</v>
      </c>
      <c r="AT6" s="106">
        <v>4404.2280000000001</v>
      </c>
      <c r="AU6" s="106">
        <v>3001.8629999999998</v>
      </c>
      <c r="AV6" s="106">
        <v>3027.1889999999999</v>
      </c>
      <c r="AW6" s="106">
        <v>3091.0880000000002</v>
      </c>
      <c r="AX6" s="81"/>
      <c r="AY6" s="81"/>
      <c r="AZ6" s="81"/>
      <c r="BA6" s="81"/>
      <c r="BB6" s="81"/>
      <c r="BC6" s="81"/>
      <c r="BD6" s="81"/>
      <c r="BE6" s="81"/>
    </row>
    <row r="7" spans="1:58" x14ac:dyDescent="0.35">
      <c r="A7" s="104" t="s">
        <v>3</v>
      </c>
      <c r="B7" s="110">
        <v>4</v>
      </c>
      <c r="C7" s="110" t="s">
        <v>121</v>
      </c>
      <c r="D7" s="110">
        <v>4</v>
      </c>
      <c r="E7" s="110" t="s">
        <v>121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57.381</v>
      </c>
      <c r="AK7" s="106">
        <v>6.992</v>
      </c>
      <c r="AL7" s="106">
        <v>8.5440000000000005</v>
      </c>
      <c r="AM7" s="106">
        <v>12.986000000000001</v>
      </c>
      <c r="AN7" s="106">
        <v>6.391</v>
      </c>
      <c r="AO7" s="106">
        <v>47.124000000000002</v>
      </c>
      <c r="AP7" s="106">
        <v>51.332999999999998</v>
      </c>
      <c r="AQ7" s="106">
        <v>232.375</v>
      </c>
      <c r="AR7" s="106">
        <v>707.59</v>
      </c>
      <c r="AS7" s="106">
        <v>959.27</v>
      </c>
      <c r="AT7" s="106">
        <v>1738.0350000000001</v>
      </c>
      <c r="AU7" s="106">
        <v>2241.1999999999998</v>
      </c>
      <c r="AV7" s="106">
        <v>122.069</v>
      </c>
      <c r="AW7" s="106">
        <v>122.069</v>
      </c>
      <c r="AX7" s="81"/>
      <c r="AY7" s="81"/>
      <c r="AZ7" s="81"/>
      <c r="BA7" s="81"/>
      <c r="BB7" s="81"/>
      <c r="BC7" s="81"/>
      <c r="BD7" s="81"/>
      <c r="BE7" s="81"/>
    </row>
    <row r="8" spans="1:58" x14ac:dyDescent="0.35">
      <c r="A8" s="104" t="s">
        <v>4</v>
      </c>
      <c r="B8" s="110">
        <v>4</v>
      </c>
      <c r="C8" s="110" t="s">
        <v>120</v>
      </c>
      <c r="D8" s="110">
        <v>1</v>
      </c>
      <c r="E8" s="110">
        <v>1</v>
      </c>
      <c r="G8" s="106">
        <v>189.31299999999999</v>
      </c>
      <c r="H8" s="106">
        <v>200.816</v>
      </c>
      <c r="I8" s="106">
        <v>212.12200000000001</v>
      </c>
      <c r="J8" s="106">
        <v>222.923</v>
      </c>
      <c r="K8" s="106">
        <v>233.85599999999999</v>
      </c>
      <c r="L8" s="106">
        <v>243.96199999999999</v>
      </c>
      <c r="M8" s="106">
        <v>253.345</v>
      </c>
      <c r="N8" s="106">
        <v>263.17</v>
      </c>
      <c r="O8" s="106">
        <v>271.42500000000001</v>
      </c>
      <c r="P8" s="106">
        <v>279.048</v>
      </c>
      <c r="Q8" s="106">
        <v>288.024</v>
      </c>
      <c r="R8" s="106">
        <v>298.99900000000002</v>
      </c>
      <c r="S8" s="106">
        <v>310.947</v>
      </c>
      <c r="T8" s="106">
        <v>322.06799999999998</v>
      </c>
      <c r="U8" s="106">
        <v>332.64600000000002</v>
      </c>
      <c r="V8" s="106">
        <v>350.18900000000002</v>
      </c>
      <c r="W8" s="106">
        <v>342.81900000000002</v>
      </c>
      <c r="X8" s="106">
        <v>336.476</v>
      </c>
      <c r="Y8" s="106">
        <v>394.37400000000002</v>
      </c>
      <c r="Z8" s="106">
        <v>453.42500000000001</v>
      </c>
      <c r="AA8" s="106">
        <v>537.47299999999996</v>
      </c>
      <c r="AB8" s="106">
        <v>518.077</v>
      </c>
      <c r="AC8" s="106">
        <v>471.24900000000002</v>
      </c>
      <c r="AD8" s="106">
        <v>422.245</v>
      </c>
      <c r="AE8" s="106">
        <v>371.40899999999999</v>
      </c>
      <c r="AF8" s="106">
        <v>320.13400000000001</v>
      </c>
      <c r="AG8" s="106">
        <v>356.14100000000002</v>
      </c>
      <c r="AH8" s="106">
        <v>396.69799999999998</v>
      </c>
      <c r="AI8" s="106">
        <v>268.61500000000001</v>
      </c>
      <c r="AJ8" s="106">
        <v>168.41</v>
      </c>
      <c r="AK8" s="106">
        <v>185.572</v>
      </c>
      <c r="AL8" s="106">
        <v>169.31200000000001</v>
      </c>
      <c r="AM8" s="106">
        <v>152.79</v>
      </c>
      <c r="AN8" s="106">
        <v>136.19200000000001</v>
      </c>
      <c r="AO8" s="106">
        <v>172.41200000000001</v>
      </c>
      <c r="AP8" s="106">
        <v>209.584</v>
      </c>
      <c r="AQ8" s="106">
        <v>247.83</v>
      </c>
      <c r="AR8" s="106">
        <v>449.03100000000001</v>
      </c>
      <c r="AS8" s="106">
        <v>553.37900000000002</v>
      </c>
      <c r="AT8" s="106">
        <v>663.399</v>
      </c>
      <c r="AU8" s="106">
        <v>671.54200000000003</v>
      </c>
      <c r="AV8" s="106">
        <v>677.20799999999997</v>
      </c>
      <c r="AW8" s="106">
        <v>691.50300000000004</v>
      </c>
      <c r="AX8" s="81"/>
      <c r="AY8" s="81"/>
      <c r="AZ8" s="81"/>
      <c r="BA8" s="81"/>
      <c r="BB8" s="81"/>
      <c r="BC8" s="81"/>
      <c r="BD8" s="81"/>
      <c r="BE8" s="81"/>
    </row>
    <row r="9" spans="1:58" x14ac:dyDescent="0.35">
      <c r="A9" s="104" t="s">
        <v>5</v>
      </c>
      <c r="B9" s="110">
        <v>4</v>
      </c>
      <c r="C9" s="110" t="s">
        <v>120</v>
      </c>
      <c r="D9" s="110">
        <v>1</v>
      </c>
      <c r="E9" s="110">
        <v>1</v>
      </c>
      <c r="G9" s="106">
        <v>1316.0730000000001</v>
      </c>
      <c r="H9" s="106">
        <v>1453.73</v>
      </c>
      <c r="I9" s="106">
        <v>1591.213</v>
      </c>
      <c r="J9" s="106">
        <v>1725.8330000000001</v>
      </c>
      <c r="K9" s="106">
        <v>1862.1990000000001</v>
      </c>
      <c r="L9" s="106">
        <v>1992.49</v>
      </c>
      <c r="M9" s="106">
        <v>2117.0210000000002</v>
      </c>
      <c r="N9" s="106">
        <v>2245.3220000000001</v>
      </c>
      <c r="O9" s="106">
        <v>2360.1120000000001</v>
      </c>
      <c r="P9" s="106">
        <v>2468.9670000000001</v>
      </c>
      <c r="Q9" s="106">
        <v>2589.4830000000002</v>
      </c>
      <c r="R9" s="106">
        <v>2728.1529999999998</v>
      </c>
      <c r="S9" s="106">
        <v>2876.2489999999998</v>
      </c>
      <c r="T9" s="106">
        <v>3017.223</v>
      </c>
      <c r="U9" s="106">
        <v>3153.4140000000002</v>
      </c>
      <c r="V9" s="106">
        <v>2800.14</v>
      </c>
      <c r="W9" s="106">
        <v>2475.643</v>
      </c>
      <c r="X9" s="106">
        <v>2400.5889999999999</v>
      </c>
      <c r="Y9" s="106">
        <v>2325.8760000000002</v>
      </c>
      <c r="Z9" s="106">
        <v>3439.9960000000001</v>
      </c>
      <c r="AA9" s="106">
        <v>3470.069</v>
      </c>
      <c r="AB9" s="106">
        <v>3980.482</v>
      </c>
      <c r="AC9" s="106">
        <v>4318.7179999999998</v>
      </c>
      <c r="AD9" s="106">
        <v>4801.4189999999999</v>
      </c>
      <c r="AE9" s="106">
        <v>5297.7250000000004</v>
      </c>
      <c r="AF9" s="106">
        <v>4270.9430000000002</v>
      </c>
      <c r="AG9" s="106">
        <v>5155.84</v>
      </c>
      <c r="AH9" s="106">
        <v>4524.4780000000001</v>
      </c>
      <c r="AI9" s="106">
        <v>4384.0619999999999</v>
      </c>
      <c r="AJ9" s="106">
        <v>4179.7569999999996</v>
      </c>
      <c r="AK9" s="106">
        <v>4266.652</v>
      </c>
      <c r="AL9" s="106">
        <v>4255.9139999999998</v>
      </c>
      <c r="AM9" s="106">
        <v>4486.1120000000001</v>
      </c>
      <c r="AN9" s="106">
        <v>4720.1549999999997</v>
      </c>
      <c r="AO9" s="106">
        <v>4964.2150000000001</v>
      </c>
      <c r="AP9" s="106">
        <v>4526.192</v>
      </c>
      <c r="AQ9" s="106">
        <v>4679.3879999999999</v>
      </c>
      <c r="AR9" s="106">
        <v>4983.0510000000004</v>
      </c>
      <c r="AS9" s="106">
        <v>5573.7060000000001</v>
      </c>
      <c r="AT9" s="106">
        <v>5555.78</v>
      </c>
      <c r="AU9" s="106">
        <v>5822.0309999999999</v>
      </c>
      <c r="AV9" s="106">
        <v>5871.1509999999998</v>
      </c>
      <c r="AW9" s="106">
        <v>5995.0820000000003</v>
      </c>
      <c r="AX9" s="81"/>
      <c r="AY9" s="81"/>
      <c r="AZ9" s="81"/>
      <c r="BA9" s="81"/>
      <c r="BB9" s="81"/>
      <c r="BC9" s="81"/>
      <c r="BD9" s="81"/>
      <c r="BE9" s="81"/>
    </row>
    <row r="10" spans="1:58" x14ac:dyDescent="0.35">
      <c r="A10" s="104" t="s">
        <v>6</v>
      </c>
      <c r="B10" s="110">
        <v>4</v>
      </c>
      <c r="C10" s="110" t="s">
        <v>120</v>
      </c>
      <c r="D10" s="110">
        <v>1</v>
      </c>
      <c r="E10" s="110">
        <v>1</v>
      </c>
      <c r="G10" s="106">
        <v>1019.244</v>
      </c>
      <c r="H10" s="106">
        <v>1081.1769999999999</v>
      </c>
      <c r="I10" s="106">
        <v>1142.049</v>
      </c>
      <c r="J10" s="106">
        <v>1200.2</v>
      </c>
      <c r="K10" s="106">
        <v>1259.0609999999999</v>
      </c>
      <c r="L10" s="106">
        <v>1313.473</v>
      </c>
      <c r="M10" s="106">
        <v>1363.992</v>
      </c>
      <c r="N10" s="106">
        <v>1416.8889999999999</v>
      </c>
      <c r="O10" s="106">
        <v>1461.3320000000001</v>
      </c>
      <c r="P10" s="106">
        <v>1502.375</v>
      </c>
      <c r="Q10" s="106">
        <v>1550.6980000000001</v>
      </c>
      <c r="R10" s="106">
        <v>1609.7850000000001</v>
      </c>
      <c r="S10" s="106">
        <v>1674.1110000000001</v>
      </c>
      <c r="T10" s="106">
        <v>1733.991</v>
      </c>
      <c r="U10" s="106">
        <v>1790.9390000000001</v>
      </c>
      <c r="V10" s="106">
        <v>1996.085</v>
      </c>
      <c r="W10" s="106">
        <v>1707.0440000000001</v>
      </c>
      <c r="X10" s="106">
        <v>1839.105</v>
      </c>
      <c r="Y10" s="106">
        <v>1975.2660000000001</v>
      </c>
      <c r="Z10" s="106">
        <v>3023.453</v>
      </c>
      <c r="AA10" s="106">
        <v>3188.9229999999998</v>
      </c>
      <c r="AB10" s="106">
        <v>3905.6480000000001</v>
      </c>
      <c r="AC10" s="106">
        <v>4203.68</v>
      </c>
      <c r="AD10" s="106">
        <v>4729.3819999999996</v>
      </c>
      <c r="AE10" s="106">
        <v>5270.1490000000003</v>
      </c>
      <c r="AF10" s="106">
        <v>4982.8720000000003</v>
      </c>
      <c r="AG10" s="106">
        <v>4694.8999999999996</v>
      </c>
      <c r="AH10" s="106">
        <v>4424.53</v>
      </c>
      <c r="AI10" s="106">
        <v>4115.549</v>
      </c>
      <c r="AJ10" s="106">
        <v>4222.2179999999998</v>
      </c>
      <c r="AK10" s="106">
        <v>4296.7529999999997</v>
      </c>
      <c r="AL10" s="106">
        <v>5402.0590000000002</v>
      </c>
      <c r="AM10" s="106">
        <v>4707.799</v>
      </c>
      <c r="AN10" s="106">
        <v>5142.63</v>
      </c>
      <c r="AO10" s="106">
        <v>5590.2780000000002</v>
      </c>
      <c r="AP10" s="106">
        <v>4946.3980000000001</v>
      </c>
      <c r="AQ10" s="106">
        <v>5238.4740000000002</v>
      </c>
      <c r="AR10" s="106">
        <v>5677.6610000000001</v>
      </c>
      <c r="AS10" s="106">
        <v>5986.4229999999998</v>
      </c>
      <c r="AT10" s="106">
        <v>6161.8909999999996</v>
      </c>
      <c r="AU10" s="106">
        <v>6089.0630000000001</v>
      </c>
      <c r="AV10" s="106">
        <v>6140.4350000000004</v>
      </c>
      <c r="AW10" s="106">
        <v>6270.0510000000004</v>
      </c>
      <c r="AX10" s="81"/>
      <c r="AY10" s="81"/>
      <c r="AZ10" s="81"/>
      <c r="BA10" s="81"/>
      <c r="BB10" s="81"/>
      <c r="BC10" s="81"/>
      <c r="BD10" s="81"/>
      <c r="BE10" s="81"/>
    </row>
    <row r="11" spans="1:58" x14ac:dyDescent="0.35">
      <c r="A11" s="104" t="s">
        <v>7</v>
      </c>
      <c r="B11" s="110">
        <v>4</v>
      </c>
      <c r="C11" s="110" t="s">
        <v>120</v>
      </c>
      <c r="D11" s="110">
        <v>1</v>
      </c>
      <c r="E11" s="110">
        <v>1</v>
      </c>
      <c r="G11" s="106">
        <v>2670.4560000000001</v>
      </c>
      <c r="H11" s="106">
        <v>2832.7240000000002</v>
      </c>
      <c r="I11" s="106">
        <v>2992.2080000000001</v>
      </c>
      <c r="J11" s="106">
        <v>3144.5680000000002</v>
      </c>
      <c r="K11" s="106">
        <v>3298.7840000000001</v>
      </c>
      <c r="L11" s="106">
        <v>3441.3470000000002</v>
      </c>
      <c r="M11" s="106">
        <v>3573.7069999999999</v>
      </c>
      <c r="N11" s="106">
        <v>3712.3</v>
      </c>
      <c r="O11" s="106">
        <v>3828.741</v>
      </c>
      <c r="P11" s="106">
        <v>3936.2759999999998</v>
      </c>
      <c r="Q11" s="106">
        <v>4062.884</v>
      </c>
      <c r="R11" s="106">
        <v>4217.6930000000002</v>
      </c>
      <c r="S11" s="106">
        <v>4386.232</v>
      </c>
      <c r="T11" s="106">
        <v>4543.1189999999997</v>
      </c>
      <c r="U11" s="106">
        <v>4692.3249999999998</v>
      </c>
      <c r="V11" s="106">
        <v>5911.692</v>
      </c>
      <c r="W11" s="106">
        <v>4763.9219999999996</v>
      </c>
      <c r="X11" s="106">
        <v>3831.5619999999999</v>
      </c>
      <c r="Y11" s="106">
        <v>4271.2550000000001</v>
      </c>
      <c r="Z11" s="106">
        <v>8646.6479999999992</v>
      </c>
      <c r="AA11" s="106">
        <v>10234.423000000001</v>
      </c>
      <c r="AB11" s="106">
        <v>9508.5370000000003</v>
      </c>
      <c r="AC11" s="106">
        <v>10984.513000000001</v>
      </c>
      <c r="AD11" s="106">
        <v>10001.169</v>
      </c>
      <c r="AE11" s="106">
        <v>9069.0480000000007</v>
      </c>
      <c r="AF11" s="106">
        <v>11401.204</v>
      </c>
      <c r="AG11" s="106">
        <v>12758.197</v>
      </c>
      <c r="AH11" s="106">
        <v>11361.828</v>
      </c>
      <c r="AI11" s="106">
        <v>12975.522999999999</v>
      </c>
      <c r="AJ11" s="106">
        <v>14484.85</v>
      </c>
      <c r="AK11" s="106">
        <v>12991.334000000001</v>
      </c>
      <c r="AL11" s="106">
        <v>14103.662</v>
      </c>
      <c r="AM11" s="106">
        <v>14628.415999999999</v>
      </c>
      <c r="AN11" s="106">
        <v>15481.075999999999</v>
      </c>
      <c r="AO11" s="106">
        <v>16367.49</v>
      </c>
      <c r="AP11" s="106">
        <v>14515.544</v>
      </c>
      <c r="AQ11" s="106">
        <v>16226.763000000001</v>
      </c>
      <c r="AR11" s="106">
        <v>16289.582</v>
      </c>
      <c r="AS11" s="106">
        <v>19103.263999999999</v>
      </c>
      <c r="AT11" s="106">
        <v>19684.164000000001</v>
      </c>
      <c r="AU11" s="106">
        <v>16039.682000000001</v>
      </c>
      <c r="AV11" s="106">
        <v>16175.005999999999</v>
      </c>
      <c r="AW11" s="106">
        <v>16516.436000000002</v>
      </c>
      <c r="AX11" s="81"/>
      <c r="AY11" s="81"/>
      <c r="AZ11" s="81"/>
      <c r="BA11" s="81"/>
      <c r="BB11" s="81"/>
      <c r="BC11" s="81"/>
      <c r="BD11" s="81"/>
      <c r="BE11" s="81"/>
    </row>
    <row r="12" spans="1:58" x14ac:dyDescent="0.35">
      <c r="A12" s="104" t="s">
        <v>8</v>
      </c>
      <c r="B12" s="110">
        <v>4</v>
      </c>
      <c r="C12" s="110" t="s">
        <v>120</v>
      </c>
      <c r="D12" s="110">
        <v>1</v>
      </c>
      <c r="E12" s="110">
        <v>1</v>
      </c>
      <c r="G12" s="106">
        <v>260.44499999999999</v>
      </c>
      <c r="H12" s="106">
        <v>351.61700000000002</v>
      </c>
      <c r="I12" s="106">
        <v>444.08199999999999</v>
      </c>
      <c r="J12" s="106">
        <v>536.69799999999998</v>
      </c>
      <c r="K12" s="106">
        <v>630.58100000000002</v>
      </c>
      <c r="L12" s="106">
        <v>722.89300000000003</v>
      </c>
      <c r="M12" s="106">
        <v>813.255</v>
      </c>
      <c r="N12" s="106">
        <v>905.13599999999997</v>
      </c>
      <c r="O12" s="106">
        <v>991.47</v>
      </c>
      <c r="P12" s="106">
        <v>1074.9159999999999</v>
      </c>
      <c r="Q12" s="106">
        <v>1163.175</v>
      </c>
      <c r="R12" s="106">
        <v>1259.7429999999999</v>
      </c>
      <c r="S12" s="106">
        <v>1361.124</v>
      </c>
      <c r="T12" s="106">
        <v>1459.567</v>
      </c>
      <c r="U12" s="106">
        <v>1555.9580000000001</v>
      </c>
      <c r="V12" s="106">
        <v>1350.0809999999999</v>
      </c>
      <c r="W12" s="106">
        <v>1729.1969999999999</v>
      </c>
      <c r="X12" s="106">
        <v>1882.386</v>
      </c>
      <c r="Y12" s="106">
        <v>2126.335</v>
      </c>
      <c r="Z12" s="106">
        <v>2508.2570000000001</v>
      </c>
      <c r="AA12" s="106">
        <v>2902.9560000000001</v>
      </c>
      <c r="AB12" s="106">
        <v>2616.973</v>
      </c>
      <c r="AC12" s="106">
        <v>2878.4059999999999</v>
      </c>
      <c r="AD12" s="106">
        <v>3145.3150000000001</v>
      </c>
      <c r="AE12" s="106">
        <v>3440.2890000000002</v>
      </c>
      <c r="AF12" s="106">
        <v>4096.5190000000002</v>
      </c>
      <c r="AG12" s="106">
        <v>4351.03</v>
      </c>
      <c r="AH12" s="106">
        <v>4622.4229999999998</v>
      </c>
      <c r="AI12" s="106">
        <v>3889.3710000000001</v>
      </c>
      <c r="AJ12" s="106">
        <v>3253.7069999999999</v>
      </c>
      <c r="AK12" s="106">
        <v>3015.5050000000001</v>
      </c>
      <c r="AL12" s="106">
        <v>3007.9169999999999</v>
      </c>
      <c r="AM12" s="106">
        <v>2882.181</v>
      </c>
      <c r="AN12" s="106">
        <v>2951.194</v>
      </c>
      <c r="AO12" s="106">
        <v>3025.6509999999998</v>
      </c>
      <c r="AP12" s="106">
        <v>2687.92</v>
      </c>
      <c r="AQ12" s="106">
        <v>3187.2339999999999</v>
      </c>
      <c r="AR12" s="106">
        <v>3024.8690000000001</v>
      </c>
      <c r="AS12" s="106">
        <v>3024.8429999999998</v>
      </c>
      <c r="AT12" s="106">
        <v>3166.6660000000002</v>
      </c>
      <c r="AU12" s="106">
        <v>3455.6129999999998</v>
      </c>
      <c r="AV12" s="106">
        <v>3484.7669999999998</v>
      </c>
      <c r="AW12" s="106">
        <v>3558.3249999999998</v>
      </c>
      <c r="AX12" s="81"/>
      <c r="AY12" s="81"/>
      <c r="AZ12" s="81"/>
      <c r="BA12" s="81"/>
      <c r="BB12" s="81"/>
      <c r="BC12" s="81"/>
      <c r="BD12" s="81"/>
      <c r="BE12" s="81"/>
    </row>
    <row r="13" spans="1:58" x14ac:dyDescent="0.35">
      <c r="A13" s="104" t="s">
        <v>9</v>
      </c>
      <c r="B13" s="110">
        <v>4</v>
      </c>
      <c r="C13" s="110" t="s">
        <v>120</v>
      </c>
      <c r="D13" s="110">
        <v>1</v>
      </c>
      <c r="E13" s="110">
        <v>1</v>
      </c>
      <c r="G13" s="106">
        <v>644.60900000000004</v>
      </c>
      <c r="H13" s="106">
        <v>712.03300000000002</v>
      </c>
      <c r="I13" s="106">
        <v>779.37199999999996</v>
      </c>
      <c r="J13" s="106">
        <v>845.30899999999997</v>
      </c>
      <c r="K13" s="106">
        <v>912.1</v>
      </c>
      <c r="L13" s="106">
        <v>975.91600000000005</v>
      </c>
      <c r="M13" s="106">
        <v>1036.9110000000001</v>
      </c>
      <c r="N13" s="106">
        <v>1099.7529999999999</v>
      </c>
      <c r="O13" s="106">
        <v>1155.9770000000001</v>
      </c>
      <c r="P13" s="106">
        <v>1209.2940000000001</v>
      </c>
      <c r="Q13" s="106">
        <v>1268.3219999999999</v>
      </c>
      <c r="R13" s="106">
        <v>1336.242</v>
      </c>
      <c r="S13" s="106">
        <v>1408.779</v>
      </c>
      <c r="T13" s="106">
        <v>1477.828</v>
      </c>
      <c r="U13" s="106">
        <v>1544.5340000000001</v>
      </c>
      <c r="V13" s="106">
        <v>1593.3150000000001</v>
      </c>
      <c r="W13" s="106">
        <v>1609.4570000000001</v>
      </c>
      <c r="X13" s="106">
        <v>1631.2280000000001</v>
      </c>
      <c r="Y13" s="106">
        <v>1973.213</v>
      </c>
      <c r="Z13" s="106">
        <v>2189.509</v>
      </c>
      <c r="AA13" s="106">
        <v>2416.3009999999999</v>
      </c>
      <c r="AB13" s="106">
        <v>2480.3200000000002</v>
      </c>
      <c r="AC13" s="106">
        <v>3234.8939999999998</v>
      </c>
      <c r="AD13" s="106">
        <v>4186.2510000000002</v>
      </c>
      <c r="AE13" s="106">
        <v>4636.7449999999999</v>
      </c>
      <c r="AF13" s="106">
        <v>5214.3599999999997</v>
      </c>
      <c r="AG13" s="106">
        <v>5353.0379999999996</v>
      </c>
      <c r="AH13" s="106">
        <v>6230.0870000000004</v>
      </c>
      <c r="AI13" s="106">
        <v>7127.3739999999998</v>
      </c>
      <c r="AJ13" s="106">
        <v>7967.7870000000003</v>
      </c>
      <c r="AK13" s="106">
        <v>8975.152</v>
      </c>
      <c r="AL13" s="106">
        <v>9276.268</v>
      </c>
      <c r="AM13" s="106">
        <v>9573.4560000000001</v>
      </c>
      <c r="AN13" s="106">
        <v>9215.8719999999994</v>
      </c>
      <c r="AO13" s="106">
        <v>8869.2270000000008</v>
      </c>
      <c r="AP13" s="106">
        <v>8539.0669999999991</v>
      </c>
      <c r="AQ13" s="106">
        <v>8217.4459999999999</v>
      </c>
      <c r="AR13" s="106">
        <v>7902.9629999999997</v>
      </c>
      <c r="AS13" s="106">
        <v>6428.0029999999997</v>
      </c>
      <c r="AT13" s="106">
        <v>5261.2479999999996</v>
      </c>
      <c r="AU13" s="106">
        <v>4045.2750000000001</v>
      </c>
      <c r="AV13" s="106">
        <v>2788.0450000000001</v>
      </c>
      <c r="AW13" s="106">
        <v>1528.278</v>
      </c>
      <c r="AX13" s="81"/>
      <c r="AY13" s="81"/>
      <c r="AZ13" s="81"/>
      <c r="BA13" s="81"/>
      <c r="BB13" s="81"/>
      <c r="BC13" s="81"/>
      <c r="BD13" s="81"/>
      <c r="BE13" s="81"/>
    </row>
    <row r="14" spans="1:58" x14ac:dyDescent="0.35">
      <c r="A14" s="104" t="s">
        <v>10</v>
      </c>
      <c r="B14" s="110">
        <v>1</v>
      </c>
      <c r="C14" s="110">
        <v>1</v>
      </c>
      <c r="D14" s="110">
        <v>1</v>
      </c>
      <c r="E14" s="110">
        <v>1</v>
      </c>
      <c r="G14" s="106">
        <v>1789.7159999999999</v>
      </c>
      <c r="H14" s="106">
        <v>1898.4659999999999</v>
      </c>
      <c r="I14" s="106">
        <v>2005.3510000000001</v>
      </c>
      <c r="J14" s="106">
        <v>2107.4609999999998</v>
      </c>
      <c r="K14" s="106">
        <v>2210.8150000000001</v>
      </c>
      <c r="L14" s="106">
        <v>2306.36</v>
      </c>
      <c r="M14" s="106">
        <v>2395.0659999999998</v>
      </c>
      <c r="N14" s="106">
        <v>2487.9499999999998</v>
      </c>
      <c r="O14" s="106">
        <v>2565.9879999999998</v>
      </c>
      <c r="P14" s="106">
        <v>2638.0569999999998</v>
      </c>
      <c r="Q14" s="106">
        <v>2722.9079999999999</v>
      </c>
      <c r="R14" s="106">
        <v>2826.66</v>
      </c>
      <c r="S14" s="106">
        <v>2939.6129999999998</v>
      </c>
      <c r="T14" s="106">
        <v>3044.7570000000001</v>
      </c>
      <c r="U14" s="106">
        <v>3144.7539999999999</v>
      </c>
      <c r="V14" s="106">
        <v>2940.5619999999999</v>
      </c>
      <c r="W14" s="106">
        <v>2766.9169999999999</v>
      </c>
      <c r="X14" s="106">
        <v>3057.0770000000002</v>
      </c>
      <c r="Y14" s="106">
        <v>3355.4839999999999</v>
      </c>
      <c r="Z14" s="106">
        <v>5167.0309999999999</v>
      </c>
      <c r="AA14" s="106">
        <v>6078.62</v>
      </c>
      <c r="AB14" s="106">
        <v>7671.5690000000004</v>
      </c>
      <c r="AC14" s="106">
        <v>6809.2030000000004</v>
      </c>
      <c r="AD14" s="106">
        <v>8304.0969999999998</v>
      </c>
      <c r="AE14" s="106">
        <v>8116.2960000000003</v>
      </c>
      <c r="AF14" s="106">
        <v>8879.0769999999993</v>
      </c>
      <c r="AG14" s="106">
        <v>9552.6769999999997</v>
      </c>
      <c r="AH14" s="106">
        <v>9660.9169999999995</v>
      </c>
      <c r="AI14" s="106">
        <v>9726.2900000000009</v>
      </c>
      <c r="AJ14" s="106">
        <v>7843.4279999999999</v>
      </c>
      <c r="AK14" s="106">
        <v>8554.3160000000007</v>
      </c>
      <c r="AL14" s="106">
        <v>7118.9560000000001</v>
      </c>
      <c r="AM14" s="106">
        <v>7060.6270000000004</v>
      </c>
      <c r="AN14" s="106">
        <v>7396.82</v>
      </c>
      <c r="AO14" s="106">
        <v>7748.3869999999997</v>
      </c>
      <c r="AP14" s="106">
        <v>7436.18</v>
      </c>
      <c r="AQ14" s="106">
        <v>7987.9870000000001</v>
      </c>
      <c r="AR14" s="106">
        <v>8629.2060000000001</v>
      </c>
      <c r="AS14" s="106">
        <v>8572.3449999999993</v>
      </c>
      <c r="AT14" s="106">
        <v>9975.4390000000003</v>
      </c>
      <c r="AU14" s="106">
        <v>9074.0210000000006</v>
      </c>
      <c r="AV14" s="106">
        <v>9150.5769999999993</v>
      </c>
      <c r="AW14" s="106">
        <v>9343.732</v>
      </c>
      <c r="AX14" s="81"/>
      <c r="AY14" s="81"/>
      <c r="AZ14" s="81"/>
      <c r="BA14" s="81"/>
      <c r="BB14" s="81"/>
      <c r="BC14" s="81"/>
      <c r="BD14" s="81"/>
      <c r="BE14" s="81"/>
    </row>
    <row r="15" spans="1:58" x14ac:dyDescent="0.35">
      <c r="A15" s="104" t="s">
        <v>11</v>
      </c>
      <c r="B15" s="110">
        <v>1</v>
      </c>
      <c r="C15" s="110">
        <v>1</v>
      </c>
      <c r="D15" s="110">
        <v>1</v>
      </c>
      <c r="E15" s="110">
        <v>1</v>
      </c>
      <c r="G15" s="106">
        <v>367.27800000000002</v>
      </c>
      <c r="H15" s="106">
        <v>425.01299999999998</v>
      </c>
      <c r="I15" s="106">
        <v>483.1</v>
      </c>
      <c r="J15" s="106">
        <v>540.60500000000002</v>
      </c>
      <c r="K15" s="106">
        <v>598.87599999999998</v>
      </c>
      <c r="L15" s="106">
        <v>655.34</v>
      </c>
      <c r="M15" s="106">
        <v>709.952</v>
      </c>
      <c r="N15" s="106">
        <v>765.84900000000005</v>
      </c>
      <c r="O15" s="106">
        <v>817.10799999999995</v>
      </c>
      <c r="P15" s="106">
        <v>866.19299999999998</v>
      </c>
      <c r="Q15" s="106">
        <v>919.28899999999999</v>
      </c>
      <c r="R15" s="106">
        <v>978.87599999999998</v>
      </c>
      <c r="S15" s="106">
        <v>1041.9849999999999</v>
      </c>
      <c r="T15" s="106">
        <v>1102.644</v>
      </c>
      <c r="U15" s="106">
        <v>1161.635</v>
      </c>
      <c r="V15" s="106">
        <v>1071.576</v>
      </c>
      <c r="W15" s="106">
        <v>1150.078</v>
      </c>
      <c r="X15" s="106">
        <v>1443.43</v>
      </c>
      <c r="Y15" s="106">
        <v>2028.075</v>
      </c>
      <c r="Z15" s="106">
        <v>1772.8440000000001</v>
      </c>
      <c r="AA15" s="106">
        <v>1514.674</v>
      </c>
      <c r="AB15" s="106">
        <v>1465.8889999999999</v>
      </c>
      <c r="AC15" s="106">
        <v>1627.7429999999999</v>
      </c>
      <c r="AD15" s="106">
        <v>1841.0530000000001</v>
      </c>
      <c r="AE15" s="106">
        <v>2503.0129999999999</v>
      </c>
      <c r="AF15" s="106">
        <v>2864.7489999999998</v>
      </c>
      <c r="AG15" s="106">
        <v>2691.6889999999999</v>
      </c>
      <c r="AH15" s="106">
        <v>2528.2779999999998</v>
      </c>
      <c r="AI15" s="106">
        <v>1717.8420000000001</v>
      </c>
      <c r="AJ15" s="106">
        <v>2169.2860000000001</v>
      </c>
      <c r="AK15" s="106">
        <v>2025.759</v>
      </c>
      <c r="AL15" s="106">
        <v>1782.03</v>
      </c>
      <c r="AM15" s="106">
        <v>1327.462</v>
      </c>
      <c r="AN15" s="106">
        <v>1062.4970000000001</v>
      </c>
      <c r="AO15" s="106">
        <v>926.94799999999998</v>
      </c>
      <c r="AP15" s="106">
        <v>1094.049</v>
      </c>
      <c r="AQ15" s="106">
        <v>1192.8109999999999</v>
      </c>
      <c r="AR15" s="106">
        <v>1447.96</v>
      </c>
      <c r="AS15" s="106">
        <v>2061.0749999999998</v>
      </c>
      <c r="AT15" s="106">
        <v>2578.6350000000002</v>
      </c>
      <c r="AU15" s="106">
        <v>3102.3049999999998</v>
      </c>
      <c r="AV15" s="106">
        <v>3128.4780000000001</v>
      </c>
      <c r="AW15" s="106">
        <v>3194.5160000000001</v>
      </c>
      <c r="AX15" s="81"/>
      <c r="AY15" s="81"/>
      <c r="AZ15" s="81"/>
      <c r="BA15" s="81"/>
      <c r="BB15" s="81"/>
      <c r="BC15" s="81"/>
      <c r="BD15" s="81"/>
      <c r="BE15" s="81"/>
    </row>
    <row r="16" spans="1:58" x14ac:dyDescent="0.35">
      <c r="A16" s="104" t="s">
        <v>12</v>
      </c>
      <c r="B16" s="110">
        <v>1</v>
      </c>
      <c r="C16" s="110">
        <v>1</v>
      </c>
      <c r="D16" s="110">
        <v>1</v>
      </c>
      <c r="E16" s="110">
        <v>1</v>
      </c>
      <c r="G16" s="106">
        <v>3.948</v>
      </c>
      <c r="H16" s="106">
        <v>7.9939999999999998</v>
      </c>
      <c r="I16" s="106">
        <v>12.116</v>
      </c>
      <c r="J16" s="106">
        <v>16.268999999999998</v>
      </c>
      <c r="K16" s="106">
        <v>20.481000000000002</v>
      </c>
      <c r="L16" s="106">
        <v>24.652999999999999</v>
      </c>
      <c r="M16" s="106">
        <v>28.762</v>
      </c>
      <c r="N16" s="106">
        <v>32.926000000000002</v>
      </c>
      <c r="O16" s="106">
        <v>36.886000000000003</v>
      </c>
      <c r="P16" s="106">
        <v>40.731000000000002</v>
      </c>
      <c r="Q16" s="106">
        <v>44.753999999999998</v>
      </c>
      <c r="R16" s="106">
        <v>49.098999999999997</v>
      </c>
      <c r="S16" s="106">
        <v>53.64</v>
      </c>
      <c r="T16" s="106">
        <v>58.072000000000003</v>
      </c>
      <c r="U16" s="106">
        <v>62.427</v>
      </c>
      <c r="V16" s="106">
        <v>76.099999999999994</v>
      </c>
      <c r="W16" s="106">
        <v>59.78</v>
      </c>
      <c r="X16" s="106">
        <v>64.418000000000006</v>
      </c>
      <c r="Y16" s="106">
        <v>69.2</v>
      </c>
      <c r="Z16" s="106">
        <v>157.5</v>
      </c>
      <c r="AA16" s="106">
        <v>1141.2449999999999</v>
      </c>
      <c r="AB16" s="106">
        <v>1185.213</v>
      </c>
      <c r="AC16" s="106">
        <v>1233.6690000000001</v>
      </c>
      <c r="AD16" s="106">
        <v>1149.373</v>
      </c>
      <c r="AE16" s="106">
        <v>1175.309</v>
      </c>
      <c r="AF16" s="106">
        <v>1596.663</v>
      </c>
      <c r="AG16" s="106">
        <v>2306.9180000000001</v>
      </c>
      <c r="AH16" s="106">
        <v>2112.1350000000002</v>
      </c>
      <c r="AI16" s="106">
        <v>1895.0229999999999</v>
      </c>
      <c r="AJ16" s="106">
        <v>903.51900000000001</v>
      </c>
      <c r="AK16" s="106">
        <v>645.08000000000004</v>
      </c>
      <c r="AL16" s="106">
        <v>496.11799999999999</v>
      </c>
      <c r="AM16" s="106">
        <v>411.07400000000001</v>
      </c>
      <c r="AN16" s="106">
        <v>417.67399999999998</v>
      </c>
      <c r="AO16" s="106">
        <v>425.01100000000002</v>
      </c>
      <c r="AP16" s="106">
        <v>836.00599999999997</v>
      </c>
      <c r="AQ16" s="106">
        <v>1004.614</v>
      </c>
      <c r="AR16" s="106">
        <v>1178.8409999999999</v>
      </c>
      <c r="AS16" s="106">
        <v>1195.8030000000001</v>
      </c>
      <c r="AT16" s="106">
        <v>1390.211</v>
      </c>
      <c r="AU16" s="106">
        <v>1585.5650000000001</v>
      </c>
      <c r="AV16" s="106">
        <v>1598.942</v>
      </c>
      <c r="AW16" s="106">
        <v>1632.693</v>
      </c>
      <c r="AX16" s="81"/>
      <c r="AY16" s="81"/>
      <c r="AZ16" s="81"/>
      <c r="BA16" s="81"/>
      <c r="BB16" s="81"/>
      <c r="BC16" s="81"/>
      <c r="BD16" s="81"/>
      <c r="BE16" s="81"/>
    </row>
    <row r="17" spans="1:57" x14ac:dyDescent="0.35">
      <c r="A17" s="104" t="s">
        <v>13</v>
      </c>
      <c r="B17" s="110">
        <v>1</v>
      </c>
      <c r="C17" s="110">
        <v>1</v>
      </c>
      <c r="D17" s="110">
        <v>1</v>
      </c>
      <c r="E17" s="110">
        <v>1</v>
      </c>
      <c r="G17" s="106">
        <v>11.164999999999999</v>
      </c>
      <c r="H17" s="106">
        <v>14.132</v>
      </c>
      <c r="I17" s="106">
        <v>17.134</v>
      </c>
      <c r="J17" s="106">
        <v>20.132000000000001</v>
      </c>
      <c r="K17" s="106">
        <v>23.170999999999999</v>
      </c>
      <c r="L17" s="106">
        <v>26.148</v>
      </c>
      <c r="M17" s="106">
        <v>29.053999999999998</v>
      </c>
      <c r="N17" s="106">
        <v>32.012999999999998</v>
      </c>
      <c r="O17" s="106">
        <v>34.777000000000001</v>
      </c>
      <c r="P17" s="106">
        <v>37.442</v>
      </c>
      <c r="Q17" s="106">
        <v>40.276000000000003</v>
      </c>
      <c r="R17" s="106">
        <v>43.396999999999998</v>
      </c>
      <c r="S17" s="106">
        <v>46.682000000000002</v>
      </c>
      <c r="T17" s="106">
        <v>49.862000000000002</v>
      </c>
      <c r="U17" s="106">
        <v>52.970999999999997</v>
      </c>
      <c r="V17" s="106">
        <v>2.9</v>
      </c>
      <c r="W17" s="106">
        <v>83.284999999999997</v>
      </c>
      <c r="X17" s="106">
        <v>165.22900000000001</v>
      </c>
      <c r="Y17" s="106">
        <v>332.40300000000002</v>
      </c>
      <c r="Z17" s="106">
        <v>338.20800000000003</v>
      </c>
      <c r="AA17" s="106">
        <v>366.43400000000003</v>
      </c>
      <c r="AB17" s="106">
        <v>574.14400000000001</v>
      </c>
      <c r="AC17" s="106">
        <v>765.75</v>
      </c>
      <c r="AD17" s="106">
        <v>703.43100000000004</v>
      </c>
      <c r="AE17" s="106">
        <v>602.09100000000001</v>
      </c>
      <c r="AF17" s="106">
        <v>835.00099999999998</v>
      </c>
      <c r="AG17" s="106">
        <v>625.31500000000005</v>
      </c>
      <c r="AH17" s="106">
        <v>1128.473</v>
      </c>
      <c r="AI17" s="106">
        <v>1048.56</v>
      </c>
      <c r="AJ17" s="106">
        <v>1222.4770000000001</v>
      </c>
      <c r="AK17" s="106">
        <v>1239.7529999999999</v>
      </c>
      <c r="AL17" s="106">
        <v>1416.1130000000001</v>
      </c>
      <c r="AM17" s="106">
        <v>1044.0450000000001</v>
      </c>
      <c r="AN17" s="106">
        <v>1112.231</v>
      </c>
      <c r="AO17" s="106">
        <v>1182.9159999999999</v>
      </c>
      <c r="AP17" s="106">
        <v>1528.8979999999999</v>
      </c>
      <c r="AQ17" s="106">
        <v>1892.566</v>
      </c>
      <c r="AR17" s="106">
        <v>2310.0430000000001</v>
      </c>
      <c r="AS17" s="106">
        <v>2101.982</v>
      </c>
      <c r="AT17" s="106">
        <v>2537.585</v>
      </c>
      <c r="AU17" s="106">
        <v>1715.86</v>
      </c>
      <c r="AV17" s="106">
        <v>1730.336</v>
      </c>
      <c r="AW17" s="106">
        <v>1766.8610000000001</v>
      </c>
      <c r="AX17" s="81"/>
      <c r="AY17" s="81"/>
      <c r="AZ17" s="81"/>
      <c r="BA17" s="81"/>
      <c r="BB17" s="81"/>
      <c r="BC17" s="81"/>
      <c r="BD17" s="81"/>
      <c r="BE17" s="81"/>
    </row>
    <row r="18" spans="1:57" x14ac:dyDescent="0.35">
      <c r="A18" s="104" t="s">
        <v>14</v>
      </c>
      <c r="B18" s="110">
        <v>1</v>
      </c>
      <c r="C18" s="110">
        <v>1</v>
      </c>
      <c r="D18" s="110">
        <v>1</v>
      </c>
      <c r="E18" s="110">
        <v>1</v>
      </c>
      <c r="G18" s="106">
        <v>256.55799999999999</v>
      </c>
      <c r="H18" s="106">
        <v>272.14800000000002</v>
      </c>
      <c r="I18" s="106">
        <v>287.47000000000003</v>
      </c>
      <c r="J18" s="106">
        <v>302.108</v>
      </c>
      <c r="K18" s="106">
        <v>316.92399999999998</v>
      </c>
      <c r="L18" s="106">
        <v>330.62</v>
      </c>
      <c r="M18" s="106">
        <v>343.33600000000001</v>
      </c>
      <c r="N18" s="106">
        <v>356.65100000000001</v>
      </c>
      <c r="O18" s="106">
        <v>367.83800000000002</v>
      </c>
      <c r="P18" s="106">
        <v>378.16899999999998</v>
      </c>
      <c r="Q18" s="106">
        <v>390.33300000000003</v>
      </c>
      <c r="R18" s="106">
        <v>405.20600000000002</v>
      </c>
      <c r="S18" s="106">
        <v>421.39800000000002</v>
      </c>
      <c r="T18" s="106">
        <v>436.47</v>
      </c>
      <c r="U18" s="106">
        <v>450.80500000000001</v>
      </c>
      <c r="V18" s="106">
        <v>395.41</v>
      </c>
      <c r="W18" s="106">
        <v>344.06799999999998</v>
      </c>
      <c r="X18" s="106">
        <v>810.20299999999997</v>
      </c>
      <c r="Y18" s="106">
        <v>1286.4069999999999</v>
      </c>
      <c r="Z18" s="106">
        <v>1772.434</v>
      </c>
      <c r="AA18" s="106">
        <v>1699.4010000000001</v>
      </c>
      <c r="AB18" s="106">
        <v>1628.1880000000001</v>
      </c>
      <c r="AC18" s="106">
        <v>1518.3889999999999</v>
      </c>
      <c r="AD18" s="106">
        <v>1305.3810000000001</v>
      </c>
      <c r="AE18" s="106">
        <v>1340.213</v>
      </c>
      <c r="AF18" s="106">
        <v>1383.511</v>
      </c>
      <c r="AG18" s="106">
        <v>3966.6889999999999</v>
      </c>
      <c r="AH18" s="106">
        <v>4974.2640000000001</v>
      </c>
      <c r="AI18" s="106">
        <v>4550.2520000000004</v>
      </c>
      <c r="AJ18" s="106">
        <v>4517.68</v>
      </c>
      <c r="AK18" s="106">
        <v>4344.6750000000002</v>
      </c>
      <c r="AL18" s="106">
        <v>5825.0240000000003</v>
      </c>
      <c r="AM18" s="106">
        <v>5698.3860000000004</v>
      </c>
      <c r="AN18" s="106">
        <v>3928.9830000000002</v>
      </c>
      <c r="AO18" s="106">
        <v>2147.1320000000001</v>
      </c>
      <c r="AP18" s="106">
        <v>2025.511</v>
      </c>
      <c r="AQ18" s="106">
        <v>2111.3560000000002</v>
      </c>
      <c r="AR18" s="106">
        <v>3307.8209999999999</v>
      </c>
      <c r="AS18" s="106">
        <v>3885.799</v>
      </c>
      <c r="AT18" s="106">
        <v>2312.2269999999999</v>
      </c>
      <c r="AU18" s="106">
        <v>687.58500000000004</v>
      </c>
      <c r="AV18" s="106">
        <v>693.38599999999997</v>
      </c>
      <c r="AW18" s="106">
        <v>708.02200000000005</v>
      </c>
      <c r="AX18" s="81"/>
      <c r="AY18" s="81"/>
      <c r="AZ18" s="81"/>
      <c r="BA18" s="81"/>
      <c r="BB18" s="81"/>
      <c r="BC18" s="81"/>
      <c r="BD18" s="81"/>
      <c r="BE18" s="81"/>
    </row>
    <row r="19" spans="1:57" x14ac:dyDescent="0.35">
      <c r="A19" s="104" t="s">
        <v>15</v>
      </c>
      <c r="B19" s="110">
        <v>5</v>
      </c>
      <c r="C19" s="110">
        <v>5</v>
      </c>
      <c r="D19" s="110">
        <v>1</v>
      </c>
      <c r="E19" s="110">
        <v>1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155.745</v>
      </c>
      <c r="M19" s="106">
        <v>311.49</v>
      </c>
      <c r="N19" s="106">
        <v>468.02100000000002</v>
      </c>
      <c r="O19" s="106">
        <v>621.40899999999999</v>
      </c>
      <c r="P19" s="106">
        <v>771.95799999999997</v>
      </c>
      <c r="Q19" s="106">
        <v>925.30200000000002</v>
      </c>
      <c r="R19" s="106">
        <v>1085.6320000000001</v>
      </c>
      <c r="S19" s="106">
        <v>1251.201</v>
      </c>
      <c r="T19" s="106">
        <v>1415.067</v>
      </c>
      <c r="U19" s="106">
        <v>1577.5360000000001</v>
      </c>
      <c r="V19" s="106">
        <v>1759.181</v>
      </c>
      <c r="W19" s="106">
        <v>1601.0419999999999</v>
      </c>
      <c r="X19" s="106">
        <v>1862.6310000000001</v>
      </c>
      <c r="Y19" s="106">
        <v>2130.9630000000002</v>
      </c>
      <c r="Z19" s="106">
        <v>1982.1790000000001</v>
      </c>
      <c r="AA19" s="106">
        <v>1927.4559999999999</v>
      </c>
      <c r="AB19" s="106">
        <v>2147.6210000000001</v>
      </c>
      <c r="AC19" s="106">
        <v>2301.6010000000001</v>
      </c>
      <c r="AD19" s="106">
        <v>2458.0720000000001</v>
      </c>
      <c r="AE19" s="106">
        <v>2324.34</v>
      </c>
      <c r="AF19" s="106">
        <v>2644.3739999999998</v>
      </c>
      <c r="AG19" s="106">
        <v>2834.2159999999999</v>
      </c>
      <c r="AH19" s="106">
        <v>3054.8890000000001</v>
      </c>
      <c r="AI19" s="106">
        <v>3360.3409999999999</v>
      </c>
      <c r="AJ19" s="106">
        <v>3529.0639999999999</v>
      </c>
      <c r="AK19" s="106">
        <v>3672.5650000000001</v>
      </c>
      <c r="AL19" s="106">
        <v>3483.6170000000002</v>
      </c>
      <c r="AM19" s="106">
        <v>3645.9549999999999</v>
      </c>
      <c r="AN19" s="106">
        <v>3738.6129999999998</v>
      </c>
      <c r="AO19" s="106">
        <v>3838.223</v>
      </c>
      <c r="AP19" s="106">
        <v>4077.2530000000002</v>
      </c>
      <c r="AQ19" s="106">
        <v>3991.6990000000001</v>
      </c>
      <c r="AR19" s="106">
        <v>4124.2439999999997</v>
      </c>
      <c r="AS19" s="106">
        <v>4684.4579999999996</v>
      </c>
      <c r="AT19" s="106">
        <v>5284.5870000000004</v>
      </c>
      <c r="AU19" s="106">
        <v>5581.692</v>
      </c>
      <c r="AV19" s="106">
        <v>5628.7830000000004</v>
      </c>
      <c r="AW19" s="106">
        <v>5747.5990000000002</v>
      </c>
      <c r="AX19" s="81"/>
      <c r="AY19" s="81"/>
      <c r="AZ19" s="81"/>
      <c r="BA19" s="81"/>
      <c r="BB19" s="81"/>
      <c r="BC19" s="81"/>
      <c r="BD19" s="81"/>
      <c r="BE19" s="81"/>
    </row>
    <row r="20" spans="1:57" x14ac:dyDescent="0.35">
      <c r="A20" s="104" t="s">
        <v>16</v>
      </c>
      <c r="B20" s="110">
        <v>5</v>
      </c>
      <c r="C20" s="110">
        <v>5</v>
      </c>
      <c r="D20" s="110">
        <v>2</v>
      </c>
      <c r="E20" s="110">
        <v>2</v>
      </c>
      <c r="G20" s="106">
        <v>1227.0909999999999</v>
      </c>
      <c r="H20" s="106">
        <v>1301.654</v>
      </c>
      <c r="I20" s="106">
        <v>1374.9380000000001</v>
      </c>
      <c r="J20" s="106">
        <v>1444.9490000000001</v>
      </c>
      <c r="K20" s="106">
        <v>1515.8109999999999</v>
      </c>
      <c r="L20" s="106">
        <v>1581.32</v>
      </c>
      <c r="M20" s="106">
        <v>1642.14</v>
      </c>
      <c r="N20" s="106">
        <v>1705.825</v>
      </c>
      <c r="O20" s="106">
        <v>1759.33</v>
      </c>
      <c r="P20" s="106">
        <v>1808.7429999999999</v>
      </c>
      <c r="Q20" s="106">
        <v>1866.92</v>
      </c>
      <c r="R20" s="106">
        <v>1938.056</v>
      </c>
      <c r="S20" s="106">
        <v>2015.501</v>
      </c>
      <c r="T20" s="106">
        <v>2087.5909999999999</v>
      </c>
      <c r="U20" s="106">
        <v>2156.152</v>
      </c>
      <c r="V20" s="106">
        <v>1888.799</v>
      </c>
      <c r="W20" s="106">
        <v>1640.8009999999999</v>
      </c>
      <c r="X20" s="106">
        <v>1916.52</v>
      </c>
      <c r="Y20" s="106">
        <v>4189.5519999999997</v>
      </c>
      <c r="Z20" s="106">
        <v>3867.6149999999998</v>
      </c>
      <c r="AA20" s="106">
        <v>3417.3449999999998</v>
      </c>
      <c r="AB20" s="106">
        <v>2962.5410000000002</v>
      </c>
      <c r="AC20" s="106">
        <v>2640.748</v>
      </c>
      <c r="AD20" s="106">
        <v>3516.1509999999998</v>
      </c>
      <c r="AE20" s="106">
        <v>3402.1770000000001</v>
      </c>
      <c r="AF20" s="106">
        <v>3297.2660000000001</v>
      </c>
      <c r="AG20" s="106">
        <v>3564.797</v>
      </c>
      <c r="AH20" s="106">
        <v>3552.2739999999999</v>
      </c>
      <c r="AI20" s="106">
        <v>3516.3429999999998</v>
      </c>
      <c r="AJ20" s="106">
        <v>2454.85</v>
      </c>
      <c r="AK20" s="106">
        <v>3405.6280000000002</v>
      </c>
      <c r="AL20" s="106">
        <v>3006.8310000000001</v>
      </c>
      <c r="AM20" s="106">
        <v>2202.5720000000001</v>
      </c>
      <c r="AN20" s="106">
        <v>2624.1289999999999</v>
      </c>
      <c r="AO20" s="106">
        <v>3054.3389999999999</v>
      </c>
      <c r="AP20" s="106">
        <v>3526.6759999999999</v>
      </c>
      <c r="AQ20" s="106">
        <v>2700.9180000000001</v>
      </c>
      <c r="AR20" s="106">
        <v>4385.9709999999995</v>
      </c>
      <c r="AS20" s="106">
        <v>3716.3780000000002</v>
      </c>
      <c r="AT20" s="106">
        <v>2525.9409999999998</v>
      </c>
      <c r="AU20" s="106">
        <v>2372.7370000000001</v>
      </c>
      <c r="AV20" s="106">
        <v>3701.114</v>
      </c>
      <c r="AW20" s="106">
        <v>3828.4879999999998</v>
      </c>
      <c r="AX20" s="81"/>
      <c r="AY20" s="81"/>
      <c r="AZ20" s="81"/>
      <c r="BA20" s="81"/>
      <c r="BB20" s="81"/>
      <c r="BC20" s="81"/>
      <c r="BD20" s="81"/>
      <c r="BE20" s="81"/>
    </row>
    <row r="21" spans="1:57" x14ac:dyDescent="0.35">
      <c r="A21" s="104" t="s">
        <v>17</v>
      </c>
      <c r="B21" s="110">
        <v>5</v>
      </c>
      <c r="C21" s="110">
        <v>5</v>
      </c>
      <c r="D21" s="110">
        <v>2</v>
      </c>
      <c r="E21" s="110">
        <v>2</v>
      </c>
      <c r="G21" s="106">
        <v>749.26199999999994</v>
      </c>
      <c r="H21" s="106">
        <v>827.63300000000004</v>
      </c>
      <c r="I21" s="106">
        <v>905.904</v>
      </c>
      <c r="J21" s="106">
        <v>982.54600000000005</v>
      </c>
      <c r="K21" s="106">
        <v>1060.181</v>
      </c>
      <c r="L21" s="106">
        <v>1134.3579999999999</v>
      </c>
      <c r="M21" s="106">
        <v>1205.2550000000001</v>
      </c>
      <c r="N21" s="106">
        <v>1278.299</v>
      </c>
      <c r="O21" s="106">
        <v>1343.6510000000001</v>
      </c>
      <c r="P21" s="106">
        <v>1405.625</v>
      </c>
      <c r="Q21" s="106">
        <v>1474.2360000000001</v>
      </c>
      <c r="R21" s="106">
        <v>1553.183</v>
      </c>
      <c r="S21" s="106">
        <v>1637.4970000000001</v>
      </c>
      <c r="T21" s="106">
        <v>1717.7560000000001</v>
      </c>
      <c r="U21" s="106">
        <v>1795.2919999999999</v>
      </c>
      <c r="V21" s="106">
        <v>2051.9169999999999</v>
      </c>
      <c r="W21" s="106">
        <v>1607.289</v>
      </c>
      <c r="X21" s="106">
        <v>1445.4670000000001</v>
      </c>
      <c r="Y21" s="106">
        <v>1281.49</v>
      </c>
      <c r="Z21" s="106">
        <v>589.52800000000002</v>
      </c>
      <c r="AA21" s="106">
        <v>695.38499999999999</v>
      </c>
      <c r="AB21" s="106">
        <v>1192.5530000000001</v>
      </c>
      <c r="AC21" s="106">
        <v>1247.768</v>
      </c>
      <c r="AD21" s="106">
        <v>1660.7919999999999</v>
      </c>
      <c r="AE21" s="106">
        <v>2086.6709999999998</v>
      </c>
      <c r="AF21" s="106">
        <v>2913.9740000000002</v>
      </c>
      <c r="AG21" s="106">
        <v>4134.0969999999998</v>
      </c>
      <c r="AH21" s="106">
        <v>4731.8540000000003</v>
      </c>
      <c r="AI21" s="106">
        <v>3932.8719999999998</v>
      </c>
      <c r="AJ21" s="106">
        <v>4319.9120000000003</v>
      </c>
      <c r="AK21" s="106">
        <v>3513.8440000000001</v>
      </c>
      <c r="AL21" s="106">
        <v>2693.5630000000001</v>
      </c>
      <c r="AM21" s="106">
        <v>2584.0610000000001</v>
      </c>
      <c r="AN21" s="106">
        <v>2431.991</v>
      </c>
      <c r="AO21" s="106">
        <v>2282.1959999999999</v>
      </c>
      <c r="AP21" s="106">
        <v>3163.65</v>
      </c>
      <c r="AQ21" s="106">
        <v>2609.6170000000002</v>
      </c>
      <c r="AR21" s="106">
        <v>2047.538</v>
      </c>
      <c r="AS21" s="106">
        <v>1980.761</v>
      </c>
      <c r="AT21" s="106">
        <v>2279.1950000000002</v>
      </c>
      <c r="AU21" s="106">
        <v>3140.4670000000001</v>
      </c>
      <c r="AV21" s="106">
        <v>3166.9630000000002</v>
      </c>
      <c r="AW21" s="106">
        <v>3233.8130000000001</v>
      </c>
      <c r="AX21" s="81"/>
      <c r="AY21" s="81"/>
      <c r="AZ21" s="81"/>
      <c r="BA21" s="81"/>
      <c r="BB21" s="81"/>
      <c r="BC21" s="81"/>
      <c r="BD21" s="81"/>
      <c r="BE21" s="81"/>
    </row>
    <row r="22" spans="1:57" x14ac:dyDescent="0.35">
      <c r="A22" s="104" t="s">
        <v>18</v>
      </c>
      <c r="B22" s="110">
        <v>5</v>
      </c>
      <c r="C22" s="110">
        <v>5</v>
      </c>
      <c r="D22" s="110">
        <v>2</v>
      </c>
      <c r="E22" s="110">
        <v>2</v>
      </c>
      <c r="G22" s="106">
        <v>173.43299999999999</v>
      </c>
      <c r="H22" s="106">
        <v>191.57400000000001</v>
      </c>
      <c r="I22" s="106">
        <v>209.69200000000001</v>
      </c>
      <c r="J22" s="106">
        <v>227.43199999999999</v>
      </c>
      <c r="K22" s="106">
        <v>245.40199999999999</v>
      </c>
      <c r="L22" s="106">
        <v>262.572</v>
      </c>
      <c r="M22" s="106">
        <v>278.983</v>
      </c>
      <c r="N22" s="106">
        <v>295.89100000000002</v>
      </c>
      <c r="O22" s="106">
        <v>311.01799999999997</v>
      </c>
      <c r="P22" s="106">
        <v>325.363</v>
      </c>
      <c r="Q22" s="106">
        <v>341.245</v>
      </c>
      <c r="R22" s="106">
        <v>359.51900000000001</v>
      </c>
      <c r="S22" s="106">
        <v>379.03500000000003</v>
      </c>
      <c r="T22" s="106">
        <v>397.613</v>
      </c>
      <c r="U22" s="106">
        <v>415.56</v>
      </c>
      <c r="V22" s="106">
        <v>413.58600000000001</v>
      </c>
      <c r="W22" s="106">
        <v>424.83499999999998</v>
      </c>
      <c r="X22" s="106">
        <v>462.49599999999998</v>
      </c>
      <c r="Y22" s="106">
        <v>501.279</v>
      </c>
      <c r="Z22" s="106">
        <v>562.95699999999999</v>
      </c>
      <c r="AA22" s="106">
        <v>626.95500000000004</v>
      </c>
      <c r="AB22" s="106">
        <v>778.75800000000004</v>
      </c>
      <c r="AC22" s="106">
        <v>685.98800000000006</v>
      </c>
      <c r="AD22" s="106">
        <v>904.26400000000001</v>
      </c>
      <c r="AE22" s="106">
        <v>1123.5150000000001</v>
      </c>
      <c r="AF22" s="106">
        <v>1071.7729999999999</v>
      </c>
      <c r="AG22" s="106">
        <v>1020.329</v>
      </c>
      <c r="AH22" s="106">
        <v>973.32899999999995</v>
      </c>
      <c r="AI22" s="106">
        <v>918.57500000000005</v>
      </c>
      <c r="AJ22" s="106">
        <v>805.55899999999997</v>
      </c>
      <c r="AK22" s="106">
        <v>777.26</v>
      </c>
      <c r="AL22" s="106">
        <v>747.46100000000001</v>
      </c>
      <c r="AM22" s="106">
        <v>917.471</v>
      </c>
      <c r="AN22" s="106">
        <v>976.28399999999999</v>
      </c>
      <c r="AO22" s="106">
        <v>1094.1379999999999</v>
      </c>
      <c r="AP22" s="106">
        <v>1272.742</v>
      </c>
      <c r="AQ22" s="106">
        <v>1456.963</v>
      </c>
      <c r="AR22" s="106">
        <v>1376.2059999999999</v>
      </c>
      <c r="AS22" s="106">
        <v>1416.2249999999999</v>
      </c>
      <c r="AT22" s="106">
        <v>1452.931</v>
      </c>
      <c r="AU22" s="106">
        <v>1486.0039999999999</v>
      </c>
      <c r="AV22" s="106">
        <v>1687.912</v>
      </c>
      <c r="AW22" s="106">
        <v>1741.44</v>
      </c>
      <c r="AX22" s="81"/>
      <c r="AY22" s="81"/>
      <c r="AZ22" s="81"/>
      <c r="BA22" s="81"/>
      <c r="BB22" s="81"/>
      <c r="BC22" s="81"/>
      <c r="BD22" s="81"/>
      <c r="BE22" s="81"/>
    </row>
    <row r="23" spans="1:57" x14ac:dyDescent="0.35">
      <c r="A23" s="104" t="s">
        <v>19</v>
      </c>
      <c r="B23" s="110">
        <v>5</v>
      </c>
      <c r="C23" s="110">
        <v>5</v>
      </c>
      <c r="D23" s="110">
        <v>2</v>
      </c>
      <c r="E23" s="110">
        <v>2</v>
      </c>
      <c r="G23" s="106">
        <v>334.57600000000002</v>
      </c>
      <c r="H23" s="106">
        <v>354.90600000000001</v>
      </c>
      <c r="I23" s="106">
        <v>374.88799999999998</v>
      </c>
      <c r="J23" s="106">
        <v>393.97699999999998</v>
      </c>
      <c r="K23" s="106">
        <v>413.298</v>
      </c>
      <c r="L23" s="106">
        <v>431.15899999999999</v>
      </c>
      <c r="M23" s="106">
        <v>447.74200000000002</v>
      </c>
      <c r="N23" s="106">
        <v>465.10700000000003</v>
      </c>
      <c r="O23" s="106">
        <v>479.69499999999999</v>
      </c>
      <c r="P23" s="106">
        <v>493.16800000000001</v>
      </c>
      <c r="Q23" s="106">
        <v>509.03100000000001</v>
      </c>
      <c r="R23" s="106">
        <v>528.42600000000004</v>
      </c>
      <c r="S23" s="106">
        <v>549.54200000000003</v>
      </c>
      <c r="T23" s="106">
        <v>569.19799999999998</v>
      </c>
      <c r="U23" s="106">
        <v>587.89200000000005</v>
      </c>
      <c r="V23" s="106">
        <v>606.02700000000004</v>
      </c>
      <c r="W23" s="106">
        <v>630.57600000000002</v>
      </c>
      <c r="X23" s="106">
        <v>794.07899999999995</v>
      </c>
      <c r="Y23" s="106">
        <v>1113.5509999999999</v>
      </c>
      <c r="Z23" s="106">
        <v>1380.479</v>
      </c>
      <c r="AA23" s="106">
        <v>1328.6479999999999</v>
      </c>
      <c r="AB23" s="106">
        <v>1662.585</v>
      </c>
      <c r="AC23" s="106">
        <v>1944.604</v>
      </c>
      <c r="AD23" s="106">
        <v>2233.9360000000001</v>
      </c>
      <c r="AE23" s="106">
        <v>3141.7950000000001</v>
      </c>
      <c r="AF23" s="106">
        <v>3056.904</v>
      </c>
      <c r="AG23" s="106">
        <v>3497.4949999999999</v>
      </c>
      <c r="AH23" s="106">
        <v>2501.7939999999999</v>
      </c>
      <c r="AI23" s="106">
        <v>2161.4079999999999</v>
      </c>
      <c r="AJ23" s="106">
        <v>1882.2619999999999</v>
      </c>
      <c r="AK23" s="106">
        <v>2247.7829999999999</v>
      </c>
      <c r="AL23" s="106">
        <v>2535.4250000000002</v>
      </c>
      <c r="AM23" s="106">
        <v>2823.7939999999999</v>
      </c>
      <c r="AN23" s="106">
        <v>2833.0450000000001</v>
      </c>
      <c r="AO23" s="106">
        <v>2846.92</v>
      </c>
      <c r="AP23" s="106">
        <v>3466.6950000000002</v>
      </c>
      <c r="AQ23" s="106">
        <v>2550.779</v>
      </c>
      <c r="AR23" s="106">
        <v>2611.7370000000001</v>
      </c>
      <c r="AS23" s="106">
        <v>3019.0329999999999</v>
      </c>
      <c r="AT23" s="106">
        <v>3384.4749999999999</v>
      </c>
      <c r="AU23" s="106">
        <v>3749.2260000000001</v>
      </c>
      <c r="AV23" s="106">
        <v>3780.857</v>
      </c>
      <c r="AW23" s="106">
        <v>3860.665</v>
      </c>
      <c r="AX23" s="81"/>
      <c r="AY23" s="81"/>
      <c r="AZ23" s="81"/>
      <c r="BA23" s="81"/>
      <c r="BB23" s="81"/>
      <c r="BC23" s="81"/>
      <c r="BD23" s="81"/>
      <c r="BE23" s="81"/>
    </row>
    <row r="24" spans="1:57" x14ac:dyDescent="0.35">
      <c r="A24" s="104" t="s">
        <v>20</v>
      </c>
      <c r="B24" s="110">
        <v>5</v>
      </c>
      <c r="C24" s="110">
        <v>5</v>
      </c>
      <c r="D24" s="110">
        <v>2</v>
      </c>
      <c r="E24" s="110">
        <v>2</v>
      </c>
      <c r="G24" s="106">
        <v>186.345</v>
      </c>
      <c r="H24" s="106">
        <v>197.66800000000001</v>
      </c>
      <c r="I24" s="106">
        <v>208.797</v>
      </c>
      <c r="J24" s="106">
        <v>219.429</v>
      </c>
      <c r="K24" s="106">
        <v>230.19</v>
      </c>
      <c r="L24" s="106">
        <v>240.13800000000001</v>
      </c>
      <c r="M24" s="106">
        <v>249.375</v>
      </c>
      <c r="N24" s="106">
        <v>259.04599999999999</v>
      </c>
      <c r="O24" s="106">
        <v>267.17099999999999</v>
      </c>
      <c r="P24" s="106">
        <v>274.67500000000001</v>
      </c>
      <c r="Q24" s="106">
        <v>283.50900000000001</v>
      </c>
      <c r="R24" s="106">
        <v>294.31200000000001</v>
      </c>
      <c r="S24" s="106">
        <v>306.07299999999998</v>
      </c>
      <c r="T24" s="106">
        <v>317.02</v>
      </c>
      <c r="U24" s="106">
        <v>327.43200000000002</v>
      </c>
      <c r="V24" s="106">
        <v>430.55500000000001</v>
      </c>
      <c r="W24" s="106">
        <v>337.44600000000003</v>
      </c>
      <c r="X24" s="106">
        <v>243.97900000000001</v>
      </c>
      <c r="Y24" s="106">
        <v>307.154</v>
      </c>
      <c r="Z24" s="106">
        <v>290.20400000000001</v>
      </c>
      <c r="AA24" s="106">
        <v>303.76600000000002</v>
      </c>
      <c r="AB24" s="106">
        <v>420.03699999999998</v>
      </c>
      <c r="AC24" s="106">
        <v>541.154</v>
      </c>
      <c r="AD24" s="106">
        <v>665.76700000000005</v>
      </c>
      <c r="AE24" s="106">
        <v>919.36500000000001</v>
      </c>
      <c r="AF24" s="106">
        <v>971.93700000000001</v>
      </c>
      <c r="AG24" s="106">
        <v>1029.2070000000001</v>
      </c>
      <c r="AH24" s="106">
        <v>1097.0250000000001</v>
      </c>
      <c r="AI24" s="106">
        <v>1163.269</v>
      </c>
      <c r="AJ24" s="106">
        <v>1216.8820000000001</v>
      </c>
      <c r="AK24" s="106">
        <v>1215.5239999999999</v>
      </c>
      <c r="AL24" s="106">
        <v>1137.2190000000001</v>
      </c>
      <c r="AM24" s="106">
        <v>1003.986</v>
      </c>
      <c r="AN24" s="106">
        <v>870.04200000000003</v>
      </c>
      <c r="AO24" s="106">
        <v>736.07</v>
      </c>
      <c r="AP24" s="106">
        <v>742.38199999999995</v>
      </c>
      <c r="AQ24" s="106">
        <v>756.38699999999994</v>
      </c>
      <c r="AR24" s="106">
        <v>806.15</v>
      </c>
      <c r="AS24" s="106">
        <v>766.62800000000004</v>
      </c>
      <c r="AT24" s="106">
        <v>778.34799999999996</v>
      </c>
      <c r="AU24" s="106">
        <v>787.90200000000004</v>
      </c>
      <c r="AV24" s="106">
        <v>794.55</v>
      </c>
      <c r="AW24" s="106">
        <v>811.32100000000003</v>
      </c>
      <c r="AX24" s="81"/>
      <c r="AY24" s="81"/>
      <c r="AZ24" s="81"/>
      <c r="BA24" s="81"/>
      <c r="BB24" s="81"/>
      <c r="BC24" s="81"/>
      <c r="BD24" s="81"/>
      <c r="BE24" s="81"/>
    </row>
    <row r="25" spans="1:57" x14ac:dyDescent="0.35">
      <c r="A25" s="104" t="s">
        <v>21</v>
      </c>
      <c r="B25" s="110">
        <v>6</v>
      </c>
      <c r="C25" s="110">
        <v>6</v>
      </c>
      <c r="D25" s="110">
        <v>3</v>
      </c>
      <c r="E25" s="110">
        <v>3</v>
      </c>
      <c r="G25" s="106">
        <v>36.128</v>
      </c>
      <c r="H25" s="106">
        <v>73.162999999999997</v>
      </c>
      <c r="I25" s="106">
        <v>110.883</v>
      </c>
      <c r="J25" s="106">
        <v>148.898</v>
      </c>
      <c r="K25" s="106">
        <v>187.44</v>
      </c>
      <c r="L25" s="106">
        <v>225.624</v>
      </c>
      <c r="M25" s="106">
        <v>263.22800000000001</v>
      </c>
      <c r="N25" s="106">
        <v>301.33800000000002</v>
      </c>
      <c r="O25" s="106">
        <v>337.58199999999999</v>
      </c>
      <c r="P25" s="106">
        <v>372.77199999999999</v>
      </c>
      <c r="Q25" s="106">
        <v>409.58499999999998</v>
      </c>
      <c r="R25" s="106">
        <v>449.35</v>
      </c>
      <c r="S25" s="106">
        <v>490.90800000000002</v>
      </c>
      <c r="T25" s="106">
        <v>531.47400000000005</v>
      </c>
      <c r="U25" s="106">
        <v>571.33399999999995</v>
      </c>
      <c r="V25" s="106">
        <v>586.76</v>
      </c>
      <c r="W25" s="106">
        <v>608.39200000000005</v>
      </c>
      <c r="X25" s="106">
        <v>930.84799999999996</v>
      </c>
      <c r="Y25" s="106">
        <v>1365.135</v>
      </c>
      <c r="Z25" s="106">
        <v>1369.5920000000001</v>
      </c>
      <c r="AA25" s="106">
        <v>1232.163</v>
      </c>
      <c r="AB25" s="106">
        <v>1103.7139999999999</v>
      </c>
      <c r="AC25" s="106">
        <v>973.96600000000001</v>
      </c>
      <c r="AD25" s="106">
        <v>1212.259</v>
      </c>
      <c r="AE25" s="106">
        <v>1327.261</v>
      </c>
      <c r="AF25" s="106">
        <v>1120.904</v>
      </c>
      <c r="AG25" s="106">
        <v>1022.603</v>
      </c>
      <c r="AH25" s="106">
        <v>487.82499999999999</v>
      </c>
      <c r="AI25" s="106">
        <v>451.97699999999998</v>
      </c>
      <c r="AJ25" s="106">
        <v>357.56599999999997</v>
      </c>
      <c r="AK25" s="106">
        <v>406.79399999999998</v>
      </c>
      <c r="AL25" s="106">
        <v>1630.7260000000001</v>
      </c>
      <c r="AM25" s="106">
        <v>1525.4749999999999</v>
      </c>
      <c r="AN25" s="106">
        <v>1497.5260000000001</v>
      </c>
      <c r="AO25" s="106">
        <v>1471.672</v>
      </c>
      <c r="AP25" s="106">
        <v>1295.627</v>
      </c>
      <c r="AQ25" s="106">
        <v>1363.3109999999999</v>
      </c>
      <c r="AR25" s="106">
        <v>1401.2550000000001</v>
      </c>
      <c r="AS25" s="106">
        <v>1347.0619999999999</v>
      </c>
      <c r="AT25" s="106">
        <v>1478.0260000000001</v>
      </c>
      <c r="AU25" s="106">
        <v>1245.3510000000001</v>
      </c>
      <c r="AV25" s="106">
        <v>1255.857</v>
      </c>
      <c r="AW25" s="106">
        <v>1282.367</v>
      </c>
      <c r="AX25" s="81"/>
      <c r="AY25" s="81"/>
      <c r="AZ25" s="81"/>
      <c r="BA25" s="81"/>
      <c r="BB25" s="81"/>
      <c r="BC25" s="81"/>
      <c r="BD25" s="81"/>
      <c r="BE25" s="81"/>
    </row>
    <row r="26" spans="1:57" x14ac:dyDescent="0.35">
      <c r="A26" s="104" t="s">
        <v>22</v>
      </c>
      <c r="B26" s="110">
        <v>6</v>
      </c>
      <c r="C26" s="110">
        <v>6</v>
      </c>
      <c r="D26" s="110">
        <v>3</v>
      </c>
      <c r="E26" s="110">
        <v>3</v>
      </c>
      <c r="G26" s="106">
        <v>0</v>
      </c>
      <c r="H26" s="106">
        <v>0</v>
      </c>
      <c r="I26" s="106">
        <v>0</v>
      </c>
      <c r="J26" s="106">
        <v>59.015000000000001</v>
      </c>
      <c r="K26" s="106">
        <v>118.866</v>
      </c>
      <c r="L26" s="106">
        <v>178.851</v>
      </c>
      <c r="M26" s="106">
        <v>238.46700000000001</v>
      </c>
      <c r="N26" s="106">
        <v>298.58600000000001</v>
      </c>
      <c r="O26" s="106">
        <v>356.79899999999998</v>
      </c>
      <c r="P26" s="106">
        <v>413.69099999999997</v>
      </c>
      <c r="Q26" s="106">
        <v>472.255</v>
      </c>
      <c r="R26" s="106">
        <v>534.29499999999996</v>
      </c>
      <c r="S26" s="106">
        <v>598.67600000000004</v>
      </c>
      <c r="T26" s="106">
        <v>662.03599999999994</v>
      </c>
      <c r="U26" s="106">
        <v>724.62800000000004</v>
      </c>
      <c r="V26" s="106">
        <v>641.70399999999995</v>
      </c>
      <c r="W26" s="106">
        <v>786.44200000000001</v>
      </c>
      <c r="X26" s="106">
        <v>936.43600000000004</v>
      </c>
      <c r="Y26" s="106">
        <v>771.80399999999997</v>
      </c>
      <c r="Z26" s="106">
        <v>1071.2239999999999</v>
      </c>
      <c r="AA26" s="106">
        <v>1379.9929999999999</v>
      </c>
      <c r="AB26" s="106">
        <v>1255.7660000000001</v>
      </c>
      <c r="AC26" s="106">
        <v>1130.9970000000001</v>
      </c>
      <c r="AD26" s="106">
        <v>1178.6469999999999</v>
      </c>
      <c r="AE26" s="106">
        <v>6536.5290000000005</v>
      </c>
      <c r="AF26" s="106">
        <v>6562.2889999999998</v>
      </c>
      <c r="AG26" s="106">
        <v>5137.9399999999996</v>
      </c>
      <c r="AH26" s="106">
        <v>3161.8020000000001</v>
      </c>
      <c r="AI26" s="106">
        <v>3104.0230000000001</v>
      </c>
      <c r="AJ26" s="106">
        <v>2471.9070000000002</v>
      </c>
      <c r="AK26" s="106">
        <v>3095.4050000000002</v>
      </c>
      <c r="AL26" s="106">
        <v>3621.223</v>
      </c>
      <c r="AM26" s="106">
        <v>3581.848</v>
      </c>
      <c r="AN26" s="106">
        <v>3978.777</v>
      </c>
      <c r="AO26" s="106">
        <v>3250.0659999999998</v>
      </c>
      <c r="AP26" s="106">
        <v>1732.414</v>
      </c>
      <c r="AQ26" s="106">
        <v>3312.038</v>
      </c>
      <c r="AR26" s="106">
        <v>3352.75</v>
      </c>
      <c r="AS26" s="106">
        <v>3384.9920000000002</v>
      </c>
      <c r="AT26" s="106">
        <v>3436.7429999999999</v>
      </c>
      <c r="AU26" s="106">
        <v>3478.9290000000001</v>
      </c>
      <c r="AV26" s="106">
        <v>3508.28</v>
      </c>
      <c r="AW26" s="106">
        <v>3582.335</v>
      </c>
      <c r="AX26" s="81"/>
      <c r="AY26" s="81"/>
      <c r="AZ26" s="81"/>
      <c r="BA26" s="81"/>
      <c r="BB26" s="81"/>
      <c r="BC26" s="81"/>
      <c r="BD26" s="81"/>
      <c r="BE26" s="81"/>
    </row>
    <row r="27" spans="1:57" x14ac:dyDescent="0.35">
      <c r="A27" s="104" t="s">
        <v>23</v>
      </c>
      <c r="B27" s="110">
        <v>2</v>
      </c>
      <c r="C27" s="110">
        <v>2</v>
      </c>
      <c r="D27" s="110">
        <v>3</v>
      </c>
      <c r="E27" s="110">
        <v>3</v>
      </c>
      <c r="G27" s="106">
        <v>0</v>
      </c>
      <c r="H27" s="106">
        <v>4.7910000000000004</v>
      </c>
      <c r="I27" s="106">
        <v>9.6809999999999992</v>
      </c>
      <c r="J27" s="106">
        <v>14.625</v>
      </c>
      <c r="K27" s="106">
        <v>19.637</v>
      </c>
      <c r="L27" s="106">
        <v>24.623000000000001</v>
      </c>
      <c r="M27" s="106">
        <v>29.547000000000001</v>
      </c>
      <c r="N27" s="106">
        <v>34.53</v>
      </c>
      <c r="O27" s="106">
        <v>39.296999999999997</v>
      </c>
      <c r="P27" s="106">
        <v>43.936</v>
      </c>
      <c r="Q27" s="106">
        <v>48.762</v>
      </c>
      <c r="R27" s="106">
        <v>53.942</v>
      </c>
      <c r="S27" s="106">
        <v>59.343000000000004</v>
      </c>
      <c r="T27" s="106">
        <v>64.629000000000005</v>
      </c>
      <c r="U27" s="106">
        <v>69.832999999999998</v>
      </c>
      <c r="V27" s="106">
        <v>61.906999999999996</v>
      </c>
      <c r="W27" s="106">
        <v>74.966999999999999</v>
      </c>
      <c r="X27" s="106">
        <v>88.484999999999999</v>
      </c>
      <c r="Y27" s="106">
        <v>107.444</v>
      </c>
      <c r="Z27" s="106">
        <v>189.839</v>
      </c>
      <c r="AA27" s="106">
        <v>238.9</v>
      </c>
      <c r="AB27" s="106">
        <v>237.72900000000001</v>
      </c>
      <c r="AC27" s="106">
        <v>310.358</v>
      </c>
      <c r="AD27" s="106">
        <v>428.60199999999998</v>
      </c>
      <c r="AE27" s="106">
        <v>625.98199999999997</v>
      </c>
      <c r="AF27" s="106">
        <v>761.26800000000003</v>
      </c>
      <c r="AG27" s="106">
        <v>840.39800000000002</v>
      </c>
      <c r="AH27" s="106">
        <v>937.69</v>
      </c>
      <c r="AI27" s="106">
        <v>1149.127</v>
      </c>
      <c r="AJ27" s="106">
        <v>860.75300000000004</v>
      </c>
      <c r="AK27" s="106">
        <v>820.44</v>
      </c>
      <c r="AL27" s="106">
        <v>842.49699999999996</v>
      </c>
      <c r="AM27" s="106">
        <v>813.65200000000004</v>
      </c>
      <c r="AN27" s="106">
        <v>784.90200000000004</v>
      </c>
      <c r="AO27" s="106">
        <v>757.10299999999995</v>
      </c>
      <c r="AP27" s="106">
        <v>745.57299999999998</v>
      </c>
      <c r="AQ27" s="106">
        <v>685.18200000000002</v>
      </c>
      <c r="AR27" s="106">
        <v>828.04100000000005</v>
      </c>
      <c r="AS27" s="106">
        <v>802.76400000000001</v>
      </c>
      <c r="AT27" s="106">
        <v>822.93499999999995</v>
      </c>
      <c r="AU27" s="106">
        <v>813.06399999999996</v>
      </c>
      <c r="AV27" s="106">
        <v>799.78099999999995</v>
      </c>
      <c r="AW27" s="106">
        <v>830.86099999999999</v>
      </c>
      <c r="AX27" s="81"/>
      <c r="AY27" s="81"/>
      <c r="AZ27" s="81"/>
      <c r="BA27" s="81"/>
      <c r="BB27" s="81"/>
      <c r="BC27" s="81"/>
      <c r="BD27" s="81"/>
      <c r="BE27" s="81"/>
    </row>
    <row r="28" spans="1:57" x14ac:dyDescent="0.35">
      <c r="A28" s="104" t="s">
        <v>24</v>
      </c>
      <c r="B28" s="110">
        <v>6</v>
      </c>
      <c r="C28" s="110">
        <v>6</v>
      </c>
      <c r="D28" s="110">
        <v>3</v>
      </c>
      <c r="E28" s="110">
        <v>3</v>
      </c>
      <c r="G28" s="106">
        <v>315.97699999999998</v>
      </c>
      <c r="H28" s="106">
        <v>349.02800000000002</v>
      </c>
      <c r="I28" s="106">
        <v>382.036</v>
      </c>
      <c r="J28" s="106">
        <v>414.35700000000003</v>
      </c>
      <c r="K28" s="106">
        <v>447.09800000000001</v>
      </c>
      <c r="L28" s="106">
        <v>478.37900000000002</v>
      </c>
      <c r="M28" s="106">
        <v>508.27800000000002</v>
      </c>
      <c r="N28" s="106">
        <v>539.08199999999999</v>
      </c>
      <c r="O28" s="106">
        <v>566.64200000000005</v>
      </c>
      <c r="P28" s="106">
        <v>592.77700000000004</v>
      </c>
      <c r="Q28" s="106">
        <v>621.71199999999999</v>
      </c>
      <c r="R28" s="106">
        <v>655.005</v>
      </c>
      <c r="S28" s="106">
        <v>690.56200000000001</v>
      </c>
      <c r="T28" s="106">
        <v>724.40899999999999</v>
      </c>
      <c r="U28" s="106">
        <v>757.10699999999997</v>
      </c>
      <c r="V28" s="106">
        <v>768.96100000000001</v>
      </c>
      <c r="W28" s="106">
        <v>788.93100000000004</v>
      </c>
      <c r="X28" s="106">
        <v>1213.4169999999999</v>
      </c>
      <c r="Y28" s="106">
        <v>1211.5239999999999</v>
      </c>
      <c r="Z28" s="106">
        <v>2882.43</v>
      </c>
      <c r="AA28" s="106">
        <v>3333.4609999999998</v>
      </c>
      <c r="AB28" s="106">
        <v>3297.902</v>
      </c>
      <c r="AC28" s="106">
        <v>3423.9929999999999</v>
      </c>
      <c r="AD28" s="106">
        <v>1940.557</v>
      </c>
      <c r="AE28" s="106">
        <v>2179.404</v>
      </c>
      <c r="AF28" s="106">
        <v>2270.3679999999999</v>
      </c>
      <c r="AG28" s="106">
        <v>2402.694</v>
      </c>
      <c r="AH28" s="106">
        <v>2559.5680000000002</v>
      </c>
      <c r="AI28" s="106">
        <v>1719.758</v>
      </c>
      <c r="AJ28" s="106">
        <v>1726.4169999999999</v>
      </c>
      <c r="AK28" s="106">
        <v>1719.1780000000001</v>
      </c>
      <c r="AL28" s="106">
        <v>1979.933</v>
      </c>
      <c r="AM28" s="106">
        <v>1729.2090000000001</v>
      </c>
      <c r="AN28" s="106">
        <v>2562.732</v>
      </c>
      <c r="AO28" s="106">
        <v>3409.17</v>
      </c>
      <c r="AP28" s="106">
        <v>3420.35</v>
      </c>
      <c r="AQ28" s="106">
        <v>3160.0050000000001</v>
      </c>
      <c r="AR28" s="106">
        <v>3112.11</v>
      </c>
      <c r="AS28" s="106">
        <v>2781.973</v>
      </c>
      <c r="AT28" s="106">
        <v>2458.9360000000001</v>
      </c>
      <c r="AU28" s="106">
        <v>2893.1709999999998</v>
      </c>
      <c r="AV28" s="106">
        <v>2917.58</v>
      </c>
      <c r="AW28" s="106">
        <v>2979.1660000000002</v>
      </c>
      <c r="AX28" s="81"/>
      <c r="AY28" s="81"/>
      <c r="AZ28" s="81"/>
      <c r="BA28" s="81"/>
      <c r="BB28" s="81"/>
      <c r="BC28" s="81"/>
      <c r="BD28" s="81"/>
      <c r="BE28" s="81"/>
    </row>
    <row r="29" spans="1:57" x14ac:dyDescent="0.35">
      <c r="A29" s="104" t="s">
        <v>25</v>
      </c>
      <c r="B29" s="110">
        <v>6</v>
      </c>
      <c r="C29" s="110">
        <v>6</v>
      </c>
      <c r="D29" s="110">
        <v>3</v>
      </c>
      <c r="E29" s="110">
        <v>3</v>
      </c>
      <c r="G29" s="106">
        <v>678.447</v>
      </c>
      <c r="H29" s="106">
        <v>719.67200000000003</v>
      </c>
      <c r="I29" s="106">
        <v>760.19100000000003</v>
      </c>
      <c r="J29" s="106">
        <v>798.899</v>
      </c>
      <c r="K29" s="106">
        <v>838.07799999999997</v>
      </c>
      <c r="L29" s="106">
        <v>874.29700000000003</v>
      </c>
      <c r="M29" s="106">
        <v>907.92399999999998</v>
      </c>
      <c r="N29" s="106">
        <v>943.13499999999999</v>
      </c>
      <c r="O29" s="106">
        <v>972.71699999999998</v>
      </c>
      <c r="P29" s="106">
        <v>1000.037</v>
      </c>
      <c r="Q29" s="106">
        <v>1032.203</v>
      </c>
      <c r="R29" s="106">
        <v>1071.5329999999999</v>
      </c>
      <c r="S29" s="106">
        <v>1114.3520000000001</v>
      </c>
      <c r="T29" s="106">
        <v>1154.21</v>
      </c>
      <c r="U29" s="106">
        <v>1192.117</v>
      </c>
      <c r="V29" s="106">
        <v>993.173</v>
      </c>
      <c r="W29" s="106">
        <v>804.29300000000001</v>
      </c>
      <c r="X29" s="106">
        <v>841.45100000000002</v>
      </c>
      <c r="Y29" s="106">
        <v>773.49699999999996</v>
      </c>
      <c r="Z29" s="106">
        <v>919.24099999999999</v>
      </c>
      <c r="AA29" s="106">
        <v>1482.25</v>
      </c>
      <c r="AB29" s="106">
        <v>1386.201</v>
      </c>
      <c r="AC29" s="106">
        <v>1290.633</v>
      </c>
      <c r="AD29" s="106">
        <v>1470.2170000000001</v>
      </c>
      <c r="AE29" s="106">
        <v>1655.02</v>
      </c>
      <c r="AF29" s="106">
        <v>1578.9970000000001</v>
      </c>
      <c r="AG29" s="106">
        <v>1503.422</v>
      </c>
      <c r="AH29" s="106">
        <v>1434.4079999999999</v>
      </c>
      <c r="AI29" s="106">
        <v>1353.982</v>
      </c>
      <c r="AJ29" s="106">
        <v>1169.248</v>
      </c>
      <c r="AK29" s="106">
        <v>971.20899999999995</v>
      </c>
      <c r="AL29" s="106">
        <v>769.51300000000003</v>
      </c>
      <c r="AM29" s="106">
        <v>1316.8779999999999</v>
      </c>
      <c r="AN29" s="106">
        <v>1477.905</v>
      </c>
      <c r="AO29" s="106">
        <v>1486.9059999999999</v>
      </c>
      <c r="AP29" s="106">
        <v>1499.6579999999999</v>
      </c>
      <c r="AQ29" s="106">
        <v>1515.258</v>
      </c>
      <c r="AR29" s="106">
        <v>1533.884</v>
      </c>
      <c r="AS29" s="106">
        <v>1548.634</v>
      </c>
      <c r="AT29" s="106">
        <v>1572.31</v>
      </c>
      <c r="AU29" s="106">
        <v>1591.61</v>
      </c>
      <c r="AV29" s="106">
        <v>1605.039</v>
      </c>
      <c r="AW29" s="106">
        <v>1638.9190000000001</v>
      </c>
      <c r="AX29" s="81"/>
      <c r="AY29" s="81"/>
      <c r="AZ29" s="81"/>
      <c r="BA29" s="81"/>
      <c r="BB29" s="81"/>
      <c r="BC29" s="81"/>
      <c r="BD29" s="81"/>
      <c r="BE29" s="81"/>
    </row>
    <row r="30" spans="1:57" x14ac:dyDescent="0.35">
      <c r="A30" s="104" t="s">
        <v>26</v>
      </c>
      <c r="B30" s="110">
        <v>6</v>
      </c>
      <c r="C30" s="110">
        <v>6</v>
      </c>
      <c r="D30" s="110">
        <v>3</v>
      </c>
      <c r="E30" s="110">
        <v>3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2.8839999999999999</v>
      </c>
      <c r="M30" s="106">
        <v>5.7679999999999998</v>
      </c>
      <c r="N30" s="106">
        <v>8.6669999999999998</v>
      </c>
      <c r="O30" s="106">
        <v>11.507</v>
      </c>
      <c r="P30" s="106">
        <v>14.295</v>
      </c>
      <c r="Q30" s="106">
        <v>17.134</v>
      </c>
      <c r="R30" s="106">
        <v>20.103000000000002</v>
      </c>
      <c r="S30" s="106">
        <v>23.169</v>
      </c>
      <c r="T30" s="106">
        <v>26.202999999999999</v>
      </c>
      <c r="U30" s="106">
        <v>29.212</v>
      </c>
      <c r="V30" s="106">
        <v>33.737000000000002</v>
      </c>
      <c r="W30" s="106">
        <v>38.625999999999998</v>
      </c>
      <c r="X30" s="106">
        <v>55.372</v>
      </c>
      <c r="Y30" s="106">
        <v>61.86</v>
      </c>
      <c r="Z30" s="106">
        <v>76.162000000000006</v>
      </c>
      <c r="AA30" s="106">
        <v>107.373</v>
      </c>
      <c r="AB30" s="106">
        <v>139.666</v>
      </c>
      <c r="AC30" s="106">
        <v>164.505</v>
      </c>
      <c r="AD30" s="106">
        <v>189.995</v>
      </c>
      <c r="AE30" s="106">
        <v>216.23599999999999</v>
      </c>
      <c r="AF30" s="106">
        <v>244.298</v>
      </c>
      <c r="AG30" s="106">
        <v>257.76499999999999</v>
      </c>
      <c r="AH30" s="106">
        <v>243.93299999999999</v>
      </c>
      <c r="AI30" s="106">
        <v>228.03700000000001</v>
      </c>
      <c r="AJ30" s="106">
        <v>208.458</v>
      </c>
      <c r="AK30" s="106">
        <v>183.779</v>
      </c>
      <c r="AL30" s="106">
        <v>141.45699999999999</v>
      </c>
      <c r="AM30" s="106">
        <v>115.729</v>
      </c>
      <c r="AN30" s="106">
        <v>114.084</v>
      </c>
      <c r="AO30" s="106">
        <v>112.605</v>
      </c>
      <c r="AP30" s="106">
        <v>167.26499999999999</v>
      </c>
      <c r="AQ30" s="106">
        <v>151.614</v>
      </c>
      <c r="AR30" s="106">
        <v>112.35899999999999</v>
      </c>
      <c r="AS30" s="106">
        <v>129.99199999999999</v>
      </c>
      <c r="AT30" s="106">
        <v>110.48699999999999</v>
      </c>
      <c r="AU30" s="106">
        <v>110.89100000000001</v>
      </c>
      <c r="AV30" s="106">
        <v>111.827</v>
      </c>
      <c r="AW30" s="106">
        <v>114.187</v>
      </c>
      <c r="AX30" s="81"/>
      <c r="AY30" s="81"/>
      <c r="AZ30" s="81"/>
      <c r="BA30" s="81"/>
      <c r="BB30" s="81"/>
      <c r="BC30" s="81"/>
      <c r="BD30" s="81"/>
      <c r="BE30" s="81"/>
    </row>
    <row r="31" spans="1:57" x14ac:dyDescent="0.35">
      <c r="A31" s="104" t="s">
        <v>27</v>
      </c>
      <c r="B31" s="110">
        <v>4</v>
      </c>
      <c r="C31" s="110" t="s">
        <v>120</v>
      </c>
      <c r="D31" s="110">
        <v>3</v>
      </c>
      <c r="E31" s="110">
        <v>3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149.83799999999999</v>
      </c>
      <c r="R31" s="106">
        <v>301.37200000000001</v>
      </c>
      <c r="S31" s="106">
        <v>455.87700000000001</v>
      </c>
      <c r="T31" s="106">
        <v>611.05899999999997</v>
      </c>
      <c r="U31" s="106">
        <v>766.37</v>
      </c>
      <c r="V31" s="106">
        <v>845.31700000000001</v>
      </c>
      <c r="W31" s="106">
        <v>921.44200000000001</v>
      </c>
      <c r="X31" s="106">
        <v>1001.856</v>
      </c>
      <c r="Y31" s="106">
        <v>898.81899999999996</v>
      </c>
      <c r="Z31" s="106">
        <v>793.45799999999997</v>
      </c>
      <c r="AA31" s="106">
        <v>1018.49</v>
      </c>
      <c r="AB31" s="106">
        <v>1280.4860000000001</v>
      </c>
      <c r="AC31" s="106">
        <v>1056.2139999999999</v>
      </c>
      <c r="AD31" s="106">
        <v>1017.1849999999999</v>
      </c>
      <c r="AE31" s="106">
        <v>976.36</v>
      </c>
      <c r="AF31" s="106">
        <v>1299.72</v>
      </c>
      <c r="AG31" s="106">
        <v>993.74400000000003</v>
      </c>
      <c r="AH31" s="106">
        <v>677.88</v>
      </c>
      <c r="AI31" s="106">
        <v>820.24300000000005</v>
      </c>
      <c r="AJ31" s="106">
        <v>957.69299999999998</v>
      </c>
      <c r="AK31" s="106">
        <v>1090.184</v>
      </c>
      <c r="AL31" s="106">
        <v>1203.0329999999999</v>
      </c>
      <c r="AM31" s="106">
        <v>1160.2280000000001</v>
      </c>
      <c r="AN31" s="106">
        <v>1117.547</v>
      </c>
      <c r="AO31" s="106">
        <v>1076.1990000000001</v>
      </c>
      <c r="AP31" s="106">
        <v>1053.633</v>
      </c>
      <c r="AQ31" s="106">
        <v>960.39599999999996</v>
      </c>
      <c r="AR31" s="106">
        <v>1158.7809999999999</v>
      </c>
      <c r="AS31" s="106">
        <v>1626.0450000000001</v>
      </c>
      <c r="AT31" s="106">
        <v>2113.998</v>
      </c>
      <c r="AU31" s="106">
        <v>2608.7249999999999</v>
      </c>
      <c r="AV31" s="106">
        <v>2630.7350000000001</v>
      </c>
      <c r="AW31" s="106">
        <v>2686.2660000000001</v>
      </c>
      <c r="AX31" s="81"/>
      <c r="AY31" s="81"/>
      <c r="AZ31" s="81"/>
      <c r="BA31" s="81"/>
      <c r="BB31" s="81"/>
      <c r="BC31" s="81"/>
      <c r="BD31" s="81"/>
      <c r="BE31" s="81"/>
    </row>
    <row r="32" spans="1:57" x14ac:dyDescent="0.35">
      <c r="A32" s="104" t="s">
        <v>28</v>
      </c>
      <c r="B32" s="110">
        <v>2</v>
      </c>
      <c r="C32" s="110">
        <v>2</v>
      </c>
      <c r="D32" s="110">
        <v>3</v>
      </c>
      <c r="E32" s="110">
        <v>3</v>
      </c>
      <c r="G32" s="106">
        <v>56.238999999999997</v>
      </c>
      <c r="H32" s="106">
        <v>113.89</v>
      </c>
      <c r="I32" s="106">
        <v>172.607</v>
      </c>
      <c r="J32" s="106">
        <v>231.78399999999999</v>
      </c>
      <c r="K32" s="106">
        <v>291.78199999999998</v>
      </c>
      <c r="L32" s="106">
        <v>351.221</v>
      </c>
      <c r="M32" s="106">
        <v>409.75799999999998</v>
      </c>
      <c r="N32" s="106">
        <v>469.08199999999999</v>
      </c>
      <c r="O32" s="106">
        <v>525.50199999999995</v>
      </c>
      <c r="P32" s="106">
        <v>580.28099999999995</v>
      </c>
      <c r="Q32" s="106">
        <v>637.58699999999999</v>
      </c>
      <c r="R32" s="106">
        <v>699.48800000000006</v>
      </c>
      <c r="S32" s="106">
        <v>764.17899999999997</v>
      </c>
      <c r="T32" s="106">
        <v>827.327</v>
      </c>
      <c r="U32" s="106">
        <v>889.37599999999998</v>
      </c>
      <c r="V32" s="106">
        <v>5.9950000000000001</v>
      </c>
      <c r="W32" s="106">
        <v>2.2309999999999999</v>
      </c>
      <c r="X32" s="106">
        <v>2870.7080000000001</v>
      </c>
      <c r="Y32" s="106">
        <v>9.24</v>
      </c>
      <c r="Z32" s="106">
        <v>3373.7979999999998</v>
      </c>
      <c r="AA32" s="106">
        <v>3761.5859999999998</v>
      </c>
      <c r="AB32" s="106">
        <v>3817.0549999999998</v>
      </c>
      <c r="AC32" s="106">
        <v>4351.07</v>
      </c>
      <c r="AD32" s="106">
        <v>4854.6040000000003</v>
      </c>
      <c r="AE32" s="106">
        <v>57.558</v>
      </c>
      <c r="AF32" s="106">
        <v>6682.6970000000001</v>
      </c>
      <c r="AG32" s="106">
        <v>5840.2340000000004</v>
      </c>
      <c r="AH32" s="106">
        <v>3018.6869999999999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81"/>
      <c r="AY32" s="81"/>
      <c r="AZ32" s="81"/>
      <c r="BA32" s="81"/>
      <c r="BB32" s="81"/>
      <c r="BC32" s="81"/>
      <c r="BD32" s="81"/>
      <c r="BE32" s="81"/>
    </row>
    <row r="33" spans="1:57" x14ac:dyDescent="0.35">
      <c r="A33" s="104" t="s">
        <v>29</v>
      </c>
      <c r="B33" s="110">
        <v>2</v>
      </c>
      <c r="C33" s="110">
        <v>2</v>
      </c>
      <c r="D33" s="110">
        <v>3</v>
      </c>
      <c r="E33" s="110">
        <v>3</v>
      </c>
      <c r="G33" s="106">
        <v>0.23699999999999999</v>
      </c>
      <c r="H33" s="106">
        <v>0.48099999999999998</v>
      </c>
      <c r="I33" s="106">
        <v>0.72799999999999998</v>
      </c>
      <c r="J33" s="106">
        <v>0.97799999999999998</v>
      </c>
      <c r="K33" s="106">
        <v>1.2310000000000001</v>
      </c>
      <c r="L33" s="106">
        <v>1.482</v>
      </c>
      <c r="M33" s="106">
        <v>1.7290000000000001</v>
      </c>
      <c r="N33" s="106">
        <v>1.9790000000000001</v>
      </c>
      <c r="O33" s="106">
        <v>2.2170000000000001</v>
      </c>
      <c r="P33" s="106">
        <v>2.448</v>
      </c>
      <c r="Q33" s="106">
        <v>2.69</v>
      </c>
      <c r="R33" s="106">
        <v>2.9510000000000001</v>
      </c>
      <c r="S33" s="106">
        <v>3.2240000000000002</v>
      </c>
      <c r="T33" s="106">
        <v>3.4910000000000001</v>
      </c>
      <c r="U33" s="106">
        <v>3.7519999999999998</v>
      </c>
      <c r="V33" s="106">
        <v>3.9860000000000002</v>
      </c>
      <c r="W33" s="106">
        <v>2.13</v>
      </c>
      <c r="X33" s="106">
        <v>10.756</v>
      </c>
      <c r="Y33" s="106">
        <v>0</v>
      </c>
      <c r="Z33" s="106">
        <v>15.193</v>
      </c>
      <c r="AA33" s="106">
        <v>11.241</v>
      </c>
      <c r="AB33" s="106">
        <v>12.532</v>
      </c>
      <c r="AC33" s="106">
        <v>10.914999999999999</v>
      </c>
      <c r="AD33" s="106">
        <v>11.356</v>
      </c>
      <c r="AE33" s="106">
        <v>86.454999999999998</v>
      </c>
      <c r="AF33" s="106">
        <v>101.69199999999999</v>
      </c>
      <c r="AG33" s="106">
        <v>169.852</v>
      </c>
      <c r="AH33" s="106">
        <v>273.50900000000001</v>
      </c>
      <c r="AI33" s="106">
        <v>381.92</v>
      </c>
      <c r="AJ33" s="106">
        <v>474.37900000000002</v>
      </c>
      <c r="AK33" s="106">
        <v>564.88199999999995</v>
      </c>
      <c r="AL33" s="106">
        <v>702.83399999999995</v>
      </c>
      <c r="AM33" s="106">
        <v>841.49599999999998</v>
      </c>
      <c r="AN33" s="106">
        <v>981.69299999999998</v>
      </c>
      <c r="AO33" s="106">
        <v>1124.941</v>
      </c>
      <c r="AP33" s="106">
        <v>1273.0360000000001</v>
      </c>
      <c r="AQ33" s="106">
        <v>1426.1659999999999</v>
      </c>
      <c r="AR33" s="106">
        <v>1585.3030000000001</v>
      </c>
      <c r="AS33" s="106">
        <v>1743.5170000000001</v>
      </c>
      <c r="AT33" s="106">
        <v>1915.326</v>
      </c>
      <c r="AU33" s="106">
        <v>2085.7730000000001</v>
      </c>
      <c r="AV33" s="106">
        <v>2251.5459999999998</v>
      </c>
      <c r="AW33" s="106">
        <v>2450.377</v>
      </c>
      <c r="AX33" s="81"/>
      <c r="AY33" s="81"/>
      <c r="AZ33" s="81"/>
      <c r="BA33" s="81"/>
      <c r="BB33" s="81"/>
      <c r="BC33" s="81"/>
      <c r="BD33" s="81"/>
      <c r="BE33" s="81"/>
    </row>
    <row r="34" spans="1:57" x14ac:dyDescent="0.35">
      <c r="A34" s="104" t="s">
        <v>30</v>
      </c>
      <c r="B34" s="110">
        <v>5</v>
      </c>
      <c r="C34" s="110">
        <v>5</v>
      </c>
      <c r="D34" s="110">
        <v>4</v>
      </c>
      <c r="E34" s="110" t="s">
        <v>120</v>
      </c>
      <c r="G34" s="106">
        <v>32.694000000000003</v>
      </c>
      <c r="H34" s="106">
        <v>36.113999999999997</v>
      </c>
      <c r="I34" s="106">
        <v>39.529000000000003</v>
      </c>
      <c r="J34" s="106">
        <v>42.874000000000002</v>
      </c>
      <c r="K34" s="106">
        <v>46.261000000000003</v>
      </c>
      <c r="L34" s="106">
        <v>49.497999999999998</v>
      </c>
      <c r="M34" s="106">
        <v>52.591999999999999</v>
      </c>
      <c r="N34" s="106">
        <v>55.779000000000003</v>
      </c>
      <c r="O34" s="106">
        <v>58.63</v>
      </c>
      <c r="P34" s="106">
        <v>61.335000000000001</v>
      </c>
      <c r="Q34" s="106">
        <v>64.328999999999994</v>
      </c>
      <c r="R34" s="106">
        <v>67.772999999999996</v>
      </c>
      <c r="S34" s="106">
        <v>71.451999999999998</v>
      </c>
      <c r="T34" s="106">
        <v>74.954999999999998</v>
      </c>
      <c r="U34" s="106">
        <v>78.337999999999994</v>
      </c>
      <c r="V34" s="106">
        <v>51.872999999999998</v>
      </c>
      <c r="W34" s="106">
        <v>103.92400000000001</v>
      </c>
      <c r="X34" s="106">
        <v>89.628</v>
      </c>
      <c r="Y34" s="106">
        <v>119.76</v>
      </c>
      <c r="Z34" s="106">
        <v>124.255</v>
      </c>
      <c r="AA34" s="106">
        <v>132.423</v>
      </c>
      <c r="AB34" s="106">
        <v>141.10599999999999</v>
      </c>
      <c r="AC34" s="106">
        <v>148.99100000000001</v>
      </c>
      <c r="AD34" s="106">
        <v>80.081000000000003</v>
      </c>
      <c r="AE34" s="106">
        <v>87.012</v>
      </c>
      <c r="AF34" s="106">
        <v>94.542000000000002</v>
      </c>
      <c r="AG34" s="106">
        <v>294.23</v>
      </c>
      <c r="AH34" s="106">
        <v>507.11900000000003</v>
      </c>
      <c r="AI34" s="106">
        <v>624.79999999999995</v>
      </c>
      <c r="AJ34" s="106">
        <v>652.98800000000006</v>
      </c>
      <c r="AK34" s="106">
        <v>676.447</v>
      </c>
      <c r="AL34" s="106">
        <v>1063.6320000000001</v>
      </c>
      <c r="AM34" s="106">
        <v>1079.134</v>
      </c>
      <c r="AN34" s="106">
        <v>1185.6690000000001</v>
      </c>
      <c r="AO34" s="106">
        <v>1295.2260000000001</v>
      </c>
      <c r="AP34" s="106">
        <v>1291.211</v>
      </c>
      <c r="AQ34" s="106">
        <v>1289.3620000000001</v>
      </c>
      <c r="AR34" s="106">
        <v>1289.7429999999999</v>
      </c>
      <c r="AS34" s="106">
        <v>1286.529</v>
      </c>
      <c r="AT34" s="106">
        <v>1135.8530000000001</v>
      </c>
      <c r="AU34" s="106">
        <v>977.36</v>
      </c>
      <c r="AV34" s="106">
        <v>985.60599999999999</v>
      </c>
      <c r="AW34" s="106">
        <v>1006.41</v>
      </c>
      <c r="AX34" s="81"/>
      <c r="AY34" s="81"/>
      <c r="AZ34" s="81"/>
      <c r="BA34" s="81"/>
      <c r="BB34" s="81"/>
      <c r="BC34" s="81"/>
      <c r="BD34" s="81"/>
      <c r="BE34" s="81"/>
    </row>
    <row r="35" spans="1:57" x14ac:dyDescent="0.35">
      <c r="A35" s="104" t="s">
        <v>31</v>
      </c>
      <c r="B35" s="110">
        <v>5</v>
      </c>
      <c r="C35" s="110">
        <v>5</v>
      </c>
      <c r="D35" s="110">
        <v>4</v>
      </c>
      <c r="E35" s="110" t="s">
        <v>120</v>
      </c>
      <c r="G35" s="106">
        <v>91.7</v>
      </c>
      <c r="H35" s="106">
        <v>97.272000000000006</v>
      </c>
      <c r="I35" s="106">
        <v>102.749</v>
      </c>
      <c r="J35" s="106">
        <v>107.98099999999999</v>
      </c>
      <c r="K35" s="106">
        <v>113.276</v>
      </c>
      <c r="L35" s="106">
        <v>118.172</v>
      </c>
      <c r="M35" s="106">
        <v>122.717</v>
      </c>
      <c r="N35" s="106">
        <v>127.476</v>
      </c>
      <c r="O35" s="106">
        <v>131.47399999999999</v>
      </c>
      <c r="P35" s="106">
        <v>135.167</v>
      </c>
      <c r="Q35" s="106">
        <v>139.51400000000001</v>
      </c>
      <c r="R35" s="106">
        <v>144.83000000000001</v>
      </c>
      <c r="S35" s="106">
        <v>150.61799999999999</v>
      </c>
      <c r="T35" s="106">
        <v>156.005</v>
      </c>
      <c r="U35" s="106">
        <v>161.12899999999999</v>
      </c>
      <c r="V35" s="106">
        <v>181.566</v>
      </c>
      <c r="W35" s="106">
        <v>177.49100000000001</v>
      </c>
      <c r="X35" s="106">
        <v>173.94300000000001</v>
      </c>
      <c r="Y35" s="106">
        <v>176.035</v>
      </c>
      <c r="Z35" s="106">
        <v>178.142</v>
      </c>
      <c r="AA35" s="106">
        <v>176.76900000000001</v>
      </c>
      <c r="AB35" s="106">
        <v>175.75299999999999</v>
      </c>
      <c r="AC35" s="106">
        <v>215.262</v>
      </c>
      <c r="AD35" s="106">
        <v>228.572</v>
      </c>
      <c r="AE35" s="106">
        <v>216.452</v>
      </c>
      <c r="AF35" s="106">
        <v>204.727</v>
      </c>
      <c r="AG35" s="106">
        <v>203.84399999999999</v>
      </c>
      <c r="AH35" s="106">
        <v>204.37200000000001</v>
      </c>
      <c r="AI35" s="106">
        <v>173.977</v>
      </c>
      <c r="AJ35" s="106">
        <v>140.012</v>
      </c>
      <c r="AK35" s="106">
        <v>103.221</v>
      </c>
      <c r="AL35" s="106">
        <v>80.828000000000003</v>
      </c>
      <c r="AM35" s="106">
        <v>58.180999999999997</v>
      </c>
      <c r="AN35" s="106">
        <v>50.453000000000003</v>
      </c>
      <c r="AO35" s="106">
        <v>63.136000000000003</v>
      </c>
      <c r="AP35" s="106">
        <v>65.721000000000004</v>
      </c>
      <c r="AQ35" s="106">
        <v>68.47</v>
      </c>
      <c r="AR35" s="106">
        <v>78.090999999999994</v>
      </c>
      <c r="AS35" s="106">
        <v>85.903999999999996</v>
      </c>
      <c r="AT35" s="106">
        <v>75.048000000000002</v>
      </c>
      <c r="AU35" s="106">
        <v>83.364999999999995</v>
      </c>
      <c r="AV35" s="106">
        <v>91.525999999999996</v>
      </c>
      <c r="AW35" s="106">
        <v>97.183000000000007</v>
      </c>
      <c r="AX35" s="81"/>
      <c r="AY35" s="81"/>
      <c r="AZ35" s="81"/>
      <c r="BA35" s="81"/>
      <c r="BB35" s="81"/>
      <c r="BC35" s="81"/>
      <c r="BD35" s="81"/>
      <c r="BE35" s="81"/>
    </row>
    <row r="36" spans="1:57" x14ac:dyDescent="0.35">
      <c r="A36" s="104" t="s">
        <v>32</v>
      </c>
      <c r="B36" s="110">
        <v>5</v>
      </c>
      <c r="C36" s="110">
        <v>5</v>
      </c>
      <c r="D36" s="110">
        <v>4</v>
      </c>
      <c r="E36" s="110" t="s">
        <v>120</v>
      </c>
      <c r="G36" s="106">
        <v>1050.6769999999999</v>
      </c>
      <c r="H36" s="106">
        <v>1114.52</v>
      </c>
      <c r="I36" s="106">
        <v>1177.269</v>
      </c>
      <c r="J36" s="106">
        <v>1237.2139999999999</v>
      </c>
      <c r="K36" s="106">
        <v>1297.8889999999999</v>
      </c>
      <c r="L36" s="106">
        <v>1353.98</v>
      </c>
      <c r="M36" s="106">
        <v>1406.056</v>
      </c>
      <c r="N36" s="106">
        <v>1460.585</v>
      </c>
      <c r="O36" s="106">
        <v>1506.3979999999999</v>
      </c>
      <c r="P36" s="106">
        <v>1548.7070000000001</v>
      </c>
      <c r="Q36" s="106">
        <v>1598.521</v>
      </c>
      <c r="R36" s="106">
        <v>1659.4290000000001</v>
      </c>
      <c r="S36" s="106">
        <v>1725.74</v>
      </c>
      <c r="T36" s="106">
        <v>1787.4659999999999</v>
      </c>
      <c r="U36" s="106">
        <v>1846.171</v>
      </c>
      <c r="V36" s="106">
        <v>1868.9760000000001</v>
      </c>
      <c r="W36" s="106">
        <v>1702.7850000000001</v>
      </c>
      <c r="X36" s="106">
        <v>1539.6289999999999</v>
      </c>
      <c r="Y36" s="106">
        <v>1374.3620000000001</v>
      </c>
      <c r="Z36" s="106">
        <v>1081.807</v>
      </c>
      <c r="AA36" s="106">
        <v>784.34</v>
      </c>
      <c r="AB36" s="106">
        <v>684.96199999999999</v>
      </c>
      <c r="AC36" s="106">
        <v>719.72400000000005</v>
      </c>
      <c r="AD36" s="106">
        <v>754.80700000000002</v>
      </c>
      <c r="AE36" s="106">
        <v>790.67600000000004</v>
      </c>
      <c r="AF36" s="106">
        <v>830.97299999999996</v>
      </c>
      <c r="AG36" s="106">
        <v>875.07899999999995</v>
      </c>
      <c r="AH36" s="106">
        <v>927.89800000000002</v>
      </c>
      <c r="AI36" s="106">
        <v>979.11699999999996</v>
      </c>
      <c r="AJ36" s="106">
        <v>1019.515</v>
      </c>
      <c r="AK36" s="106">
        <v>1035.7639999999999</v>
      </c>
      <c r="AL36" s="106">
        <v>1050.607</v>
      </c>
      <c r="AM36" s="106">
        <v>1154.9939999999999</v>
      </c>
      <c r="AN36" s="106">
        <v>925.87900000000002</v>
      </c>
      <c r="AO36" s="106">
        <v>695.81799999999998</v>
      </c>
      <c r="AP36" s="106">
        <v>602.71600000000001</v>
      </c>
      <c r="AQ36" s="106">
        <v>508.88600000000002</v>
      </c>
      <c r="AR36" s="106">
        <v>659.39300000000003</v>
      </c>
      <c r="AS36" s="106">
        <v>666.24199999999996</v>
      </c>
      <c r="AT36" s="106">
        <v>676.94399999999996</v>
      </c>
      <c r="AU36" s="106">
        <v>685.77599999999995</v>
      </c>
      <c r="AV36" s="106">
        <v>768.91700000000003</v>
      </c>
      <c r="AW36" s="106">
        <v>797.7</v>
      </c>
      <c r="AX36" s="81"/>
      <c r="AY36" s="81"/>
      <c r="AZ36" s="81"/>
      <c r="BA36" s="81"/>
      <c r="BB36" s="81"/>
      <c r="BC36" s="81"/>
      <c r="BD36" s="81"/>
      <c r="BE36" s="81"/>
    </row>
    <row r="37" spans="1:57" x14ac:dyDescent="0.35">
      <c r="A37" s="104" t="s">
        <v>33</v>
      </c>
      <c r="B37" s="110">
        <v>5</v>
      </c>
      <c r="C37" s="110">
        <v>5</v>
      </c>
      <c r="D37" s="110">
        <v>4</v>
      </c>
      <c r="E37" s="110" t="s">
        <v>120</v>
      </c>
      <c r="G37" s="106">
        <v>0</v>
      </c>
      <c r="H37" s="106">
        <v>0</v>
      </c>
      <c r="I37" s="106">
        <v>0</v>
      </c>
      <c r="J37" s="106">
        <v>0</v>
      </c>
      <c r="K37" s="106">
        <v>92.451999999999998</v>
      </c>
      <c r="L37" s="106">
        <v>185.476</v>
      </c>
      <c r="M37" s="106">
        <v>278.214</v>
      </c>
      <c r="N37" s="106">
        <v>371.57600000000002</v>
      </c>
      <c r="O37" s="106">
        <v>462.52100000000002</v>
      </c>
      <c r="P37" s="106">
        <v>551.59299999999996</v>
      </c>
      <c r="Q37" s="106">
        <v>642.79700000000003</v>
      </c>
      <c r="R37" s="106">
        <v>738.78499999999997</v>
      </c>
      <c r="S37" s="106">
        <v>838.15300000000002</v>
      </c>
      <c r="T37" s="106">
        <v>936.221</v>
      </c>
      <c r="U37" s="106">
        <v>1033.2750000000001</v>
      </c>
      <c r="V37" s="106">
        <v>1075.643</v>
      </c>
      <c r="W37" s="106">
        <v>1129.413</v>
      </c>
      <c r="X37" s="106">
        <v>1205.8620000000001</v>
      </c>
      <c r="Y37" s="106">
        <v>1284.7940000000001</v>
      </c>
      <c r="Z37" s="106">
        <v>1365.174</v>
      </c>
      <c r="AA37" s="106">
        <v>1370.9780000000001</v>
      </c>
      <c r="AB37" s="106">
        <v>1379.999</v>
      </c>
      <c r="AC37" s="106">
        <v>1392.8810000000001</v>
      </c>
      <c r="AD37" s="106">
        <v>1404.5170000000001</v>
      </c>
      <c r="AE37" s="106">
        <v>1321.1110000000001</v>
      </c>
      <c r="AF37" s="106">
        <v>1435.098</v>
      </c>
      <c r="AG37" s="106">
        <v>1344.1959999999999</v>
      </c>
      <c r="AH37" s="106">
        <v>1528.808</v>
      </c>
      <c r="AI37" s="106">
        <v>1716.5709999999999</v>
      </c>
      <c r="AJ37" s="106">
        <v>1857.3030000000001</v>
      </c>
      <c r="AK37" s="106">
        <v>1985.829</v>
      </c>
      <c r="AL37" s="106">
        <v>2112.7249999999999</v>
      </c>
      <c r="AM37" s="106">
        <v>2161.4209999999998</v>
      </c>
      <c r="AN37" s="106">
        <v>2211.4389999999999</v>
      </c>
      <c r="AO37" s="106">
        <v>2265.52</v>
      </c>
      <c r="AP37" s="106">
        <v>2387.346</v>
      </c>
      <c r="AQ37" s="106">
        <v>2624.9989999999998</v>
      </c>
      <c r="AR37" s="106">
        <v>2872.7</v>
      </c>
      <c r="AS37" s="106">
        <v>2857.9859999999999</v>
      </c>
      <c r="AT37" s="106">
        <v>2858.692</v>
      </c>
      <c r="AU37" s="106">
        <v>2850.2689999999998</v>
      </c>
      <c r="AV37" s="106">
        <v>2874.3159999999998</v>
      </c>
      <c r="AW37" s="106">
        <v>2934.9879999999998</v>
      </c>
      <c r="AX37" s="81"/>
      <c r="AY37" s="81"/>
      <c r="AZ37" s="81"/>
      <c r="BA37" s="81"/>
      <c r="BB37" s="81"/>
      <c r="BC37" s="81"/>
      <c r="BD37" s="81"/>
      <c r="BE37" s="81"/>
    </row>
    <row r="38" spans="1:57" x14ac:dyDescent="0.35">
      <c r="A38" s="104" t="s">
        <v>34</v>
      </c>
      <c r="B38" s="110">
        <v>5</v>
      </c>
      <c r="C38" s="110">
        <v>5</v>
      </c>
      <c r="D38" s="110">
        <v>4</v>
      </c>
      <c r="E38" s="110" t="s">
        <v>120</v>
      </c>
      <c r="G38" s="106">
        <v>1550.8620000000001</v>
      </c>
      <c r="H38" s="106">
        <v>1645.098</v>
      </c>
      <c r="I38" s="106">
        <v>1737.7180000000001</v>
      </c>
      <c r="J38" s="106">
        <v>1826.201</v>
      </c>
      <c r="K38" s="106">
        <v>1915.761</v>
      </c>
      <c r="L38" s="106">
        <v>1998.5550000000001</v>
      </c>
      <c r="M38" s="106">
        <v>2075.422</v>
      </c>
      <c r="N38" s="106">
        <v>2155.91</v>
      </c>
      <c r="O38" s="106">
        <v>2223.5329999999999</v>
      </c>
      <c r="P38" s="106">
        <v>2285.9839999999999</v>
      </c>
      <c r="Q38" s="106">
        <v>2359.511</v>
      </c>
      <c r="R38" s="106">
        <v>2449.4160000000002</v>
      </c>
      <c r="S38" s="106">
        <v>2547.2939999999999</v>
      </c>
      <c r="T38" s="106">
        <v>2638.4059999999999</v>
      </c>
      <c r="U38" s="106">
        <v>2725.0569999999998</v>
      </c>
      <c r="V38" s="106">
        <v>2594.8229999999999</v>
      </c>
      <c r="W38" s="106">
        <v>2491.6410000000001</v>
      </c>
      <c r="X38" s="106">
        <v>2395.1320000000001</v>
      </c>
      <c r="Y38" s="106">
        <v>2205.886</v>
      </c>
      <c r="Z38" s="106">
        <v>2118.4059999999999</v>
      </c>
      <c r="AA38" s="106">
        <v>2032.3710000000001</v>
      </c>
      <c r="AB38" s="106">
        <v>1948.548</v>
      </c>
      <c r="AC38" s="106">
        <v>1867.0550000000001</v>
      </c>
      <c r="AD38" s="106">
        <v>1817.6020000000001</v>
      </c>
      <c r="AE38" s="106">
        <v>1765.61</v>
      </c>
      <c r="AF38" s="106">
        <v>1718.588</v>
      </c>
      <c r="AG38" s="106">
        <v>1584.5060000000001</v>
      </c>
      <c r="AH38" s="106">
        <v>1681.9269999999999</v>
      </c>
      <c r="AI38" s="106">
        <v>1461.9359999999999</v>
      </c>
      <c r="AJ38" s="106">
        <v>1403.171</v>
      </c>
      <c r="AK38" s="106">
        <v>1331.79</v>
      </c>
      <c r="AL38" s="106">
        <v>1289.806</v>
      </c>
      <c r="AM38" s="106">
        <v>1246.5409999999999</v>
      </c>
      <c r="AN38" s="106">
        <v>1165.2460000000001</v>
      </c>
      <c r="AO38" s="106">
        <v>1012.55</v>
      </c>
      <c r="AP38" s="106">
        <v>1094.2560000000001</v>
      </c>
      <c r="AQ38" s="106">
        <v>1105.6389999999999</v>
      </c>
      <c r="AR38" s="106">
        <v>1119.229</v>
      </c>
      <c r="AS38" s="106">
        <v>1129.992</v>
      </c>
      <c r="AT38" s="106">
        <v>1147.268</v>
      </c>
      <c r="AU38" s="106">
        <v>1206.309</v>
      </c>
      <c r="AV38" s="106">
        <v>1171.1489999999999</v>
      </c>
      <c r="AW38" s="106">
        <v>1195.8699999999999</v>
      </c>
      <c r="AX38" s="81"/>
      <c r="AY38" s="81"/>
      <c r="AZ38" s="81"/>
      <c r="BA38" s="81"/>
      <c r="BB38" s="81"/>
      <c r="BC38" s="81"/>
      <c r="BD38" s="81"/>
      <c r="BE38" s="81"/>
    </row>
    <row r="39" spans="1:57" x14ac:dyDescent="0.35">
      <c r="A39" s="104" t="s">
        <v>35</v>
      </c>
      <c r="B39" s="110">
        <v>5</v>
      </c>
      <c r="C39" s="110">
        <v>5</v>
      </c>
      <c r="D39" s="110">
        <v>4</v>
      </c>
      <c r="E39" s="110" t="s">
        <v>120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2.4729999999999999</v>
      </c>
      <c r="M39" s="106">
        <v>4.9450000000000003</v>
      </c>
      <c r="N39" s="106">
        <v>7.431</v>
      </c>
      <c r="O39" s="106">
        <v>9.8659999999999997</v>
      </c>
      <c r="P39" s="106">
        <v>12.256</v>
      </c>
      <c r="Q39" s="106">
        <v>14.691000000000001</v>
      </c>
      <c r="R39" s="106">
        <v>17.236000000000001</v>
      </c>
      <c r="S39" s="106">
        <v>19.864999999999998</v>
      </c>
      <c r="T39" s="106">
        <v>22.466999999999999</v>
      </c>
      <c r="U39" s="106">
        <v>25.045999999999999</v>
      </c>
      <c r="V39" s="106">
        <v>23.196000000000002</v>
      </c>
      <c r="W39" s="106">
        <v>21.585999999999999</v>
      </c>
      <c r="X39" s="106">
        <v>15.62</v>
      </c>
      <c r="Y39" s="106">
        <v>22.024000000000001</v>
      </c>
      <c r="Z39" s="106">
        <v>23.039000000000001</v>
      </c>
      <c r="AA39" s="106">
        <v>31.957999999999998</v>
      </c>
      <c r="AB39" s="106">
        <v>41.189</v>
      </c>
      <c r="AC39" s="106">
        <v>54.228999999999999</v>
      </c>
      <c r="AD39" s="106">
        <v>67.650999999999996</v>
      </c>
      <c r="AE39" s="106">
        <v>81.483000000000004</v>
      </c>
      <c r="AF39" s="106">
        <v>114.038</v>
      </c>
      <c r="AG39" s="106">
        <v>148.31800000000001</v>
      </c>
      <c r="AH39" s="106">
        <v>185.56399999999999</v>
      </c>
      <c r="AI39" s="106">
        <v>175.14500000000001</v>
      </c>
      <c r="AJ39" s="106">
        <v>151.59100000000001</v>
      </c>
      <c r="AK39" s="106">
        <v>140.60499999999999</v>
      </c>
      <c r="AL39" s="106">
        <v>119.711</v>
      </c>
      <c r="AM39" s="106">
        <v>103.996</v>
      </c>
      <c r="AN39" s="106">
        <v>82.905000000000001</v>
      </c>
      <c r="AO39" s="106">
        <v>61.722999999999999</v>
      </c>
      <c r="AP39" s="106">
        <v>69.241</v>
      </c>
      <c r="AQ39" s="106">
        <v>65.33</v>
      </c>
      <c r="AR39" s="106">
        <v>58.984999999999999</v>
      </c>
      <c r="AS39" s="106">
        <v>31.373999999999999</v>
      </c>
      <c r="AT39" s="106">
        <v>17.925000000000001</v>
      </c>
      <c r="AU39" s="106">
        <v>20.821000000000002</v>
      </c>
      <c r="AV39" s="106">
        <v>23.696000000000002</v>
      </c>
      <c r="AW39" s="106">
        <v>24.715</v>
      </c>
      <c r="AX39" s="81"/>
      <c r="AY39" s="81"/>
      <c r="AZ39" s="81"/>
      <c r="BA39" s="81"/>
      <c r="BB39" s="81"/>
      <c r="BC39" s="81"/>
      <c r="BD39" s="81"/>
      <c r="BE39" s="81"/>
    </row>
    <row r="40" spans="1:57" x14ac:dyDescent="0.35">
      <c r="A40" s="104" t="s">
        <v>36</v>
      </c>
      <c r="B40" s="110">
        <v>2</v>
      </c>
      <c r="C40" s="110">
        <v>2</v>
      </c>
      <c r="D40" s="110">
        <v>4</v>
      </c>
      <c r="E40" s="110" t="s">
        <v>120</v>
      </c>
      <c r="G40" s="106">
        <v>1291.616</v>
      </c>
      <c r="H40" s="106">
        <v>1370.0989999999999</v>
      </c>
      <c r="I40" s="106">
        <v>1447.2370000000001</v>
      </c>
      <c r="J40" s="106">
        <v>1520.9290000000001</v>
      </c>
      <c r="K40" s="106">
        <v>1595.518</v>
      </c>
      <c r="L40" s="106">
        <v>1664.472</v>
      </c>
      <c r="M40" s="106">
        <v>1728.49</v>
      </c>
      <c r="N40" s="106">
        <v>1795.5229999999999</v>
      </c>
      <c r="O40" s="106">
        <v>1851.8420000000001</v>
      </c>
      <c r="P40" s="106">
        <v>1903.8530000000001</v>
      </c>
      <c r="Q40" s="106">
        <v>1965.09</v>
      </c>
      <c r="R40" s="106">
        <v>2039.9659999999999</v>
      </c>
      <c r="S40" s="106">
        <v>2121.4830000000002</v>
      </c>
      <c r="T40" s="106">
        <v>2197.364</v>
      </c>
      <c r="U40" s="106">
        <v>2269.5300000000002</v>
      </c>
      <c r="V40" s="106">
        <v>2324.4349999999999</v>
      </c>
      <c r="W40" s="106">
        <v>2338.9389999999999</v>
      </c>
      <c r="X40" s="106">
        <v>2361.4810000000002</v>
      </c>
      <c r="Y40" s="106">
        <v>2386.3119999999999</v>
      </c>
      <c r="Z40" s="106">
        <v>2411.2640000000001</v>
      </c>
      <c r="AA40" s="106">
        <v>2440.6999999999998</v>
      </c>
      <c r="AB40" s="106">
        <v>2476.377</v>
      </c>
      <c r="AC40" s="106">
        <v>2519.6129999999998</v>
      </c>
      <c r="AD40" s="106">
        <v>2561.2800000000002</v>
      </c>
      <c r="AE40" s="106">
        <v>2231.192</v>
      </c>
      <c r="AF40" s="106">
        <v>1897.548</v>
      </c>
      <c r="AG40" s="106">
        <v>1553.6610000000001</v>
      </c>
      <c r="AH40" s="106">
        <v>1201.7860000000001</v>
      </c>
      <c r="AI40" s="106">
        <v>822.90899999999999</v>
      </c>
      <c r="AJ40" s="106">
        <v>417.32100000000003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81"/>
      <c r="AY40" s="81"/>
      <c r="AZ40" s="81"/>
      <c r="BA40" s="81"/>
      <c r="BB40" s="81"/>
      <c r="BC40" s="81"/>
      <c r="BD40" s="81"/>
      <c r="BE40" s="81"/>
    </row>
    <row r="41" spans="1:57" x14ac:dyDescent="0.35">
      <c r="A41" s="104" t="s">
        <v>37</v>
      </c>
      <c r="B41" s="110">
        <v>2</v>
      </c>
      <c r="C41" s="110">
        <v>2</v>
      </c>
      <c r="D41" s="110">
        <v>4</v>
      </c>
      <c r="E41" s="110" t="s">
        <v>120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8.5380000000000003</v>
      </c>
      <c r="AB41" s="106">
        <v>37.600999999999999</v>
      </c>
      <c r="AC41" s="106">
        <v>0</v>
      </c>
      <c r="AD41" s="106">
        <v>0</v>
      </c>
      <c r="AE41" s="106">
        <v>188.57900000000001</v>
      </c>
      <c r="AF41" s="106">
        <v>1563.3230000000001</v>
      </c>
      <c r="AG41" s="106">
        <v>1675.425</v>
      </c>
      <c r="AH41" s="106">
        <v>1805.7470000000001</v>
      </c>
      <c r="AI41" s="106">
        <v>1934.586</v>
      </c>
      <c r="AJ41" s="106">
        <v>2087.4659999999999</v>
      </c>
      <c r="AK41" s="106">
        <v>2226.5169999999998</v>
      </c>
      <c r="AL41" s="106">
        <v>3077.326</v>
      </c>
      <c r="AM41" s="106">
        <v>2828.9720000000002</v>
      </c>
      <c r="AN41" s="106">
        <v>2579.6950000000002</v>
      </c>
      <c r="AO41" s="106">
        <v>2331.9</v>
      </c>
      <c r="AP41" s="106">
        <v>2086.1350000000002</v>
      </c>
      <c r="AQ41" s="106">
        <v>1959.981</v>
      </c>
      <c r="AR41" s="106">
        <v>2176.1089999999999</v>
      </c>
      <c r="AS41" s="106">
        <v>2818.393</v>
      </c>
      <c r="AT41" s="106">
        <v>3020.261</v>
      </c>
      <c r="AU41" s="106">
        <v>3930.7739999999999</v>
      </c>
      <c r="AV41" s="106">
        <v>3963.9369999999999</v>
      </c>
      <c r="AW41" s="106">
        <v>4047.61</v>
      </c>
      <c r="AX41" s="81"/>
      <c r="AY41" s="81"/>
      <c r="AZ41" s="81"/>
      <c r="BA41" s="81"/>
      <c r="BB41" s="81"/>
      <c r="BC41" s="81"/>
      <c r="BD41" s="81"/>
      <c r="BE41" s="81"/>
    </row>
    <row r="42" spans="1:57" x14ac:dyDescent="0.35">
      <c r="A42" s="104" t="s">
        <v>38</v>
      </c>
      <c r="B42" s="110">
        <v>3</v>
      </c>
      <c r="C42" s="110">
        <v>3</v>
      </c>
      <c r="D42" s="110">
        <v>5</v>
      </c>
      <c r="E42" s="110">
        <v>5</v>
      </c>
      <c r="G42" s="106">
        <v>58.89</v>
      </c>
      <c r="H42" s="106">
        <v>65.05</v>
      </c>
      <c r="I42" s="106">
        <v>71.200999999999993</v>
      </c>
      <c r="J42" s="106">
        <v>77.224999999999994</v>
      </c>
      <c r="K42" s="106">
        <v>83.326999999999998</v>
      </c>
      <c r="L42" s="106">
        <v>89.156999999999996</v>
      </c>
      <c r="M42" s="106">
        <v>94.73</v>
      </c>
      <c r="N42" s="106">
        <v>100.471</v>
      </c>
      <c r="O42" s="106">
        <v>105.607</v>
      </c>
      <c r="P42" s="106">
        <v>110.47799999999999</v>
      </c>
      <c r="Q42" s="106">
        <v>115.871</v>
      </c>
      <c r="R42" s="106">
        <v>122.07599999999999</v>
      </c>
      <c r="S42" s="106">
        <v>128.702</v>
      </c>
      <c r="T42" s="106">
        <v>135.011</v>
      </c>
      <c r="U42" s="106">
        <v>141.10499999999999</v>
      </c>
      <c r="V42" s="106">
        <v>146.124</v>
      </c>
      <c r="W42" s="106">
        <v>147.036</v>
      </c>
      <c r="X42" s="106">
        <v>148.453</v>
      </c>
      <c r="Y42" s="106">
        <v>150.01400000000001</v>
      </c>
      <c r="Z42" s="106">
        <v>209.554</v>
      </c>
      <c r="AA42" s="106">
        <v>253.14699999999999</v>
      </c>
      <c r="AB42" s="106">
        <v>259.40499999999997</v>
      </c>
      <c r="AC42" s="106">
        <v>266.53699999999998</v>
      </c>
      <c r="AD42" s="106">
        <v>377.25200000000001</v>
      </c>
      <c r="AE42" s="106">
        <v>379.601</v>
      </c>
      <c r="AF42" s="106">
        <v>383.52199999999999</v>
      </c>
      <c r="AG42" s="106">
        <v>388.54700000000003</v>
      </c>
      <c r="AH42" s="106">
        <v>328.05099999999999</v>
      </c>
      <c r="AI42" s="106">
        <v>306.7</v>
      </c>
      <c r="AJ42" s="106">
        <v>270.7</v>
      </c>
      <c r="AK42" s="106">
        <v>314.75400000000002</v>
      </c>
      <c r="AL42" s="106">
        <v>279.625</v>
      </c>
      <c r="AM42" s="106">
        <v>243.99100000000001</v>
      </c>
      <c r="AN42" s="106">
        <v>296.89299999999997</v>
      </c>
      <c r="AO42" s="106">
        <v>350.82900000000001</v>
      </c>
      <c r="AP42" s="106">
        <v>406.41300000000001</v>
      </c>
      <c r="AQ42" s="106">
        <v>456.09500000000003</v>
      </c>
      <c r="AR42" s="106">
        <v>456.19900000000001</v>
      </c>
      <c r="AS42" s="106">
        <v>455.03100000000001</v>
      </c>
      <c r="AT42" s="106">
        <v>456.34699999999998</v>
      </c>
      <c r="AU42" s="106">
        <v>456.23899999999998</v>
      </c>
      <c r="AV42" s="106">
        <v>460.08800000000002</v>
      </c>
      <c r="AW42" s="106">
        <v>469.8</v>
      </c>
      <c r="AX42" s="81"/>
      <c r="AY42" s="81"/>
      <c r="AZ42" s="81"/>
      <c r="BA42" s="81"/>
      <c r="BB42" s="81"/>
      <c r="BC42" s="81"/>
      <c r="BD42" s="81"/>
      <c r="BE42" s="81"/>
    </row>
    <row r="43" spans="1:57" x14ac:dyDescent="0.35">
      <c r="A43" s="104" t="s">
        <v>39</v>
      </c>
      <c r="B43" s="110">
        <v>3</v>
      </c>
      <c r="C43" s="110">
        <v>3</v>
      </c>
      <c r="D43" s="110">
        <v>5</v>
      </c>
      <c r="E43" s="110">
        <v>5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6.8019999999999996</v>
      </c>
      <c r="P43" s="106">
        <v>13.521000000000001</v>
      </c>
      <c r="Q43" s="106">
        <v>20.257999999999999</v>
      </c>
      <c r="R43" s="106">
        <v>27.164000000000001</v>
      </c>
      <c r="S43" s="106">
        <v>34.241999999999997</v>
      </c>
      <c r="T43" s="106">
        <v>41.308</v>
      </c>
      <c r="U43" s="106">
        <v>48.353000000000002</v>
      </c>
      <c r="V43" s="106">
        <v>53.113</v>
      </c>
      <c r="W43" s="106">
        <v>56.722999999999999</v>
      </c>
      <c r="X43" s="106">
        <v>56.476999999999997</v>
      </c>
      <c r="Y43" s="106">
        <v>40.67</v>
      </c>
      <c r="Z43" s="106">
        <v>43.082999999999998</v>
      </c>
      <c r="AA43" s="106">
        <v>45.621000000000002</v>
      </c>
      <c r="AB43" s="106">
        <v>53.404000000000003</v>
      </c>
      <c r="AC43" s="106">
        <v>53.430999999999997</v>
      </c>
      <c r="AD43" s="106">
        <v>62.58</v>
      </c>
      <c r="AE43" s="106">
        <v>67.320999999999998</v>
      </c>
      <c r="AF43" s="106">
        <v>72.503</v>
      </c>
      <c r="AG43" s="106">
        <v>78.358000000000004</v>
      </c>
      <c r="AH43" s="106">
        <v>85.099000000000004</v>
      </c>
      <c r="AI43" s="106">
        <v>91.805999999999997</v>
      </c>
      <c r="AJ43" s="106">
        <v>97.578000000000003</v>
      </c>
      <c r="AK43" s="106">
        <v>102.675</v>
      </c>
      <c r="AL43" s="106">
        <v>107.67100000000001</v>
      </c>
      <c r="AM43" s="106">
        <v>112.63500000000001</v>
      </c>
      <c r="AN43" s="106">
        <v>117.688</v>
      </c>
      <c r="AO43" s="106">
        <v>122.983</v>
      </c>
      <c r="AP43" s="106">
        <v>104.834</v>
      </c>
      <c r="AQ43" s="106">
        <v>86.522000000000006</v>
      </c>
      <c r="AR43" s="106">
        <v>67.944000000000003</v>
      </c>
      <c r="AS43" s="106">
        <v>57.923999999999999</v>
      </c>
      <c r="AT43" s="106">
        <v>35.656999999999996</v>
      </c>
      <c r="AU43" s="106">
        <v>19.109000000000002</v>
      </c>
      <c r="AV43" s="106">
        <v>0</v>
      </c>
      <c r="AW43" s="106">
        <v>0</v>
      </c>
      <c r="AX43" s="81"/>
      <c r="AY43" s="81"/>
      <c r="AZ43" s="81"/>
      <c r="BA43" s="81"/>
      <c r="BB43" s="81"/>
      <c r="BC43" s="81"/>
      <c r="BD43" s="81"/>
      <c r="BE43" s="81"/>
    </row>
    <row r="44" spans="1:57" x14ac:dyDescent="0.35">
      <c r="A44" s="104" t="s">
        <v>40</v>
      </c>
      <c r="B44" s="110">
        <v>3</v>
      </c>
      <c r="C44" s="110">
        <v>3</v>
      </c>
      <c r="D44" s="110">
        <v>5</v>
      </c>
      <c r="E44" s="110">
        <v>5</v>
      </c>
      <c r="G44" s="106">
        <v>100.52200000000001</v>
      </c>
      <c r="H44" s="106">
        <v>106.63</v>
      </c>
      <c r="I44" s="106">
        <v>112.634</v>
      </c>
      <c r="J44" s="106">
        <v>118.369</v>
      </c>
      <c r="K44" s="106">
        <v>124.17400000000001</v>
      </c>
      <c r="L44" s="106">
        <v>129.54</v>
      </c>
      <c r="M44" s="106">
        <v>134.523</v>
      </c>
      <c r="N44" s="106">
        <v>139.74</v>
      </c>
      <c r="O44" s="106">
        <v>144.12299999999999</v>
      </c>
      <c r="P44" s="106">
        <v>148.17099999999999</v>
      </c>
      <c r="Q44" s="106">
        <v>152.93700000000001</v>
      </c>
      <c r="R44" s="106">
        <v>158.76400000000001</v>
      </c>
      <c r="S44" s="106">
        <v>165.108</v>
      </c>
      <c r="T44" s="106">
        <v>171.01400000000001</v>
      </c>
      <c r="U44" s="106">
        <v>176.63</v>
      </c>
      <c r="V44" s="106">
        <v>150.56100000000001</v>
      </c>
      <c r="W44" s="106">
        <v>165.62299999999999</v>
      </c>
      <c r="X44" s="106">
        <v>231.18</v>
      </c>
      <c r="Y44" s="106">
        <v>298.24400000000003</v>
      </c>
      <c r="Z44" s="106">
        <v>301.63799999999998</v>
      </c>
      <c r="AA44" s="106">
        <v>305.60000000000002</v>
      </c>
      <c r="AB44" s="106">
        <v>364.89100000000002</v>
      </c>
      <c r="AC44" s="106">
        <v>375.553</v>
      </c>
      <c r="AD44" s="106">
        <v>342.57799999999997</v>
      </c>
      <c r="AE44" s="106">
        <v>362.44900000000001</v>
      </c>
      <c r="AF44" s="106">
        <v>391.40300000000002</v>
      </c>
      <c r="AG44" s="106">
        <v>470.29599999999999</v>
      </c>
      <c r="AH44" s="106">
        <v>556.93899999999996</v>
      </c>
      <c r="AI44" s="106">
        <v>565.01400000000001</v>
      </c>
      <c r="AJ44" s="106">
        <v>565.947</v>
      </c>
      <c r="AK44" s="106">
        <v>582.55600000000004</v>
      </c>
      <c r="AL44" s="106">
        <v>521.07600000000002</v>
      </c>
      <c r="AM44" s="106">
        <v>458.68900000000002</v>
      </c>
      <c r="AN44" s="106">
        <v>395.96300000000002</v>
      </c>
      <c r="AO44" s="106">
        <v>327.81799999999998</v>
      </c>
      <c r="AP44" s="106">
        <v>259.46699999999998</v>
      </c>
      <c r="AQ44" s="106">
        <v>192.16800000000001</v>
      </c>
      <c r="AR44" s="106">
        <v>134.083</v>
      </c>
      <c r="AS44" s="106">
        <v>164.88499999999999</v>
      </c>
      <c r="AT44" s="106">
        <v>141.56899999999999</v>
      </c>
      <c r="AU44" s="106">
        <v>133.76400000000001</v>
      </c>
      <c r="AV44" s="106">
        <v>134.892</v>
      </c>
      <c r="AW44" s="106">
        <v>137.74</v>
      </c>
      <c r="AX44" s="81"/>
      <c r="AY44" s="81"/>
      <c r="AZ44" s="81"/>
      <c r="BA44" s="81"/>
      <c r="BB44" s="81"/>
      <c r="BC44" s="81"/>
      <c r="BD44" s="81"/>
      <c r="BE44" s="81"/>
    </row>
    <row r="45" spans="1:57" x14ac:dyDescent="0.35">
      <c r="A45" s="104" t="s">
        <v>41</v>
      </c>
      <c r="B45" s="110">
        <v>3</v>
      </c>
      <c r="C45" s="110">
        <v>3</v>
      </c>
      <c r="D45" s="110">
        <v>5</v>
      </c>
      <c r="E45" s="110">
        <v>5</v>
      </c>
      <c r="G45" s="106">
        <v>14.82</v>
      </c>
      <c r="H45" s="106">
        <v>15.72</v>
      </c>
      <c r="I45" s="106">
        <v>16.605</v>
      </c>
      <c r="J45" s="106">
        <v>17.451000000000001</v>
      </c>
      <c r="K45" s="106">
        <v>18.306000000000001</v>
      </c>
      <c r="L45" s="106">
        <v>19.097999999999999</v>
      </c>
      <c r="M45" s="106">
        <v>19.832000000000001</v>
      </c>
      <c r="N45" s="106">
        <v>20.600999999999999</v>
      </c>
      <c r="O45" s="106">
        <v>21.247</v>
      </c>
      <c r="P45" s="106">
        <v>21.844000000000001</v>
      </c>
      <c r="Q45" s="106">
        <v>22.547000000000001</v>
      </c>
      <c r="R45" s="106">
        <v>23.405999999999999</v>
      </c>
      <c r="S45" s="106">
        <v>24.341000000000001</v>
      </c>
      <c r="T45" s="106">
        <v>25.212</v>
      </c>
      <c r="U45" s="106">
        <v>26.04</v>
      </c>
      <c r="V45" s="106">
        <v>19.643999999999998</v>
      </c>
      <c r="W45" s="106">
        <v>23.994</v>
      </c>
      <c r="X45" s="106">
        <v>37.101999999999997</v>
      </c>
      <c r="Y45" s="106">
        <v>35.457999999999998</v>
      </c>
      <c r="Z45" s="106">
        <v>44.363</v>
      </c>
      <c r="AA45" s="106">
        <v>37.607999999999997</v>
      </c>
      <c r="AB45" s="106">
        <v>38.503</v>
      </c>
      <c r="AC45" s="106">
        <v>49.045000000000002</v>
      </c>
      <c r="AD45" s="106">
        <v>57.57</v>
      </c>
      <c r="AE45" s="106">
        <v>65.994</v>
      </c>
      <c r="AF45" s="106">
        <v>57.777999999999999</v>
      </c>
      <c r="AG45" s="106">
        <v>49.335000000000001</v>
      </c>
      <c r="AH45" s="106">
        <v>65.932000000000002</v>
      </c>
      <c r="AI45" s="106">
        <v>83.177000000000007</v>
      </c>
      <c r="AJ45" s="106">
        <v>72.757000000000005</v>
      </c>
      <c r="AK45" s="106">
        <v>55.223999999999997</v>
      </c>
      <c r="AL45" s="106">
        <v>68.823999999999998</v>
      </c>
      <c r="AM45" s="106">
        <v>82.494</v>
      </c>
      <c r="AN45" s="106">
        <v>79.155000000000001</v>
      </c>
      <c r="AO45" s="106">
        <v>75.906000000000006</v>
      </c>
      <c r="AP45" s="106">
        <v>72.795000000000002</v>
      </c>
      <c r="AQ45" s="106">
        <v>69.75</v>
      </c>
      <c r="AR45" s="106">
        <v>66.759</v>
      </c>
      <c r="AS45" s="106">
        <v>42.034999999999997</v>
      </c>
      <c r="AT45" s="106">
        <v>41.485999999999997</v>
      </c>
      <c r="AU45" s="106">
        <v>15.606999999999999</v>
      </c>
      <c r="AV45" s="106">
        <v>15.738</v>
      </c>
      <c r="AW45" s="106">
        <v>16.071000000000002</v>
      </c>
      <c r="AX45" s="81"/>
      <c r="AY45" s="81"/>
      <c r="AZ45" s="81"/>
      <c r="BA45" s="81"/>
      <c r="BB45" s="81"/>
      <c r="BC45" s="81"/>
      <c r="BD45" s="81"/>
      <c r="BE45" s="81"/>
    </row>
    <row r="46" spans="1:57" x14ac:dyDescent="0.35">
      <c r="A46" s="104" t="s">
        <v>42</v>
      </c>
      <c r="B46" s="110">
        <v>3</v>
      </c>
      <c r="C46" s="110">
        <v>3</v>
      </c>
      <c r="D46" s="110">
        <v>5</v>
      </c>
      <c r="E46" s="110">
        <v>5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44.25</v>
      </c>
      <c r="AF46" s="106">
        <v>90.32</v>
      </c>
      <c r="AG46" s="106">
        <v>138.65899999999999</v>
      </c>
      <c r="AH46" s="106">
        <v>190.67599999999999</v>
      </c>
      <c r="AI46" s="106">
        <v>195.845</v>
      </c>
      <c r="AJ46" s="106">
        <v>198.637</v>
      </c>
      <c r="AK46" s="106">
        <v>199.87200000000001</v>
      </c>
      <c r="AL46" s="106">
        <v>200.815</v>
      </c>
      <c r="AM46" s="106">
        <v>92.813000000000002</v>
      </c>
      <c r="AN46" s="106">
        <v>78.132000000000005</v>
      </c>
      <c r="AO46" s="106">
        <v>63.42</v>
      </c>
      <c r="AP46" s="106">
        <v>121.271</v>
      </c>
      <c r="AQ46" s="106">
        <v>100.56399999999999</v>
      </c>
      <c r="AR46" s="106">
        <v>224.16499999999999</v>
      </c>
      <c r="AS46" s="106">
        <v>351.80599999999998</v>
      </c>
      <c r="AT46" s="106">
        <v>430.69099999999997</v>
      </c>
      <c r="AU46" s="106">
        <v>516.37699999999995</v>
      </c>
      <c r="AV46" s="106">
        <v>520.73299999999995</v>
      </c>
      <c r="AW46" s="106">
        <v>531.72500000000002</v>
      </c>
      <c r="AX46" s="81"/>
      <c r="AY46" s="81"/>
      <c r="AZ46" s="81"/>
      <c r="BA46" s="81"/>
      <c r="BB46" s="81"/>
      <c r="BC46" s="81"/>
      <c r="BD46" s="81"/>
      <c r="BE46" s="81"/>
    </row>
    <row r="47" spans="1:57" x14ac:dyDescent="0.35">
      <c r="A47" s="104" t="s">
        <v>43</v>
      </c>
      <c r="B47" s="110">
        <v>5</v>
      </c>
      <c r="C47" s="110">
        <v>5</v>
      </c>
      <c r="D47" s="110">
        <v>5</v>
      </c>
      <c r="E47" s="110">
        <v>5</v>
      </c>
      <c r="G47" s="106">
        <v>1339.547</v>
      </c>
      <c r="H47" s="106">
        <v>1420.944</v>
      </c>
      <c r="I47" s="106">
        <v>1500.944</v>
      </c>
      <c r="J47" s="106">
        <v>1577.37</v>
      </c>
      <c r="K47" s="106">
        <v>1654.7270000000001</v>
      </c>
      <c r="L47" s="106">
        <v>1726.24</v>
      </c>
      <c r="M47" s="106">
        <v>1792.634</v>
      </c>
      <c r="N47" s="106">
        <v>1862.155</v>
      </c>
      <c r="O47" s="106">
        <v>1920.5630000000001</v>
      </c>
      <c r="P47" s="106">
        <v>1974.5050000000001</v>
      </c>
      <c r="Q47" s="106">
        <v>2038.0139999999999</v>
      </c>
      <c r="R47" s="106">
        <v>2115.6689999999999</v>
      </c>
      <c r="S47" s="106">
        <v>2200.2109999999998</v>
      </c>
      <c r="T47" s="106">
        <v>2278.9079999999999</v>
      </c>
      <c r="U47" s="106">
        <v>2353.752</v>
      </c>
      <c r="V47" s="106">
        <v>2092.8310000000001</v>
      </c>
      <c r="W47" s="106">
        <v>2187.4279999999999</v>
      </c>
      <c r="X47" s="106">
        <v>3012.65</v>
      </c>
      <c r="Y47" s="106">
        <v>3759.951</v>
      </c>
      <c r="Z47" s="106">
        <v>4280.33</v>
      </c>
      <c r="AA47" s="106">
        <v>4591.17</v>
      </c>
      <c r="AB47" s="106">
        <v>5456.9359999999997</v>
      </c>
      <c r="AC47" s="106">
        <v>4903.799</v>
      </c>
      <c r="AD47" s="106">
        <v>5669.12</v>
      </c>
      <c r="AE47" s="106">
        <v>7603.183</v>
      </c>
      <c r="AF47" s="106">
        <v>7754.4639999999999</v>
      </c>
      <c r="AG47" s="106">
        <v>7988.6769999999997</v>
      </c>
      <c r="AH47" s="106">
        <v>8653.2810000000009</v>
      </c>
      <c r="AI47" s="106">
        <v>7836.5169999999998</v>
      </c>
      <c r="AJ47" s="106">
        <v>4897.5</v>
      </c>
      <c r="AK47" s="106">
        <v>5635.0110000000004</v>
      </c>
      <c r="AL47" s="106">
        <v>7182.9790000000003</v>
      </c>
      <c r="AM47" s="106">
        <v>6718.99</v>
      </c>
      <c r="AN47" s="106">
        <v>7113.9859999999999</v>
      </c>
      <c r="AO47" s="106">
        <v>7524.5259999999998</v>
      </c>
      <c r="AP47" s="106">
        <v>9985.5550000000003</v>
      </c>
      <c r="AQ47" s="106">
        <v>9538.1810000000005</v>
      </c>
      <c r="AR47" s="106">
        <v>12554.544</v>
      </c>
      <c r="AS47" s="106">
        <v>12607.587</v>
      </c>
      <c r="AT47" s="106">
        <v>12731.611999999999</v>
      </c>
      <c r="AU47" s="106">
        <v>12541.566000000001</v>
      </c>
      <c r="AV47" s="106">
        <v>12647.377</v>
      </c>
      <c r="AW47" s="106">
        <v>12914.343999999999</v>
      </c>
      <c r="AX47" s="81"/>
      <c r="AY47" s="81"/>
      <c r="AZ47" s="81"/>
      <c r="BA47" s="81"/>
      <c r="BB47" s="81"/>
      <c r="BC47" s="81"/>
      <c r="BD47" s="81"/>
      <c r="BE47" s="81"/>
    </row>
    <row r="48" spans="1:57" x14ac:dyDescent="0.35">
      <c r="A48" s="104" t="s">
        <v>44</v>
      </c>
      <c r="B48" s="110">
        <v>5</v>
      </c>
      <c r="C48" s="110">
        <v>5</v>
      </c>
      <c r="D48" s="110">
        <v>5</v>
      </c>
      <c r="E48" s="110">
        <v>5</v>
      </c>
      <c r="G48" s="106">
        <v>231.08600000000001</v>
      </c>
      <c r="H48" s="106">
        <v>245.12700000000001</v>
      </c>
      <c r="I48" s="106">
        <v>258.928</v>
      </c>
      <c r="J48" s="106">
        <v>272.11200000000002</v>
      </c>
      <c r="K48" s="106">
        <v>285.45699999999999</v>
      </c>
      <c r="L48" s="106">
        <v>297.79399999999998</v>
      </c>
      <c r="M48" s="106">
        <v>309.24799999999999</v>
      </c>
      <c r="N48" s="106">
        <v>321.24099999999999</v>
      </c>
      <c r="O48" s="106">
        <v>331.31700000000001</v>
      </c>
      <c r="P48" s="106">
        <v>340.62200000000001</v>
      </c>
      <c r="Q48" s="106">
        <v>351.57799999999997</v>
      </c>
      <c r="R48" s="106">
        <v>364.97399999999999</v>
      </c>
      <c r="S48" s="106">
        <v>379.55900000000003</v>
      </c>
      <c r="T48" s="106">
        <v>393.13499999999999</v>
      </c>
      <c r="U48" s="106">
        <v>406.04599999999999</v>
      </c>
      <c r="V48" s="106">
        <v>322.45600000000002</v>
      </c>
      <c r="W48" s="106">
        <v>359.46100000000001</v>
      </c>
      <c r="X48" s="106">
        <v>398.255</v>
      </c>
      <c r="Y48" s="106">
        <v>438.14400000000001</v>
      </c>
      <c r="Z48" s="106">
        <v>478.8</v>
      </c>
      <c r="AA48" s="106">
        <v>537.29999999999995</v>
      </c>
      <c r="AB48" s="106">
        <v>490.9</v>
      </c>
      <c r="AC48" s="106">
        <v>563.4</v>
      </c>
      <c r="AD48" s="106">
        <v>599.79600000000005</v>
      </c>
      <c r="AE48" s="106">
        <v>637.1</v>
      </c>
      <c r="AF48" s="106">
        <v>720.7</v>
      </c>
      <c r="AG48" s="106">
        <v>714.61199999999997</v>
      </c>
      <c r="AH48" s="106">
        <v>713.3</v>
      </c>
      <c r="AI48" s="106">
        <v>573.20000000000005</v>
      </c>
      <c r="AJ48" s="106">
        <v>560.5</v>
      </c>
      <c r="AK48" s="106">
        <v>320.03899999999999</v>
      </c>
      <c r="AL48" s="106">
        <v>259.392</v>
      </c>
      <c r="AM48" s="106">
        <v>150.482</v>
      </c>
      <c r="AN48" s="106">
        <v>173.18199999999999</v>
      </c>
      <c r="AO48" s="106">
        <v>196.4</v>
      </c>
      <c r="AP48" s="106">
        <v>220.43700000000001</v>
      </c>
      <c r="AQ48" s="106">
        <v>236.03299999999999</v>
      </c>
      <c r="AR48" s="106">
        <v>291.61200000000002</v>
      </c>
      <c r="AS48" s="106">
        <v>287.42700000000002</v>
      </c>
      <c r="AT48" s="106">
        <v>333.61399999999998</v>
      </c>
      <c r="AU48" s="106">
        <v>259.80599999999998</v>
      </c>
      <c r="AV48" s="106">
        <v>261.99799999999999</v>
      </c>
      <c r="AW48" s="106">
        <v>267.52800000000002</v>
      </c>
      <c r="AX48" s="81"/>
      <c r="AY48" s="81"/>
      <c r="AZ48" s="81"/>
      <c r="BA48" s="81"/>
      <c r="BB48" s="81"/>
      <c r="BC48" s="81"/>
      <c r="BD48" s="81"/>
      <c r="BE48" s="81"/>
    </row>
    <row r="49" spans="1:57" x14ac:dyDescent="0.35">
      <c r="A49" s="104" t="s">
        <v>45</v>
      </c>
      <c r="B49" s="110">
        <v>5</v>
      </c>
      <c r="C49" s="110">
        <v>5</v>
      </c>
      <c r="D49" s="110">
        <v>6</v>
      </c>
      <c r="E49" s="110">
        <v>6</v>
      </c>
      <c r="G49" s="106">
        <v>289.774</v>
      </c>
      <c r="H49" s="106">
        <v>307.38099999999997</v>
      </c>
      <c r="I49" s="106">
        <v>324.68700000000001</v>
      </c>
      <c r="J49" s="106">
        <v>341.22</v>
      </c>
      <c r="K49" s="106">
        <v>357.95400000000001</v>
      </c>
      <c r="L49" s="106">
        <v>373.42399999999998</v>
      </c>
      <c r="M49" s="106">
        <v>387.786</v>
      </c>
      <c r="N49" s="106">
        <v>402.82499999999999</v>
      </c>
      <c r="O49" s="106">
        <v>415.46</v>
      </c>
      <c r="P49" s="106">
        <v>427.12900000000002</v>
      </c>
      <c r="Q49" s="106">
        <v>440.86700000000002</v>
      </c>
      <c r="R49" s="106">
        <v>457.666</v>
      </c>
      <c r="S49" s="106">
        <v>475.95400000000001</v>
      </c>
      <c r="T49" s="106">
        <v>492.97800000000001</v>
      </c>
      <c r="U49" s="106">
        <v>509.16800000000001</v>
      </c>
      <c r="V49" s="106">
        <v>501.10199999999998</v>
      </c>
      <c r="W49" s="106">
        <v>489.72500000000002</v>
      </c>
      <c r="X49" s="106">
        <v>585.85900000000004</v>
      </c>
      <c r="Y49" s="106">
        <v>917.19</v>
      </c>
      <c r="Z49" s="106">
        <v>1255.3520000000001</v>
      </c>
      <c r="AA49" s="106">
        <v>1908.4780000000001</v>
      </c>
      <c r="AB49" s="106">
        <v>1871.7539999999999</v>
      </c>
      <c r="AC49" s="106">
        <v>1949.569</v>
      </c>
      <c r="AD49" s="106">
        <v>1117.932</v>
      </c>
      <c r="AE49" s="106">
        <v>993.024</v>
      </c>
      <c r="AF49" s="106">
        <v>1929.4839999999999</v>
      </c>
      <c r="AG49" s="106">
        <v>2912.3040000000001</v>
      </c>
      <c r="AH49" s="106">
        <v>3970.5720000000001</v>
      </c>
      <c r="AI49" s="106">
        <v>3882.2260000000001</v>
      </c>
      <c r="AJ49" s="106">
        <v>3155.009</v>
      </c>
      <c r="AK49" s="106">
        <v>4738.7039999999997</v>
      </c>
      <c r="AL49" s="106">
        <v>4349.924</v>
      </c>
      <c r="AM49" s="106">
        <v>4800.1639999999998</v>
      </c>
      <c r="AN49" s="106">
        <v>3306.085</v>
      </c>
      <c r="AO49" s="106">
        <v>3310.1869999999999</v>
      </c>
      <c r="AP49" s="106">
        <v>3322.4070000000002</v>
      </c>
      <c r="AQ49" s="106">
        <v>2891.5309999999999</v>
      </c>
      <c r="AR49" s="106">
        <v>3162.136</v>
      </c>
      <c r="AS49" s="106">
        <v>3429.8679999999999</v>
      </c>
      <c r="AT49" s="106">
        <v>4253.9610000000002</v>
      </c>
      <c r="AU49" s="106">
        <v>4306.1790000000001</v>
      </c>
      <c r="AV49" s="106">
        <v>4342.509</v>
      </c>
      <c r="AW49" s="106">
        <v>4434.1729999999998</v>
      </c>
      <c r="AX49" s="81"/>
      <c r="AY49" s="81"/>
      <c r="AZ49" s="81"/>
      <c r="BA49" s="81"/>
      <c r="BB49" s="81"/>
      <c r="BC49" s="81"/>
      <c r="BD49" s="81"/>
      <c r="BE49" s="81"/>
    </row>
    <row r="50" spans="1:57" x14ac:dyDescent="0.35">
      <c r="A50" s="104" t="s">
        <v>46</v>
      </c>
      <c r="B50" s="110">
        <v>4</v>
      </c>
      <c r="C50" s="110" t="s">
        <v>120</v>
      </c>
      <c r="D50" s="110">
        <v>6</v>
      </c>
      <c r="E50" s="110">
        <v>6</v>
      </c>
      <c r="G50" s="106">
        <v>143.11000000000001</v>
      </c>
      <c r="H50" s="106">
        <v>151.80600000000001</v>
      </c>
      <c r="I50" s="106">
        <v>160.35300000000001</v>
      </c>
      <c r="J50" s="106">
        <v>168.518</v>
      </c>
      <c r="K50" s="106">
        <v>176.78200000000001</v>
      </c>
      <c r="L50" s="106">
        <v>184.423</v>
      </c>
      <c r="M50" s="106">
        <v>191.51599999999999</v>
      </c>
      <c r="N50" s="106">
        <v>198.94300000000001</v>
      </c>
      <c r="O50" s="106">
        <v>205.18299999999999</v>
      </c>
      <c r="P50" s="106">
        <v>210.946</v>
      </c>
      <c r="Q50" s="106">
        <v>217.73099999999999</v>
      </c>
      <c r="R50" s="106">
        <v>226.02699999999999</v>
      </c>
      <c r="S50" s="106">
        <v>235.059</v>
      </c>
      <c r="T50" s="106">
        <v>243.46700000000001</v>
      </c>
      <c r="U50" s="106">
        <v>251.46299999999999</v>
      </c>
      <c r="V50" s="106">
        <v>255.20500000000001</v>
      </c>
      <c r="W50" s="106">
        <v>261.64100000000002</v>
      </c>
      <c r="X50" s="106">
        <v>366.858</v>
      </c>
      <c r="Y50" s="106">
        <v>688.57899999999995</v>
      </c>
      <c r="Z50" s="106">
        <v>2196.7469999999998</v>
      </c>
      <c r="AA50" s="106">
        <v>2224.5070000000001</v>
      </c>
      <c r="AB50" s="106">
        <v>2257.9789999999998</v>
      </c>
      <c r="AC50" s="106">
        <v>2298.375</v>
      </c>
      <c r="AD50" s="106">
        <v>2686.8649999999998</v>
      </c>
      <c r="AE50" s="106">
        <v>3218.3139999999999</v>
      </c>
      <c r="AF50" s="106">
        <v>3513.8670000000002</v>
      </c>
      <c r="AG50" s="106">
        <v>3122.2809999999999</v>
      </c>
      <c r="AH50" s="106">
        <v>1665.604</v>
      </c>
      <c r="AI50" s="106">
        <v>1294.213</v>
      </c>
      <c r="AJ50" s="106">
        <v>890.18499999999995</v>
      </c>
      <c r="AK50" s="106">
        <v>845.02</v>
      </c>
      <c r="AL50" s="106">
        <v>1434.2809999999999</v>
      </c>
      <c r="AM50" s="106">
        <v>1210.8140000000001</v>
      </c>
      <c r="AN50" s="106">
        <v>1488.2950000000001</v>
      </c>
      <c r="AO50" s="106">
        <v>1771.0889999999999</v>
      </c>
      <c r="AP50" s="106">
        <v>2475.2339999999999</v>
      </c>
      <c r="AQ50" s="106">
        <v>2593.5889999999999</v>
      </c>
      <c r="AR50" s="106">
        <v>2527.7339999999999</v>
      </c>
      <c r="AS50" s="106">
        <v>2354.4789999999998</v>
      </c>
      <c r="AT50" s="106">
        <v>2637.5149999999999</v>
      </c>
      <c r="AU50" s="106">
        <v>2313.4760000000001</v>
      </c>
      <c r="AV50" s="106">
        <v>2332.9940000000001</v>
      </c>
      <c r="AW50" s="106">
        <v>2382.2399999999998</v>
      </c>
      <c r="AX50" s="81"/>
      <c r="AY50" s="81"/>
      <c r="AZ50" s="81"/>
      <c r="BA50" s="81"/>
      <c r="BB50" s="81"/>
      <c r="BC50" s="81"/>
      <c r="BD50" s="81"/>
      <c r="BE50" s="81"/>
    </row>
    <row r="51" spans="1:57" x14ac:dyDescent="0.35">
      <c r="A51" s="104" t="s">
        <v>47</v>
      </c>
      <c r="B51" s="110">
        <v>5</v>
      </c>
      <c r="C51" s="110">
        <v>5</v>
      </c>
      <c r="D51" s="110">
        <v>7</v>
      </c>
      <c r="E51" s="110">
        <v>7</v>
      </c>
      <c r="G51" s="106">
        <v>113.071</v>
      </c>
      <c r="H51" s="106">
        <v>119.941</v>
      </c>
      <c r="I51" s="106">
        <v>126.694</v>
      </c>
      <c r="J51" s="106">
        <v>133.14500000000001</v>
      </c>
      <c r="K51" s="106">
        <v>139.67500000000001</v>
      </c>
      <c r="L51" s="106">
        <v>145.71100000000001</v>
      </c>
      <c r="M51" s="106">
        <v>151.316</v>
      </c>
      <c r="N51" s="106">
        <v>157.184</v>
      </c>
      <c r="O51" s="106">
        <v>162.114</v>
      </c>
      <c r="P51" s="106">
        <v>166.667</v>
      </c>
      <c r="Q51" s="106">
        <v>172.02799999999999</v>
      </c>
      <c r="R51" s="106">
        <v>178.583</v>
      </c>
      <c r="S51" s="106">
        <v>185.71899999999999</v>
      </c>
      <c r="T51" s="106">
        <v>192.36199999999999</v>
      </c>
      <c r="U51" s="106">
        <v>198.679</v>
      </c>
      <c r="V51" s="106">
        <v>217.023</v>
      </c>
      <c r="W51" s="106">
        <v>237.68600000000001</v>
      </c>
      <c r="X51" s="106">
        <v>259.47199999999998</v>
      </c>
      <c r="Y51" s="106">
        <v>281.89999999999998</v>
      </c>
      <c r="Z51" s="106">
        <v>313.48599999999999</v>
      </c>
      <c r="AA51" s="106">
        <v>346.3</v>
      </c>
      <c r="AB51" s="106">
        <v>362</v>
      </c>
      <c r="AC51" s="106">
        <v>370.6</v>
      </c>
      <c r="AD51" s="106">
        <v>404.68599999999998</v>
      </c>
      <c r="AE51" s="106">
        <v>439.7</v>
      </c>
      <c r="AF51" s="106">
        <v>465.23899999999998</v>
      </c>
      <c r="AG51" s="106">
        <v>493.04300000000001</v>
      </c>
      <c r="AH51" s="106">
        <v>525.92100000000005</v>
      </c>
      <c r="AI51" s="106">
        <v>552.34299999999996</v>
      </c>
      <c r="AJ51" s="106">
        <v>572.55799999999999</v>
      </c>
      <c r="AK51" s="106">
        <v>588.53300000000002</v>
      </c>
      <c r="AL51" s="106">
        <v>632.33299999999997</v>
      </c>
      <c r="AM51" s="106">
        <v>676.06899999999996</v>
      </c>
      <c r="AN51" s="106">
        <v>720.46100000000001</v>
      </c>
      <c r="AO51" s="106">
        <v>766.47400000000005</v>
      </c>
      <c r="AP51" s="106">
        <v>815.03</v>
      </c>
      <c r="AQ51" s="106">
        <v>868.08500000000004</v>
      </c>
      <c r="AR51" s="106">
        <v>933.899</v>
      </c>
      <c r="AS51" s="106">
        <v>885.00199999999995</v>
      </c>
      <c r="AT51" s="106">
        <v>898.53200000000004</v>
      </c>
      <c r="AU51" s="106">
        <v>909.56100000000004</v>
      </c>
      <c r="AV51" s="106">
        <v>917.23500000000001</v>
      </c>
      <c r="AW51" s="106">
        <v>936.59699999999998</v>
      </c>
      <c r="AX51" s="81"/>
      <c r="AY51" s="81"/>
      <c r="AZ51" s="81"/>
      <c r="BA51" s="81"/>
      <c r="BB51" s="81"/>
      <c r="BC51" s="81"/>
      <c r="BD51" s="81"/>
      <c r="BE51" s="81"/>
    </row>
    <row r="52" spans="1:57" x14ac:dyDescent="0.35">
      <c r="A52" s="104" t="s">
        <v>48</v>
      </c>
      <c r="B52" s="110">
        <v>6</v>
      </c>
      <c r="C52" s="110">
        <v>6</v>
      </c>
      <c r="D52" s="110">
        <v>7</v>
      </c>
      <c r="E52" s="110">
        <v>7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13.085000000000001</v>
      </c>
      <c r="M52" s="106">
        <v>26.169</v>
      </c>
      <c r="N52" s="106">
        <v>39.32</v>
      </c>
      <c r="O52" s="106">
        <v>52.206000000000003</v>
      </c>
      <c r="P52" s="106">
        <v>64.853999999999999</v>
      </c>
      <c r="Q52" s="106">
        <v>77.736999999999995</v>
      </c>
      <c r="R52" s="106">
        <v>91.206999999999994</v>
      </c>
      <c r="S52" s="106">
        <v>105.116</v>
      </c>
      <c r="T52" s="106">
        <v>118.883</v>
      </c>
      <c r="U52" s="106">
        <v>132.53299999999999</v>
      </c>
      <c r="V52" s="106">
        <v>160.84200000000001</v>
      </c>
      <c r="W52" s="106">
        <v>150.52799999999999</v>
      </c>
      <c r="X52" s="106">
        <v>127.05200000000001</v>
      </c>
      <c r="Y52" s="106">
        <v>103.2</v>
      </c>
      <c r="Z52" s="106">
        <v>119.023</v>
      </c>
      <c r="AA52" s="106">
        <v>135.4</v>
      </c>
      <c r="AB52" s="106">
        <v>185.7</v>
      </c>
      <c r="AC52" s="106">
        <v>242.3</v>
      </c>
      <c r="AD52" s="106">
        <v>277.10000000000002</v>
      </c>
      <c r="AE52" s="106">
        <v>442.1</v>
      </c>
      <c r="AF52" s="106">
        <v>488.13299999999998</v>
      </c>
      <c r="AG52" s="106">
        <v>537.4</v>
      </c>
      <c r="AH52" s="106">
        <v>746.98900000000003</v>
      </c>
      <c r="AI52" s="106">
        <v>693.42899999999997</v>
      </c>
      <c r="AJ52" s="106">
        <v>628.45500000000004</v>
      </c>
      <c r="AK52" s="106">
        <v>607.00699999999995</v>
      </c>
      <c r="AL52" s="106">
        <v>383.505</v>
      </c>
      <c r="AM52" s="106">
        <v>340.15800000000002</v>
      </c>
      <c r="AN52" s="106">
        <v>291.87299999999999</v>
      </c>
      <c r="AO52" s="106">
        <v>243.54400000000001</v>
      </c>
      <c r="AP52" s="106">
        <v>276.36500000000001</v>
      </c>
      <c r="AQ52" s="106">
        <v>377.96100000000001</v>
      </c>
      <c r="AR52" s="106">
        <v>482.54199999999997</v>
      </c>
      <c r="AS52" s="106">
        <v>649.34699999999998</v>
      </c>
      <c r="AT52" s="106">
        <v>659.274</v>
      </c>
      <c r="AU52" s="106">
        <v>667.36699999999996</v>
      </c>
      <c r="AV52" s="106">
        <v>617.81399999999996</v>
      </c>
      <c r="AW52" s="106">
        <v>645.71500000000003</v>
      </c>
      <c r="AX52" s="81"/>
      <c r="AY52" s="81"/>
      <c r="AZ52" s="81"/>
      <c r="BA52" s="81"/>
      <c r="BB52" s="81"/>
      <c r="BC52" s="81"/>
      <c r="BD52" s="81"/>
      <c r="BE52" s="81"/>
    </row>
    <row r="53" spans="1:57" x14ac:dyDescent="0.35">
      <c r="A53" s="104" t="s">
        <v>49</v>
      </c>
      <c r="B53" s="110">
        <v>4</v>
      </c>
      <c r="C53" s="110" t="s">
        <v>120</v>
      </c>
      <c r="D53" s="110">
        <v>7</v>
      </c>
      <c r="E53" s="110">
        <v>7</v>
      </c>
      <c r="G53" s="106">
        <v>20.094000000000001</v>
      </c>
      <c r="H53" s="106">
        <v>23.738</v>
      </c>
      <c r="I53" s="106">
        <v>27.41</v>
      </c>
      <c r="J53" s="106">
        <v>31.056000000000001</v>
      </c>
      <c r="K53" s="106">
        <v>34.750999999999998</v>
      </c>
      <c r="L53" s="106">
        <v>38.344999999999999</v>
      </c>
      <c r="M53" s="106">
        <v>41.831000000000003</v>
      </c>
      <c r="N53" s="106">
        <v>45.393000000000001</v>
      </c>
      <c r="O53" s="106">
        <v>48.679000000000002</v>
      </c>
      <c r="P53" s="106">
        <v>51.834000000000003</v>
      </c>
      <c r="Q53" s="106">
        <v>55.226999999999997</v>
      </c>
      <c r="R53" s="106">
        <v>59.011000000000003</v>
      </c>
      <c r="S53" s="106">
        <v>63.01</v>
      </c>
      <c r="T53" s="106">
        <v>66.863</v>
      </c>
      <c r="U53" s="106">
        <v>70.617000000000004</v>
      </c>
      <c r="V53" s="106">
        <v>73.831999999999994</v>
      </c>
      <c r="W53" s="106">
        <v>74.293000000000006</v>
      </c>
      <c r="X53" s="106">
        <v>75.009</v>
      </c>
      <c r="Y53" s="106">
        <v>75.796999999999997</v>
      </c>
      <c r="Z53" s="106">
        <v>76.59</v>
      </c>
      <c r="AA53" s="106">
        <v>77.525000000000006</v>
      </c>
      <c r="AB53" s="106">
        <v>78.658000000000001</v>
      </c>
      <c r="AC53" s="106">
        <v>80.031000000000006</v>
      </c>
      <c r="AD53" s="106">
        <v>81.355000000000004</v>
      </c>
      <c r="AE53" s="106">
        <v>82.682000000000002</v>
      </c>
      <c r="AF53" s="106">
        <v>84.382000000000005</v>
      </c>
      <c r="AG53" s="106">
        <v>80.174000000000007</v>
      </c>
      <c r="AH53" s="106">
        <v>76.305000000000007</v>
      </c>
      <c r="AI53" s="106">
        <v>71.819000000000003</v>
      </c>
      <c r="AJ53" s="106">
        <v>52.896999999999998</v>
      </c>
      <c r="AK53" s="106">
        <v>53.061999999999998</v>
      </c>
      <c r="AL53" s="106">
        <v>53.148000000000003</v>
      </c>
      <c r="AM53" s="106">
        <v>53.198</v>
      </c>
      <c r="AN53" s="106">
        <v>53.27</v>
      </c>
      <c r="AO53" s="106">
        <v>53.427999999999997</v>
      </c>
      <c r="AP53" s="106">
        <v>58.109000000000002</v>
      </c>
      <c r="AQ53" s="106">
        <v>69.042000000000002</v>
      </c>
      <c r="AR53" s="106">
        <v>72.564999999999998</v>
      </c>
      <c r="AS53" s="106">
        <v>82.158000000000001</v>
      </c>
      <c r="AT53" s="106">
        <v>92.444999999999993</v>
      </c>
      <c r="AU53" s="106">
        <v>102.72199999999999</v>
      </c>
      <c r="AV53" s="106">
        <v>112.807</v>
      </c>
      <c r="AW53" s="106">
        <v>124.602</v>
      </c>
      <c r="AX53" s="81"/>
      <c r="AY53" s="81"/>
      <c r="AZ53" s="81"/>
      <c r="BA53" s="81"/>
      <c r="BB53" s="81"/>
      <c r="BC53" s="81"/>
      <c r="BD53" s="81"/>
      <c r="BE53" s="81"/>
    </row>
    <row r="54" spans="1:57" x14ac:dyDescent="0.35">
      <c r="A54" s="104" t="s">
        <v>50</v>
      </c>
      <c r="B54" s="110">
        <v>5</v>
      </c>
      <c r="C54" s="110">
        <v>5</v>
      </c>
      <c r="D54" s="110">
        <v>8</v>
      </c>
      <c r="E54" s="110">
        <v>8</v>
      </c>
      <c r="G54" s="106">
        <v>0.46899999999999997</v>
      </c>
      <c r="H54" s="106">
        <v>0.51800000000000002</v>
      </c>
      <c r="I54" s="106">
        <v>0.56699999999999995</v>
      </c>
      <c r="J54" s="106">
        <v>0.61499999999999999</v>
      </c>
      <c r="K54" s="106">
        <v>0.66300000000000003</v>
      </c>
      <c r="L54" s="106">
        <v>0.70899999999999996</v>
      </c>
      <c r="M54" s="106">
        <v>0.754</v>
      </c>
      <c r="N54" s="106">
        <v>0.8</v>
      </c>
      <c r="O54" s="106">
        <v>0.84</v>
      </c>
      <c r="P54" s="106">
        <v>0.879</v>
      </c>
      <c r="Q54" s="106">
        <v>0.92200000000000004</v>
      </c>
      <c r="R54" s="106">
        <v>0.97099999999999997</v>
      </c>
      <c r="S54" s="106">
        <v>1.024</v>
      </c>
      <c r="T54" s="106">
        <v>1.0740000000000001</v>
      </c>
      <c r="U54" s="106">
        <v>1.123</v>
      </c>
      <c r="V54" s="106">
        <v>1.0289999999999999</v>
      </c>
      <c r="W54" s="106">
        <v>1.17</v>
      </c>
      <c r="X54" s="106">
        <v>1.3169999999999999</v>
      </c>
      <c r="Y54" s="106">
        <v>1.5129999999999999</v>
      </c>
      <c r="Z54" s="106">
        <v>1.7130000000000001</v>
      </c>
      <c r="AA54" s="106">
        <v>3.4489999999999998</v>
      </c>
      <c r="AB54" s="106">
        <v>5.3339999999999996</v>
      </c>
      <c r="AC54" s="106">
        <v>7.2939999999999996</v>
      </c>
      <c r="AD54" s="106">
        <v>5.5970000000000004</v>
      </c>
      <c r="AE54" s="106">
        <v>7.6509999999999998</v>
      </c>
      <c r="AF54" s="106">
        <v>8.6809999999999992</v>
      </c>
      <c r="AG54" s="106">
        <v>7.0270000000000001</v>
      </c>
      <c r="AH54" s="106">
        <v>5.3310000000000004</v>
      </c>
      <c r="AI54" s="106">
        <v>4.242</v>
      </c>
      <c r="AJ54" s="106">
        <v>3.641</v>
      </c>
      <c r="AK54" s="106">
        <v>13.445</v>
      </c>
      <c r="AL54" s="106">
        <v>12.148999999999999</v>
      </c>
      <c r="AM54" s="106">
        <v>10.833</v>
      </c>
      <c r="AN54" s="106">
        <v>7.5780000000000003</v>
      </c>
      <c r="AO54" s="106">
        <v>7.6059999999999999</v>
      </c>
      <c r="AP54" s="106">
        <v>7.5170000000000003</v>
      </c>
      <c r="AQ54" s="106">
        <v>6.3419999999999996</v>
      </c>
      <c r="AR54" s="106">
        <v>14.204000000000001</v>
      </c>
      <c r="AS54" s="106">
        <v>14.631</v>
      </c>
      <c r="AT54" s="106">
        <v>15.148999999999999</v>
      </c>
      <c r="AU54" s="106">
        <v>7.8529999999999998</v>
      </c>
      <c r="AV54" s="106">
        <v>7.9189999999999996</v>
      </c>
      <c r="AW54" s="106">
        <v>8.0860000000000003</v>
      </c>
      <c r="AX54" s="81"/>
      <c r="AY54" s="81"/>
      <c r="AZ54" s="81"/>
      <c r="BA54" s="81"/>
      <c r="BB54" s="81"/>
      <c r="BC54" s="81"/>
      <c r="BD54" s="81"/>
      <c r="BE54" s="81"/>
    </row>
    <row r="55" spans="1:57" x14ac:dyDescent="0.35">
      <c r="A55" s="104" t="s">
        <v>51</v>
      </c>
      <c r="B55" s="110">
        <v>4</v>
      </c>
      <c r="C55" s="110" t="s">
        <v>120</v>
      </c>
      <c r="D55" s="110">
        <v>8</v>
      </c>
      <c r="E55" s="110">
        <v>8</v>
      </c>
      <c r="G55" s="106">
        <v>251.85900000000001</v>
      </c>
      <c r="H55" s="106">
        <v>278.20299999999997</v>
      </c>
      <c r="I55" s="106">
        <v>304.51299999999998</v>
      </c>
      <c r="J55" s="106">
        <v>330.27499999999998</v>
      </c>
      <c r="K55" s="106">
        <v>356.37200000000001</v>
      </c>
      <c r="L55" s="106">
        <v>381.30599999999998</v>
      </c>
      <c r="M55" s="106">
        <v>405.137</v>
      </c>
      <c r="N55" s="106">
        <v>429.69099999999997</v>
      </c>
      <c r="O55" s="106">
        <v>451.65800000000002</v>
      </c>
      <c r="P55" s="106">
        <v>472.49</v>
      </c>
      <c r="Q55" s="106">
        <v>495.553</v>
      </c>
      <c r="R55" s="106">
        <v>522.09100000000001</v>
      </c>
      <c r="S55" s="106">
        <v>550.43200000000002</v>
      </c>
      <c r="T55" s="106">
        <v>577.41099999999994</v>
      </c>
      <c r="U55" s="106">
        <v>603.47400000000005</v>
      </c>
      <c r="V55" s="106">
        <v>675.24900000000002</v>
      </c>
      <c r="W55" s="106">
        <v>754.27099999999996</v>
      </c>
      <c r="X55" s="106">
        <v>808.78399999999999</v>
      </c>
      <c r="Y55" s="106">
        <v>937.14400000000001</v>
      </c>
      <c r="Z55" s="106">
        <v>534.38400000000001</v>
      </c>
      <c r="AA55" s="106">
        <v>603.45799999999997</v>
      </c>
      <c r="AB55" s="106">
        <v>675.74400000000003</v>
      </c>
      <c r="AC55" s="106">
        <v>831.09900000000005</v>
      </c>
      <c r="AD55" s="106">
        <v>1401.1369999999999</v>
      </c>
      <c r="AE55" s="106">
        <v>1342.934</v>
      </c>
      <c r="AF55" s="106">
        <v>990.505</v>
      </c>
      <c r="AG55" s="106">
        <v>832.06100000000004</v>
      </c>
      <c r="AH55" s="106">
        <v>936.69899999999996</v>
      </c>
      <c r="AI55" s="106">
        <v>64.3</v>
      </c>
      <c r="AJ55" s="106">
        <v>56.1</v>
      </c>
      <c r="AK55" s="106">
        <v>471.41199999999998</v>
      </c>
      <c r="AL55" s="106">
        <v>890.55399999999997</v>
      </c>
      <c r="AM55" s="106">
        <v>1312.739</v>
      </c>
      <c r="AN55" s="106">
        <v>1197.732</v>
      </c>
      <c r="AO55" s="106">
        <v>1083.422</v>
      </c>
      <c r="AP55" s="106">
        <v>270.19200000000001</v>
      </c>
      <c r="AQ55" s="106">
        <v>294.77199999999999</v>
      </c>
      <c r="AR55" s="106">
        <v>304.70699999999999</v>
      </c>
      <c r="AS55" s="106">
        <v>314.20499999999998</v>
      </c>
      <c r="AT55" s="106">
        <v>282.45999999999998</v>
      </c>
      <c r="AU55" s="106">
        <v>285.92700000000002</v>
      </c>
      <c r="AV55" s="106">
        <v>288.339</v>
      </c>
      <c r="AW55" s="106">
        <v>294.42599999999999</v>
      </c>
      <c r="AX55" s="81"/>
      <c r="AY55" s="81"/>
      <c r="AZ55" s="81"/>
      <c r="BA55" s="81"/>
      <c r="BB55" s="81"/>
      <c r="BC55" s="81"/>
      <c r="BD55" s="81"/>
      <c r="BE55" s="81"/>
    </row>
    <row r="56" spans="1:57" x14ac:dyDescent="0.35">
      <c r="A56" s="104" t="s">
        <v>52</v>
      </c>
      <c r="B56" s="110">
        <v>5</v>
      </c>
      <c r="C56" s="110">
        <v>5</v>
      </c>
      <c r="D56" s="110">
        <v>9</v>
      </c>
      <c r="E56" s="110">
        <v>9</v>
      </c>
      <c r="G56" s="106">
        <v>194.999</v>
      </c>
      <c r="H56" s="106">
        <v>206.84700000000001</v>
      </c>
      <c r="I56" s="106">
        <v>218.49299999999999</v>
      </c>
      <c r="J56" s="106">
        <v>229.619</v>
      </c>
      <c r="K56" s="106">
        <v>240.87899999999999</v>
      </c>
      <c r="L56" s="106">
        <v>251.29</v>
      </c>
      <c r="M56" s="106">
        <v>260.95499999999998</v>
      </c>
      <c r="N56" s="106">
        <v>271.07499999999999</v>
      </c>
      <c r="O56" s="106">
        <v>279.577</v>
      </c>
      <c r="P56" s="106">
        <v>287.43</v>
      </c>
      <c r="Q56" s="106">
        <v>296.67500000000001</v>
      </c>
      <c r="R56" s="106">
        <v>307.97899999999998</v>
      </c>
      <c r="S56" s="106">
        <v>320.286</v>
      </c>
      <c r="T56" s="106">
        <v>331.74200000000002</v>
      </c>
      <c r="U56" s="106">
        <v>342.637</v>
      </c>
      <c r="V56" s="106">
        <v>312.642</v>
      </c>
      <c r="W56" s="106">
        <v>356.09100000000001</v>
      </c>
      <c r="X56" s="106">
        <v>392.40800000000002</v>
      </c>
      <c r="Y56" s="106">
        <v>682.71299999999997</v>
      </c>
      <c r="Z56" s="106">
        <v>1149.836</v>
      </c>
      <c r="AA56" s="106">
        <v>1629.4739999999999</v>
      </c>
      <c r="AB56" s="106">
        <v>1608.921</v>
      </c>
      <c r="AC56" s="106">
        <v>1591.866</v>
      </c>
      <c r="AD56" s="106">
        <v>1174.028</v>
      </c>
      <c r="AE56" s="106">
        <v>741.77</v>
      </c>
      <c r="AF56" s="106">
        <v>837.75400000000002</v>
      </c>
      <c r="AG56" s="106">
        <v>1436.9349999999999</v>
      </c>
      <c r="AH56" s="106">
        <v>1889.2249999999999</v>
      </c>
      <c r="AI56" s="106">
        <v>1948.203</v>
      </c>
      <c r="AJ56" s="106">
        <v>1983.857</v>
      </c>
      <c r="AK56" s="106">
        <v>1290.4169999999999</v>
      </c>
      <c r="AL56" s="106">
        <v>1350.605</v>
      </c>
      <c r="AM56" s="106">
        <v>1410.364</v>
      </c>
      <c r="AN56" s="106">
        <v>1471.2249999999999</v>
      </c>
      <c r="AO56" s="106">
        <v>1535.08</v>
      </c>
      <c r="AP56" s="106">
        <v>1520.115</v>
      </c>
      <c r="AQ56" s="106">
        <v>1392.1279999999999</v>
      </c>
      <c r="AR56" s="106">
        <v>1206.7840000000001</v>
      </c>
      <c r="AS56" s="106">
        <v>1350.835</v>
      </c>
      <c r="AT56" s="106">
        <v>1384.0640000000001</v>
      </c>
      <c r="AU56" s="106">
        <v>878.03499999999997</v>
      </c>
      <c r="AV56" s="106">
        <v>1367.9770000000001</v>
      </c>
      <c r="AW56" s="106">
        <v>1420.048</v>
      </c>
      <c r="AX56" s="81"/>
      <c r="AY56" s="81"/>
      <c r="AZ56" s="81"/>
      <c r="BA56" s="81"/>
      <c r="BB56" s="81"/>
      <c r="BC56" s="81"/>
      <c r="BD56" s="81"/>
      <c r="BE56" s="81"/>
    </row>
    <row r="57" spans="1:57" x14ac:dyDescent="0.35">
      <c r="A57" s="104" t="s">
        <v>53</v>
      </c>
      <c r="B57" s="110">
        <v>4</v>
      </c>
      <c r="C57" s="110" t="s">
        <v>120</v>
      </c>
      <c r="D57" s="110">
        <v>9</v>
      </c>
      <c r="E57" s="110">
        <v>9</v>
      </c>
      <c r="G57" s="106">
        <v>74.387</v>
      </c>
      <c r="H57" s="106">
        <v>82.168000000000006</v>
      </c>
      <c r="I57" s="106">
        <v>89.938999999999993</v>
      </c>
      <c r="J57" s="106">
        <v>97.548000000000002</v>
      </c>
      <c r="K57" s="106">
        <v>105.256</v>
      </c>
      <c r="L57" s="106">
        <v>112.62</v>
      </c>
      <c r="M57" s="106">
        <v>119.65900000000001</v>
      </c>
      <c r="N57" s="106">
        <v>126.911</v>
      </c>
      <c r="O57" s="106">
        <v>133.399</v>
      </c>
      <c r="P57" s="106">
        <v>139.55199999999999</v>
      </c>
      <c r="Q57" s="106">
        <v>146.363</v>
      </c>
      <c r="R57" s="106">
        <v>154.20099999999999</v>
      </c>
      <c r="S57" s="106">
        <v>162.572</v>
      </c>
      <c r="T57" s="106">
        <v>170.54</v>
      </c>
      <c r="U57" s="106">
        <v>178.238</v>
      </c>
      <c r="V57" s="106">
        <v>109.285</v>
      </c>
      <c r="W57" s="106">
        <v>131.22</v>
      </c>
      <c r="X57" s="106">
        <v>319.04899999999998</v>
      </c>
      <c r="Y57" s="106">
        <v>274.65499999999997</v>
      </c>
      <c r="Z57" s="106">
        <v>210.042</v>
      </c>
      <c r="AA57" s="106">
        <v>184.386</v>
      </c>
      <c r="AB57" s="106">
        <v>158.44800000000001</v>
      </c>
      <c r="AC57" s="106">
        <v>139.07400000000001</v>
      </c>
      <c r="AD57" s="106">
        <v>231.709</v>
      </c>
      <c r="AE57" s="106">
        <v>327.298</v>
      </c>
      <c r="AF57" s="106">
        <v>427.72300000000001</v>
      </c>
      <c r="AG57" s="106">
        <v>495.56900000000002</v>
      </c>
      <c r="AH57" s="106">
        <v>421.90699999999998</v>
      </c>
      <c r="AI57" s="106">
        <v>341.72300000000001</v>
      </c>
      <c r="AJ57" s="106">
        <v>489.73099999999999</v>
      </c>
      <c r="AK57" s="106">
        <v>636.80100000000004</v>
      </c>
      <c r="AL57" s="106">
        <v>505.95400000000001</v>
      </c>
      <c r="AM57" s="106">
        <v>505.25099999999998</v>
      </c>
      <c r="AN57" s="106">
        <v>504.755</v>
      </c>
      <c r="AO57" s="106">
        <v>638.10299999999995</v>
      </c>
      <c r="AP57" s="106">
        <v>1197.99</v>
      </c>
      <c r="AQ57" s="106">
        <v>1083.239</v>
      </c>
      <c r="AR57" s="106">
        <v>967.77700000000004</v>
      </c>
      <c r="AS57" s="106">
        <v>1073.078</v>
      </c>
      <c r="AT57" s="106">
        <v>1186.9459999999999</v>
      </c>
      <c r="AU57" s="106">
        <v>1371.7339999999999</v>
      </c>
      <c r="AV57" s="106">
        <v>1383.307</v>
      </c>
      <c r="AW57" s="106">
        <v>1412.5060000000001</v>
      </c>
      <c r="AX57" s="81"/>
      <c r="AY57" s="81"/>
      <c r="AZ57" s="81"/>
      <c r="BA57" s="81"/>
      <c r="BB57" s="81"/>
      <c r="BC57" s="81"/>
      <c r="BD57" s="81"/>
      <c r="BE57" s="81"/>
    </row>
    <row r="58" spans="1:57" x14ac:dyDescent="0.35">
      <c r="A58" s="104" t="s">
        <v>54</v>
      </c>
      <c r="B58" s="110">
        <v>4</v>
      </c>
      <c r="C58" s="110" t="s">
        <v>120</v>
      </c>
      <c r="D58" s="110">
        <v>10</v>
      </c>
      <c r="E58" s="110">
        <v>10</v>
      </c>
      <c r="G58" s="106">
        <v>152.02500000000001</v>
      </c>
      <c r="H58" s="106">
        <v>161.26300000000001</v>
      </c>
      <c r="I58" s="106">
        <v>170.34200000000001</v>
      </c>
      <c r="J58" s="106">
        <v>179.01599999999999</v>
      </c>
      <c r="K58" s="106">
        <v>187.79499999999999</v>
      </c>
      <c r="L58" s="106">
        <v>195.911</v>
      </c>
      <c r="M58" s="106">
        <v>203.446</v>
      </c>
      <c r="N58" s="106">
        <v>211.33600000000001</v>
      </c>
      <c r="O58" s="106">
        <v>217.965</v>
      </c>
      <c r="P58" s="106">
        <v>224.08699999999999</v>
      </c>
      <c r="Q58" s="106">
        <v>231.29499999999999</v>
      </c>
      <c r="R58" s="106">
        <v>240.108</v>
      </c>
      <c r="S58" s="106">
        <v>249.702</v>
      </c>
      <c r="T58" s="106">
        <v>258.63400000000001</v>
      </c>
      <c r="U58" s="106">
        <v>82.042000000000002</v>
      </c>
      <c r="V58" s="106">
        <v>81.691999999999993</v>
      </c>
      <c r="W58" s="106">
        <v>82.201999999999998</v>
      </c>
      <c r="X58" s="106">
        <v>82.994</v>
      </c>
      <c r="Y58" s="106">
        <v>83.867000000000004</v>
      </c>
      <c r="Z58" s="106">
        <v>84.744</v>
      </c>
      <c r="AA58" s="106">
        <v>111.408</v>
      </c>
      <c r="AB58" s="106">
        <v>91.352000000000004</v>
      </c>
      <c r="AC58" s="106">
        <v>70.884</v>
      </c>
      <c r="AD58" s="106">
        <v>67.632999999999996</v>
      </c>
      <c r="AE58" s="106">
        <v>64.239999999999995</v>
      </c>
      <c r="AF58" s="106">
        <v>61.048000000000002</v>
      </c>
      <c r="AG58" s="106">
        <v>57.860999999999997</v>
      </c>
      <c r="AH58" s="106">
        <v>54.911999999999999</v>
      </c>
      <c r="AI58" s="106">
        <v>49.912999999999997</v>
      </c>
      <c r="AJ58" s="106">
        <v>44.043999999999997</v>
      </c>
      <c r="AK58" s="106">
        <v>63.938000000000002</v>
      </c>
      <c r="AL58" s="106">
        <v>63.234000000000002</v>
      </c>
      <c r="AM58" s="106">
        <v>62.478999999999999</v>
      </c>
      <c r="AN58" s="106">
        <v>61.744999999999997</v>
      </c>
      <c r="AO58" s="106">
        <v>76.647999999999996</v>
      </c>
      <c r="AP58" s="106">
        <v>77.713999999999999</v>
      </c>
      <c r="AQ58" s="106">
        <v>78.936000000000007</v>
      </c>
      <c r="AR58" s="106">
        <v>88.567999999999998</v>
      </c>
      <c r="AS58" s="106">
        <v>98.164000000000001</v>
      </c>
      <c r="AT58" s="106">
        <v>90.903999999999996</v>
      </c>
      <c r="AU58" s="106">
        <v>95.460999999999999</v>
      </c>
      <c r="AV58" s="106">
        <v>99.736999999999995</v>
      </c>
      <c r="AW58" s="106">
        <v>104.083</v>
      </c>
      <c r="AX58" s="81"/>
      <c r="AY58" s="81"/>
      <c r="AZ58" s="81"/>
      <c r="BA58" s="81"/>
      <c r="BB58" s="81"/>
      <c r="BC58" s="81"/>
      <c r="BD58" s="81"/>
      <c r="BE58" s="81"/>
    </row>
    <row r="59" spans="1:57" x14ac:dyDescent="0.35">
      <c r="A59" s="104" t="s">
        <v>55</v>
      </c>
      <c r="B59" s="110">
        <v>1</v>
      </c>
      <c r="C59" s="110">
        <v>1</v>
      </c>
      <c r="D59" s="110">
        <v>10</v>
      </c>
      <c r="E59" s="110">
        <v>10</v>
      </c>
      <c r="G59" s="106">
        <v>70.239000000000004</v>
      </c>
      <c r="H59" s="106">
        <v>77.585999999999999</v>
      </c>
      <c r="I59" s="106">
        <v>84.923000000000002</v>
      </c>
      <c r="J59" s="106">
        <v>92.108000000000004</v>
      </c>
      <c r="K59" s="106">
        <v>99.385999999999996</v>
      </c>
      <c r="L59" s="106">
        <v>106.339</v>
      </c>
      <c r="M59" s="106">
        <v>112.986</v>
      </c>
      <c r="N59" s="106">
        <v>119.833</v>
      </c>
      <c r="O59" s="106">
        <v>125.959</v>
      </c>
      <c r="P59" s="106">
        <v>131.76900000000001</v>
      </c>
      <c r="Q59" s="106">
        <v>138.20099999999999</v>
      </c>
      <c r="R59" s="106">
        <v>145.602</v>
      </c>
      <c r="S59" s="106">
        <v>153.506</v>
      </c>
      <c r="T59" s="106">
        <v>161.029</v>
      </c>
      <c r="U59" s="106">
        <v>168.298</v>
      </c>
      <c r="V59" s="106">
        <v>153.12299999999999</v>
      </c>
      <c r="W59" s="106">
        <v>139.529</v>
      </c>
      <c r="X59" s="106">
        <v>131.21600000000001</v>
      </c>
      <c r="Y59" s="106">
        <v>122.837</v>
      </c>
      <c r="Z59" s="106">
        <v>104.024</v>
      </c>
      <c r="AA59" s="106">
        <v>97.569000000000003</v>
      </c>
      <c r="AB59" s="106">
        <v>96.72</v>
      </c>
      <c r="AC59" s="106">
        <v>96.093000000000004</v>
      </c>
      <c r="AD59" s="106">
        <v>107.529</v>
      </c>
      <c r="AE59" s="106">
        <v>94.617999999999995</v>
      </c>
      <c r="AF59" s="106">
        <v>60.680999999999997</v>
      </c>
      <c r="AG59" s="106">
        <v>66.456999999999994</v>
      </c>
      <c r="AH59" s="106">
        <v>73.028999999999996</v>
      </c>
      <c r="AI59" s="106">
        <v>79.619</v>
      </c>
      <c r="AJ59" s="106">
        <v>57.176000000000002</v>
      </c>
      <c r="AK59" s="106">
        <v>50.908999999999999</v>
      </c>
      <c r="AL59" s="106">
        <v>87.78</v>
      </c>
      <c r="AM59" s="106">
        <v>124.911</v>
      </c>
      <c r="AN59" s="106">
        <v>162.411</v>
      </c>
      <c r="AO59" s="106">
        <v>200.56800000000001</v>
      </c>
      <c r="AP59" s="106">
        <v>220.34800000000001</v>
      </c>
      <c r="AQ59" s="106">
        <v>240.88900000000001</v>
      </c>
      <c r="AR59" s="106">
        <v>262.32299999999998</v>
      </c>
      <c r="AS59" s="106">
        <v>283.49700000000001</v>
      </c>
      <c r="AT59" s="106">
        <v>263.74900000000002</v>
      </c>
      <c r="AU59" s="106">
        <v>266.98700000000002</v>
      </c>
      <c r="AV59" s="106">
        <v>269.23899999999998</v>
      </c>
      <c r="AW59" s="106">
        <v>274.92200000000003</v>
      </c>
      <c r="AX59" s="81"/>
      <c r="AY59" s="81"/>
      <c r="AZ59" s="81"/>
      <c r="BA59" s="81"/>
      <c r="BB59" s="81"/>
      <c r="BC59" s="81"/>
      <c r="BD59" s="81"/>
      <c r="BE59" s="81"/>
    </row>
  </sheetData>
  <pageMargins left="0.7" right="0.7" top="0.75" bottom="0.75" header="0.3" footer="0.3"/>
  <pageSetup paperSize="9"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9F607303-119D-4F88-9497-DCA08C4661FD}">
            <xm:f>POM_copy!G6</xm:f>
            <x14:dxf>
              <font>
                <color rgb="FFFF0000"/>
              </font>
            </x14:dxf>
          </x14:cfRule>
          <xm:sqref>G6:BE59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AL52"/>
  <sheetViews>
    <sheetView topLeftCell="L4" workbookViewId="0">
      <selection activeCell="C40" sqref="C40"/>
    </sheetView>
  </sheetViews>
  <sheetFormatPr defaultColWidth="8.81640625" defaultRowHeight="14.5" x14ac:dyDescent="0.35"/>
  <cols>
    <col min="1" max="1" width="10.1796875" style="18" customWidth="1"/>
    <col min="2" max="2" width="54.81640625" style="18" customWidth="1"/>
    <col min="3" max="3" width="9.81640625" style="18" customWidth="1"/>
    <col min="4" max="8" width="9.453125" style="18" customWidth="1"/>
    <col min="9" max="13" width="8.81640625" style="18" customWidth="1"/>
    <col min="14" max="16384" width="8.81640625" style="18"/>
  </cols>
  <sheetData>
    <row r="1" spans="1:38" ht="24" thickBot="1" x14ac:dyDescent="0.6">
      <c r="A1" s="101" t="s">
        <v>239</v>
      </c>
      <c r="B1" s="15"/>
    </row>
    <row r="2" spans="1:38" ht="23.5" x14ac:dyDescent="0.55000000000000004">
      <c r="A2" s="103" t="s">
        <v>240</v>
      </c>
      <c r="B2" s="98"/>
    </row>
    <row r="3" spans="1:38" x14ac:dyDescent="0.35">
      <c r="A3" s="21"/>
      <c r="B3" s="21"/>
      <c r="C3" s="21"/>
      <c r="E3" s="21"/>
      <c r="F3" s="21"/>
      <c r="G3" s="21"/>
      <c r="H3" s="21"/>
    </row>
    <row r="4" spans="1:38" x14ac:dyDescent="0.35">
      <c r="C4" s="80" t="s">
        <v>236</v>
      </c>
      <c r="D4" s="80"/>
      <c r="E4" s="80"/>
      <c r="F4" s="80"/>
      <c r="G4" s="80"/>
      <c r="H4" s="80"/>
      <c r="I4" s="80"/>
      <c r="J4" s="80"/>
      <c r="K4" s="80"/>
      <c r="L4" s="80"/>
      <c r="M4" s="80"/>
      <c r="N4" s="76"/>
      <c r="O4" s="80"/>
      <c r="P4" s="80"/>
      <c r="Q4" s="80"/>
      <c r="R4" s="80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</row>
    <row r="6" spans="1:38" ht="15.5" x14ac:dyDescent="0.35">
      <c r="A6" s="46" t="s">
        <v>69</v>
      </c>
      <c r="B6" s="83" t="s">
        <v>237</v>
      </c>
      <c r="C6" s="21">
        <v>1995</v>
      </c>
      <c r="D6" s="21">
        <v>1996</v>
      </c>
      <c r="E6" s="21">
        <v>1997</v>
      </c>
      <c r="F6" s="21">
        <v>1998</v>
      </c>
      <c r="G6" s="21">
        <v>1999</v>
      </c>
      <c r="H6" s="21">
        <v>2000</v>
      </c>
      <c r="I6" s="21">
        <v>2001</v>
      </c>
      <c r="J6" s="21">
        <v>2002</v>
      </c>
      <c r="K6" s="21">
        <v>2003</v>
      </c>
      <c r="L6" s="21">
        <v>2004</v>
      </c>
      <c r="M6" s="21">
        <v>2005</v>
      </c>
      <c r="N6" s="21">
        <v>2006</v>
      </c>
      <c r="O6" s="21">
        <v>2007</v>
      </c>
      <c r="P6" s="21">
        <v>2008</v>
      </c>
      <c r="Q6" s="21">
        <v>2009</v>
      </c>
      <c r="R6" s="21">
        <v>2010</v>
      </c>
      <c r="S6" s="21">
        <v>2011</v>
      </c>
      <c r="T6" s="21">
        <v>2012</v>
      </c>
      <c r="U6" s="21">
        <v>2013</v>
      </c>
      <c r="V6" s="21">
        <v>2014</v>
      </c>
      <c r="W6" s="21">
        <v>2015</v>
      </c>
      <c r="X6" s="21">
        <v>2016</v>
      </c>
      <c r="Y6" s="21">
        <v>2017</v>
      </c>
      <c r="Z6" s="21">
        <v>2018</v>
      </c>
      <c r="AA6" s="21">
        <v>2019</v>
      </c>
      <c r="AB6" s="21">
        <v>2020</v>
      </c>
      <c r="AC6" s="21">
        <v>2021</v>
      </c>
      <c r="AD6" s="21">
        <v>2022</v>
      </c>
      <c r="AE6" s="21">
        <v>2023</v>
      </c>
      <c r="AF6" s="21">
        <v>2024</v>
      </c>
      <c r="AG6" s="21">
        <v>2025</v>
      </c>
      <c r="AH6" s="21">
        <v>2026</v>
      </c>
      <c r="AI6" s="21">
        <v>2027</v>
      </c>
      <c r="AJ6" s="21">
        <v>2028</v>
      </c>
      <c r="AK6" s="21">
        <v>2029</v>
      </c>
      <c r="AL6" s="21">
        <v>2030</v>
      </c>
    </row>
    <row r="7" spans="1:38" x14ac:dyDescent="0.35">
      <c r="A7" s="47">
        <v>1</v>
      </c>
      <c r="B7" s="18" t="s">
        <v>75</v>
      </c>
      <c r="C7" s="138">
        <v>1.29</v>
      </c>
      <c r="D7" s="138">
        <v>1.2549999999999999</v>
      </c>
      <c r="E7" s="138">
        <v>1.552</v>
      </c>
      <c r="F7" s="138">
        <v>1.948</v>
      </c>
      <c r="G7" s="138">
        <v>2.4950000000000001</v>
      </c>
      <c r="H7" s="138">
        <v>2.8849999999999998</v>
      </c>
      <c r="I7" s="138">
        <v>3.2930000000000001</v>
      </c>
      <c r="J7" s="138">
        <v>3.09</v>
      </c>
      <c r="K7" s="138">
        <v>3.383</v>
      </c>
      <c r="L7" s="138">
        <v>3.4329999999999998</v>
      </c>
      <c r="M7" s="138">
        <v>3.7989999999999999</v>
      </c>
      <c r="N7" s="138">
        <v>4.5650000000000004</v>
      </c>
      <c r="O7" s="138">
        <v>4.718</v>
      </c>
      <c r="P7" s="138">
        <v>4.266</v>
      </c>
      <c r="Q7" s="138">
        <v>3.6970000000000001</v>
      </c>
      <c r="R7" s="138">
        <v>3.706</v>
      </c>
      <c r="S7" s="138">
        <v>3.6589999999999998</v>
      </c>
      <c r="T7" s="138">
        <v>3.4140000000000001</v>
      </c>
      <c r="U7" s="138">
        <v>3.0550000000000002</v>
      </c>
      <c r="V7" s="138">
        <v>2.7229999999999999</v>
      </c>
      <c r="W7" s="138">
        <v>2.8090000000000002</v>
      </c>
      <c r="X7" s="138">
        <v>3.0529999999999999</v>
      </c>
      <c r="Y7" s="138">
        <v>3.5819999999999999</v>
      </c>
      <c r="Z7" s="138">
        <v>3.7469999999999999</v>
      </c>
      <c r="AA7" s="138">
        <v>3.8860000000000001</v>
      </c>
      <c r="AB7" s="138">
        <v>3.31</v>
      </c>
      <c r="AC7" s="138">
        <v>3.31</v>
      </c>
      <c r="AD7" s="138">
        <v>3.31</v>
      </c>
      <c r="AE7" s="138">
        <v>3.31</v>
      </c>
      <c r="AF7" s="138">
        <v>3.31</v>
      </c>
      <c r="AG7" s="138">
        <v>3.31</v>
      </c>
      <c r="AH7" s="138">
        <v>3.31</v>
      </c>
      <c r="AI7" s="138">
        <v>3.31</v>
      </c>
      <c r="AJ7" s="138">
        <v>3.31</v>
      </c>
      <c r="AK7" s="138">
        <v>3.31</v>
      </c>
      <c r="AL7" s="138">
        <v>3.31</v>
      </c>
    </row>
    <row r="8" spans="1:38" x14ac:dyDescent="0.35">
      <c r="A8" s="47">
        <v>2</v>
      </c>
      <c r="B8" s="18" t="s">
        <v>80</v>
      </c>
      <c r="C8" s="138">
        <v>0.66600000000000004</v>
      </c>
      <c r="D8" s="138">
        <v>0.66800000000000004</v>
      </c>
      <c r="E8" s="138">
        <v>1.4590000000000001</v>
      </c>
      <c r="F8" s="138">
        <v>0.67800000000000005</v>
      </c>
      <c r="G8" s="138">
        <v>1.605</v>
      </c>
      <c r="H8" s="138">
        <v>1.71</v>
      </c>
      <c r="I8" s="138">
        <v>1.7170000000000001</v>
      </c>
      <c r="J8" s="138">
        <v>1.8440000000000001</v>
      </c>
      <c r="K8" s="138">
        <v>1.982</v>
      </c>
      <c r="L8" s="138">
        <v>0.79200000000000004</v>
      </c>
      <c r="M8" s="138">
        <v>2.677</v>
      </c>
      <c r="N8" s="138">
        <v>2.395</v>
      </c>
      <c r="O8" s="138">
        <v>1.6679999999999999</v>
      </c>
      <c r="P8" s="138">
        <v>0.96199999999999997</v>
      </c>
      <c r="Q8" s="138">
        <v>0.84899999999999998</v>
      </c>
      <c r="R8" s="138">
        <v>0.79400000000000004</v>
      </c>
      <c r="S8" s="138">
        <v>1.0109999999999999</v>
      </c>
      <c r="T8" s="138">
        <v>0.97699999999999998</v>
      </c>
      <c r="U8" s="138">
        <v>0.94299999999999995</v>
      </c>
      <c r="V8" s="138">
        <v>0.90900000000000003</v>
      </c>
      <c r="W8" s="138">
        <v>0.878</v>
      </c>
      <c r="X8" s="138">
        <v>0.86099999999999999</v>
      </c>
      <c r="Y8" s="138">
        <v>0.95899999999999996</v>
      </c>
      <c r="Z8" s="138">
        <v>1.111</v>
      </c>
      <c r="AA8" s="138">
        <v>1.1739999999999999</v>
      </c>
      <c r="AB8" s="138">
        <v>1.3759999999999999</v>
      </c>
      <c r="AC8" s="138">
        <v>1.401</v>
      </c>
      <c r="AD8" s="138">
        <v>1.4339999999999999</v>
      </c>
      <c r="AE8" s="138">
        <v>1.4359999999999999</v>
      </c>
      <c r="AF8" s="138">
        <v>1.4390000000000001</v>
      </c>
      <c r="AG8" s="138">
        <v>1.4390000000000001</v>
      </c>
      <c r="AH8" s="138">
        <v>1.4390000000000001</v>
      </c>
      <c r="AI8" s="138">
        <v>1.4390000000000001</v>
      </c>
      <c r="AJ8" s="138">
        <v>1.44</v>
      </c>
      <c r="AK8" s="138">
        <v>1.44</v>
      </c>
      <c r="AL8" s="138">
        <v>1.44</v>
      </c>
    </row>
    <row r="9" spans="1:38" x14ac:dyDescent="0.35">
      <c r="A9" s="47">
        <v>3</v>
      </c>
      <c r="B9" s="18" t="s">
        <v>76</v>
      </c>
      <c r="C9" s="138">
        <v>6.2E-2</v>
      </c>
      <c r="D9" s="138">
        <v>6.8000000000000005E-2</v>
      </c>
      <c r="E9" s="138">
        <v>8.8999999999999996E-2</v>
      </c>
      <c r="F9" s="138">
        <v>0.10100000000000001</v>
      </c>
      <c r="G9" s="138">
        <v>0.104</v>
      </c>
      <c r="H9" s="138">
        <v>0.10299999999999999</v>
      </c>
      <c r="I9" s="138">
        <v>0.11899999999999999</v>
      </c>
      <c r="J9" s="138">
        <v>0.123</v>
      </c>
      <c r="K9" s="138">
        <v>0.11700000000000001</v>
      </c>
      <c r="L9" s="138">
        <v>0.13400000000000001</v>
      </c>
      <c r="M9" s="138">
        <v>0.14899999999999999</v>
      </c>
      <c r="N9" s="138">
        <v>0.17499999999999999</v>
      </c>
      <c r="O9" s="138">
        <v>0.20699999999999999</v>
      </c>
      <c r="P9" s="138">
        <v>0.21</v>
      </c>
      <c r="Q9" s="138">
        <v>0.20699999999999999</v>
      </c>
      <c r="R9" s="138">
        <v>0.20699999999999999</v>
      </c>
      <c r="S9" s="138">
        <v>0.19700000000000001</v>
      </c>
      <c r="T9" s="138">
        <v>0.16300000000000001</v>
      </c>
      <c r="U9" s="138">
        <v>0.14599999999999999</v>
      </c>
      <c r="V9" s="138">
        <v>0.127</v>
      </c>
      <c r="W9" s="138">
        <v>0.11899999999999999</v>
      </c>
      <c r="X9" s="138">
        <v>9.5000000000000001E-2</v>
      </c>
      <c r="Y9" s="138">
        <v>0.10299999999999999</v>
      </c>
      <c r="Z9" s="138">
        <v>0.128</v>
      </c>
      <c r="AA9" s="138">
        <v>0.13200000000000001</v>
      </c>
      <c r="AB9" s="138">
        <v>0.13800000000000001</v>
      </c>
      <c r="AC9" s="138">
        <v>0.13400000000000001</v>
      </c>
      <c r="AD9" s="138">
        <v>0.13400000000000001</v>
      </c>
      <c r="AE9" s="138">
        <v>0.13400000000000001</v>
      </c>
      <c r="AF9" s="138">
        <v>0.13400000000000001</v>
      </c>
      <c r="AG9" s="138">
        <v>0.13400000000000001</v>
      </c>
      <c r="AH9" s="138">
        <v>0.13400000000000001</v>
      </c>
      <c r="AI9" s="138">
        <v>0.13400000000000001</v>
      </c>
      <c r="AJ9" s="138">
        <v>0.13400000000000001</v>
      </c>
      <c r="AK9" s="138">
        <v>0.13400000000000001</v>
      </c>
      <c r="AL9" s="138">
        <v>0.13400000000000001</v>
      </c>
    </row>
    <row r="10" spans="1:38" x14ac:dyDescent="0.35">
      <c r="A10" s="47">
        <v>4</v>
      </c>
      <c r="B10" s="18" t="s">
        <v>232</v>
      </c>
      <c r="C10" s="138">
        <v>5.0549999999999997</v>
      </c>
      <c r="D10" s="138">
        <v>4.8049999999999997</v>
      </c>
      <c r="E10" s="138">
        <v>4.7110000000000003</v>
      </c>
      <c r="F10" s="138">
        <v>5.1269999999999998</v>
      </c>
      <c r="G10" s="138">
        <v>7.4710000000000001</v>
      </c>
      <c r="H10" s="138">
        <v>8.1539999999999999</v>
      </c>
      <c r="I10" s="138">
        <v>8.44</v>
      </c>
      <c r="J10" s="138">
        <v>8.8729999999999993</v>
      </c>
      <c r="K10" s="138">
        <v>9.2219999999999995</v>
      </c>
      <c r="L10" s="138">
        <v>9.3019999999999996</v>
      </c>
      <c r="M10" s="138">
        <v>9.6389999999999993</v>
      </c>
      <c r="N10" s="138">
        <v>9.7710000000000008</v>
      </c>
      <c r="O10" s="138">
        <v>8.7349999999999994</v>
      </c>
      <c r="P10" s="138">
        <v>8.3729999999999993</v>
      </c>
      <c r="Q10" s="138">
        <v>8.5250000000000004</v>
      </c>
      <c r="R10" s="138">
        <v>8.4410000000000007</v>
      </c>
      <c r="S10" s="138">
        <v>9.1120000000000001</v>
      </c>
      <c r="T10" s="138">
        <v>9.3339999999999996</v>
      </c>
      <c r="U10" s="138">
        <v>9.7579999999999991</v>
      </c>
      <c r="V10" s="138">
        <v>10.236000000000001</v>
      </c>
      <c r="W10" s="138">
        <v>9.6219999999999999</v>
      </c>
      <c r="X10" s="138">
        <v>10.08</v>
      </c>
      <c r="Y10" s="138">
        <v>10.176</v>
      </c>
      <c r="Z10" s="138">
        <v>10.693</v>
      </c>
      <c r="AA10" s="138">
        <v>10.815</v>
      </c>
      <c r="AB10" s="138">
        <v>9.6980000000000004</v>
      </c>
      <c r="AC10" s="138">
        <v>8.9909999999999997</v>
      </c>
      <c r="AD10" s="138">
        <v>8.7349999999999994</v>
      </c>
      <c r="AE10" s="138">
        <v>8.7379999999999995</v>
      </c>
      <c r="AF10" s="138">
        <v>8.74</v>
      </c>
      <c r="AG10" s="138">
        <v>8.74</v>
      </c>
      <c r="AH10" s="138">
        <v>8.74</v>
      </c>
      <c r="AI10" s="138">
        <v>8.74</v>
      </c>
      <c r="AJ10" s="138">
        <v>8.74</v>
      </c>
      <c r="AK10" s="138">
        <v>8.74</v>
      </c>
      <c r="AL10" s="138">
        <v>8.74</v>
      </c>
    </row>
    <row r="11" spans="1:38" x14ac:dyDescent="0.35">
      <c r="A11" s="47">
        <v>5</v>
      </c>
      <c r="B11" s="18" t="s">
        <v>78</v>
      </c>
      <c r="C11" s="138">
        <v>4.5970000000000004</v>
      </c>
      <c r="D11" s="138">
        <v>4.3220000000000001</v>
      </c>
      <c r="E11" s="138">
        <v>4.6360000000000001</v>
      </c>
      <c r="F11" s="138">
        <v>5.6689999999999996</v>
      </c>
      <c r="G11" s="138">
        <v>5.6950000000000003</v>
      </c>
      <c r="H11" s="138">
        <v>5.85</v>
      </c>
      <c r="I11" s="138">
        <v>6.1550000000000002</v>
      </c>
      <c r="J11" s="138">
        <v>6.0039999999999996</v>
      </c>
      <c r="K11" s="138">
        <v>6.3419999999999996</v>
      </c>
      <c r="L11" s="138">
        <v>6.9649999999999999</v>
      </c>
      <c r="M11" s="138">
        <v>7.407</v>
      </c>
      <c r="N11" s="138">
        <v>8.1920000000000002</v>
      </c>
      <c r="O11" s="138">
        <v>8.5329999999999995</v>
      </c>
      <c r="P11" s="138">
        <v>7.9160000000000004</v>
      </c>
      <c r="Q11" s="138">
        <v>6.8289999999999997</v>
      </c>
      <c r="R11" s="138">
        <v>7.2549999999999999</v>
      </c>
      <c r="S11" s="138">
        <v>7.3049999999999997</v>
      </c>
      <c r="T11" s="138">
        <v>7.1890000000000001</v>
      </c>
      <c r="U11" s="138">
        <v>6.9820000000000002</v>
      </c>
      <c r="V11" s="138">
        <v>7.1020000000000003</v>
      </c>
      <c r="W11" s="138">
        <v>8.1319999999999997</v>
      </c>
      <c r="X11" s="138">
        <v>7.43</v>
      </c>
      <c r="Y11" s="138">
        <v>8.3710000000000004</v>
      </c>
      <c r="Z11" s="138">
        <v>8.42</v>
      </c>
      <c r="AA11" s="138">
        <v>8.5009999999999994</v>
      </c>
      <c r="AB11" s="138">
        <v>8.5210000000000008</v>
      </c>
      <c r="AC11" s="138">
        <v>8.9250000000000007</v>
      </c>
      <c r="AD11" s="138">
        <v>8.9459999999999997</v>
      </c>
      <c r="AE11" s="138">
        <v>8.9649999999999999</v>
      </c>
      <c r="AF11" s="138">
        <v>8.9849999999999994</v>
      </c>
      <c r="AG11" s="138">
        <v>8.9870000000000001</v>
      </c>
      <c r="AH11" s="138">
        <v>8.9890000000000008</v>
      </c>
      <c r="AI11" s="138">
        <v>8.9909999999999997</v>
      </c>
      <c r="AJ11" s="138">
        <v>8.9930000000000003</v>
      </c>
      <c r="AK11" s="138">
        <v>8.9949999999999992</v>
      </c>
      <c r="AL11" s="138">
        <v>8.9969999999999999</v>
      </c>
    </row>
    <row r="12" spans="1:38" x14ac:dyDescent="0.35">
      <c r="A12" s="47">
        <v>6</v>
      </c>
      <c r="B12" s="18" t="s">
        <v>79</v>
      </c>
      <c r="C12" s="138">
        <v>0.88500000000000001</v>
      </c>
      <c r="D12" s="138">
        <v>0.878</v>
      </c>
      <c r="E12" s="138">
        <v>1.123</v>
      </c>
      <c r="F12" s="138">
        <v>1.161</v>
      </c>
      <c r="G12" s="138">
        <v>1.7250000000000001</v>
      </c>
      <c r="H12" s="138">
        <v>2.0310000000000001</v>
      </c>
      <c r="I12" s="138">
        <v>1.923</v>
      </c>
      <c r="J12" s="138">
        <v>1.853</v>
      </c>
      <c r="K12" s="138">
        <v>1.581</v>
      </c>
      <c r="L12" s="138">
        <v>3.0670000000000002</v>
      </c>
      <c r="M12" s="138">
        <v>2.9830000000000001</v>
      </c>
      <c r="N12" s="138">
        <v>2.581</v>
      </c>
      <c r="O12" s="138">
        <v>1.9890000000000001</v>
      </c>
      <c r="P12" s="138">
        <v>1.694</v>
      </c>
      <c r="Q12" s="138">
        <v>1.4510000000000001</v>
      </c>
      <c r="R12" s="138">
        <v>1.5349999999999999</v>
      </c>
      <c r="S12" s="138">
        <v>1.865</v>
      </c>
      <c r="T12" s="138">
        <v>1.8759999999999999</v>
      </c>
      <c r="U12" s="138">
        <v>2.153</v>
      </c>
      <c r="V12" s="138">
        <v>2.1509999999999998</v>
      </c>
      <c r="W12" s="138">
        <v>1.794</v>
      </c>
      <c r="X12" s="138">
        <v>2.09</v>
      </c>
      <c r="Y12" s="138">
        <v>2.089</v>
      </c>
      <c r="Z12" s="138">
        <v>2.0379999999999998</v>
      </c>
      <c r="AA12" s="138">
        <v>1.9810000000000001</v>
      </c>
      <c r="AB12" s="138">
        <v>2.012</v>
      </c>
      <c r="AC12" s="138">
        <v>2.0009999999999999</v>
      </c>
      <c r="AD12" s="138">
        <v>2.004</v>
      </c>
      <c r="AE12" s="138">
        <v>2.0059999999999998</v>
      </c>
      <c r="AF12" s="138">
        <v>2.0089999999999999</v>
      </c>
      <c r="AG12" s="138">
        <v>2.0089999999999999</v>
      </c>
      <c r="AH12" s="138">
        <v>2.0089999999999999</v>
      </c>
      <c r="AI12" s="138">
        <v>2.0099999999999998</v>
      </c>
      <c r="AJ12" s="138">
        <v>2.0099999999999998</v>
      </c>
      <c r="AK12" s="138">
        <v>2.0099999999999998</v>
      </c>
      <c r="AL12" s="138">
        <v>2.0099999999999998</v>
      </c>
    </row>
    <row r="13" spans="1:38" x14ac:dyDescent="0.35">
      <c r="A13" s="47"/>
    </row>
    <row r="15" spans="1:38" ht="15.5" x14ac:dyDescent="0.35">
      <c r="A15" s="46" t="s">
        <v>70</v>
      </c>
      <c r="B15" s="83" t="s">
        <v>237</v>
      </c>
    </row>
    <row r="16" spans="1:38" x14ac:dyDescent="0.35">
      <c r="A16" s="47">
        <v>1</v>
      </c>
      <c r="B16" s="18" t="s">
        <v>221</v>
      </c>
      <c r="C16" s="138">
        <v>6.2229999999999999</v>
      </c>
      <c r="D16" s="138">
        <v>5.85</v>
      </c>
      <c r="E16" s="138">
        <v>6.01</v>
      </c>
      <c r="F16" s="138">
        <v>6.8170000000000002</v>
      </c>
      <c r="G16" s="138">
        <v>9.4260000000000002</v>
      </c>
      <c r="H16" s="138">
        <v>10.406000000000001</v>
      </c>
      <c r="I16" s="138">
        <v>11.083</v>
      </c>
      <c r="J16" s="138">
        <v>11.381</v>
      </c>
      <c r="K16" s="138">
        <v>11.814</v>
      </c>
      <c r="L16" s="138">
        <v>11.795999999999999</v>
      </c>
      <c r="M16" s="138">
        <v>12.515000000000001</v>
      </c>
      <c r="N16" s="138">
        <v>13.667999999999999</v>
      </c>
      <c r="O16" s="138">
        <v>13.257</v>
      </c>
      <c r="P16" s="138">
        <v>12.782999999999999</v>
      </c>
      <c r="Q16" s="138">
        <v>12.426</v>
      </c>
      <c r="R16" s="138">
        <v>12.246</v>
      </c>
      <c r="S16" s="138">
        <v>12.603999999999999</v>
      </c>
      <c r="T16" s="138">
        <v>12.574</v>
      </c>
      <c r="U16" s="138">
        <v>12.628</v>
      </c>
      <c r="V16" s="138">
        <v>12.721</v>
      </c>
      <c r="W16" s="138">
        <v>12.148</v>
      </c>
      <c r="X16" s="138">
        <v>12.803000000000001</v>
      </c>
      <c r="Y16" s="138">
        <v>13.347</v>
      </c>
      <c r="Z16" s="138">
        <v>14.004</v>
      </c>
      <c r="AA16" s="138">
        <v>14.065</v>
      </c>
      <c r="AB16" s="138">
        <v>12.262</v>
      </c>
      <c r="AC16" s="138">
        <v>12.004</v>
      </c>
      <c r="AD16" s="138">
        <v>11.746</v>
      </c>
      <c r="AE16" s="138">
        <v>11.746</v>
      </c>
      <c r="AF16" s="138">
        <v>11.746</v>
      </c>
      <c r="AG16" s="138">
        <v>11.746</v>
      </c>
      <c r="AH16" s="138">
        <v>11.746</v>
      </c>
      <c r="AI16" s="138">
        <v>11.746</v>
      </c>
      <c r="AJ16" s="138">
        <v>11.746</v>
      </c>
      <c r="AK16" s="138">
        <v>11.746</v>
      </c>
      <c r="AL16" s="138">
        <v>11.746</v>
      </c>
    </row>
    <row r="17" spans="1:38" x14ac:dyDescent="0.35">
      <c r="A17" s="47">
        <v>2</v>
      </c>
      <c r="B17" s="18" t="s">
        <v>222</v>
      </c>
      <c r="C17" s="137">
        <v>1.498</v>
      </c>
      <c r="D17" s="137">
        <v>1.282</v>
      </c>
      <c r="E17" s="137">
        <v>1.33</v>
      </c>
      <c r="F17" s="137">
        <v>2.0019999999999998</v>
      </c>
      <c r="G17" s="137">
        <v>1.7929999999999999</v>
      </c>
      <c r="H17" s="137">
        <v>1.6870000000000001</v>
      </c>
      <c r="I17" s="137">
        <v>1.831</v>
      </c>
      <c r="J17" s="137">
        <v>1.81</v>
      </c>
      <c r="K17" s="137">
        <v>2.266</v>
      </c>
      <c r="L17" s="137">
        <v>2.649</v>
      </c>
      <c r="M17" s="137">
        <v>2.7509999999999999</v>
      </c>
      <c r="N17" s="137">
        <v>3.1480000000000001</v>
      </c>
      <c r="O17" s="137">
        <v>2.9620000000000002</v>
      </c>
      <c r="P17" s="137">
        <v>2.6230000000000002</v>
      </c>
      <c r="Q17" s="137">
        <v>2.3620000000000001</v>
      </c>
      <c r="R17" s="137">
        <v>2.4529999999999998</v>
      </c>
      <c r="S17" s="137">
        <v>2.214</v>
      </c>
      <c r="T17" s="137">
        <v>2.077</v>
      </c>
      <c r="U17" s="137">
        <v>2.1120000000000001</v>
      </c>
      <c r="V17" s="137">
        <v>2.1589999999999998</v>
      </c>
      <c r="W17" s="137">
        <v>2.6019999999999999</v>
      </c>
      <c r="X17" s="137">
        <v>2.1320000000000001</v>
      </c>
      <c r="Y17" s="137">
        <v>2.347</v>
      </c>
      <c r="Z17" s="137">
        <v>2.2559999999999998</v>
      </c>
      <c r="AA17" s="137">
        <v>2.125</v>
      </c>
      <c r="AB17" s="137">
        <v>2.3239999999999998</v>
      </c>
      <c r="AC17" s="137">
        <v>2.6230000000000002</v>
      </c>
      <c r="AD17" s="137">
        <v>2.6360000000000001</v>
      </c>
      <c r="AE17" s="137">
        <v>2.6480000000000001</v>
      </c>
      <c r="AF17" s="137">
        <v>2.661</v>
      </c>
      <c r="AG17" s="137">
        <v>2.661</v>
      </c>
      <c r="AH17" s="137">
        <v>2.6619999999999999</v>
      </c>
      <c r="AI17" s="137">
        <v>2.6629999999999998</v>
      </c>
      <c r="AJ17" s="137">
        <v>2.6640000000000001</v>
      </c>
      <c r="AK17" s="137">
        <v>2.665</v>
      </c>
      <c r="AL17" s="137">
        <v>2.6659999999999999</v>
      </c>
    </row>
    <row r="18" spans="1:38" x14ac:dyDescent="0.35">
      <c r="A18" s="47">
        <v>3</v>
      </c>
      <c r="B18" s="18" t="s">
        <v>223</v>
      </c>
      <c r="C18" s="102">
        <v>1.0960000000000001</v>
      </c>
      <c r="D18" s="102">
        <v>1.113</v>
      </c>
      <c r="E18" s="102">
        <v>2.1749999999999998</v>
      </c>
      <c r="F18" s="102">
        <v>1.4079999999999999</v>
      </c>
      <c r="G18" s="102">
        <v>2.8650000000000002</v>
      </c>
      <c r="H18" s="102">
        <v>3.3260000000000001</v>
      </c>
      <c r="I18" s="102">
        <v>3.2690000000000001</v>
      </c>
      <c r="J18" s="102">
        <v>3.26</v>
      </c>
      <c r="K18" s="102">
        <v>3.1040000000000001</v>
      </c>
      <c r="L18" s="102">
        <v>3.391</v>
      </c>
      <c r="M18" s="102">
        <v>5.016</v>
      </c>
      <c r="N18" s="102">
        <v>4.3170000000000002</v>
      </c>
      <c r="O18" s="102">
        <v>2.948</v>
      </c>
      <c r="P18" s="102">
        <v>2.0659999999999998</v>
      </c>
      <c r="Q18" s="102">
        <v>1.819</v>
      </c>
      <c r="R18" s="102">
        <v>1.946</v>
      </c>
      <c r="S18" s="102">
        <v>2.383</v>
      </c>
      <c r="T18" s="102">
        <v>2.415</v>
      </c>
      <c r="U18" s="102">
        <v>2.7149999999999999</v>
      </c>
      <c r="V18" s="102">
        <v>2.7360000000000002</v>
      </c>
      <c r="W18" s="102">
        <v>2.3919999999999999</v>
      </c>
      <c r="X18" s="102">
        <v>2.66</v>
      </c>
      <c r="Y18" s="102">
        <v>2.7349999999999999</v>
      </c>
      <c r="Z18" s="102">
        <v>2.7669999999999999</v>
      </c>
      <c r="AA18" s="102">
        <v>2.8359999999999999</v>
      </c>
      <c r="AB18" s="102">
        <v>2.9870000000000001</v>
      </c>
      <c r="AC18" s="102">
        <v>3.012</v>
      </c>
      <c r="AD18" s="102">
        <v>3.0449999999999999</v>
      </c>
      <c r="AE18" s="102">
        <v>3.0470000000000002</v>
      </c>
      <c r="AF18" s="102">
        <v>3.05</v>
      </c>
      <c r="AG18" s="102">
        <v>3.05</v>
      </c>
      <c r="AH18" s="102">
        <v>3.05</v>
      </c>
      <c r="AI18" s="102">
        <v>3.05</v>
      </c>
      <c r="AJ18" s="102">
        <v>3.0510000000000002</v>
      </c>
      <c r="AK18" s="102">
        <v>3.0510000000000002</v>
      </c>
      <c r="AL18" s="102">
        <v>3.0510000000000002</v>
      </c>
    </row>
    <row r="19" spans="1:38" x14ac:dyDescent="0.35">
      <c r="A19" s="47" t="s">
        <v>120</v>
      </c>
      <c r="B19" s="18" t="s">
        <v>224</v>
      </c>
      <c r="C19" s="102">
        <v>2.2570000000000001</v>
      </c>
      <c r="D19" s="102">
        <v>2.2000000000000002</v>
      </c>
      <c r="E19" s="102">
        <v>2.129</v>
      </c>
      <c r="F19" s="102">
        <v>2.0489999999999999</v>
      </c>
      <c r="G19" s="102">
        <v>1.9570000000000001</v>
      </c>
      <c r="H19" s="102">
        <v>1.847</v>
      </c>
      <c r="I19" s="102">
        <v>1.796</v>
      </c>
      <c r="J19" s="102">
        <v>1.774</v>
      </c>
      <c r="K19" s="102">
        <v>1.744</v>
      </c>
      <c r="L19" s="102">
        <v>1.659</v>
      </c>
      <c r="M19" s="102">
        <v>1.911</v>
      </c>
      <c r="N19" s="102">
        <v>1.825</v>
      </c>
      <c r="O19" s="102">
        <v>1.853</v>
      </c>
      <c r="P19" s="102">
        <v>1.77</v>
      </c>
      <c r="Q19" s="102">
        <v>1.71</v>
      </c>
      <c r="R19" s="102">
        <v>1.649</v>
      </c>
      <c r="S19" s="102">
        <v>1.9239999999999999</v>
      </c>
      <c r="T19" s="102">
        <v>1.881</v>
      </c>
      <c r="U19" s="102">
        <v>1.7789999999999999</v>
      </c>
      <c r="V19" s="102">
        <v>1.6659999999999999</v>
      </c>
      <c r="W19" s="102">
        <v>1.6240000000000001</v>
      </c>
      <c r="X19" s="102">
        <v>1.613</v>
      </c>
      <c r="Y19" s="102">
        <v>1.7250000000000001</v>
      </c>
      <c r="Z19" s="102">
        <v>1.8380000000000001</v>
      </c>
      <c r="AA19" s="102">
        <v>1.821</v>
      </c>
      <c r="AB19" s="102">
        <v>1.9650000000000001</v>
      </c>
      <c r="AC19" s="102">
        <v>1.9730000000000001</v>
      </c>
      <c r="AD19" s="102">
        <v>1.9770000000000001</v>
      </c>
      <c r="AE19" s="102">
        <v>1.98</v>
      </c>
      <c r="AF19" s="102">
        <v>1.9830000000000001</v>
      </c>
      <c r="AG19" s="102">
        <v>1.984</v>
      </c>
      <c r="AH19" s="102">
        <v>1.9850000000000001</v>
      </c>
      <c r="AI19" s="102">
        <v>1.986</v>
      </c>
      <c r="AJ19" s="102">
        <v>1.986</v>
      </c>
      <c r="AK19" s="102">
        <v>1.9870000000000001</v>
      </c>
      <c r="AL19" s="102">
        <v>1.988</v>
      </c>
    </row>
    <row r="20" spans="1:38" x14ac:dyDescent="0.35">
      <c r="A20" s="47" t="s">
        <v>121</v>
      </c>
      <c r="B20" s="18" t="s">
        <v>122</v>
      </c>
      <c r="C20" s="102">
        <v>0</v>
      </c>
      <c r="D20" s="102">
        <v>0</v>
      </c>
      <c r="E20" s="102">
        <v>0</v>
      </c>
      <c r="F20" s="102">
        <v>0</v>
      </c>
      <c r="G20" s="102">
        <v>0</v>
      </c>
      <c r="H20" s="102">
        <v>0</v>
      </c>
      <c r="I20" s="102">
        <v>0</v>
      </c>
      <c r="J20" s="102">
        <v>0</v>
      </c>
      <c r="K20" s="102">
        <v>0</v>
      </c>
      <c r="L20" s="102">
        <v>0</v>
      </c>
      <c r="M20" s="102">
        <v>0</v>
      </c>
      <c r="N20" s="102">
        <v>0</v>
      </c>
      <c r="O20" s="102">
        <v>0</v>
      </c>
      <c r="P20" s="102">
        <v>0</v>
      </c>
      <c r="Q20" s="102">
        <v>1.2999999999999999E-2</v>
      </c>
      <c r="R20" s="102">
        <v>2E-3</v>
      </c>
      <c r="S20" s="102">
        <v>2E-3</v>
      </c>
      <c r="T20" s="102">
        <v>3.0000000000000001E-3</v>
      </c>
      <c r="U20" s="102">
        <v>1E-3</v>
      </c>
      <c r="V20" s="102">
        <v>0.01</v>
      </c>
      <c r="W20" s="102">
        <v>1.0999999999999999E-2</v>
      </c>
      <c r="X20" s="102">
        <v>4.9000000000000002E-2</v>
      </c>
      <c r="Y20" s="102">
        <v>0.14799999999999999</v>
      </c>
      <c r="Z20" s="102">
        <v>0.19900000000000001</v>
      </c>
      <c r="AA20" s="102">
        <v>0.35399999999999998</v>
      </c>
      <c r="AB20" s="102">
        <v>0.45100000000000001</v>
      </c>
      <c r="AC20" s="102">
        <v>0</v>
      </c>
      <c r="AD20" s="102">
        <v>0</v>
      </c>
      <c r="AE20" s="102">
        <v>0</v>
      </c>
      <c r="AF20" s="102">
        <v>0</v>
      </c>
      <c r="AG20" s="102">
        <v>0</v>
      </c>
      <c r="AH20" s="102">
        <v>0</v>
      </c>
      <c r="AI20" s="102">
        <v>0</v>
      </c>
      <c r="AJ20" s="102">
        <v>0</v>
      </c>
      <c r="AK20" s="102">
        <v>0</v>
      </c>
      <c r="AL20" s="102">
        <v>0</v>
      </c>
    </row>
    <row r="21" spans="1:38" x14ac:dyDescent="0.35">
      <c r="A21" s="47">
        <v>5</v>
      </c>
      <c r="B21" s="18" t="s">
        <v>225</v>
      </c>
      <c r="C21" s="102">
        <v>0.77400000000000002</v>
      </c>
      <c r="D21" s="102">
        <v>0.81200000000000006</v>
      </c>
      <c r="E21" s="102">
        <v>1.0629999999999999</v>
      </c>
      <c r="F21" s="102">
        <v>1.2789999999999999</v>
      </c>
      <c r="G21" s="102">
        <v>1.4359999999999999</v>
      </c>
      <c r="H21" s="102">
        <v>1.528</v>
      </c>
      <c r="I21" s="102">
        <v>1.7390000000000001</v>
      </c>
      <c r="J21" s="102">
        <v>1.593</v>
      </c>
      <c r="K21" s="102">
        <v>1.7929999999999999</v>
      </c>
      <c r="L21" s="102">
        <v>2.274</v>
      </c>
      <c r="M21" s="102">
        <v>2.3029999999999999</v>
      </c>
      <c r="N21" s="102">
        <v>2.3359999999999999</v>
      </c>
      <c r="O21" s="102">
        <v>2.4409999999999998</v>
      </c>
      <c r="P21" s="102">
        <v>2.165</v>
      </c>
      <c r="Q21" s="102">
        <v>1.474</v>
      </c>
      <c r="R21" s="102">
        <v>1.585</v>
      </c>
      <c r="S21" s="102">
        <v>1.8859999999999999</v>
      </c>
      <c r="T21" s="102">
        <v>1.7130000000000001</v>
      </c>
      <c r="U21" s="102">
        <v>1.7909999999999999</v>
      </c>
      <c r="V21" s="102">
        <v>1.8680000000000001</v>
      </c>
      <c r="W21" s="102">
        <v>2.3879999999999999</v>
      </c>
      <c r="X21" s="102">
        <v>2.2599999999999998</v>
      </c>
      <c r="Y21" s="102">
        <v>2.883</v>
      </c>
      <c r="Z21" s="102">
        <v>2.891</v>
      </c>
      <c r="AA21" s="102">
        <v>2.89</v>
      </c>
      <c r="AB21" s="102">
        <v>2.8079999999999998</v>
      </c>
      <c r="AC21" s="102">
        <v>2.8050000000000002</v>
      </c>
      <c r="AD21" s="102">
        <v>2.8050000000000002</v>
      </c>
      <c r="AE21" s="102">
        <v>2.8050000000000002</v>
      </c>
      <c r="AF21" s="102">
        <v>2.8050000000000002</v>
      </c>
      <c r="AG21" s="102">
        <v>2.8050000000000002</v>
      </c>
      <c r="AH21" s="102">
        <v>2.8050000000000002</v>
      </c>
      <c r="AI21" s="102">
        <v>2.8050000000000002</v>
      </c>
      <c r="AJ21" s="102">
        <v>2.8050000000000002</v>
      </c>
      <c r="AK21" s="102">
        <v>2.8050000000000002</v>
      </c>
      <c r="AL21" s="102">
        <v>2.8050000000000002</v>
      </c>
    </row>
    <row r="22" spans="1:38" x14ac:dyDescent="0.35">
      <c r="A22" s="47">
        <v>6</v>
      </c>
      <c r="B22" s="18" t="s">
        <v>226</v>
      </c>
      <c r="C22" s="102">
        <v>0.21</v>
      </c>
      <c r="D22" s="102">
        <v>0.20799999999999999</v>
      </c>
      <c r="E22" s="102">
        <v>0.26100000000000001</v>
      </c>
      <c r="F22" s="102">
        <v>0.435</v>
      </c>
      <c r="G22" s="102">
        <v>0.92500000000000004</v>
      </c>
      <c r="H22" s="102">
        <v>1.0940000000000001</v>
      </c>
      <c r="I22" s="102">
        <v>1.077</v>
      </c>
      <c r="J22" s="102">
        <v>1.089</v>
      </c>
      <c r="K22" s="102">
        <v>0.96</v>
      </c>
      <c r="L22" s="102">
        <v>1.0449999999999999</v>
      </c>
      <c r="M22" s="102">
        <v>1.3240000000000001</v>
      </c>
      <c r="N22" s="102">
        <v>1.4339999999999999</v>
      </c>
      <c r="O22" s="102">
        <v>1.2989999999999999</v>
      </c>
      <c r="P22" s="102">
        <v>1.161</v>
      </c>
      <c r="Q22" s="102">
        <v>0.89500000000000002</v>
      </c>
      <c r="R22" s="102">
        <v>1.2270000000000001</v>
      </c>
      <c r="S22" s="102">
        <v>1.2649999999999999</v>
      </c>
      <c r="T22" s="102">
        <v>1.31</v>
      </c>
      <c r="U22" s="102">
        <v>1.04</v>
      </c>
      <c r="V22" s="102">
        <v>1.0960000000000001</v>
      </c>
      <c r="W22" s="102">
        <v>1.2390000000000001</v>
      </c>
      <c r="X22" s="102">
        <v>1.161</v>
      </c>
      <c r="Y22" s="102">
        <v>1.1890000000000001</v>
      </c>
      <c r="Z22" s="102">
        <v>1.1970000000000001</v>
      </c>
      <c r="AA22" s="102">
        <v>1.405</v>
      </c>
      <c r="AB22" s="102">
        <v>1.333</v>
      </c>
      <c r="AC22" s="102">
        <v>1.333</v>
      </c>
      <c r="AD22" s="102">
        <v>1.333</v>
      </c>
      <c r="AE22" s="102">
        <v>1.333</v>
      </c>
      <c r="AF22" s="102">
        <v>1.333</v>
      </c>
      <c r="AG22" s="102">
        <v>1.333</v>
      </c>
      <c r="AH22" s="102">
        <v>1.333</v>
      </c>
      <c r="AI22" s="102">
        <v>1.333</v>
      </c>
      <c r="AJ22" s="102">
        <v>1.333</v>
      </c>
      <c r="AK22" s="102">
        <v>1.333</v>
      </c>
      <c r="AL22" s="102">
        <v>1.333</v>
      </c>
    </row>
    <row r="23" spans="1:38" x14ac:dyDescent="0.35">
      <c r="A23" s="47">
        <v>7</v>
      </c>
      <c r="B23" s="18" t="s">
        <v>227</v>
      </c>
      <c r="C23" s="102">
        <v>0.126</v>
      </c>
      <c r="D23" s="102">
        <v>0.128</v>
      </c>
      <c r="E23" s="102">
        <v>0.126</v>
      </c>
      <c r="F23" s="102">
        <v>0.125</v>
      </c>
      <c r="G23" s="102">
        <v>0.13600000000000001</v>
      </c>
      <c r="H23" s="102">
        <v>0.14799999999999999</v>
      </c>
      <c r="I23" s="102">
        <v>0.16300000000000001</v>
      </c>
      <c r="J23" s="102">
        <v>0.17799999999999999</v>
      </c>
      <c r="K23" s="102">
        <v>0.193</v>
      </c>
      <c r="L23" s="102">
        <v>0.23899999999999999</v>
      </c>
      <c r="M23" s="102">
        <v>0.252</v>
      </c>
      <c r="N23" s="102">
        <v>0.26400000000000001</v>
      </c>
      <c r="O23" s="102">
        <v>0.311</v>
      </c>
      <c r="P23" s="102">
        <v>0.29599999999999999</v>
      </c>
      <c r="Q23" s="102">
        <v>0.27700000000000002</v>
      </c>
      <c r="R23" s="102">
        <v>0.27400000000000002</v>
      </c>
      <c r="S23" s="102">
        <v>0.23400000000000001</v>
      </c>
      <c r="T23" s="102">
        <v>0.23300000000000001</v>
      </c>
      <c r="U23" s="102">
        <v>0.23100000000000001</v>
      </c>
      <c r="V23" s="102">
        <v>0.22900000000000001</v>
      </c>
      <c r="W23" s="102">
        <v>0.246</v>
      </c>
      <c r="X23" s="102">
        <v>0.27800000000000002</v>
      </c>
      <c r="Y23" s="102">
        <v>0.311</v>
      </c>
      <c r="Z23" s="102">
        <v>0.33500000000000002</v>
      </c>
      <c r="AA23" s="102">
        <v>0.33600000000000002</v>
      </c>
      <c r="AB23" s="102">
        <v>0.33800000000000002</v>
      </c>
      <c r="AC23" s="102">
        <v>0.32900000000000001</v>
      </c>
      <c r="AD23" s="102">
        <v>0.33400000000000002</v>
      </c>
      <c r="AE23" s="102">
        <v>0.33800000000000002</v>
      </c>
      <c r="AF23" s="102">
        <v>0.34300000000000003</v>
      </c>
      <c r="AG23" s="102">
        <v>0.34300000000000003</v>
      </c>
      <c r="AH23" s="102">
        <v>0.34300000000000003</v>
      </c>
      <c r="AI23" s="102">
        <v>0.34399999999999997</v>
      </c>
      <c r="AJ23" s="102">
        <v>0.34399999999999997</v>
      </c>
      <c r="AK23" s="102">
        <v>0.34399999999999997</v>
      </c>
      <c r="AL23" s="102">
        <v>0.34399999999999997</v>
      </c>
    </row>
    <row r="24" spans="1:38" x14ac:dyDescent="0.35">
      <c r="A24" s="47">
        <v>8</v>
      </c>
      <c r="B24" s="18" t="s">
        <v>228</v>
      </c>
      <c r="C24" s="102">
        <v>0.188</v>
      </c>
      <c r="D24" s="102">
        <v>0.20899999999999999</v>
      </c>
      <c r="E24" s="102">
        <v>0.222</v>
      </c>
      <c r="F24" s="102">
        <v>0.254</v>
      </c>
      <c r="G24" s="102">
        <v>0.14399999999999999</v>
      </c>
      <c r="H24" s="102">
        <v>0.161</v>
      </c>
      <c r="I24" s="102">
        <v>0.17799999999999999</v>
      </c>
      <c r="J24" s="102">
        <v>0.215</v>
      </c>
      <c r="K24" s="102">
        <v>0.35499999999999998</v>
      </c>
      <c r="L24" s="102">
        <v>0.33500000000000002</v>
      </c>
      <c r="M24" s="102">
        <v>0.24299999999999999</v>
      </c>
      <c r="N24" s="102">
        <v>0.19900000000000001</v>
      </c>
      <c r="O24" s="102">
        <v>0.217</v>
      </c>
      <c r="P24" s="102">
        <v>1.4999999999999999E-2</v>
      </c>
      <c r="Q24" s="102">
        <v>1.2999999999999999E-2</v>
      </c>
      <c r="R24" s="102">
        <v>0.107</v>
      </c>
      <c r="S24" s="102">
        <v>0.19700000000000001</v>
      </c>
      <c r="T24" s="102">
        <v>0.28799999999999998</v>
      </c>
      <c r="U24" s="102">
        <v>0.26100000000000001</v>
      </c>
      <c r="V24" s="102">
        <v>0.23499999999999999</v>
      </c>
      <c r="W24" s="102">
        <v>5.8999999999999997E-2</v>
      </c>
      <c r="X24" s="102">
        <v>6.4000000000000001E-2</v>
      </c>
      <c r="Y24" s="102">
        <v>6.7000000000000004E-2</v>
      </c>
      <c r="Z24" s="102">
        <v>6.8000000000000005E-2</v>
      </c>
      <c r="AA24" s="102">
        <v>6.0999999999999999E-2</v>
      </c>
      <c r="AB24" s="102">
        <v>5.8999999999999997E-2</v>
      </c>
      <c r="AC24" s="102">
        <v>5.8999999999999997E-2</v>
      </c>
      <c r="AD24" s="102">
        <v>5.8999999999999997E-2</v>
      </c>
      <c r="AE24" s="102">
        <v>5.8999999999999997E-2</v>
      </c>
      <c r="AF24" s="102">
        <v>5.8999999999999997E-2</v>
      </c>
      <c r="AG24" s="102">
        <v>5.8999999999999997E-2</v>
      </c>
      <c r="AH24" s="102">
        <v>5.8999999999999997E-2</v>
      </c>
      <c r="AI24" s="102">
        <v>5.8999999999999997E-2</v>
      </c>
      <c r="AJ24" s="102">
        <v>5.8999999999999997E-2</v>
      </c>
      <c r="AK24" s="102">
        <v>5.8999999999999997E-2</v>
      </c>
      <c r="AL24" s="102">
        <v>5.8999999999999997E-2</v>
      </c>
    </row>
    <row r="25" spans="1:38" x14ac:dyDescent="0.35">
      <c r="A25" s="47">
        <v>9</v>
      </c>
      <c r="B25" s="18" t="s">
        <v>229</v>
      </c>
      <c r="C25" s="102">
        <v>0.11700000000000001</v>
      </c>
      <c r="D25" s="102">
        <v>0.13500000000000001</v>
      </c>
      <c r="E25" s="102">
        <v>0.19500000000000001</v>
      </c>
      <c r="F25" s="102">
        <v>0.25900000000000001</v>
      </c>
      <c r="G25" s="102">
        <v>0.36399999999999999</v>
      </c>
      <c r="H25" s="102">
        <v>0.48</v>
      </c>
      <c r="I25" s="102">
        <v>0.46100000000000002</v>
      </c>
      <c r="J25" s="102">
        <v>0.44400000000000001</v>
      </c>
      <c r="K25" s="102">
        <v>0.35499999999999998</v>
      </c>
      <c r="L25" s="102">
        <v>0.26500000000000001</v>
      </c>
      <c r="M25" s="102">
        <v>0.308</v>
      </c>
      <c r="N25" s="102">
        <v>0.45900000000000002</v>
      </c>
      <c r="O25" s="102">
        <v>0.53300000000000003</v>
      </c>
      <c r="P25" s="102">
        <v>0.51400000000000001</v>
      </c>
      <c r="Q25" s="102">
        <v>0.54700000000000004</v>
      </c>
      <c r="R25" s="102">
        <v>0.42399999999999999</v>
      </c>
      <c r="S25" s="102">
        <v>0.40600000000000003</v>
      </c>
      <c r="T25" s="102">
        <v>0.41699999999999998</v>
      </c>
      <c r="U25" s="102">
        <v>0.42899999999999999</v>
      </c>
      <c r="V25" s="102">
        <v>0.46899999999999997</v>
      </c>
      <c r="W25" s="102">
        <v>0.58099999999999996</v>
      </c>
      <c r="X25" s="102">
        <v>0.52400000000000002</v>
      </c>
      <c r="Y25" s="102">
        <v>0.45500000000000002</v>
      </c>
      <c r="Z25" s="102">
        <v>0.502</v>
      </c>
      <c r="AA25" s="102">
        <v>0.52400000000000002</v>
      </c>
      <c r="AB25" s="102">
        <v>0.45300000000000001</v>
      </c>
      <c r="AC25" s="102">
        <v>0.55000000000000004</v>
      </c>
      <c r="AD25" s="102">
        <v>0.55400000000000005</v>
      </c>
      <c r="AE25" s="102">
        <v>0.55800000000000005</v>
      </c>
      <c r="AF25" s="102">
        <v>0.56299999999999994</v>
      </c>
      <c r="AG25" s="102">
        <v>0.56299999999999994</v>
      </c>
      <c r="AH25" s="102">
        <v>0.56299999999999994</v>
      </c>
      <c r="AI25" s="102">
        <v>0.56299999999999994</v>
      </c>
      <c r="AJ25" s="102">
        <v>0.56399999999999995</v>
      </c>
      <c r="AK25" s="102">
        <v>0.56399999999999995</v>
      </c>
      <c r="AL25" s="102">
        <v>0.56399999999999995</v>
      </c>
    </row>
    <row r="26" spans="1:38" x14ac:dyDescent="0.35">
      <c r="A26" s="47">
        <v>10</v>
      </c>
      <c r="B26" s="18" t="s">
        <v>230</v>
      </c>
      <c r="C26" s="102">
        <v>6.5000000000000002E-2</v>
      </c>
      <c r="D26" s="102">
        <v>6.0999999999999999E-2</v>
      </c>
      <c r="E26" s="102">
        <v>5.8999999999999997E-2</v>
      </c>
      <c r="F26" s="102">
        <v>5.6000000000000001E-2</v>
      </c>
      <c r="G26" s="102">
        <v>5.0999999999999997E-2</v>
      </c>
      <c r="H26" s="102">
        <v>5.5E-2</v>
      </c>
      <c r="I26" s="102">
        <v>4.9000000000000002E-2</v>
      </c>
      <c r="J26" s="102">
        <v>4.2999999999999997E-2</v>
      </c>
      <c r="K26" s="102">
        <v>4.3999999999999997E-2</v>
      </c>
      <c r="L26" s="102">
        <v>3.9E-2</v>
      </c>
      <c r="M26" s="102">
        <v>0.03</v>
      </c>
      <c r="N26" s="102">
        <v>0.03</v>
      </c>
      <c r="O26" s="102">
        <v>2.9000000000000001E-2</v>
      </c>
      <c r="P26" s="102">
        <v>2.9000000000000001E-2</v>
      </c>
      <c r="Q26" s="102">
        <v>2.1999999999999999E-2</v>
      </c>
      <c r="R26" s="102">
        <v>2.5000000000000001E-2</v>
      </c>
      <c r="S26" s="102">
        <v>3.3000000000000002E-2</v>
      </c>
      <c r="T26" s="102">
        <v>4.1000000000000002E-2</v>
      </c>
      <c r="U26" s="102">
        <v>4.9000000000000002E-2</v>
      </c>
      <c r="V26" s="102">
        <v>0.06</v>
      </c>
      <c r="W26" s="102">
        <v>6.4000000000000001E-2</v>
      </c>
      <c r="X26" s="102">
        <v>6.8000000000000005E-2</v>
      </c>
      <c r="Y26" s="102">
        <v>7.2999999999999995E-2</v>
      </c>
      <c r="Z26" s="102">
        <v>7.9000000000000001E-2</v>
      </c>
      <c r="AA26" s="102">
        <v>7.1999999999999995E-2</v>
      </c>
      <c r="AB26" s="102">
        <v>7.2999999999999995E-2</v>
      </c>
      <c r="AC26" s="102">
        <v>7.3999999999999996E-2</v>
      </c>
      <c r="AD26" s="102">
        <v>7.3999999999999996E-2</v>
      </c>
      <c r="AE26" s="102">
        <v>7.4999999999999997E-2</v>
      </c>
      <c r="AF26" s="102">
        <v>7.4999999999999997E-2</v>
      </c>
      <c r="AG26" s="102">
        <v>7.4999999999999997E-2</v>
      </c>
      <c r="AH26" s="102">
        <v>7.4999999999999997E-2</v>
      </c>
      <c r="AI26" s="102">
        <v>7.4999999999999997E-2</v>
      </c>
      <c r="AJ26" s="102">
        <v>7.4999999999999997E-2</v>
      </c>
      <c r="AK26" s="102">
        <v>7.4999999999999997E-2</v>
      </c>
      <c r="AL26" s="102">
        <v>7.4999999999999997E-2</v>
      </c>
    </row>
    <row r="28" spans="1:38" x14ac:dyDescent="0.35">
      <c r="A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</row>
    <row r="30" spans="1:38" ht="24" thickBot="1" x14ac:dyDescent="0.6">
      <c r="A30" s="101" t="s">
        <v>235</v>
      </c>
      <c r="B30" s="15"/>
      <c r="C30" s="15"/>
      <c r="D30" s="15"/>
    </row>
    <row r="31" spans="1:38" x14ac:dyDescent="0.35">
      <c r="A31" s="21"/>
    </row>
    <row r="33" spans="1:38" ht="15.5" x14ac:dyDescent="0.35">
      <c r="A33" s="46" t="s">
        <v>69</v>
      </c>
      <c r="B33" s="83" t="s">
        <v>237</v>
      </c>
      <c r="C33" s="21">
        <v>1995</v>
      </c>
      <c r="D33" s="21">
        <v>1996</v>
      </c>
      <c r="E33" s="21">
        <v>1997</v>
      </c>
      <c r="F33" s="21">
        <v>1998</v>
      </c>
      <c r="G33" s="21">
        <v>1999</v>
      </c>
      <c r="H33" s="21">
        <v>2000</v>
      </c>
      <c r="I33" s="21">
        <v>2001</v>
      </c>
      <c r="J33" s="21">
        <v>2002</v>
      </c>
      <c r="K33" s="21">
        <v>2003</v>
      </c>
      <c r="L33" s="21">
        <v>2004</v>
      </c>
      <c r="M33" s="21">
        <v>2005</v>
      </c>
      <c r="N33" s="21">
        <v>2006</v>
      </c>
      <c r="O33" s="21">
        <v>2007</v>
      </c>
      <c r="P33" s="21">
        <v>2008</v>
      </c>
      <c r="Q33" s="21">
        <v>2009</v>
      </c>
      <c r="R33" s="21">
        <v>2010</v>
      </c>
      <c r="S33" s="21">
        <v>2011</v>
      </c>
      <c r="T33" s="21">
        <v>2012</v>
      </c>
      <c r="U33" s="21">
        <v>2013</v>
      </c>
      <c r="V33" s="21">
        <v>2014</v>
      </c>
      <c r="W33" s="21">
        <v>2015</v>
      </c>
      <c r="X33" s="21">
        <v>2016</v>
      </c>
      <c r="Y33" s="21">
        <v>2017</v>
      </c>
      <c r="Z33" s="21">
        <v>2018</v>
      </c>
      <c r="AA33" s="21">
        <v>2019</v>
      </c>
      <c r="AB33" s="21">
        <v>2020</v>
      </c>
      <c r="AC33" s="21">
        <v>2021</v>
      </c>
      <c r="AD33" s="21">
        <v>2022</v>
      </c>
      <c r="AE33" s="21">
        <v>2023</v>
      </c>
      <c r="AF33" s="21">
        <v>2024</v>
      </c>
      <c r="AG33" s="21">
        <v>2025</v>
      </c>
      <c r="AH33" s="21">
        <v>2026</v>
      </c>
      <c r="AI33" s="21">
        <v>2027</v>
      </c>
      <c r="AJ33" s="21">
        <v>2028</v>
      </c>
      <c r="AK33" s="21">
        <v>2029</v>
      </c>
      <c r="AL33" s="21">
        <v>2030</v>
      </c>
    </row>
    <row r="34" spans="1:38" x14ac:dyDescent="0.35">
      <c r="A34" s="47">
        <v>1</v>
      </c>
      <c r="B34" s="18" t="s">
        <v>75</v>
      </c>
      <c r="C34" s="102">
        <v>2.4420000000000002</v>
      </c>
      <c r="D34" s="102">
        <v>2.302</v>
      </c>
      <c r="E34" s="102">
        <v>2.3809999999999998</v>
      </c>
      <c r="F34" s="102">
        <v>2.7480000000000002</v>
      </c>
      <c r="G34" s="102">
        <v>2.7690000000000001</v>
      </c>
      <c r="H34" s="102">
        <v>2.9889999999999999</v>
      </c>
      <c r="I34" s="102">
        <v>3.1989999999999998</v>
      </c>
      <c r="J34" s="102">
        <v>3.3359999999999999</v>
      </c>
      <c r="K34" s="102">
        <v>3.7250000000000001</v>
      </c>
      <c r="L34" s="102">
        <v>3.7229999999999999</v>
      </c>
      <c r="M34" s="102">
        <v>3.948</v>
      </c>
      <c r="N34" s="102">
        <v>3.9039999999999999</v>
      </c>
      <c r="O34" s="102">
        <v>3.819</v>
      </c>
      <c r="P34" s="102">
        <v>3.456</v>
      </c>
      <c r="Q34" s="102">
        <v>3.0369999999999999</v>
      </c>
      <c r="R34" s="102">
        <v>3.34</v>
      </c>
      <c r="S34" s="102">
        <v>3.3410000000000002</v>
      </c>
      <c r="T34" s="102">
        <v>3.2869999999999999</v>
      </c>
      <c r="U34" s="102">
        <v>3.1709999999999998</v>
      </c>
      <c r="V34" s="102">
        <v>3.1760000000000002</v>
      </c>
      <c r="W34" s="102">
        <v>3.2679999999999998</v>
      </c>
      <c r="X34" s="102">
        <v>3.3919999999999999</v>
      </c>
      <c r="Y34" s="102">
        <v>3.379</v>
      </c>
      <c r="Z34" s="102">
        <v>3.4039999999999999</v>
      </c>
      <c r="AA34" s="102">
        <v>3.4489999999999998</v>
      </c>
      <c r="AB34" s="102">
        <v>3.2320000000000002</v>
      </c>
      <c r="AC34" s="102">
        <v>3.194</v>
      </c>
      <c r="AD34" s="102">
        <v>3.202</v>
      </c>
      <c r="AE34" s="102">
        <v>3.2080000000000002</v>
      </c>
      <c r="AF34" s="102">
        <v>3.2149999999999999</v>
      </c>
      <c r="AG34" s="102">
        <v>3.214</v>
      </c>
      <c r="AH34" s="102">
        <v>3.2130000000000001</v>
      </c>
      <c r="AI34" s="102">
        <v>3.2120000000000002</v>
      </c>
      <c r="AJ34" s="102">
        <v>3.2120000000000002</v>
      </c>
      <c r="AK34" s="102">
        <v>3.2109999999999999</v>
      </c>
      <c r="AL34" s="102">
        <v>3.21</v>
      </c>
    </row>
    <row r="35" spans="1:38" x14ac:dyDescent="0.35">
      <c r="A35" s="47">
        <v>2</v>
      </c>
      <c r="B35" s="18" t="s">
        <v>80</v>
      </c>
      <c r="C35" s="102">
        <v>1.2430000000000001</v>
      </c>
      <c r="D35" s="102">
        <v>1.627</v>
      </c>
      <c r="E35" s="102">
        <v>1.663</v>
      </c>
      <c r="F35" s="102">
        <v>1.716</v>
      </c>
      <c r="G35" s="102">
        <v>1.8009999999999999</v>
      </c>
      <c r="H35" s="102">
        <v>1.9119999999999999</v>
      </c>
      <c r="I35" s="102">
        <v>1.948</v>
      </c>
      <c r="J35" s="102">
        <v>2.129</v>
      </c>
      <c r="K35" s="102">
        <v>2.3410000000000002</v>
      </c>
      <c r="L35" s="102">
        <v>2.431</v>
      </c>
      <c r="M35" s="102">
        <v>2.6890000000000001</v>
      </c>
      <c r="N35" s="102">
        <v>2.698</v>
      </c>
      <c r="O35" s="102">
        <v>2.1110000000000002</v>
      </c>
      <c r="P35" s="102">
        <v>1.4970000000000001</v>
      </c>
      <c r="Q35" s="102">
        <v>1.58</v>
      </c>
      <c r="R35" s="102">
        <v>1.6719999999999999</v>
      </c>
      <c r="S35" s="102">
        <v>1.641</v>
      </c>
      <c r="T35" s="102">
        <v>1.4850000000000001</v>
      </c>
      <c r="U35" s="102">
        <v>1.4510000000000001</v>
      </c>
      <c r="V35" s="102">
        <v>1.343</v>
      </c>
      <c r="W35" s="102">
        <v>1.3580000000000001</v>
      </c>
      <c r="X35" s="102">
        <v>1.302</v>
      </c>
      <c r="Y35" s="102">
        <v>1.2450000000000001</v>
      </c>
      <c r="Z35" s="102">
        <v>1.24</v>
      </c>
      <c r="AA35" s="102">
        <v>1.2</v>
      </c>
      <c r="AB35" s="102">
        <v>1.2130000000000001</v>
      </c>
      <c r="AC35" s="102">
        <v>1.1990000000000001</v>
      </c>
      <c r="AD35" s="102">
        <v>1.2010000000000001</v>
      </c>
      <c r="AE35" s="102">
        <v>1.202</v>
      </c>
      <c r="AF35" s="102">
        <v>1.202</v>
      </c>
      <c r="AG35" s="102">
        <v>1.202</v>
      </c>
      <c r="AH35" s="102">
        <v>1.202</v>
      </c>
      <c r="AI35" s="102">
        <v>1.202</v>
      </c>
      <c r="AJ35" s="102">
        <v>1.2030000000000001</v>
      </c>
      <c r="AK35" s="102">
        <v>1.2030000000000001</v>
      </c>
      <c r="AL35" s="102">
        <v>1.2030000000000001</v>
      </c>
    </row>
    <row r="36" spans="1:38" x14ac:dyDescent="0.35">
      <c r="A36" s="47">
        <v>3</v>
      </c>
      <c r="B36" s="18" t="s">
        <v>76</v>
      </c>
      <c r="C36" s="102">
        <v>0.14599999999999999</v>
      </c>
      <c r="D36" s="102">
        <v>0.152</v>
      </c>
      <c r="E36" s="102">
        <v>0.16</v>
      </c>
      <c r="F36" s="102">
        <v>0.17299999999999999</v>
      </c>
      <c r="G36" s="102">
        <v>0.159</v>
      </c>
      <c r="H36" s="102">
        <v>0.16400000000000001</v>
      </c>
      <c r="I36" s="102">
        <v>0.17499999999999999</v>
      </c>
      <c r="J36" s="102">
        <v>0.20499999999999999</v>
      </c>
      <c r="K36" s="102">
        <v>0.214</v>
      </c>
      <c r="L36" s="102">
        <v>0.23599999999999999</v>
      </c>
      <c r="M36" s="102">
        <v>0.25800000000000001</v>
      </c>
      <c r="N36" s="102">
        <v>0.27700000000000002</v>
      </c>
      <c r="O36" s="102">
        <v>0.3</v>
      </c>
      <c r="P36" s="102">
        <v>0.316</v>
      </c>
      <c r="Q36" s="102">
        <v>0.28699999999999998</v>
      </c>
      <c r="R36" s="102">
        <v>0.30499999999999999</v>
      </c>
      <c r="S36" s="102">
        <v>0.29799999999999999</v>
      </c>
      <c r="T36" s="102">
        <v>0.28199999999999997</v>
      </c>
      <c r="U36" s="102">
        <v>0.25600000000000001</v>
      </c>
      <c r="V36" s="102">
        <v>0.22800000000000001</v>
      </c>
      <c r="W36" s="102">
        <v>0.218</v>
      </c>
      <c r="X36" s="102">
        <v>0.20399999999999999</v>
      </c>
      <c r="Y36" s="102">
        <v>0.186</v>
      </c>
      <c r="Z36" s="102">
        <v>0.18</v>
      </c>
      <c r="AA36" s="102">
        <v>0.17100000000000001</v>
      </c>
      <c r="AB36" s="102">
        <v>0.16500000000000001</v>
      </c>
      <c r="AC36" s="102">
        <v>0.159</v>
      </c>
      <c r="AD36" s="102">
        <v>0.153</v>
      </c>
      <c r="AE36" s="102">
        <v>0.14699999999999999</v>
      </c>
      <c r="AF36" s="102">
        <v>0.14599999999999999</v>
      </c>
      <c r="AG36" s="102">
        <v>0.14499999999999999</v>
      </c>
      <c r="AH36" s="102">
        <v>0.14299999999999999</v>
      </c>
      <c r="AI36" s="102">
        <v>0.14199999999999999</v>
      </c>
      <c r="AJ36" s="102">
        <v>0.14299999999999999</v>
      </c>
      <c r="AK36" s="102">
        <v>0.14299999999999999</v>
      </c>
      <c r="AL36" s="102">
        <v>0.14299999999999999</v>
      </c>
    </row>
    <row r="37" spans="1:38" x14ac:dyDescent="0.35">
      <c r="A37" s="47">
        <v>4</v>
      </c>
      <c r="B37" s="18" t="s">
        <v>232</v>
      </c>
      <c r="C37" s="102">
        <v>5.1020000000000003</v>
      </c>
      <c r="D37" s="102">
        <v>5.2640000000000002</v>
      </c>
      <c r="E37" s="102">
        <v>5.327</v>
      </c>
      <c r="F37" s="102">
        <v>5.8159999999999998</v>
      </c>
      <c r="G37" s="102">
        <v>6.282</v>
      </c>
      <c r="H37" s="102">
        <v>6.5880000000000001</v>
      </c>
      <c r="I37" s="102">
        <v>7.1280000000000001</v>
      </c>
      <c r="J37" s="102">
        <v>7.5170000000000003</v>
      </c>
      <c r="K37" s="102">
        <v>7.6539999999999999</v>
      </c>
      <c r="L37" s="102">
        <v>8.0969999999999995</v>
      </c>
      <c r="M37" s="102">
        <v>8.3640000000000008</v>
      </c>
      <c r="N37" s="102">
        <v>9.25</v>
      </c>
      <c r="O37" s="102">
        <v>8.8309999999999995</v>
      </c>
      <c r="P37" s="102">
        <v>8.8829999999999991</v>
      </c>
      <c r="Q37" s="102">
        <v>8.7910000000000004</v>
      </c>
      <c r="R37" s="102">
        <v>9.3469999999999995</v>
      </c>
      <c r="S37" s="102">
        <v>10.365</v>
      </c>
      <c r="T37" s="102">
        <v>9.8040000000000003</v>
      </c>
      <c r="U37" s="102">
        <v>9.7289999999999992</v>
      </c>
      <c r="V37" s="102">
        <v>10.551</v>
      </c>
      <c r="W37" s="102">
        <v>10.994999999999999</v>
      </c>
      <c r="X37" s="102">
        <v>10.718999999999999</v>
      </c>
      <c r="Y37" s="102">
        <v>10.265000000000001</v>
      </c>
      <c r="Z37" s="102">
        <v>10.701000000000001</v>
      </c>
      <c r="AA37" s="102">
        <v>11.22</v>
      </c>
      <c r="AB37" s="102">
        <v>11.211</v>
      </c>
      <c r="AC37" s="102">
        <v>8.6999999999999993</v>
      </c>
      <c r="AD37" s="102">
        <v>8.6750000000000007</v>
      </c>
      <c r="AE37" s="102">
        <v>8.7029999999999994</v>
      </c>
      <c r="AF37" s="102">
        <v>8.7309999999999999</v>
      </c>
      <c r="AG37" s="102">
        <v>8.7319999999999993</v>
      </c>
      <c r="AH37" s="102">
        <v>8.734</v>
      </c>
      <c r="AI37" s="102">
        <v>8.7349999999999994</v>
      </c>
      <c r="AJ37" s="102">
        <v>8.7360000000000007</v>
      </c>
      <c r="AK37" s="102">
        <v>8.7370000000000001</v>
      </c>
      <c r="AL37" s="102">
        <v>8.7379999999999995</v>
      </c>
    </row>
    <row r="38" spans="1:38" x14ac:dyDescent="0.35">
      <c r="A38" s="47">
        <v>5</v>
      </c>
      <c r="B38" s="18" t="s">
        <v>78</v>
      </c>
      <c r="C38" s="102">
        <v>5.3780000000000001</v>
      </c>
      <c r="D38" s="102">
        <v>5.399</v>
      </c>
      <c r="E38" s="102">
        <v>5.8280000000000003</v>
      </c>
      <c r="F38" s="102">
        <v>6.2279999999999998</v>
      </c>
      <c r="G38" s="102">
        <v>6.694</v>
      </c>
      <c r="H38" s="102">
        <v>7.0469999999999997</v>
      </c>
      <c r="I38" s="102">
        <v>6.8559999999999999</v>
      </c>
      <c r="J38" s="102">
        <v>7.0970000000000004</v>
      </c>
      <c r="K38" s="102">
        <v>7.65</v>
      </c>
      <c r="L38" s="102">
        <v>8.4030000000000005</v>
      </c>
      <c r="M38" s="102">
        <v>8.5210000000000008</v>
      </c>
      <c r="N38" s="102">
        <v>8.3789999999999996</v>
      </c>
      <c r="O38" s="102">
        <v>8.5020000000000007</v>
      </c>
      <c r="P38" s="102">
        <v>8.0950000000000006</v>
      </c>
      <c r="Q38" s="102">
        <v>7.6890000000000001</v>
      </c>
      <c r="R38" s="102">
        <v>8.0459999999999994</v>
      </c>
      <c r="S38" s="102">
        <v>8.1549999999999994</v>
      </c>
      <c r="T38" s="102">
        <v>7.8979999999999997</v>
      </c>
      <c r="U38" s="102">
        <v>7.8579999999999997</v>
      </c>
      <c r="V38" s="102">
        <v>7.9340000000000002</v>
      </c>
      <c r="W38" s="102">
        <v>8.2469999999999999</v>
      </c>
      <c r="X38" s="102">
        <v>8.0329999999999995</v>
      </c>
      <c r="Y38" s="102">
        <v>7.6589999999999998</v>
      </c>
      <c r="Z38" s="102">
        <v>7.7350000000000003</v>
      </c>
      <c r="AA38" s="102">
        <v>7.6360000000000001</v>
      </c>
      <c r="AB38" s="102">
        <v>7.3979999999999997</v>
      </c>
      <c r="AC38" s="102">
        <v>7.431</v>
      </c>
      <c r="AD38" s="102">
        <v>7.4790000000000001</v>
      </c>
      <c r="AE38" s="102">
        <v>7.532</v>
      </c>
      <c r="AF38" s="102">
        <v>7.5839999999999996</v>
      </c>
      <c r="AG38" s="102">
        <v>7.5860000000000003</v>
      </c>
      <c r="AH38" s="102">
        <v>7.5880000000000001</v>
      </c>
      <c r="AI38" s="102">
        <v>7.5910000000000002</v>
      </c>
      <c r="AJ38" s="102">
        <v>7.5940000000000003</v>
      </c>
      <c r="AK38" s="102">
        <v>7.5960000000000001</v>
      </c>
      <c r="AL38" s="102">
        <v>7.5990000000000002</v>
      </c>
    </row>
    <row r="39" spans="1:38" x14ac:dyDescent="0.35">
      <c r="A39" s="47">
        <v>6</v>
      </c>
      <c r="B39" s="18" t="s">
        <v>79</v>
      </c>
      <c r="C39" s="102">
        <v>1.1719999999999999</v>
      </c>
      <c r="D39" s="102">
        <v>1.1919999999999999</v>
      </c>
      <c r="E39" s="102">
        <v>1.3180000000000001</v>
      </c>
      <c r="F39" s="102">
        <v>1.5940000000000001</v>
      </c>
      <c r="G39" s="102">
        <v>1.776</v>
      </c>
      <c r="H39" s="102">
        <v>1.8149999999999999</v>
      </c>
      <c r="I39" s="102">
        <v>1.831</v>
      </c>
      <c r="J39" s="102">
        <v>1.774</v>
      </c>
      <c r="K39" s="102">
        <v>1.7809999999999999</v>
      </c>
      <c r="L39" s="102">
        <v>1.8779999999999999</v>
      </c>
      <c r="M39" s="102">
        <v>1.8819999999999999</v>
      </c>
      <c r="N39" s="102">
        <v>2.0150000000000001</v>
      </c>
      <c r="O39" s="102">
        <v>2.0710000000000002</v>
      </c>
      <c r="P39" s="102">
        <v>2.0579999999999998</v>
      </c>
      <c r="Q39" s="102">
        <v>1.9550000000000001</v>
      </c>
      <c r="R39" s="102">
        <v>2.09</v>
      </c>
      <c r="S39" s="102">
        <v>1.986</v>
      </c>
      <c r="T39" s="102">
        <v>2.0209999999999999</v>
      </c>
      <c r="U39" s="102">
        <v>2.0840000000000001</v>
      </c>
      <c r="V39" s="102">
        <v>2.153</v>
      </c>
      <c r="W39" s="102">
        <v>2.0859999999999999</v>
      </c>
      <c r="X39" s="102">
        <v>2.2509999999999999</v>
      </c>
      <c r="Y39" s="102">
        <v>2.085</v>
      </c>
      <c r="Z39" s="102">
        <v>2.0390000000000001</v>
      </c>
      <c r="AA39" s="102">
        <v>1.8</v>
      </c>
      <c r="AB39" s="102">
        <v>1.5509999999999999</v>
      </c>
      <c r="AC39" s="102">
        <v>1.63</v>
      </c>
      <c r="AD39" s="102">
        <v>1.6379999999999999</v>
      </c>
      <c r="AE39" s="102">
        <v>1.645</v>
      </c>
      <c r="AF39" s="102">
        <v>1.6519999999999999</v>
      </c>
      <c r="AG39" s="102">
        <v>1.653</v>
      </c>
      <c r="AH39" s="102">
        <v>1.653</v>
      </c>
      <c r="AI39" s="102">
        <v>1.6539999999999999</v>
      </c>
      <c r="AJ39" s="102">
        <v>1.6539999999999999</v>
      </c>
      <c r="AK39" s="102">
        <v>1.655</v>
      </c>
      <c r="AL39" s="102">
        <v>1.655</v>
      </c>
    </row>
    <row r="41" spans="1:38" ht="15.5" x14ac:dyDescent="0.35">
      <c r="A41" s="46" t="s">
        <v>70</v>
      </c>
      <c r="B41" s="83" t="s">
        <v>237</v>
      </c>
    </row>
    <row r="42" spans="1:38" x14ac:dyDescent="0.35">
      <c r="A42" s="47">
        <v>1</v>
      </c>
      <c r="B42" s="18" t="s">
        <v>221</v>
      </c>
      <c r="C42" s="102">
        <v>7.0590000000000002</v>
      </c>
      <c r="D42" s="102">
        <v>7.0869999999999997</v>
      </c>
      <c r="E42" s="102">
        <v>7.3860000000000001</v>
      </c>
      <c r="F42" s="102">
        <v>8.2390000000000008</v>
      </c>
      <c r="G42" s="102">
        <v>8.8949999999999996</v>
      </c>
      <c r="H42" s="102">
        <v>9.423</v>
      </c>
      <c r="I42" s="102">
        <v>10.029</v>
      </c>
      <c r="J42" s="102">
        <v>10.45</v>
      </c>
      <c r="K42" s="102">
        <v>10.76</v>
      </c>
      <c r="L42" s="102">
        <v>11.082000000000001</v>
      </c>
      <c r="M42" s="102">
        <v>11.391</v>
      </c>
      <c r="N42" s="102">
        <v>12.25</v>
      </c>
      <c r="O42" s="102">
        <v>12.099</v>
      </c>
      <c r="P42" s="102">
        <v>11.612</v>
      </c>
      <c r="Q42" s="102">
        <v>11.292999999999999</v>
      </c>
      <c r="R42" s="102">
        <v>11.644</v>
      </c>
      <c r="S42" s="102">
        <v>11.801</v>
      </c>
      <c r="T42" s="102">
        <v>11.432</v>
      </c>
      <c r="U42" s="102">
        <v>11.542999999999999</v>
      </c>
      <c r="V42" s="102">
        <v>12.265000000000001</v>
      </c>
      <c r="W42" s="102">
        <v>12.282999999999999</v>
      </c>
      <c r="X42" s="102">
        <v>12.523999999999999</v>
      </c>
      <c r="Y42" s="102">
        <v>11.923999999999999</v>
      </c>
      <c r="Z42" s="102">
        <v>11.944000000000001</v>
      </c>
      <c r="AA42" s="102">
        <v>11.815</v>
      </c>
      <c r="AB42" s="102">
        <v>11.180999999999999</v>
      </c>
      <c r="AC42" s="102">
        <v>11.348000000000001</v>
      </c>
      <c r="AD42" s="102">
        <v>11.375</v>
      </c>
      <c r="AE42" s="102">
        <v>11.411</v>
      </c>
      <c r="AF42" s="102">
        <v>11.446</v>
      </c>
      <c r="AG42" s="102">
        <v>11.446999999999999</v>
      </c>
      <c r="AH42" s="102">
        <v>11.448</v>
      </c>
      <c r="AI42" s="102">
        <v>11.449</v>
      </c>
      <c r="AJ42" s="102">
        <v>11.45</v>
      </c>
      <c r="AK42" s="102">
        <v>11.45</v>
      </c>
      <c r="AL42" s="102">
        <v>11.451000000000001</v>
      </c>
    </row>
    <row r="43" spans="1:38" x14ac:dyDescent="0.35">
      <c r="A43" s="47">
        <v>2</v>
      </c>
      <c r="B43" s="18" t="s">
        <v>222</v>
      </c>
      <c r="C43" s="102">
        <v>2.2440000000000002</v>
      </c>
      <c r="D43" s="102">
        <v>2.3239999999999998</v>
      </c>
      <c r="E43" s="102">
        <v>2.4089999999999998</v>
      </c>
      <c r="F43" s="102">
        <v>2.6080000000000001</v>
      </c>
      <c r="G43" s="102">
        <v>2.6850000000000001</v>
      </c>
      <c r="H43" s="102">
        <v>2.54</v>
      </c>
      <c r="I43" s="102">
        <v>2.5550000000000002</v>
      </c>
      <c r="J43" s="102">
        <v>2.5190000000000001</v>
      </c>
      <c r="K43" s="102">
        <v>2.964</v>
      </c>
      <c r="L43" s="102">
        <v>3.2989999999999999</v>
      </c>
      <c r="M43" s="102">
        <v>3.35</v>
      </c>
      <c r="N43" s="102">
        <v>3.097</v>
      </c>
      <c r="O43" s="102">
        <v>3.0670000000000002</v>
      </c>
      <c r="P43" s="102">
        <v>2.891</v>
      </c>
      <c r="Q43" s="102">
        <v>2.7130000000000001</v>
      </c>
      <c r="R43" s="102">
        <v>2.915</v>
      </c>
      <c r="S43" s="102">
        <v>2.7290000000000001</v>
      </c>
      <c r="T43" s="102">
        <v>2.63</v>
      </c>
      <c r="U43" s="102">
        <v>2.573</v>
      </c>
      <c r="V43" s="102">
        <v>2.5169999999999999</v>
      </c>
      <c r="W43" s="102">
        <v>2.7320000000000002</v>
      </c>
      <c r="X43" s="102">
        <v>2.5950000000000002</v>
      </c>
      <c r="Y43" s="102">
        <v>2.4409999999999998</v>
      </c>
      <c r="Z43" s="102">
        <v>2.403</v>
      </c>
      <c r="AA43" s="102">
        <v>2.4039999999999999</v>
      </c>
      <c r="AB43" s="102">
        <v>2.298</v>
      </c>
      <c r="AC43" s="102">
        <v>2.222</v>
      </c>
      <c r="AD43" s="102">
        <v>2.238</v>
      </c>
      <c r="AE43" s="102">
        <v>2.2549999999999999</v>
      </c>
      <c r="AF43" s="102">
        <v>2.2709999999999999</v>
      </c>
      <c r="AG43" s="102">
        <v>2.2719999999999998</v>
      </c>
      <c r="AH43" s="102">
        <v>2.2730000000000001</v>
      </c>
      <c r="AI43" s="102">
        <v>2.274</v>
      </c>
      <c r="AJ43" s="102">
        <v>2.2749999999999999</v>
      </c>
      <c r="AK43" s="102">
        <v>2.2770000000000001</v>
      </c>
      <c r="AL43" s="102">
        <v>2.278</v>
      </c>
    </row>
    <row r="44" spans="1:38" x14ac:dyDescent="0.35">
      <c r="A44" s="47">
        <v>3</v>
      </c>
      <c r="B44" s="18" t="s">
        <v>223</v>
      </c>
      <c r="C44" s="102">
        <v>1.927</v>
      </c>
      <c r="D44" s="102">
        <v>2.351</v>
      </c>
      <c r="E44" s="102">
        <v>2.468</v>
      </c>
      <c r="F44" s="102">
        <v>2.762</v>
      </c>
      <c r="G44" s="102">
        <v>2.98</v>
      </c>
      <c r="H44" s="102">
        <v>3.1669999999999998</v>
      </c>
      <c r="I44" s="102">
        <v>3.274</v>
      </c>
      <c r="J44" s="102">
        <v>3.4910000000000001</v>
      </c>
      <c r="K44" s="102">
        <v>3.6920000000000002</v>
      </c>
      <c r="L44" s="102">
        <v>3.988</v>
      </c>
      <c r="M44" s="102">
        <v>4.25</v>
      </c>
      <c r="N44" s="102">
        <v>4.2859999999999996</v>
      </c>
      <c r="O44" s="102">
        <v>3.5129999999999999</v>
      </c>
      <c r="P44" s="102">
        <v>2.7719999999999998</v>
      </c>
      <c r="Q44" s="102">
        <v>2.605</v>
      </c>
      <c r="R44" s="102">
        <v>2.7770000000000001</v>
      </c>
      <c r="S44" s="102">
        <v>2.7490000000000001</v>
      </c>
      <c r="T44" s="102">
        <v>2.7610000000000001</v>
      </c>
      <c r="U44" s="102">
        <v>2.8279999999999998</v>
      </c>
      <c r="V44" s="102">
        <v>2.8809999999999998</v>
      </c>
      <c r="W44" s="102">
        <v>2.839</v>
      </c>
      <c r="X44" s="102">
        <v>3.0779999999999998</v>
      </c>
      <c r="Y44" s="102">
        <v>2.9329999999999998</v>
      </c>
      <c r="Z44" s="102">
        <v>3.0190000000000001</v>
      </c>
      <c r="AA44" s="102">
        <v>2.9159999999999999</v>
      </c>
      <c r="AB44" s="102">
        <v>2.7589999999999999</v>
      </c>
      <c r="AC44" s="102">
        <v>2.8140000000000001</v>
      </c>
      <c r="AD44" s="102">
        <v>2.823</v>
      </c>
      <c r="AE44" s="102">
        <v>2.8290000000000002</v>
      </c>
      <c r="AF44" s="102">
        <v>2.8340000000000001</v>
      </c>
      <c r="AG44" s="102">
        <v>2.835</v>
      </c>
      <c r="AH44" s="102">
        <v>2.835</v>
      </c>
      <c r="AI44" s="102">
        <v>2.8359999999999999</v>
      </c>
      <c r="AJ44" s="102">
        <v>2.8359999999999999</v>
      </c>
      <c r="AK44" s="102">
        <v>2.8359999999999999</v>
      </c>
      <c r="AL44" s="102">
        <v>2.8370000000000002</v>
      </c>
    </row>
    <row r="45" spans="1:38" x14ac:dyDescent="0.35">
      <c r="A45" s="47" t="s">
        <v>120</v>
      </c>
      <c r="B45" s="18" t="s">
        <v>224</v>
      </c>
      <c r="C45" s="102">
        <v>2.4860000000000002</v>
      </c>
      <c r="D45" s="102">
        <v>2.4430000000000001</v>
      </c>
      <c r="E45" s="102">
        <v>2.544</v>
      </c>
      <c r="F45" s="102">
        <v>2.5609999999999999</v>
      </c>
      <c r="G45" s="102">
        <v>2.5619999999999998</v>
      </c>
      <c r="H45" s="102">
        <v>2.6779999999999999</v>
      </c>
      <c r="I45" s="102">
        <v>2.58</v>
      </c>
      <c r="J45" s="102">
        <v>2.74</v>
      </c>
      <c r="K45" s="102">
        <v>2.8820000000000001</v>
      </c>
      <c r="L45" s="102">
        <v>2.9249999999999998</v>
      </c>
      <c r="M45" s="102">
        <v>2.887</v>
      </c>
      <c r="N45" s="102">
        <v>2.9449999999999998</v>
      </c>
      <c r="O45" s="102">
        <v>2.94</v>
      </c>
      <c r="P45" s="102">
        <v>2.7559999999999998</v>
      </c>
      <c r="Q45" s="102">
        <v>2.6890000000000001</v>
      </c>
      <c r="R45" s="102">
        <v>2.702</v>
      </c>
      <c r="S45" s="102">
        <v>2.7650000000000001</v>
      </c>
      <c r="T45" s="102">
        <v>2.4580000000000002</v>
      </c>
      <c r="U45" s="102">
        <v>2.3420000000000001</v>
      </c>
      <c r="V45" s="102">
        <v>2.2109999999999999</v>
      </c>
      <c r="W45" s="102">
        <v>2.3039999999999998</v>
      </c>
      <c r="X45" s="102">
        <v>2.3029999999999999</v>
      </c>
      <c r="Y45" s="102">
        <v>2.2519999999999998</v>
      </c>
      <c r="Z45" s="102">
        <v>2.2130000000000001</v>
      </c>
      <c r="AA45" s="102">
        <v>2.1829999999999998</v>
      </c>
      <c r="AB45" s="102">
        <v>2.1019999999999999</v>
      </c>
      <c r="AC45" s="102">
        <v>2.1120000000000001</v>
      </c>
      <c r="AD45" s="102">
        <v>2.12</v>
      </c>
      <c r="AE45" s="102">
        <v>2.13</v>
      </c>
      <c r="AF45" s="102">
        <v>2.141</v>
      </c>
      <c r="AG45" s="102">
        <v>2.141</v>
      </c>
      <c r="AH45" s="102">
        <v>2.14</v>
      </c>
      <c r="AI45" s="102">
        <v>2.14</v>
      </c>
      <c r="AJ45" s="102">
        <v>2.14</v>
      </c>
      <c r="AK45" s="102">
        <v>2.14</v>
      </c>
      <c r="AL45" s="102">
        <v>2.14</v>
      </c>
    </row>
    <row r="46" spans="1:38" x14ac:dyDescent="0.35">
      <c r="A46" s="47" t="s">
        <v>121</v>
      </c>
      <c r="B46" s="18" t="s">
        <v>122</v>
      </c>
      <c r="C46" s="102">
        <v>3.0000000000000001E-3</v>
      </c>
      <c r="D46" s="102">
        <v>7.0000000000000001E-3</v>
      </c>
      <c r="E46" s="102">
        <v>8.0000000000000002E-3</v>
      </c>
      <c r="F46" s="102">
        <v>7.0000000000000001E-3</v>
      </c>
      <c r="G46" s="102">
        <v>0.01</v>
      </c>
      <c r="H46" s="102">
        <v>2.1999999999999999E-2</v>
      </c>
      <c r="I46" s="102">
        <v>3.7999999999999999E-2</v>
      </c>
      <c r="J46" s="102">
        <v>3.1E-2</v>
      </c>
      <c r="K46" s="102">
        <v>8.7999999999999995E-2</v>
      </c>
      <c r="L46" s="102">
        <v>0.26200000000000001</v>
      </c>
      <c r="M46" s="102">
        <v>0.35199999999999998</v>
      </c>
      <c r="N46" s="102">
        <v>0.35</v>
      </c>
      <c r="O46" s="102">
        <v>0.27800000000000002</v>
      </c>
      <c r="P46" s="102">
        <v>0.72299999999999998</v>
      </c>
      <c r="Q46" s="102">
        <v>0.68100000000000005</v>
      </c>
      <c r="R46" s="102">
        <v>1.113</v>
      </c>
      <c r="S46" s="102">
        <v>1.8819999999999999</v>
      </c>
      <c r="T46" s="102">
        <v>1.6259999999999999</v>
      </c>
      <c r="U46" s="102">
        <v>1.262</v>
      </c>
      <c r="V46" s="102">
        <v>1.3280000000000001</v>
      </c>
      <c r="W46" s="102">
        <v>1.726</v>
      </c>
      <c r="X46" s="102">
        <v>1.2150000000000001</v>
      </c>
      <c r="Y46" s="102">
        <v>1.1990000000000001</v>
      </c>
      <c r="Z46" s="102">
        <v>1.6259999999999999</v>
      </c>
      <c r="AA46" s="102">
        <v>2.218</v>
      </c>
      <c r="AB46" s="102">
        <v>2.742</v>
      </c>
      <c r="AC46" s="102">
        <v>0</v>
      </c>
      <c r="AD46" s="102">
        <v>0</v>
      </c>
      <c r="AE46" s="102">
        <v>0</v>
      </c>
      <c r="AF46" s="102">
        <v>0</v>
      </c>
      <c r="AG46" s="102">
        <v>0</v>
      </c>
      <c r="AH46" s="102">
        <v>0</v>
      </c>
      <c r="AI46" s="102">
        <v>0</v>
      </c>
      <c r="AJ46" s="102">
        <v>0</v>
      </c>
      <c r="AK46" s="102">
        <v>0</v>
      </c>
      <c r="AL46" s="102">
        <v>0</v>
      </c>
    </row>
    <row r="47" spans="1:38" x14ac:dyDescent="0.35">
      <c r="A47" s="47">
        <v>5</v>
      </c>
      <c r="B47" s="18" t="s">
        <v>225</v>
      </c>
      <c r="C47" s="102">
        <v>0.88300000000000001</v>
      </c>
      <c r="D47" s="102">
        <v>0.89800000000000002</v>
      </c>
      <c r="E47" s="102">
        <v>0.996</v>
      </c>
      <c r="F47" s="102">
        <v>1.0489999999999999</v>
      </c>
      <c r="G47" s="102">
        <v>1.175</v>
      </c>
      <c r="H47" s="102">
        <v>1.331</v>
      </c>
      <c r="I47" s="102">
        <v>1.3029999999999999</v>
      </c>
      <c r="J47" s="102">
        <v>1.367</v>
      </c>
      <c r="K47" s="102">
        <v>1.5029999999999999</v>
      </c>
      <c r="L47" s="102">
        <v>1.627</v>
      </c>
      <c r="M47" s="102">
        <v>1.669</v>
      </c>
      <c r="N47" s="102">
        <v>1.67</v>
      </c>
      <c r="O47" s="102">
        <v>1.7070000000000001</v>
      </c>
      <c r="P47" s="102">
        <v>1.583</v>
      </c>
      <c r="Q47" s="102">
        <v>1.502</v>
      </c>
      <c r="R47" s="102">
        <v>1.56</v>
      </c>
      <c r="S47" s="102">
        <v>1.7230000000000001</v>
      </c>
      <c r="T47" s="102">
        <v>1.71</v>
      </c>
      <c r="U47" s="102">
        <v>1.736</v>
      </c>
      <c r="V47" s="102">
        <v>1.716</v>
      </c>
      <c r="W47" s="102">
        <v>1.7370000000000001</v>
      </c>
      <c r="X47" s="102">
        <v>1.8120000000000001</v>
      </c>
      <c r="Y47" s="102">
        <v>1.853</v>
      </c>
      <c r="Z47" s="102">
        <v>1.9119999999999999</v>
      </c>
      <c r="AA47" s="102">
        <v>1.8320000000000001</v>
      </c>
      <c r="AB47" s="102">
        <v>1.82</v>
      </c>
      <c r="AC47" s="102">
        <v>1.9550000000000001</v>
      </c>
      <c r="AD47" s="102">
        <v>1.9670000000000001</v>
      </c>
      <c r="AE47" s="102">
        <v>1.9810000000000001</v>
      </c>
      <c r="AF47" s="102">
        <v>1.998</v>
      </c>
      <c r="AG47" s="102">
        <v>1.998</v>
      </c>
      <c r="AH47" s="102">
        <v>1.998</v>
      </c>
      <c r="AI47" s="102">
        <v>1.9990000000000001</v>
      </c>
      <c r="AJ47" s="102">
        <v>2</v>
      </c>
      <c r="AK47" s="102">
        <v>2.0019999999999998</v>
      </c>
      <c r="AL47" s="102">
        <v>2.004</v>
      </c>
    </row>
    <row r="48" spans="1:38" x14ac:dyDescent="0.35">
      <c r="A48" s="47">
        <v>6</v>
      </c>
      <c r="B48" s="18" t="s">
        <v>226</v>
      </c>
      <c r="C48" s="102">
        <v>0.28199999999999997</v>
      </c>
      <c r="D48" s="102">
        <v>0.255</v>
      </c>
      <c r="E48" s="102">
        <v>0.27500000000000002</v>
      </c>
      <c r="F48" s="102">
        <v>0.436</v>
      </c>
      <c r="G48" s="102">
        <v>0.53700000000000003</v>
      </c>
      <c r="H48" s="102">
        <v>0.66900000000000004</v>
      </c>
      <c r="I48" s="102">
        <v>0.64400000000000002</v>
      </c>
      <c r="J48" s="102">
        <v>0.69499999999999995</v>
      </c>
      <c r="K48" s="102">
        <v>0.69499999999999995</v>
      </c>
      <c r="L48" s="102">
        <v>0.80100000000000005</v>
      </c>
      <c r="M48" s="102">
        <v>0.92800000000000005</v>
      </c>
      <c r="N48" s="102">
        <v>1.0860000000000001</v>
      </c>
      <c r="O48" s="102">
        <v>1.19</v>
      </c>
      <c r="P48" s="102">
        <v>1.1439999999999999</v>
      </c>
      <c r="Q48" s="102">
        <v>1.0409999999999999</v>
      </c>
      <c r="R48" s="102">
        <v>1.2250000000000001</v>
      </c>
      <c r="S48" s="102">
        <v>1.2669999999999999</v>
      </c>
      <c r="T48" s="102">
        <v>1.258</v>
      </c>
      <c r="U48" s="102">
        <v>1.3480000000000001</v>
      </c>
      <c r="V48" s="102">
        <v>1.512</v>
      </c>
      <c r="W48" s="102">
        <v>1.544</v>
      </c>
      <c r="X48" s="102">
        <v>1.425</v>
      </c>
      <c r="Y48" s="102">
        <v>1.248</v>
      </c>
      <c r="Z48" s="102">
        <v>1.218</v>
      </c>
      <c r="AA48" s="102">
        <v>1.1040000000000001</v>
      </c>
      <c r="AB48" s="102">
        <v>0.97799999999999998</v>
      </c>
      <c r="AC48" s="102">
        <v>0.95</v>
      </c>
      <c r="AD48" s="102">
        <v>0.90800000000000003</v>
      </c>
      <c r="AE48" s="102">
        <v>0.90900000000000003</v>
      </c>
      <c r="AF48" s="102">
        <v>0.91100000000000003</v>
      </c>
      <c r="AG48" s="102">
        <v>0.91100000000000003</v>
      </c>
      <c r="AH48" s="102">
        <v>0.91100000000000003</v>
      </c>
      <c r="AI48" s="102">
        <v>0.91</v>
      </c>
      <c r="AJ48" s="102">
        <v>0.91</v>
      </c>
      <c r="AK48" s="102">
        <v>0.91</v>
      </c>
      <c r="AL48" s="102">
        <v>0.91</v>
      </c>
    </row>
    <row r="49" spans="1:38" x14ac:dyDescent="0.35">
      <c r="A49" s="47">
        <v>7</v>
      </c>
      <c r="B49" s="18" t="s">
        <v>227</v>
      </c>
      <c r="C49" s="102">
        <v>0.109</v>
      </c>
      <c r="D49" s="102">
        <v>0.10199999999999999</v>
      </c>
      <c r="E49" s="102">
        <v>0.123</v>
      </c>
      <c r="F49" s="102">
        <v>0.13500000000000001</v>
      </c>
      <c r="G49" s="102">
        <v>0.13500000000000001</v>
      </c>
      <c r="H49" s="102">
        <v>0.13800000000000001</v>
      </c>
      <c r="I49" s="102">
        <v>0.14699999999999999</v>
      </c>
      <c r="J49" s="102">
        <v>0.19</v>
      </c>
      <c r="K49" s="102">
        <v>0.19</v>
      </c>
      <c r="L49" s="102">
        <v>0.189</v>
      </c>
      <c r="M49" s="102">
        <v>0.19400000000000001</v>
      </c>
      <c r="N49" s="102">
        <v>0.20899999999999999</v>
      </c>
      <c r="O49" s="102">
        <v>0.23300000000000001</v>
      </c>
      <c r="P49" s="102">
        <v>0.26300000000000001</v>
      </c>
      <c r="Q49" s="102">
        <v>0.255</v>
      </c>
      <c r="R49" s="102">
        <v>0.29199999999999998</v>
      </c>
      <c r="S49" s="102">
        <v>0.29499999999999998</v>
      </c>
      <c r="T49" s="102">
        <v>0.308</v>
      </c>
      <c r="U49" s="102">
        <v>0.307</v>
      </c>
      <c r="V49" s="102">
        <v>0.313</v>
      </c>
      <c r="W49" s="102">
        <v>0.32</v>
      </c>
      <c r="X49" s="102">
        <v>0.29599999999999999</v>
      </c>
      <c r="Y49" s="102">
        <v>0.316</v>
      </c>
      <c r="Z49" s="102">
        <v>0.29699999999999999</v>
      </c>
      <c r="AA49" s="102">
        <v>0.29099999999999998</v>
      </c>
      <c r="AB49" s="102">
        <v>0.22500000000000001</v>
      </c>
      <c r="AC49" s="102">
        <v>0.215</v>
      </c>
      <c r="AD49" s="102">
        <v>0.216</v>
      </c>
      <c r="AE49" s="102">
        <v>0.218</v>
      </c>
      <c r="AF49" s="102">
        <v>0.22</v>
      </c>
      <c r="AG49" s="102">
        <v>0.22</v>
      </c>
      <c r="AH49" s="102">
        <v>0.22</v>
      </c>
      <c r="AI49" s="102">
        <v>0.22</v>
      </c>
      <c r="AJ49" s="102">
        <v>0.22</v>
      </c>
      <c r="AK49" s="102">
        <v>0.22</v>
      </c>
      <c r="AL49" s="102">
        <v>0.22</v>
      </c>
    </row>
    <row r="50" spans="1:38" x14ac:dyDescent="0.35">
      <c r="A50" s="47">
        <v>8</v>
      </c>
      <c r="B50" s="18" t="s">
        <v>228</v>
      </c>
      <c r="C50" s="102">
        <v>5.1999999999999998E-2</v>
      </c>
      <c r="D50" s="102">
        <v>4.7E-2</v>
      </c>
      <c r="E50" s="102">
        <v>0.05</v>
      </c>
      <c r="F50" s="102">
        <v>7.1999999999999995E-2</v>
      </c>
      <c r="G50" s="102">
        <v>9.1999999999999998E-2</v>
      </c>
      <c r="H50" s="102">
        <v>0.124</v>
      </c>
      <c r="I50" s="102">
        <v>0.14299999999999999</v>
      </c>
      <c r="J50" s="102">
        <v>0.16300000000000001</v>
      </c>
      <c r="K50" s="102">
        <v>0.17399999999999999</v>
      </c>
      <c r="L50" s="102">
        <v>0.16900000000000001</v>
      </c>
      <c r="M50" s="102">
        <v>0.157</v>
      </c>
      <c r="N50" s="102">
        <v>0.123</v>
      </c>
      <c r="O50" s="102">
        <v>0.108</v>
      </c>
      <c r="P50" s="102">
        <v>7.2999999999999995E-2</v>
      </c>
      <c r="Q50" s="102">
        <v>5.8000000000000003E-2</v>
      </c>
      <c r="R50" s="102">
        <v>4.9000000000000002E-2</v>
      </c>
      <c r="S50" s="102">
        <v>5.3999999999999999E-2</v>
      </c>
      <c r="T50" s="102">
        <v>5.7000000000000002E-2</v>
      </c>
      <c r="U50" s="102">
        <v>5.7000000000000002E-2</v>
      </c>
      <c r="V50" s="102">
        <v>5.8000000000000003E-2</v>
      </c>
      <c r="W50" s="102">
        <v>5.8999999999999997E-2</v>
      </c>
      <c r="X50" s="102">
        <v>6.6000000000000003E-2</v>
      </c>
      <c r="Y50" s="102">
        <v>6.6000000000000003E-2</v>
      </c>
      <c r="Z50" s="102">
        <v>6.6000000000000003E-2</v>
      </c>
      <c r="AA50" s="102">
        <v>9.9000000000000005E-2</v>
      </c>
      <c r="AB50" s="102">
        <v>9.8000000000000004E-2</v>
      </c>
      <c r="AC50" s="102">
        <v>9.0999999999999998E-2</v>
      </c>
      <c r="AD50" s="102">
        <v>9.1999999999999998E-2</v>
      </c>
      <c r="AE50" s="102">
        <v>9.4E-2</v>
      </c>
      <c r="AF50" s="102">
        <v>9.5000000000000001E-2</v>
      </c>
      <c r="AG50" s="102">
        <v>9.5000000000000001E-2</v>
      </c>
      <c r="AH50" s="102">
        <v>9.6000000000000002E-2</v>
      </c>
      <c r="AI50" s="102">
        <v>9.6000000000000002E-2</v>
      </c>
      <c r="AJ50" s="102">
        <v>9.6000000000000002E-2</v>
      </c>
      <c r="AK50" s="102">
        <v>9.6000000000000002E-2</v>
      </c>
      <c r="AL50" s="102">
        <v>9.6000000000000002E-2</v>
      </c>
    </row>
    <row r="51" spans="1:38" x14ac:dyDescent="0.35">
      <c r="A51" s="47">
        <v>9</v>
      </c>
      <c r="B51" s="18" t="s">
        <v>229</v>
      </c>
      <c r="C51" s="102">
        <v>0.311</v>
      </c>
      <c r="D51" s="102">
        <v>0.308</v>
      </c>
      <c r="E51" s="102">
        <v>0.308</v>
      </c>
      <c r="F51" s="102">
        <v>0.30199999999999999</v>
      </c>
      <c r="G51" s="102">
        <v>0.307</v>
      </c>
      <c r="H51" s="102">
        <v>0.33400000000000002</v>
      </c>
      <c r="I51" s="102">
        <v>0.34200000000000003</v>
      </c>
      <c r="J51" s="102">
        <v>0.33400000000000002</v>
      </c>
      <c r="K51" s="102">
        <v>0.34599999999999997</v>
      </c>
      <c r="L51" s="102">
        <v>0.35299999999999998</v>
      </c>
      <c r="M51" s="102">
        <v>0.40400000000000003</v>
      </c>
      <c r="N51" s="102">
        <v>0.42399999999999999</v>
      </c>
      <c r="O51" s="102">
        <v>0.41799999999999998</v>
      </c>
      <c r="P51" s="102">
        <v>0.40899999999999997</v>
      </c>
      <c r="Q51" s="102">
        <v>0.42099999999999999</v>
      </c>
      <c r="R51" s="102">
        <v>0.44600000000000001</v>
      </c>
      <c r="S51" s="102">
        <v>0.44700000000000001</v>
      </c>
      <c r="T51" s="102">
        <v>0.46500000000000002</v>
      </c>
      <c r="U51" s="102">
        <v>0.48899999999999999</v>
      </c>
      <c r="V51" s="102">
        <v>0.52800000000000002</v>
      </c>
      <c r="W51" s="102">
        <v>0.57099999999999995</v>
      </c>
      <c r="X51" s="102">
        <v>0.52900000000000003</v>
      </c>
      <c r="Y51" s="102">
        <v>0.53300000000000003</v>
      </c>
      <c r="Z51" s="102">
        <v>0.55300000000000005</v>
      </c>
      <c r="AA51" s="102">
        <v>0.57399999999999995</v>
      </c>
      <c r="AB51" s="102">
        <v>0.53700000000000003</v>
      </c>
      <c r="AC51" s="102">
        <v>0.56799999999999995</v>
      </c>
      <c r="AD51" s="102">
        <v>0.56999999999999995</v>
      </c>
      <c r="AE51" s="102">
        <v>0.57199999999999995</v>
      </c>
      <c r="AF51" s="102">
        <v>0.57499999999999996</v>
      </c>
      <c r="AG51" s="102">
        <v>0.57499999999999996</v>
      </c>
      <c r="AH51" s="102">
        <v>0.57499999999999996</v>
      </c>
      <c r="AI51" s="102">
        <v>0.57499999999999996</v>
      </c>
      <c r="AJ51" s="102">
        <v>0.57499999999999996</v>
      </c>
      <c r="AK51" s="102">
        <v>0.57499999999999996</v>
      </c>
      <c r="AL51" s="102">
        <v>0.57499999999999996</v>
      </c>
    </row>
    <row r="52" spans="1:38" x14ac:dyDescent="0.35">
      <c r="A52" s="47">
        <v>10</v>
      </c>
      <c r="B52" s="18" t="s">
        <v>230</v>
      </c>
      <c r="C52" s="102">
        <v>0.126</v>
      </c>
      <c r="D52" s="102">
        <v>0.115</v>
      </c>
      <c r="E52" s="102">
        <v>0.109</v>
      </c>
      <c r="F52" s="102">
        <v>0.105</v>
      </c>
      <c r="G52" s="102">
        <v>0.10299999999999999</v>
      </c>
      <c r="H52" s="102">
        <v>8.7999999999999995E-2</v>
      </c>
      <c r="I52" s="102">
        <v>8.1000000000000003E-2</v>
      </c>
      <c r="J52" s="102">
        <v>7.5999999999999998E-2</v>
      </c>
      <c r="K52" s="102">
        <v>7.1999999999999995E-2</v>
      </c>
      <c r="L52" s="102">
        <v>7.1999999999999995E-2</v>
      </c>
      <c r="M52" s="102">
        <v>7.8E-2</v>
      </c>
      <c r="N52" s="102">
        <v>8.4000000000000005E-2</v>
      </c>
      <c r="O52" s="102">
        <v>8.3000000000000004E-2</v>
      </c>
      <c r="P52" s="102">
        <v>0.08</v>
      </c>
      <c r="Q52" s="102">
        <v>7.9000000000000001E-2</v>
      </c>
      <c r="R52" s="102">
        <v>7.6999999999999999E-2</v>
      </c>
      <c r="S52" s="102">
        <v>7.2999999999999995E-2</v>
      </c>
      <c r="T52" s="102">
        <v>7.0999999999999994E-2</v>
      </c>
      <c r="U52" s="102">
        <v>6.3E-2</v>
      </c>
      <c r="V52" s="102">
        <v>5.5E-2</v>
      </c>
      <c r="W52" s="102">
        <v>5.7000000000000002E-2</v>
      </c>
      <c r="X52" s="102">
        <v>5.8000000000000003E-2</v>
      </c>
      <c r="Y52" s="102">
        <v>5.2999999999999999E-2</v>
      </c>
      <c r="Z52" s="102">
        <v>4.9000000000000002E-2</v>
      </c>
      <c r="AA52" s="102">
        <v>0.04</v>
      </c>
      <c r="AB52" s="102">
        <v>3.1E-2</v>
      </c>
      <c r="AC52" s="102">
        <v>3.6999999999999998E-2</v>
      </c>
      <c r="AD52" s="102">
        <v>3.6999999999999998E-2</v>
      </c>
      <c r="AE52" s="102">
        <v>3.7999999999999999E-2</v>
      </c>
      <c r="AF52" s="102">
        <v>3.7999999999999999E-2</v>
      </c>
      <c r="AG52" s="102">
        <v>3.7999999999999999E-2</v>
      </c>
      <c r="AH52" s="102">
        <v>3.7999999999999999E-2</v>
      </c>
      <c r="AI52" s="102">
        <v>3.7999999999999999E-2</v>
      </c>
      <c r="AJ52" s="102">
        <v>3.7999999999999999E-2</v>
      </c>
      <c r="AK52" s="102">
        <v>3.7999999999999999E-2</v>
      </c>
      <c r="AL52" s="102">
        <v>3.7999999999999999E-2</v>
      </c>
    </row>
  </sheetData>
  <conditionalFormatting sqref="A42">
    <cfRule type="expression" dxfId="20" priority="6">
      <formula>#REF!&gt;1</formula>
    </cfRule>
  </conditionalFormatting>
  <conditionalFormatting sqref="N14:AL14 N27:AL28 C28:M28 C7:AL13">
    <cfRule type="cellIs" dxfId="19" priority="9" operator="equal">
      <formula>0</formula>
    </cfRule>
  </conditionalFormatting>
  <conditionalFormatting sqref="A16">
    <cfRule type="expression" dxfId="18" priority="8">
      <formula>#REF!&gt;1</formula>
    </cfRule>
  </conditionalFormatting>
  <conditionalFormatting sqref="E15:AC15 C16:AL26">
    <cfRule type="cellIs" dxfId="17" priority="7" operator="equal">
      <formula>0</formula>
    </cfRule>
  </conditionalFormatting>
  <conditionalFormatting sqref="C34:AL39">
    <cfRule type="cellIs" dxfId="16" priority="5" operator="equal">
      <formula>0</formula>
    </cfRule>
  </conditionalFormatting>
  <conditionalFormatting sqref="C42:AL52">
    <cfRule type="cellIs" dxfId="15" priority="4" operator="equal">
      <formula>0</formula>
    </cfRule>
  </conditionalFormatting>
  <conditionalFormatting sqref="E41:AC41">
    <cfRule type="cellIs" dxfId="14" priority="2" operator="equal">
      <formula>0</formula>
    </cfRule>
  </conditionalFormatting>
  <conditionalFormatting sqref="N40:AL40">
    <cfRule type="cellIs" dxfId="13" priority="1" operator="equal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7"/>
  <dimension ref="A1:HS3007"/>
  <sheetViews>
    <sheetView workbookViewId="0">
      <selection activeCell="G59" sqref="G59:BE59"/>
    </sheetView>
  </sheetViews>
  <sheetFormatPr defaultColWidth="8.81640625" defaultRowHeight="14.5" x14ac:dyDescent="0.35"/>
  <cols>
    <col min="1" max="16384" width="8.81640625" style="18"/>
  </cols>
  <sheetData>
    <row r="1" spans="1:227" ht="21" x14ac:dyDescent="0.5">
      <c r="A1" s="20" t="s">
        <v>67</v>
      </c>
    </row>
    <row r="3" spans="1:227" x14ac:dyDescent="0.35">
      <c r="A3" s="22" t="s">
        <v>114</v>
      </c>
    </row>
    <row r="4" spans="1:227" x14ac:dyDescent="0.35">
      <c r="G4" s="21" t="s">
        <v>58</v>
      </c>
    </row>
    <row r="5" spans="1:227" x14ac:dyDescent="0.35">
      <c r="A5" s="21" t="s">
        <v>57</v>
      </c>
      <c r="G5" s="124">
        <v>1980</v>
      </c>
      <c r="H5" s="124">
        <v>1981</v>
      </c>
      <c r="I5" s="124">
        <v>1982</v>
      </c>
      <c r="J5" s="124">
        <v>1983</v>
      </c>
      <c r="K5" s="124">
        <v>1984</v>
      </c>
      <c r="L5" s="124">
        <v>1985</v>
      </c>
      <c r="M5" s="124">
        <v>1986</v>
      </c>
      <c r="N5" s="124">
        <v>1987</v>
      </c>
      <c r="O5" s="124">
        <v>1988</v>
      </c>
      <c r="P5" s="124">
        <v>1989</v>
      </c>
      <c r="Q5" s="124">
        <v>1990</v>
      </c>
      <c r="R5" s="124">
        <v>1991</v>
      </c>
      <c r="S5" s="124">
        <v>1992</v>
      </c>
      <c r="T5" s="124">
        <v>1993</v>
      </c>
      <c r="U5" s="124">
        <v>1994</v>
      </c>
      <c r="V5" s="124">
        <v>1995</v>
      </c>
      <c r="W5" s="124">
        <v>1996</v>
      </c>
      <c r="X5" s="124">
        <v>1997</v>
      </c>
      <c r="Y5" s="124">
        <v>1998</v>
      </c>
      <c r="Z5" s="124">
        <v>1999</v>
      </c>
      <c r="AA5" s="124">
        <v>2000</v>
      </c>
      <c r="AB5" s="124">
        <v>2001</v>
      </c>
      <c r="AC5" s="124">
        <v>2002</v>
      </c>
      <c r="AD5" s="124">
        <v>2003</v>
      </c>
      <c r="AE5" s="124">
        <v>2004</v>
      </c>
      <c r="AF5" s="124">
        <v>2005</v>
      </c>
      <c r="AG5" s="124">
        <v>2006</v>
      </c>
      <c r="AH5" s="124">
        <v>2007</v>
      </c>
      <c r="AI5" s="124">
        <v>2008</v>
      </c>
      <c r="AJ5" s="124">
        <v>2009</v>
      </c>
      <c r="AK5" s="124">
        <v>2010</v>
      </c>
      <c r="AL5" s="124">
        <v>2011</v>
      </c>
      <c r="AM5" s="124">
        <v>2012</v>
      </c>
      <c r="AN5" s="124">
        <v>2013</v>
      </c>
      <c r="AO5" s="124">
        <v>2014</v>
      </c>
      <c r="AP5" s="124">
        <v>2015</v>
      </c>
      <c r="AQ5" s="124">
        <v>2016</v>
      </c>
      <c r="AR5" s="124">
        <v>2017</v>
      </c>
      <c r="AS5" s="124">
        <v>2018</v>
      </c>
      <c r="AT5" s="124">
        <v>2019</v>
      </c>
      <c r="AU5" s="124">
        <v>2020</v>
      </c>
      <c r="AV5" s="124">
        <v>2021</v>
      </c>
      <c r="AW5" s="124">
        <v>2022</v>
      </c>
      <c r="AX5" s="124">
        <v>2023</v>
      </c>
      <c r="AY5" s="124">
        <v>2024</v>
      </c>
      <c r="AZ5" s="124">
        <v>2025</v>
      </c>
      <c r="BA5" s="124">
        <v>2026</v>
      </c>
      <c r="BB5" s="124">
        <v>2027</v>
      </c>
      <c r="BC5" s="124">
        <v>2028</v>
      </c>
      <c r="BD5" s="124">
        <v>2029</v>
      </c>
      <c r="BE5" s="124">
        <v>2030</v>
      </c>
      <c r="BF5" s="124"/>
      <c r="BG5" s="124"/>
      <c r="BH5" s="124"/>
      <c r="BI5" s="124"/>
      <c r="BJ5" s="124"/>
      <c r="BK5" s="124"/>
      <c r="BL5" s="124"/>
      <c r="BM5" s="124"/>
      <c r="BN5" s="124"/>
      <c r="BO5" s="124"/>
      <c r="BP5" s="124"/>
      <c r="BQ5" s="124"/>
      <c r="BR5" s="124"/>
      <c r="BS5" s="124"/>
      <c r="BT5" s="124"/>
      <c r="BU5" s="124"/>
      <c r="BV5" s="124"/>
      <c r="BW5" s="124"/>
      <c r="BX5" s="124"/>
      <c r="BY5" s="124"/>
      <c r="BZ5" s="124"/>
      <c r="CA5" s="124"/>
      <c r="CB5" s="124"/>
      <c r="CC5" s="124"/>
      <c r="CD5" s="124"/>
      <c r="CE5" s="124"/>
      <c r="CF5" s="124"/>
      <c r="CG5" s="124"/>
      <c r="CH5" s="124"/>
      <c r="CI5" s="124"/>
      <c r="CJ5" s="124"/>
      <c r="CK5" s="124"/>
      <c r="CL5" s="124"/>
      <c r="CM5" s="124"/>
      <c r="CN5" s="124"/>
      <c r="CO5" s="124"/>
      <c r="CP5" s="124"/>
      <c r="CQ5" s="124"/>
      <c r="CR5" s="124"/>
      <c r="CS5" s="124"/>
      <c r="CT5" s="124"/>
      <c r="CU5" s="124"/>
      <c r="CV5" s="124"/>
      <c r="CW5" s="124"/>
      <c r="CX5" s="124"/>
      <c r="CY5" s="124"/>
      <c r="CZ5" s="124"/>
      <c r="DA5" s="124"/>
      <c r="DB5" s="124"/>
      <c r="DC5" s="124"/>
      <c r="DD5" s="124"/>
      <c r="DE5" s="124"/>
      <c r="DF5" s="124"/>
      <c r="DG5" s="124"/>
      <c r="DH5" s="124"/>
      <c r="DI5" s="124"/>
      <c r="DJ5" s="124"/>
      <c r="DK5" s="124"/>
      <c r="DL5" s="124"/>
      <c r="DM5" s="124"/>
      <c r="DN5" s="124"/>
      <c r="DO5" s="124"/>
      <c r="DP5" s="124"/>
      <c r="DQ5" s="124"/>
      <c r="DR5" s="124"/>
      <c r="DS5" s="124"/>
      <c r="DT5" s="124"/>
      <c r="DU5" s="124"/>
      <c r="DV5" s="124"/>
      <c r="DW5" s="124"/>
      <c r="DX5" s="124"/>
      <c r="DY5" s="124"/>
      <c r="DZ5" s="124"/>
      <c r="EA5" s="124"/>
      <c r="EB5" s="124"/>
      <c r="EC5" s="124"/>
      <c r="ED5" s="124"/>
      <c r="EE5" s="124"/>
      <c r="EF5" s="124"/>
      <c r="EG5" s="124"/>
      <c r="EH5" s="124"/>
      <c r="EI5" s="124"/>
      <c r="EJ5" s="124"/>
      <c r="EK5" s="124"/>
      <c r="EL5" s="124"/>
      <c r="EM5" s="124"/>
      <c r="EN5" s="124"/>
      <c r="EO5" s="124"/>
      <c r="EP5" s="124"/>
      <c r="EQ5" s="124"/>
      <c r="ER5" s="124"/>
      <c r="ES5" s="124"/>
      <c r="ET5" s="124"/>
      <c r="EU5" s="124"/>
      <c r="EV5" s="124"/>
      <c r="EW5" s="124"/>
      <c r="EX5" s="124"/>
      <c r="EY5" s="124"/>
      <c r="EZ5" s="124"/>
      <c r="FA5" s="124"/>
      <c r="FB5" s="124"/>
      <c r="FC5" s="124"/>
      <c r="FD5" s="124"/>
      <c r="FE5" s="124"/>
      <c r="FF5" s="124"/>
      <c r="FG5" s="124"/>
      <c r="FH5" s="124"/>
      <c r="FI5" s="124"/>
      <c r="FJ5" s="124"/>
      <c r="FK5" s="124"/>
      <c r="FL5" s="124"/>
      <c r="FM5" s="124"/>
      <c r="FN5" s="124"/>
      <c r="FO5" s="124"/>
      <c r="FP5" s="124"/>
      <c r="FQ5" s="124"/>
      <c r="FR5" s="124"/>
      <c r="FS5" s="124"/>
      <c r="FT5" s="124"/>
      <c r="FU5" s="124"/>
      <c r="FV5" s="124"/>
      <c r="FW5" s="124"/>
      <c r="FX5" s="124"/>
      <c r="FY5" s="124"/>
      <c r="FZ5" s="124"/>
      <c r="GA5" s="124"/>
      <c r="GB5" s="124"/>
      <c r="GC5" s="124"/>
      <c r="GD5" s="124"/>
      <c r="GE5" s="124"/>
      <c r="GF5" s="124"/>
      <c r="GG5" s="124"/>
      <c r="GH5" s="124"/>
      <c r="GI5" s="124"/>
      <c r="GJ5" s="124"/>
      <c r="GK5" s="124"/>
      <c r="GL5" s="124"/>
      <c r="GM5" s="124"/>
      <c r="GN5" s="124"/>
      <c r="GO5" s="124"/>
      <c r="GP5" s="124"/>
      <c r="GQ5" s="124"/>
      <c r="GR5" s="124"/>
      <c r="GS5" s="124"/>
      <c r="GT5" s="124"/>
      <c r="GU5" s="124"/>
      <c r="GV5" s="124"/>
      <c r="GW5" s="124"/>
      <c r="GX5" s="124"/>
      <c r="GY5" s="124"/>
      <c r="GZ5" s="124"/>
      <c r="HA5" s="124"/>
      <c r="HB5" s="124"/>
      <c r="HC5" s="124"/>
      <c r="HD5" s="124"/>
      <c r="HE5" s="124"/>
      <c r="HF5" s="124"/>
      <c r="HG5" s="124"/>
      <c r="HH5" s="124"/>
      <c r="HI5" s="124"/>
      <c r="HJ5" s="124"/>
      <c r="HK5" s="124"/>
      <c r="HL5" s="124"/>
      <c r="HM5" s="124"/>
      <c r="HN5" s="124"/>
      <c r="HO5" s="124"/>
      <c r="HP5" s="124"/>
      <c r="HQ5" s="124"/>
      <c r="HR5" s="124"/>
      <c r="HS5" s="124"/>
    </row>
    <row r="6" spans="1:227" x14ac:dyDescent="0.35">
      <c r="A6" s="127" t="s">
        <v>2</v>
      </c>
      <c r="G6" s="126">
        <v>2</v>
      </c>
      <c r="H6" s="126">
        <v>2</v>
      </c>
      <c r="I6" s="126">
        <v>2</v>
      </c>
      <c r="J6" s="126">
        <v>2</v>
      </c>
      <c r="K6" s="126">
        <v>2</v>
      </c>
      <c r="L6" s="126">
        <v>2</v>
      </c>
      <c r="M6" s="126">
        <v>2</v>
      </c>
      <c r="N6" s="126">
        <v>2</v>
      </c>
      <c r="O6" s="126">
        <v>2</v>
      </c>
      <c r="P6" s="126">
        <v>2</v>
      </c>
      <c r="Q6" s="126">
        <v>2</v>
      </c>
      <c r="R6" s="126">
        <v>2</v>
      </c>
      <c r="S6" s="126">
        <v>2</v>
      </c>
      <c r="T6" s="126">
        <v>2</v>
      </c>
      <c r="U6" s="126">
        <v>2</v>
      </c>
      <c r="V6" s="126">
        <v>2</v>
      </c>
      <c r="W6" s="126">
        <v>2</v>
      </c>
      <c r="X6" s="126">
        <v>2</v>
      </c>
      <c r="Y6" s="126">
        <v>2</v>
      </c>
      <c r="Z6" s="126">
        <v>2</v>
      </c>
      <c r="AA6" s="126">
        <v>2</v>
      </c>
      <c r="AB6" s="126">
        <v>2</v>
      </c>
      <c r="AC6" s="126">
        <v>2</v>
      </c>
      <c r="AD6" s="126">
        <v>2</v>
      </c>
      <c r="AE6" s="126">
        <v>2</v>
      </c>
      <c r="AF6" s="126">
        <v>2</v>
      </c>
      <c r="AG6" s="126">
        <v>2</v>
      </c>
      <c r="AH6" s="126">
        <v>2</v>
      </c>
      <c r="AI6" s="126">
        <v>2</v>
      </c>
      <c r="AJ6" s="126">
        <v>2</v>
      </c>
      <c r="AK6" s="126">
        <v>2</v>
      </c>
      <c r="AL6" s="126">
        <v>2</v>
      </c>
      <c r="AM6" s="126">
        <v>2</v>
      </c>
      <c r="AN6" s="126">
        <v>2</v>
      </c>
      <c r="AO6" s="126">
        <v>2</v>
      </c>
      <c r="AP6" s="126">
        <v>2</v>
      </c>
      <c r="AQ6" s="126">
        <v>2</v>
      </c>
      <c r="AR6" s="126">
        <v>2</v>
      </c>
      <c r="AS6" s="126">
        <v>2</v>
      </c>
      <c r="AT6" s="126">
        <v>2</v>
      </c>
      <c r="AU6" s="126">
        <v>2</v>
      </c>
      <c r="AV6" s="126">
        <v>2</v>
      </c>
      <c r="AW6" s="126">
        <v>2</v>
      </c>
      <c r="AX6" s="126">
        <v>2</v>
      </c>
      <c r="AY6" s="126">
        <v>2</v>
      </c>
      <c r="AZ6" s="126">
        <v>2</v>
      </c>
      <c r="BA6" s="126">
        <v>2</v>
      </c>
      <c r="BB6" s="126">
        <v>2</v>
      </c>
      <c r="BC6" s="126">
        <v>2</v>
      </c>
      <c r="BD6" s="126">
        <v>2</v>
      </c>
      <c r="BE6" s="126">
        <v>2</v>
      </c>
    </row>
    <row r="7" spans="1:227" x14ac:dyDescent="0.35">
      <c r="A7" s="127" t="s">
        <v>3</v>
      </c>
      <c r="G7" s="126">
        <v>2</v>
      </c>
      <c r="H7" s="126">
        <v>2</v>
      </c>
      <c r="I7" s="126">
        <v>2</v>
      </c>
      <c r="J7" s="126">
        <v>2</v>
      </c>
      <c r="K7" s="126">
        <v>2</v>
      </c>
      <c r="L7" s="126">
        <v>2</v>
      </c>
      <c r="M7" s="126">
        <v>2</v>
      </c>
      <c r="N7" s="126">
        <v>2</v>
      </c>
      <c r="O7" s="126">
        <v>2</v>
      </c>
      <c r="P7" s="126">
        <v>2</v>
      </c>
      <c r="Q7" s="126">
        <v>2</v>
      </c>
      <c r="R7" s="126">
        <v>2</v>
      </c>
      <c r="S7" s="126">
        <v>2</v>
      </c>
      <c r="T7" s="126">
        <v>2</v>
      </c>
      <c r="U7" s="126">
        <v>2</v>
      </c>
      <c r="V7" s="126">
        <v>2</v>
      </c>
      <c r="W7" s="126">
        <v>2</v>
      </c>
      <c r="X7" s="126">
        <v>2</v>
      </c>
      <c r="Y7" s="126">
        <v>2</v>
      </c>
      <c r="Z7" s="126">
        <v>2</v>
      </c>
      <c r="AA7" s="126">
        <v>2</v>
      </c>
      <c r="AB7" s="126">
        <v>2</v>
      </c>
      <c r="AC7" s="126">
        <v>2</v>
      </c>
      <c r="AD7" s="126">
        <v>2</v>
      </c>
      <c r="AE7" s="126">
        <v>2</v>
      </c>
      <c r="AF7" s="126">
        <v>2</v>
      </c>
      <c r="AG7" s="126">
        <v>2</v>
      </c>
      <c r="AH7" s="126">
        <v>2</v>
      </c>
      <c r="AI7" s="126">
        <v>2</v>
      </c>
      <c r="AJ7" s="126">
        <v>2</v>
      </c>
      <c r="AK7" s="126">
        <v>2</v>
      </c>
      <c r="AL7" s="126">
        <v>2</v>
      </c>
      <c r="AM7" s="126">
        <v>2</v>
      </c>
      <c r="AN7" s="126">
        <v>2</v>
      </c>
      <c r="AO7" s="126">
        <v>2</v>
      </c>
      <c r="AP7" s="126">
        <v>2</v>
      </c>
      <c r="AQ7" s="126">
        <v>2</v>
      </c>
      <c r="AR7" s="126">
        <v>2</v>
      </c>
      <c r="AS7" s="126">
        <v>2</v>
      </c>
      <c r="AT7" s="126">
        <v>2</v>
      </c>
      <c r="AU7" s="126">
        <v>2</v>
      </c>
      <c r="AV7" s="126">
        <v>2</v>
      </c>
      <c r="AW7" s="126">
        <v>2</v>
      </c>
      <c r="AX7" s="126">
        <v>2</v>
      </c>
      <c r="AY7" s="126">
        <v>2</v>
      </c>
      <c r="AZ7" s="126">
        <v>2</v>
      </c>
      <c r="BA7" s="126">
        <v>2</v>
      </c>
      <c r="BB7" s="126">
        <v>2</v>
      </c>
      <c r="BC7" s="126">
        <v>2</v>
      </c>
      <c r="BD7" s="126">
        <v>2</v>
      </c>
      <c r="BE7" s="126">
        <v>2</v>
      </c>
    </row>
    <row r="8" spans="1:227" x14ac:dyDescent="0.35">
      <c r="A8" s="127" t="s">
        <v>4</v>
      </c>
      <c r="G8" s="126">
        <v>1</v>
      </c>
      <c r="H8" s="126">
        <v>1</v>
      </c>
      <c r="I8" s="126">
        <v>1</v>
      </c>
      <c r="J8" s="126">
        <v>1</v>
      </c>
      <c r="K8" s="126">
        <v>1</v>
      </c>
      <c r="L8" s="126">
        <v>1</v>
      </c>
      <c r="M8" s="126">
        <v>1</v>
      </c>
      <c r="N8" s="126">
        <v>1</v>
      </c>
      <c r="O8" s="126">
        <v>1</v>
      </c>
      <c r="P8" s="126">
        <v>1</v>
      </c>
      <c r="Q8" s="126">
        <v>1</v>
      </c>
      <c r="R8" s="126">
        <v>1</v>
      </c>
      <c r="S8" s="126">
        <v>1</v>
      </c>
      <c r="T8" s="126">
        <v>1</v>
      </c>
      <c r="U8" s="126">
        <v>1</v>
      </c>
      <c r="V8" s="126">
        <v>1</v>
      </c>
      <c r="W8" s="126">
        <v>1</v>
      </c>
      <c r="X8" s="126">
        <v>1</v>
      </c>
      <c r="Y8" s="126">
        <v>1</v>
      </c>
      <c r="Z8" s="126">
        <v>1</v>
      </c>
      <c r="AA8" s="126">
        <v>1</v>
      </c>
      <c r="AB8" s="126">
        <v>1</v>
      </c>
      <c r="AC8" s="126">
        <v>1</v>
      </c>
      <c r="AD8" s="126">
        <v>1</v>
      </c>
      <c r="AE8" s="126">
        <v>1</v>
      </c>
      <c r="AF8" s="126">
        <v>1</v>
      </c>
      <c r="AG8" s="126">
        <v>1</v>
      </c>
      <c r="AH8" s="126">
        <v>1</v>
      </c>
      <c r="AI8" s="126">
        <v>1</v>
      </c>
      <c r="AJ8" s="126">
        <v>1</v>
      </c>
      <c r="AK8" s="126">
        <v>1</v>
      </c>
      <c r="AL8" s="126">
        <v>1</v>
      </c>
      <c r="AM8" s="126">
        <v>1</v>
      </c>
      <c r="AN8" s="126">
        <v>1</v>
      </c>
      <c r="AO8" s="126">
        <v>1</v>
      </c>
      <c r="AP8" s="126">
        <v>1</v>
      </c>
      <c r="AQ8" s="126">
        <v>1</v>
      </c>
      <c r="AR8" s="126">
        <v>1</v>
      </c>
      <c r="AS8" s="126">
        <v>1</v>
      </c>
      <c r="AT8" s="126">
        <v>1</v>
      </c>
      <c r="AU8" s="126">
        <v>1</v>
      </c>
      <c r="AV8" s="126">
        <v>1</v>
      </c>
      <c r="AW8" s="126">
        <v>1</v>
      </c>
      <c r="AX8" s="126">
        <v>1</v>
      </c>
      <c r="AY8" s="126">
        <v>1</v>
      </c>
      <c r="AZ8" s="126">
        <v>1</v>
      </c>
      <c r="BA8" s="126">
        <v>1</v>
      </c>
      <c r="BB8" s="126">
        <v>1</v>
      </c>
      <c r="BC8" s="126">
        <v>1</v>
      </c>
      <c r="BD8" s="126">
        <v>1</v>
      </c>
      <c r="BE8" s="126">
        <v>1</v>
      </c>
    </row>
    <row r="9" spans="1:227" x14ac:dyDescent="0.35">
      <c r="A9" s="127" t="s">
        <v>5</v>
      </c>
      <c r="G9" s="126">
        <v>1</v>
      </c>
      <c r="H9" s="126">
        <v>1</v>
      </c>
      <c r="I9" s="126">
        <v>1</v>
      </c>
      <c r="J9" s="126">
        <v>1</v>
      </c>
      <c r="K9" s="126">
        <v>1</v>
      </c>
      <c r="L9" s="126">
        <v>1</v>
      </c>
      <c r="M9" s="126">
        <v>1</v>
      </c>
      <c r="N9" s="126">
        <v>1</v>
      </c>
      <c r="O9" s="126">
        <v>1</v>
      </c>
      <c r="P9" s="126">
        <v>1</v>
      </c>
      <c r="Q9" s="126">
        <v>1</v>
      </c>
      <c r="R9" s="126">
        <v>1</v>
      </c>
      <c r="S9" s="126">
        <v>1</v>
      </c>
      <c r="T9" s="126">
        <v>1</v>
      </c>
      <c r="U9" s="126">
        <v>1</v>
      </c>
      <c r="V9" s="126">
        <v>1</v>
      </c>
      <c r="W9" s="126">
        <v>1</v>
      </c>
      <c r="X9" s="126">
        <v>1</v>
      </c>
      <c r="Y9" s="126">
        <v>1</v>
      </c>
      <c r="Z9" s="126">
        <v>1</v>
      </c>
      <c r="AA9" s="126">
        <v>1</v>
      </c>
      <c r="AB9" s="126">
        <v>1</v>
      </c>
      <c r="AC9" s="126">
        <v>1</v>
      </c>
      <c r="AD9" s="126">
        <v>1</v>
      </c>
      <c r="AE9" s="126">
        <v>1</v>
      </c>
      <c r="AF9" s="126">
        <v>1</v>
      </c>
      <c r="AG9" s="126">
        <v>1</v>
      </c>
      <c r="AH9" s="126">
        <v>1</v>
      </c>
      <c r="AI9" s="126">
        <v>1</v>
      </c>
      <c r="AJ9" s="126">
        <v>1</v>
      </c>
      <c r="AK9" s="126">
        <v>1</v>
      </c>
      <c r="AL9" s="126">
        <v>1</v>
      </c>
      <c r="AM9" s="126">
        <v>1</v>
      </c>
      <c r="AN9" s="126">
        <v>1</v>
      </c>
      <c r="AO9" s="126">
        <v>1</v>
      </c>
      <c r="AP9" s="126">
        <v>1</v>
      </c>
      <c r="AQ9" s="126">
        <v>1</v>
      </c>
      <c r="AR9" s="126">
        <v>1</v>
      </c>
      <c r="AS9" s="126">
        <v>1</v>
      </c>
      <c r="AT9" s="126">
        <v>1</v>
      </c>
      <c r="AU9" s="126">
        <v>1</v>
      </c>
      <c r="AV9" s="126">
        <v>1</v>
      </c>
      <c r="AW9" s="126">
        <v>1</v>
      </c>
      <c r="AX9" s="126">
        <v>1</v>
      </c>
      <c r="AY9" s="126">
        <v>1</v>
      </c>
      <c r="AZ9" s="126">
        <v>1</v>
      </c>
      <c r="BA9" s="126">
        <v>1</v>
      </c>
      <c r="BB9" s="126">
        <v>1</v>
      </c>
      <c r="BC9" s="126">
        <v>1</v>
      </c>
      <c r="BD9" s="126">
        <v>1</v>
      </c>
      <c r="BE9" s="126">
        <v>1</v>
      </c>
    </row>
    <row r="10" spans="1:227" x14ac:dyDescent="0.35">
      <c r="A10" s="127" t="s">
        <v>6</v>
      </c>
      <c r="G10" s="126">
        <v>2</v>
      </c>
      <c r="H10" s="126">
        <v>2</v>
      </c>
      <c r="I10" s="126">
        <v>2</v>
      </c>
      <c r="J10" s="126">
        <v>2</v>
      </c>
      <c r="K10" s="126">
        <v>2</v>
      </c>
      <c r="L10" s="126">
        <v>2</v>
      </c>
      <c r="M10" s="126">
        <v>2</v>
      </c>
      <c r="N10" s="126">
        <v>2</v>
      </c>
      <c r="O10" s="126">
        <v>2</v>
      </c>
      <c r="P10" s="126">
        <v>2</v>
      </c>
      <c r="Q10" s="126">
        <v>2</v>
      </c>
      <c r="R10" s="126">
        <v>2</v>
      </c>
      <c r="S10" s="126">
        <v>2</v>
      </c>
      <c r="T10" s="126">
        <v>2</v>
      </c>
      <c r="U10" s="126">
        <v>2</v>
      </c>
      <c r="V10" s="126">
        <v>2</v>
      </c>
      <c r="W10" s="126">
        <v>2</v>
      </c>
      <c r="X10" s="126">
        <v>2</v>
      </c>
      <c r="Y10" s="126">
        <v>2</v>
      </c>
      <c r="Z10" s="126">
        <v>2</v>
      </c>
      <c r="AA10" s="126">
        <v>2</v>
      </c>
      <c r="AB10" s="126">
        <v>2</v>
      </c>
      <c r="AC10" s="126">
        <v>2</v>
      </c>
      <c r="AD10" s="126">
        <v>2</v>
      </c>
      <c r="AE10" s="126">
        <v>2</v>
      </c>
      <c r="AF10" s="126">
        <v>2</v>
      </c>
      <c r="AG10" s="126">
        <v>2</v>
      </c>
      <c r="AH10" s="126">
        <v>2</v>
      </c>
      <c r="AI10" s="126">
        <v>2</v>
      </c>
      <c r="AJ10" s="126">
        <v>2</v>
      </c>
      <c r="AK10" s="126">
        <v>2</v>
      </c>
      <c r="AL10" s="126">
        <v>2</v>
      </c>
      <c r="AM10" s="126">
        <v>2</v>
      </c>
      <c r="AN10" s="126">
        <v>2</v>
      </c>
      <c r="AO10" s="126">
        <v>2</v>
      </c>
      <c r="AP10" s="126">
        <v>2</v>
      </c>
      <c r="AQ10" s="126">
        <v>2</v>
      </c>
      <c r="AR10" s="126">
        <v>2</v>
      </c>
      <c r="AS10" s="126">
        <v>2</v>
      </c>
      <c r="AT10" s="126">
        <v>2</v>
      </c>
      <c r="AU10" s="126">
        <v>2</v>
      </c>
      <c r="AV10" s="126">
        <v>2</v>
      </c>
      <c r="AW10" s="126">
        <v>2</v>
      </c>
      <c r="AX10" s="126">
        <v>2</v>
      </c>
      <c r="AY10" s="126">
        <v>2</v>
      </c>
      <c r="AZ10" s="126">
        <v>2</v>
      </c>
      <c r="BA10" s="126">
        <v>2</v>
      </c>
      <c r="BB10" s="126">
        <v>2</v>
      </c>
      <c r="BC10" s="126">
        <v>2</v>
      </c>
      <c r="BD10" s="126">
        <v>2</v>
      </c>
      <c r="BE10" s="126">
        <v>2</v>
      </c>
    </row>
    <row r="11" spans="1:227" x14ac:dyDescent="0.35">
      <c r="A11" s="127" t="s">
        <v>7</v>
      </c>
      <c r="G11" s="126">
        <v>1</v>
      </c>
      <c r="H11" s="126">
        <v>1</v>
      </c>
      <c r="I11" s="126">
        <v>1</v>
      </c>
      <c r="J11" s="126">
        <v>1</v>
      </c>
      <c r="K11" s="126">
        <v>1</v>
      </c>
      <c r="L11" s="126">
        <v>1</v>
      </c>
      <c r="M11" s="126">
        <v>1</v>
      </c>
      <c r="N11" s="126">
        <v>1</v>
      </c>
      <c r="O11" s="126">
        <v>1</v>
      </c>
      <c r="P11" s="126">
        <v>1</v>
      </c>
      <c r="Q11" s="126">
        <v>1</v>
      </c>
      <c r="R11" s="126">
        <v>1</v>
      </c>
      <c r="S11" s="126">
        <v>1</v>
      </c>
      <c r="T11" s="126">
        <v>1</v>
      </c>
      <c r="U11" s="126">
        <v>1</v>
      </c>
      <c r="V11" s="126">
        <v>1</v>
      </c>
      <c r="W11" s="126">
        <v>1</v>
      </c>
      <c r="X11" s="126">
        <v>1</v>
      </c>
      <c r="Y11" s="126">
        <v>1</v>
      </c>
      <c r="Z11" s="126">
        <v>1</v>
      </c>
      <c r="AA11" s="126">
        <v>1</v>
      </c>
      <c r="AB11" s="126">
        <v>1</v>
      </c>
      <c r="AC11" s="126">
        <v>1</v>
      </c>
      <c r="AD11" s="126">
        <v>1</v>
      </c>
      <c r="AE11" s="126">
        <v>1</v>
      </c>
      <c r="AF11" s="126">
        <v>1</v>
      </c>
      <c r="AG11" s="126">
        <v>1</v>
      </c>
      <c r="AH11" s="126">
        <v>1</v>
      </c>
      <c r="AI11" s="126">
        <v>1</v>
      </c>
      <c r="AJ11" s="126">
        <v>1</v>
      </c>
      <c r="AK11" s="126">
        <v>1</v>
      </c>
      <c r="AL11" s="126">
        <v>1</v>
      </c>
      <c r="AM11" s="126">
        <v>1</v>
      </c>
      <c r="AN11" s="126">
        <v>1</v>
      </c>
      <c r="AO11" s="126">
        <v>1</v>
      </c>
      <c r="AP11" s="126">
        <v>1</v>
      </c>
      <c r="AQ11" s="126">
        <v>1</v>
      </c>
      <c r="AR11" s="126">
        <v>1</v>
      </c>
      <c r="AS11" s="126">
        <v>1</v>
      </c>
      <c r="AT11" s="126">
        <v>1</v>
      </c>
      <c r="AU11" s="126">
        <v>1</v>
      </c>
      <c r="AV11" s="126">
        <v>1</v>
      </c>
      <c r="AW11" s="126">
        <v>1</v>
      </c>
      <c r="AX11" s="126">
        <v>1</v>
      </c>
      <c r="AY11" s="126">
        <v>1</v>
      </c>
      <c r="AZ11" s="126">
        <v>1</v>
      </c>
      <c r="BA11" s="126">
        <v>1</v>
      </c>
      <c r="BB11" s="126">
        <v>1</v>
      </c>
      <c r="BC11" s="126">
        <v>1</v>
      </c>
      <c r="BD11" s="126">
        <v>1</v>
      </c>
      <c r="BE11" s="126">
        <v>1</v>
      </c>
    </row>
    <row r="12" spans="1:227" x14ac:dyDescent="0.35">
      <c r="A12" s="127" t="s">
        <v>8</v>
      </c>
      <c r="G12" s="126">
        <v>2</v>
      </c>
      <c r="H12" s="126">
        <v>2</v>
      </c>
      <c r="I12" s="126">
        <v>2</v>
      </c>
      <c r="J12" s="126">
        <v>2</v>
      </c>
      <c r="K12" s="126">
        <v>2</v>
      </c>
      <c r="L12" s="126">
        <v>2</v>
      </c>
      <c r="M12" s="126">
        <v>2</v>
      </c>
      <c r="N12" s="126">
        <v>2</v>
      </c>
      <c r="O12" s="126">
        <v>2</v>
      </c>
      <c r="P12" s="126">
        <v>2</v>
      </c>
      <c r="Q12" s="126">
        <v>2</v>
      </c>
      <c r="R12" s="126">
        <v>2</v>
      </c>
      <c r="S12" s="126">
        <v>2</v>
      </c>
      <c r="T12" s="126">
        <v>2</v>
      </c>
      <c r="U12" s="126">
        <v>2</v>
      </c>
      <c r="V12" s="126">
        <v>2</v>
      </c>
      <c r="W12" s="126">
        <v>2</v>
      </c>
      <c r="X12" s="126">
        <v>2</v>
      </c>
      <c r="Y12" s="126">
        <v>2</v>
      </c>
      <c r="Z12" s="126">
        <v>2</v>
      </c>
      <c r="AA12" s="126">
        <v>2</v>
      </c>
      <c r="AB12" s="126">
        <v>2</v>
      </c>
      <c r="AC12" s="126">
        <v>2</v>
      </c>
      <c r="AD12" s="126">
        <v>2</v>
      </c>
      <c r="AE12" s="126">
        <v>2</v>
      </c>
      <c r="AF12" s="126">
        <v>2</v>
      </c>
      <c r="AG12" s="126">
        <v>2</v>
      </c>
      <c r="AH12" s="126">
        <v>2</v>
      </c>
      <c r="AI12" s="126">
        <v>2</v>
      </c>
      <c r="AJ12" s="126">
        <v>2</v>
      </c>
      <c r="AK12" s="126">
        <v>2</v>
      </c>
      <c r="AL12" s="126">
        <v>2</v>
      </c>
      <c r="AM12" s="126">
        <v>2</v>
      </c>
      <c r="AN12" s="126">
        <v>2</v>
      </c>
      <c r="AO12" s="126">
        <v>2</v>
      </c>
      <c r="AP12" s="126">
        <v>2</v>
      </c>
      <c r="AQ12" s="126">
        <v>2</v>
      </c>
      <c r="AR12" s="126">
        <v>2</v>
      </c>
      <c r="AS12" s="126">
        <v>2</v>
      </c>
      <c r="AT12" s="126">
        <v>2</v>
      </c>
      <c r="AU12" s="126">
        <v>2</v>
      </c>
      <c r="AV12" s="126">
        <v>2</v>
      </c>
      <c r="AW12" s="126">
        <v>2</v>
      </c>
      <c r="AX12" s="126">
        <v>2</v>
      </c>
      <c r="AY12" s="126">
        <v>2</v>
      </c>
      <c r="AZ12" s="126">
        <v>2</v>
      </c>
      <c r="BA12" s="126">
        <v>2</v>
      </c>
      <c r="BB12" s="126">
        <v>2</v>
      </c>
      <c r="BC12" s="126">
        <v>2</v>
      </c>
      <c r="BD12" s="126">
        <v>2</v>
      </c>
      <c r="BE12" s="126">
        <v>2</v>
      </c>
    </row>
    <row r="13" spans="1:227" x14ac:dyDescent="0.35">
      <c r="A13" s="127" t="s">
        <v>9</v>
      </c>
      <c r="G13" s="126">
        <v>2</v>
      </c>
      <c r="H13" s="126">
        <v>2</v>
      </c>
      <c r="I13" s="126">
        <v>2</v>
      </c>
      <c r="J13" s="126">
        <v>2</v>
      </c>
      <c r="K13" s="126">
        <v>2</v>
      </c>
      <c r="L13" s="126">
        <v>2</v>
      </c>
      <c r="M13" s="126">
        <v>2</v>
      </c>
      <c r="N13" s="126">
        <v>2</v>
      </c>
      <c r="O13" s="126">
        <v>2</v>
      </c>
      <c r="P13" s="126">
        <v>2</v>
      </c>
      <c r="Q13" s="126">
        <v>2</v>
      </c>
      <c r="R13" s="126">
        <v>2</v>
      </c>
      <c r="S13" s="126">
        <v>2</v>
      </c>
      <c r="T13" s="126">
        <v>2</v>
      </c>
      <c r="U13" s="126">
        <v>2</v>
      </c>
      <c r="V13" s="126">
        <v>2</v>
      </c>
      <c r="W13" s="126">
        <v>2</v>
      </c>
      <c r="X13" s="126">
        <v>2</v>
      </c>
      <c r="Y13" s="126">
        <v>2</v>
      </c>
      <c r="Z13" s="126">
        <v>2</v>
      </c>
      <c r="AA13" s="126">
        <v>2</v>
      </c>
      <c r="AB13" s="126">
        <v>2</v>
      </c>
      <c r="AC13" s="126">
        <v>2</v>
      </c>
      <c r="AD13" s="126">
        <v>2</v>
      </c>
      <c r="AE13" s="126">
        <v>2</v>
      </c>
      <c r="AF13" s="126">
        <v>2</v>
      </c>
      <c r="AG13" s="126">
        <v>2</v>
      </c>
      <c r="AH13" s="126">
        <v>2</v>
      </c>
      <c r="AI13" s="126">
        <v>2</v>
      </c>
      <c r="AJ13" s="126">
        <v>2</v>
      </c>
      <c r="AK13" s="126">
        <v>2</v>
      </c>
      <c r="AL13" s="126">
        <v>2</v>
      </c>
      <c r="AM13" s="126">
        <v>2</v>
      </c>
      <c r="AN13" s="126">
        <v>2</v>
      </c>
      <c r="AO13" s="126">
        <v>2</v>
      </c>
      <c r="AP13" s="126">
        <v>2</v>
      </c>
      <c r="AQ13" s="126">
        <v>2</v>
      </c>
      <c r="AR13" s="126">
        <v>2</v>
      </c>
      <c r="AS13" s="126">
        <v>2</v>
      </c>
      <c r="AT13" s="126">
        <v>2</v>
      </c>
      <c r="AU13" s="126">
        <v>2</v>
      </c>
      <c r="AV13" s="126">
        <v>2</v>
      </c>
      <c r="AW13" s="126">
        <v>2</v>
      </c>
      <c r="AX13" s="126">
        <v>2</v>
      </c>
      <c r="AY13" s="126">
        <v>2</v>
      </c>
      <c r="AZ13" s="126">
        <v>2</v>
      </c>
      <c r="BA13" s="126">
        <v>2</v>
      </c>
      <c r="BB13" s="126">
        <v>2</v>
      </c>
      <c r="BC13" s="126">
        <v>2</v>
      </c>
      <c r="BD13" s="126">
        <v>2</v>
      </c>
      <c r="BE13" s="126">
        <v>2</v>
      </c>
    </row>
    <row r="14" spans="1:227" x14ac:dyDescent="0.35">
      <c r="A14" s="127" t="s">
        <v>10</v>
      </c>
      <c r="G14" s="126">
        <v>2</v>
      </c>
      <c r="H14" s="126">
        <v>2</v>
      </c>
      <c r="I14" s="126">
        <v>2</v>
      </c>
      <c r="J14" s="126">
        <v>2</v>
      </c>
      <c r="K14" s="126">
        <v>2</v>
      </c>
      <c r="L14" s="126">
        <v>2</v>
      </c>
      <c r="M14" s="126">
        <v>2</v>
      </c>
      <c r="N14" s="126">
        <v>2</v>
      </c>
      <c r="O14" s="126">
        <v>2</v>
      </c>
      <c r="P14" s="126">
        <v>2</v>
      </c>
      <c r="Q14" s="126">
        <v>2</v>
      </c>
      <c r="R14" s="126">
        <v>2</v>
      </c>
      <c r="S14" s="126">
        <v>2</v>
      </c>
      <c r="T14" s="126">
        <v>2</v>
      </c>
      <c r="U14" s="126">
        <v>2</v>
      </c>
      <c r="V14" s="126">
        <v>2</v>
      </c>
      <c r="W14" s="126">
        <v>2</v>
      </c>
      <c r="X14" s="126">
        <v>2</v>
      </c>
      <c r="Y14" s="126">
        <v>2</v>
      </c>
      <c r="Z14" s="126">
        <v>2</v>
      </c>
      <c r="AA14" s="126">
        <v>2</v>
      </c>
      <c r="AB14" s="126">
        <v>2</v>
      </c>
      <c r="AC14" s="126">
        <v>2</v>
      </c>
      <c r="AD14" s="126">
        <v>2</v>
      </c>
      <c r="AE14" s="126">
        <v>2</v>
      </c>
      <c r="AF14" s="126">
        <v>2</v>
      </c>
      <c r="AG14" s="126">
        <v>2</v>
      </c>
      <c r="AH14" s="126">
        <v>2</v>
      </c>
      <c r="AI14" s="126">
        <v>2</v>
      </c>
      <c r="AJ14" s="126">
        <v>2</v>
      </c>
      <c r="AK14" s="126">
        <v>2</v>
      </c>
      <c r="AL14" s="126">
        <v>2</v>
      </c>
      <c r="AM14" s="126">
        <v>2</v>
      </c>
      <c r="AN14" s="126">
        <v>2</v>
      </c>
      <c r="AO14" s="126">
        <v>2</v>
      </c>
      <c r="AP14" s="126">
        <v>2</v>
      </c>
      <c r="AQ14" s="126">
        <v>2</v>
      </c>
      <c r="AR14" s="126">
        <v>2</v>
      </c>
      <c r="AS14" s="126">
        <v>2</v>
      </c>
      <c r="AT14" s="126">
        <v>2</v>
      </c>
      <c r="AU14" s="126">
        <v>2</v>
      </c>
      <c r="AV14" s="126">
        <v>2</v>
      </c>
      <c r="AW14" s="126">
        <v>2</v>
      </c>
      <c r="AX14" s="126">
        <v>2</v>
      </c>
      <c r="AY14" s="126">
        <v>2</v>
      </c>
      <c r="AZ14" s="126">
        <v>2</v>
      </c>
      <c r="BA14" s="126">
        <v>2</v>
      </c>
      <c r="BB14" s="126">
        <v>2</v>
      </c>
      <c r="BC14" s="126">
        <v>2</v>
      </c>
      <c r="BD14" s="126">
        <v>2</v>
      </c>
      <c r="BE14" s="126">
        <v>2</v>
      </c>
    </row>
    <row r="15" spans="1:227" x14ac:dyDescent="0.35">
      <c r="A15" s="127" t="s">
        <v>11</v>
      </c>
      <c r="G15" s="126">
        <v>1</v>
      </c>
      <c r="H15" s="126">
        <v>1</v>
      </c>
      <c r="I15" s="126">
        <v>1</v>
      </c>
      <c r="J15" s="126">
        <v>1</v>
      </c>
      <c r="K15" s="126">
        <v>1</v>
      </c>
      <c r="L15" s="126">
        <v>1</v>
      </c>
      <c r="M15" s="126">
        <v>1</v>
      </c>
      <c r="N15" s="126">
        <v>1</v>
      </c>
      <c r="O15" s="126">
        <v>1</v>
      </c>
      <c r="P15" s="126">
        <v>1</v>
      </c>
      <c r="Q15" s="126">
        <v>1</v>
      </c>
      <c r="R15" s="126">
        <v>1</v>
      </c>
      <c r="S15" s="126">
        <v>1</v>
      </c>
      <c r="T15" s="126">
        <v>1</v>
      </c>
      <c r="U15" s="126">
        <v>1</v>
      </c>
      <c r="V15" s="126">
        <v>1</v>
      </c>
      <c r="W15" s="126">
        <v>1</v>
      </c>
      <c r="X15" s="126">
        <v>1</v>
      </c>
      <c r="Y15" s="126">
        <v>1</v>
      </c>
      <c r="Z15" s="126">
        <v>1</v>
      </c>
      <c r="AA15" s="126">
        <v>1</v>
      </c>
      <c r="AB15" s="126">
        <v>1</v>
      </c>
      <c r="AC15" s="126">
        <v>1</v>
      </c>
      <c r="AD15" s="126">
        <v>1</v>
      </c>
      <c r="AE15" s="126">
        <v>1</v>
      </c>
      <c r="AF15" s="126">
        <v>1</v>
      </c>
      <c r="AG15" s="126">
        <v>1</v>
      </c>
      <c r="AH15" s="126">
        <v>1</v>
      </c>
      <c r="AI15" s="126">
        <v>1</v>
      </c>
      <c r="AJ15" s="126">
        <v>1</v>
      </c>
      <c r="AK15" s="126">
        <v>1</v>
      </c>
      <c r="AL15" s="126">
        <v>1</v>
      </c>
      <c r="AM15" s="126">
        <v>1</v>
      </c>
      <c r="AN15" s="126">
        <v>1</v>
      </c>
      <c r="AO15" s="126">
        <v>1</v>
      </c>
      <c r="AP15" s="126">
        <v>1</v>
      </c>
      <c r="AQ15" s="126">
        <v>1</v>
      </c>
      <c r="AR15" s="126">
        <v>1</v>
      </c>
      <c r="AS15" s="126">
        <v>1</v>
      </c>
      <c r="AT15" s="126">
        <v>1</v>
      </c>
      <c r="AU15" s="126">
        <v>1</v>
      </c>
      <c r="AV15" s="126">
        <v>1</v>
      </c>
      <c r="AW15" s="126">
        <v>1</v>
      </c>
      <c r="AX15" s="126">
        <v>1</v>
      </c>
      <c r="AY15" s="126">
        <v>1</v>
      </c>
      <c r="AZ15" s="126">
        <v>1</v>
      </c>
      <c r="BA15" s="126">
        <v>1</v>
      </c>
      <c r="BB15" s="126">
        <v>1</v>
      </c>
      <c r="BC15" s="126">
        <v>1</v>
      </c>
      <c r="BD15" s="126">
        <v>1</v>
      </c>
      <c r="BE15" s="126">
        <v>1</v>
      </c>
    </row>
    <row r="16" spans="1:227" x14ac:dyDescent="0.35">
      <c r="A16" s="127" t="s">
        <v>12</v>
      </c>
      <c r="G16" s="126">
        <v>2</v>
      </c>
      <c r="H16" s="126">
        <v>2</v>
      </c>
      <c r="I16" s="126">
        <v>2</v>
      </c>
      <c r="J16" s="126">
        <v>2</v>
      </c>
      <c r="K16" s="126">
        <v>2</v>
      </c>
      <c r="L16" s="126">
        <v>2</v>
      </c>
      <c r="M16" s="126">
        <v>2</v>
      </c>
      <c r="N16" s="126">
        <v>2</v>
      </c>
      <c r="O16" s="126">
        <v>2</v>
      </c>
      <c r="P16" s="126">
        <v>2</v>
      </c>
      <c r="Q16" s="126">
        <v>2</v>
      </c>
      <c r="R16" s="126">
        <v>2</v>
      </c>
      <c r="S16" s="126">
        <v>2</v>
      </c>
      <c r="T16" s="126">
        <v>2</v>
      </c>
      <c r="U16" s="126">
        <v>2</v>
      </c>
      <c r="V16" s="126">
        <v>2</v>
      </c>
      <c r="W16" s="126">
        <v>2</v>
      </c>
      <c r="X16" s="126">
        <v>2</v>
      </c>
      <c r="Y16" s="126">
        <v>2</v>
      </c>
      <c r="Z16" s="126">
        <v>2</v>
      </c>
      <c r="AA16" s="126">
        <v>2</v>
      </c>
      <c r="AB16" s="126">
        <v>2</v>
      </c>
      <c r="AC16" s="126">
        <v>2</v>
      </c>
      <c r="AD16" s="126">
        <v>2</v>
      </c>
      <c r="AE16" s="126">
        <v>2</v>
      </c>
      <c r="AF16" s="126">
        <v>2</v>
      </c>
      <c r="AG16" s="126">
        <v>2</v>
      </c>
      <c r="AH16" s="126">
        <v>2</v>
      </c>
      <c r="AI16" s="126">
        <v>2</v>
      </c>
      <c r="AJ16" s="126">
        <v>2</v>
      </c>
      <c r="AK16" s="126">
        <v>2</v>
      </c>
      <c r="AL16" s="126">
        <v>2</v>
      </c>
      <c r="AM16" s="126">
        <v>2</v>
      </c>
      <c r="AN16" s="126">
        <v>2</v>
      </c>
      <c r="AO16" s="126">
        <v>2</v>
      </c>
      <c r="AP16" s="126">
        <v>2</v>
      </c>
      <c r="AQ16" s="126">
        <v>2</v>
      </c>
      <c r="AR16" s="126">
        <v>2</v>
      </c>
      <c r="AS16" s="126">
        <v>2</v>
      </c>
      <c r="AT16" s="126">
        <v>2</v>
      </c>
      <c r="AU16" s="126">
        <v>2</v>
      </c>
      <c r="AV16" s="126">
        <v>2</v>
      </c>
      <c r="AW16" s="126">
        <v>2</v>
      </c>
      <c r="AX16" s="126">
        <v>2</v>
      </c>
      <c r="AY16" s="126">
        <v>2</v>
      </c>
      <c r="AZ16" s="126">
        <v>2</v>
      </c>
      <c r="BA16" s="126">
        <v>2</v>
      </c>
      <c r="BB16" s="126">
        <v>2</v>
      </c>
      <c r="BC16" s="126">
        <v>2</v>
      </c>
      <c r="BD16" s="126">
        <v>2</v>
      </c>
      <c r="BE16" s="126">
        <v>2</v>
      </c>
    </row>
    <row r="17" spans="1:57" x14ac:dyDescent="0.35">
      <c r="A17" s="127" t="s">
        <v>13</v>
      </c>
      <c r="G17" s="126">
        <v>2</v>
      </c>
      <c r="H17" s="126">
        <v>2</v>
      </c>
      <c r="I17" s="126">
        <v>2</v>
      </c>
      <c r="J17" s="126">
        <v>2</v>
      </c>
      <c r="K17" s="126">
        <v>2</v>
      </c>
      <c r="L17" s="126">
        <v>2</v>
      </c>
      <c r="M17" s="126">
        <v>2</v>
      </c>
      <c r="N17" s="126">
        <v>2</v>
      </c>
      <c r="O17" s="126">
        <v>2</v>
      </c>
      <c r="P17" s="126">
        <v>2</v>
      </c>
      <c r="Q17" s="126">
        <v>2</v>
      </c>
      <c r="R17" s="126">
        <v>2</v>
      </c>
      <c r="S17" s="126">
        <v>2</v>
      </c>
      <c r="T17" s="126">
        <v>2</v>
      </c>
      <c r="U17" s="126">
        <v>2</v>
      </c>
      <c r="V17" s="126">
        <v>2</v>
      </c>
      <c r="W17" s="126">
        <v>2</v>
      </c>
      <c r="X17" s="126">
        <v>2</v>
      </c>
      <c r="Y17" s="126">
        <v>2</v>
      </c>
      <c r="Z17" s="126">
        <v>2</v>
      </c>
      <c r="AA17" s="126">
        <v>2</v>
      </c>
      <c r="AB17" s="126">
        <v>2</v>
      </c>
      <c r="AC17" s="126">
        <v>2</v>
      </c>
      <c r="AD17" s="126">
        <v>2</v>
      </c>
      <c r="AE17" s="126">
        <v>2</v>
      </c>
      <c r="AF17" s="126">
        <v>2</v>
      </c>
      <c r="AG17" s="126">
        <v>2</v>
      </c>
      <c r="AH17" s="126">
        <v>2</v>
      </c>
      <c r="AI17" s="126">
        <v>2</v>
      </c>
      <c r="AJ17" s="126">
        <v>2</v>
      </c>
      <c r="AK17" s="126">
        <v>2</v>
      </c>
      <c r="AL17" s="126">
        <v>2</v>
      </c>
      <c r="AM17" s="126">
        <v>2</v>
      </c>
      <c r="AN17" s="126">
        <v>2</v>
      </c>
      <c r="AO17" s="126">
        <v>2</v>
      </c>
      <c r="AP17" s="126">
        <v>2</v>
      </c>
      <c r="AQ17" s="126">
        <v>2</v>
      </c>
      <c r="AR17" s="126">
        <v>2</v>
      </c>
      <c r="AS17" s="126">
        <v>2</v>
      </c>
      <c r="AT17" s="126">
        <v>2</v>
      </c>
      <c r="AU17" s="126">
        <v>2</v>
      </c>
      <c r="AV17" s="126">
        <v>2</v>
      </c>
      <c r="AW17" s="126">
        <v>2</v>
      </c>
      <c r="AX17" s="126">
        <v>2</v>
      </c>
      <c r="AY17" s="126">
        <v>2</v>
      </c>
      <c r="AZ17" s="126">
        <v>2</v>
      </c>
      <c r="BA17" s="126">
        <v>2</v>
      </c>
      <c r="BB17" s="126">
        <v>2</v>
      </c>
      <c r="BC17" s="126">
        <v>2</v>
      </c>
      <c r="BD17" s="126">
        <v>2</v>
      </c>
      <c r="BE17" s="126">
        <v>2</v>
      </c>
    </row>
    <row r="18" spans="1:57" x14ac:dyDescent="0.35">
      <c r="A18" s="127" t="s">
        <v>14</v>
      </c>
      <c r="G18" s="126">
        <v>1</v>
      </c>
      <c r="H18" s="126">
        <v>1</v>
      </c>
      <c r="I18" s="126">
        <v>1</v>
      </c>
      <c r="J18" s="126">
        <v>1</v>
      </c>
      <c r="K18" s="126">
        <v>1</v>
      </c>
      <c r="L18" s="126">
        <v>1</v>
      </c>
      <c r="M18" s="126">
        <v>1</v>
      </c>
      <c r="N18" s="126">
        <v>1</v>
      </c>
      <c r="O18" s="126">
        <v>1</v>
      </c>
      <c r="P18" s="126">
        <v>1</v>
      </c>
      <c r="Q18" s="126">
        <v>1</v>
      </c>
      <c r="R18" s="126">
        <v>1</v>
      </c>
      <c r="S18" s="126">
        <v>1</v>
      </c>
      <c r="T18" s="126">
        <v>1</v>
      </c>
      <c r="U18" s="126">
        <v>1</v>
      </c>
      <c r="V18" s="126">
        <v>1</v>
      </c>
      <c r="W18" s="126">
        <v>1</v>
      </c>
      <c r="X18" s="126">
        <v>1</v>
      </c>
      <c r="Y18" s="126">
        <v>1</v>
      </c>
      <c r="Z18" s="126">
        <v>1</v>
      </c>
      <c r="AA18" s="126">
        <v>1</v>
      </c>
      <c r="AB18" s="126">
        <v>1</v>
      </c>
      <c r="AC18" s="126">
        <v>1</v>
      </c>
      <c r="AD18" s="126">
        <v>1</v>
      </c>
      <c r="AE18" s="126">
        <v>1</v>
      </c>
      <c r="AF18" s="126">
        <v>1</v>
      </c>
      <c r="AG18" s="126">
        <v>1</v>
      </c>
      <c r="AH18" s="126">
        <v>1</v>
      </c>
      <c r="AI18" s="126">
        <v>1</v>
      </c>
      <c r="AJ18" s="126">
        <v>1</v>
      </c>
      <c r="AK18" s="126">
        <v>1</v>
      </c>
      <c r="AL18" s="126">
        <v>1</v>
      </c>
      <c r="AM18" s="126">
        <v>1</v>
      </c>
      <c r="AN18" s="126">
        <v>1</v>
      </c>
      <c r="AO18" s="126">
        <v>1</v>
      </c>
      <c r="AP18" s="126">
        <v>1</v>
      </c>
      <c r="AQ18" s="126">
        <v>1</v>
      </c>
      <c r="AR18" s="126">
        <v>1</v>
      </c>
      <c r="AS18" s="126">
        <v>1</v>
      </c>
      <c r="AT18" s="126">
        <v>1</v>
      </c>
      <c r="AU18" s="126">
        <v>1</v>
      </c>
      <c r="AV18" s="126">
        <v>1</v>
      </c>
      <c r="AW18" s="126">
        <v>1</v>
      </c>
      <c r="AX18" s="126">
        <v>1</v>
      </c>
      <c r="AY18" s="126">
        <v>1</v>
      </c>
      <c r="AZ18" s="126">
        <v>1</v>
      </c>
      <c r="BA18" s="126">
        <v>1</v>
      </c>
      <c r="BB18" s="126">
        <v>1</v>
      </c>
      <c r="BC18" s="126">
        <v>1</v>
      </c>
      <c r="BD18" s="126">
        <v>1</v>
      </c>
      <c r="BE18" s="126">
        <v>1</v>
      </c>
    </row>
    <row r="19" spans="1:57" x14ac:dyDescent="0.35">
      <c r="A19" s="127" t="s">
        <v>15</v>
      </c>
      <c r="G19" s="126">
        <v>2</v>
      </c>
      <c r="H19" s="126">
        <v>2</v>
      </c>
      <c r="I19" s="126">
        <v>2</v>
      </c>
      <c r="J19" s="126">
        <v>2</v>
      </c>
      <c r="K19" s="126">
        <v>2</v>
      </c>
      <c r="L19" s="126">
        <v>2</v>
      </c>
      <c r="M19" s="126">
        <v>2</v>
      </c>
      <c r="N19" s="126">
        <v>2</v>
      </c>
      <c r="O19" s="126">
        <v>2</v>
      </c>
      <c r="P19" s="126">
        <v>2</v>
      </c>
      <c r="Q19" s="126">
        <v>2</v>
      </c>
      <c r="R19" s="126">
        <v>2</v>
      </c>
      <c r="S19" s="126">
        <v>2</v>
      </c>
      <c r="T19" s="126">
        <v>2</v>
      </c>
      <c r="U19" s="126">
        <v>2</v>
      </c>
      <c r="V19" s="126">
        <v>2</v>
      </c>
      <c r="W19" s="126">
        <v>2</v>
      </c>
      <c r="X19" s="126">
        <v>2</v>
      </c>
      <c r="Y19" s="126">
        <v>2</v>
      </c>
      <c r="Z19" s="126">
        <v>2</v>
      </c>
      <c r="AA19" s="126">
        <v>2</v>
      </c>
      <c r="AB19" s="126">
        <v>2</v>
      </c>
      <c r="AC19" s="126">
        <v>2</v>
      </c>
      <c r="AD19" s="126">
        <v>2</v>
      </c>
      <c r="AE19" s="126">
        <v>2</v>
      </c>
      <c r="AF19" s="126">
        <v>2</v>
      </c>
      <c r="AG19" s="126">
        <v>2</v>
      </c>
      <c r="AH19" s="126">
        <v>2</v>
      </c>
      <c r="AI19" s="126">
        <v>2</v>
      </c>
      <c r="AJ19" s="126">
        <v>2</v>
      </c>
      <c r="AK19" s="126">
        <v>2</v>
      </c>
      <c r="AL19" s="126">
        <v>2</v>
      </c>
      <c r="AM19" s="126">
        <v>2</v>
      </c>
      <c r="AN19" s="126">
        <v>2</v>
      </c>
      <c r="AO19" s="126">
        <v>2</v>
      </c>
      <c r="AP19" s="126">
        <v>2</v>
      </c>
      <c r="AQ19" s="126">
        <v>2</v>
      </c>
      <c r="AR19" s="126">
        <v>2</v>
      </c>
      <c r="AS19" s="126">
        <v>2</v>
      </c>
      <c r="AT19" s="126">
        <v>2</v>
      </c>
      <c r="AU19" s="126">
        <v>2</v>
      </c>
      <c r="AV19" s="126">
        <v>2</v>
      </c>
      <c r="AW19" s="126">
        <v>2</v>
      </c>
      <c r="AX19" s="126">
        <v>2</v>
      </c>
      <c r="AY19" s="126">
        <v>2</v>
      </c>
      <c r="AZ19" s="126">
        <v>2</v>
      </c>
      <c r="BA19" s="126">
        <v>2</v>
      </c>
      <c r="BB19" s="126">
        <v>2</v>
      </c>
      <c r="BC19" s="126">
        <v>2</v>
      </c>
      <c r="BD19" s="126">
        <v>2</v>
      </c>
      <c r="BE19" s="126">
        <v>2</v>
      </c>
    </row>
    <row r="20" spans="1:57" x14ac:dyDescent="0.35">
      <c r="A20" s="127" t="s">
        <v>16</v>
      </c>
      <c r="G20" s="126">
        <v>1</v>
      </c>
      <c r="H20" s="126">
        <v>1</v>
      </c>
      <c r="I20" s="126">
        <v>1</v>
      </c>
      <c r="J20" s="126">
        <v>1</v>
      </c>
      <c r="K20" s="126">
        <v>1</v>
      </c>
      <c r="L20" s="126">
        <v>1</v>
      </c>
      <c r="M20" s="126">
        <v>1</v>
      </c>
      <c r="N20" s="126">
        <v>1</v>
      </c>
      <c r="O20" s="126">
        <v>1</v>
      </c>
      <c r="P20" s="126">
        <v>1</v>
      </c>
      <c r="Q20" s="126">
        <v>1</v>
      </c>
      <c r="R20" s="126">
        <v>1</v>
      </c>
      <c r="S20" s="126">
        <v>1</v>
      </c>
      <c r="T20" s="126">
        <v>1</v>
      </c>
      <c r="U20" s="126">
        <v>1</v>
      </c>
      <c r="V20" s="126">
        <v>1</v>
      </c>
      <c r="W20" s="126">
        <v>1</v>
      </c>
      <c r="X20" s="126">
        <v>1</v>
      </c>
      <c r="Y20" s="126">
        <v>1</v>
      </c>
      <c r="Z20" s="126">
        <v>1</v>
      </c>
      <c r="AA20" s="126">
        <v>1</v>
      </c>
      <c r="AB20" s="126">
        <v>1</v>
      </c>
      <c r="AC20" s="126">
        <v>1</v>
      </c>
      <c r="AD20" s="126">
        <v>1</v>
      </c>
      <c r="AE20" s="126">
        <v>1</v>
      </c>
      <c r="AF20" s="126">
        <v>1</v>
      </c>
      <c r="AG20" s="126">
        <v>1</v>
      </c>
      <c r="AH20" s="126">
        <v>1</v>
      </c>
      <c r="AI20" s="126">
        <v>1</v>
      </c>
      <c r="AJ20" s="126">
        <v>1</v>
      </c>
      <c r="AK20" s="126">
        <v>1</v>
      </c>
      <c r="AL20" s="126">
        <v>1</v>
      </c>
      <c r="AM20" s="126">
        <v>1</v>
      </c>
      <c r="AN20" s="126">
        <v>1</v>
      </c>
      <c r="AO20" s="126">
        <v>1</v>
      </c>
      <c r="AP20" s="126">
        <v>1</v>
      </c>
      <c r="AQ20" s="126">
        <v>1</v>
      </c>
      <c r="AR20" s="126">
        <v>1</v>
      </c>
      <c r="AS20" s="126">
        <v>1</v>
      </c>
      <c r="AT20" s="126">
        <v>1</v>
      </c>
      <c r="AU20" s="126">
        <v>1</v>
      </c>
      <c r="AV20" s="126">
        <v>1</v>
      </c>
      <c r="AW20" s="126">
        <v>1</v>
      </c>
      <c r="AX20" s="126">
        <v>1</v>
      </c>
      <c r="AY20" s="126">
        <v>1</v>
      </c>
      <c r="AZ20" s="126">
        <v>1</v>
      </c>
      <c r="BA20" s="126">
        <v>1</v>
      </c>
      <c r="BB20" s="126">
        <v>1</v>
      </c>
      <c r="BC20" s="126">
        <v>1</v>
      </c>
      <c r="BD20" s="126">
        <v>1</v>
      </c>
      <c r="BE20" s="126">
        <v>1</v>
      </c>
    </row>
    <row r="21" spans="1:57" x14ac:dyDescent="0.35">
      <c r="A21" s="127" t="s">
        <v>17</v>
      </c>
      <c r="G21" s="126">
        <v>2</v>
      </c>
      <c r="H21" s="126">
        <v>2</v>
      </c>
      <c r="I21" s="126">
        <v>2</v>
      </c>
      <c r="J21" s="126">
        <v>2</v>
      </c>
      <c r="K21" s="126">
        <v>2</v>
      </c>
      <c r="L21" s="126">
        <v>2</v>
      </c>
      <c r="M21" s="126">
        <v>2</v>
      </c>
      <c r="N21" s="126">
        <v>2</v>
      </c>
      <c r="O21" s="126">
        <v>2</v>
      </c>
      <c r="P21" s="126">
        <v>2</v>
      </c>
      <c r="Q21" s="126">
        <v>2</v>
      </c>
      <c r="R21" s="126">
        <v>2</v>
      </c>
      <c r="S21" s="126">
        <v>2</v>
      </c>
      <c r="T21" s="126">
        <v>2</v>
      </c>
      <c r="U21" s="126">
        <v>2</v>
      </c>
      <c r="V21" s="126">
        <v>2</v>
      </c>
      <c r="W21" s="126">
        <v>2</v>
      </c>
      <c r="X21" s="126">
        <v>2</v>
      </c>
      <c r="Y21" s="126">
        <v>2</v>
      </c>
      <c r="Z21" s="126">
        <v>2</v>
      </c>
      <c r="AA21" s="126">
        <v>2</v>
      </c>
      <c r="AB21" s="126">
        <v>2</v>
      </c>
      <c r="AC21" s="126">
        <v>2</v>
      </c>
      <c r="AD21" s="126">
        <v>2</v>
      </c>
      <c r="AE21" s="126">
        <v>2</v>
      </c>
      <c r="AF21" s="126">
        <v>2</v>
      </c>
      <c r="AG21" s="126">
        <v>2</v>
      </c>
      <c r="AH21" s="126">
        <v>2</v>
      </c>
      <c r="AI21" s="126">
        <v>2</v>
      </c>
      <c r="AJ21" s="126">
        <v>2</v>
      </c>
      <c r="AK21" s="126">
        <v>2</v>
      </c>
      <c r="AL21" s="126">
        <v>2</v>
      </c>
      <c r="AM21" s="126">
        <v>2</v>
      </c>
      <c r="AN21" s="126">
        <v>2</v>
      </c>
      <c r="AO21" s="126">
        <v>2</v>
      </c>
      <c r="AP21" s="126">
        <v>2</v>
      </c>
      <c r="AQ21" s="126">
        <v>2</v>
      </c>
      <c r="AR21" s="126">
        <v>2</v>
      </c>
      <c r="AS21" s="126">
        <v>2</v>
      </c>
      <c r="AT21" s="126">
        <v>2</v>
      </c>
      <c r="AU21" s="126">
        <v>2</v>
      </c>
      <c r="AV21" s="126">
        <v>2</v>
      </c>
      <c r="AW21" s="126">
        <v>2</v>
      </c>
      <c r="AX21" s="126">
        <v>2</v>
      </c>
      <c r="AY21" s="126">
        <v>2</v>
      </c>
      <c r="AZ21" s="126">
        <v>2</v>
      </c>
      <c r="BA21" s="126">
        <v>2</v>
      </c>
      <c r="BB21" s="126">
        <v>2</v>
      </c>
      <c r="BC21" s="126">
        <v>2</v>
      </c>
      <c r="BD21" s="126">
        <v>2</v>
      </c>
      <c r="BE21" s="126">
        <v>2</v>
      </c>
    </row>
    <row r="22" spans="1:57" x14ac:dyDescent="0.35">
      <c r="A22" s="127" t="s">
        <v>18</v>
      </c>
      <c r="G22" s="126">
        <v>1</v>
      </c>
      <c r="H22" s="126">
        <v>1</v>
      </c>
      <c r="I22" s="126">
        <v>1</v>
      </c>
      <c r="J22" s="126">
        <v>1</v>
      </c>
      <c r="K22" s="126">
        <v>1</v>
      </c>
      <c r="L22" s="126">
        <v>1</v>
      </c>
      <c r="M22" s="126">
        <v>1</v>
      </c>
      <c r="N22" s="126">
        <v>1</v>
      </c>
      <c r="O22" s="126">
        <v>1</v>
      </c>
      <c r="P22" s="126">
        <v>1</v>
      </c>
      <c r="Q22" s="126">
        <v>1</v>
      </c>
      <c r="R22" s="126">
        <v>1</v>
      </c>
      <c r="S22" s="126">
        <v>1</v>
      </c>
      <c r="T22" s="126">
        <v>1</v>
      </c>
      <c r="U22" s="126">
        <v>1</v>
      </c>
      <c r="V22" s="126">
        <v>1</v>
      </c>
      <c r="W22" s="126">
        <v>1</v>
      </c>
      <c r="X22" s="126">
        <v>1</v>
      </c>
      <c r="Y22" s="126">
        <v>1</v>
      </c>
      <c r="Z22" s="126">
        <v>1</v>
      </c>
      <c r="AA22" s="126">
        <v>1</v>
      </c>
      <c r="AB22" s="126">
        <v>1</v>
      </c>
      <c r="AC22" s="126">
        <v>1</v>
      </c>
      <c r="AD22" s="126">
        <v>1</v>
      </c>
      <c r="AE22" s="126">
        <v>1</v>
      </c>
      <c r="AF22" s="126">
        <v>1</v>
      </c>
      <c r="AG22" s="126">
        <v>1</v>
      </c>
      <c r="AH22" s="126">
        <v>1</v>
      </c>
      <c r="AI22" s="126">
        <v>1</v>
      </c>
      <c r="AJ22" s="126">
        <v>1</v>
      </c>
      <c r="AK22" s="126">
        <v>1</v>
      </c>
      <c r="AL22" s="126">
        <v>1</v>
      </c>
      <c r="AM22" s="126">
        <v>1</v>
      </c>
      <c r="AN22" s="126">
        <v>1</v>
      </c>
      <c r="AO22" s="126">
        <v>1</v>
      </c>
      <c r="AP22" s="126">
        <v>1</v>
      </c>
      <c r="AQ22" s="126">
        <v>1</v>
      </c>
      <c r="AR22" s="126">
        <v>1</v>
      </c>
      <c r="AS22" s="126">
        <v>1</v>
      </c>
      <c r="AT22" s="126">
        <v>1</v>
      </c>
      <c r="AU22" s="126">
        <v>1</v>
      </c>
      <c r="AV22" s="126">
        <v>1</v>
      </c>
      <c r="AW22" s="126">
        <v>1</v>
      </c>
      <c r="AX22" s="126">
        <v>1</v>
      </c>
      <c r="AY22" s="126">
        <v>1</v>
      </c>
      <c r="AZ22" s="126">
        <v>1</v>
      </c>
      <c r="BA22" s="126">
        <v>1</v>
      </c>
      <c r="BB22" s="126">
        <v>1</v>
      </c>
      <c r="BC22" s="126">
        <v>1</v>
      </c>
      <c r="BD22" s="126">
        <v>1</v>
      </c>
      <c r="BE22" s="126">
        <v>1</v>
      </c>
    </row>
    <row r="23" spans="1:57" x14ac:dyDescent="0.35">
      <c r="A23" s="127" t="s">
        <v>19</v>
      </c>
      <c r="G23" s="126">
        <v>1</v>
      </c>
      <c r="H23" s="126">
        <v>1</v>
      </c>
      <c r="I23" s="126">
        <v>1</v>
      </c>
      <c r="J23" s="126">
        <v>1</v>
      </c>
      <c r="K23" s="126">
        <v>1</v>
      </c>
      <c r="L23" s="126">
        <v>1</v>
      </c>
      <c r="M23" s="126">
        <v>1</v>
      </c>
      <c r="N23" s="126">
        <v>1</v>
      </c>
      <c r="O23" s="126">
        <v>1</v>
      </c>
      <c r="P23" s="126">
        <v>1</v>
      </c>
      <c r="Q23" s="126">
        <v>1</v>
      </c>
      <c r="R23" s="126">
        <v>1</v>
      </c>
      <c r="S23" s="126">
        <v>1</v>
      </c>
      <c r="T23" s="126">
        <v>1</v>
      </c>
      <c r="U23" s="126">
        <v>1</v>
      </c>
      <c r="V23" s="126">
        <v>1</v>
      </c>
      <c r="W23" s="126">
        <v>1</v>
      </c>
      <c r="X23" s="126">
        <v>1</v>
      </c>
      <c r="Y23" s="126">
        <v>1</v>
      </c>
      <c r="Z23" s="126">
        <v>1</v>
      </c>
      <c r="AA23" s="126">
        <v>1</v>
      </c>
      <c r="AB23" s="126">
        <v>1</v>
      </c>
      <c r="AC23" s="126">
        <v>1</v>
      </c>
      <c r="AD23" s="126">
        <v>1</v>
      </c>
      <c r="AE23" s="126">
        <v>1</v>
      </c>
      <c r="AF23" s="126">
        <v>1</v>
      </c>
      <c r="AG23" s="126">
        <v>1</v>
      </c>
      <c r="AH23" s="126">
        <v>1</v>
      </c>
      <c r="AI23" s="126">
        <v>1</v>
      </c>
      <c r="AJ23" s="126">
        <v>1</v>
      </c>
      <c r="AK23" s="126">
        <v>1</v>
      </c>
      <c r="AL23" s="126">
        <v>1</v>
      </c>
      <c r="AM23" s="126">
        <v>1</v>
      </c>
      <c r="AN23" s="126">
        <v>1</v>
      </c>
      <c r="AO23" s="126">
        <v>1</v>
      </c>
      <c r="AP23" s="126">
        <v>1</v>
      </c>
      <c r="AQ23" s="126">
        <v>1</v>
      </c>
      <c r="AR23" s="126">
        <v>1</v>
      </c>
      <c r="AS23" s="126">
        <v>1</v>
      </c>
      <c r="AT23" s="126">
        <v>1</v>
      </c>
      <c r="AU23" s="126">
        <v>1</v>
      </c>
      <c r="AV23" s="126">
        <v>1</v>
      </c>
      <c r="AW23" s="126">
        <v>1</v>
      </c>
      <c r="AX23" s="126">
        <v>1</v>
      </c>
      <c r="AY23" s="126">
        <v>1</v>
      </c>
      <c r="AZ23" s="126">
        <v>1</v>
      </c>
      <c r="BA23" s="126">
        <v>1</v>
      </c>
      <c r="BB23" s="126">
        <v>1</v>
      </c>
      <c r="BC23" s="126">
        <v>1</v>
      </c>
      <c r="BD23" s="126">
        <v>1</v>
      </c>
      <c r="BE23" s="126">
        <v>1</v>
      </c>
    </row>
    <row r="24" spans="1:57" x14ac:dyDescent="0.35">
      <c r="A24" s="127" t="s">
        <v>20</v>
      </c>
      <c r="G24" s="126">
        <v>1</v>
      </c>
      <c r="H24" s="126">
        <v>1</v>
      </c>
      <c r="I24" s="126">
        <v>1</v>
      </c>
      <c r="J24" s="126">
        <v>1</v>
      </c>
      <c r="K24" s="126">
        <v>1</v>
      </c>
      <c r="L24" s="126">
        <v>1</v>
      </c>
      <c r="M24" s="126">
        <v>1</v>
      </c>
      <c r="N24" s="126">
        <v>1</v>
      </c>
      <c r="O24" s="126">
        <v>1</v>
      </c>
      <c r="P24" s="126">
        <v>1</v>
      </c>
      <c r="Q24" s="126">
        <v>1</v>
      </c>
      <c r="R24" s="126">
        <v>1</v>
      </c>
      <c r="S24" s="126">
        <v>1</v>
      </c>
      <c r="T24" s="126">
        <v>1</v>
      </c>
      <c r="U24" s="126">
        <v>1</v>
      </c>
      <c r="V24" s="126">
        <v>1</v>
      </c>
      <c r="W24" s="126">
        <v>1</v>
      </c>
      <c r="X24" s="126">
        <v>1</v>
      </c>
      <c r="Y24" s="126">
        <v>1</v>
      </c>
      <c r="Z24" s="126">
        <v>1</v>
      </c>
      <c r="AA24" s="126">
        <v>1</v>
      </c>
      <c r="AB24" s="126">
        <v>1</v>
      </c>
      <c r="AC24" s="126">
        <v>1</v>
      </c>
      <c r="AD24" s="126">
        <v>1</v>
      </c>
      <c r="AE24" s="126">
        <v>1</v>
      </c>
      <c r="AF24" s="126">
        <v>1</v>
      </c>
      <c r="AG24" s="126">
        <v>1</v>
      </c>
      <c r="AH24" s="126">
        <v>1</v>
      </c>
      <c r="AI24" s="126">
        <v>1</v>
      </c>
      <c r="AJ24" s="126">
        <v>1</v>
      </c>
      <c r="AK24" s="126">
        <v>1</v>
      </c>
      <c r="AL24" s="126">
        <v>1</v>
      </c>
      <c r="AM24" s="126">
        <v>1</v>
      </c>
      <c r="AN24" s="126">
        <v>1</v>
      </c>
      <c r="AO24" s="126">
        <v>1</v>
      </c>
      <c r="AP24" s="126">
        <v>1</v>
      </c>
      <c r="AQ24" s="126">
        <v>1</v>
      </c>
      <c r="AR24" s="126">
        <v>1</v>
      </c>
      <c r="AS24" s="126">
        <v>1</v>
      </c>
      <c r="AT24" s="126">
        <v>1</v>
      </c>
      <c r="AU24" s="126">
        <v>1</v>
      </c>
      <c r="AV24" s="126">
        <v>1</v>
      </c>
      <c r="AW24" s="126">
        <v>1</v>
      </c>
      <c r="AX24" s="126">
        <v>1</v>
      </c>
      <c r="AY24" s="126">
        <v>1</v>
      </c>
      <c r="AZ24" s="126">
        <v>1</v>
      </c>
      <c r="BA24" s="126">
        <v>1</v>
      </c>
      <c r="BB24" s="126">
        <v>1</v>
      </c>
      <c r="BC24" s="126">
        <v>1</v>
      </c>
      <c r="BD24" s="126">
        <v>1</v>
      </c>
      <c r="BE24" s="126">
        <v>1</v>
      </c>
    </row>
    <row r="25" spans="1:57" x14ac:dyDescent="0.35">
      <c r="A25" s="127" t="s">
        <v>21</v>
      </c>
      <c r="G25" s="126">
        <v>1</v>
      </c>
      <c r="H25" s="126">
        <v>1</v>
      </c>
      <c r="I25" s="126">
        <v>1</v>
      </c>
      <c r="J25" s="126">
        <v>1</v>
      </c>
      <c r="K25" s="126">
        <v>1</v>
      </c>
      <c r="L25" s="126">
        <v>1</v>
      </c>
      <c r="M25" s="126">
        <v>1</v>
      </c>
      <c r="N25" s="126">
        <v>1</v>
      </c>
      <c r="O25" s="126">
        <v>1</v>
      </c>
      <c r="P25" s="126">
        <v>1</v>
      </c>
      <c r="Q25" s="126">
        <v>1</v>
      </c>
      <c r="R25" s="126">
        <v>1</v>
      </c>
      <c r="S25" s="126">
        <v>1</v>
      </c>
      <c r="T25" s="126">
        <v>1</v>
      </c>
      <c r="U25" s="126">
        <v>1</v>
      </c>
      <c r="V25" s="126">
        <v>1</v>
      </c>
      <c r="W25" s="126">
        <v>1</v>
      </c>
      <c r="X25" s="126">
        <v>1</v>
      </c>
      <c r="Y25" s="126">
        <v>1</v>
      </c>
      <c r="Z25" s="126">
        <v>1</v>
      </c>
      <c r="AA25" s="126">
        <v>1</v>
      </c>
      <c r="AB25" s="126">
        <v>1</v>
      </c>
      <c r="AC25" s="126">
        <v>1</v>
      </c>
      <c r="AD25" s="126">
        <v>1</v>
      </c>
      <c r="AE25" s="126">
        <v>1</v>
      </c>
      <c r="AF25" s="126">
        <v>1</v>
      </c>
      <c r="AG25" s="126">
        <v>1</v>
      </c>
      <c r="AH25" s="126">
        <v>1</v>
      </c>
      <c r="AI25" s="126">
        <v>1</v>
      </c>
      <c r="AJ25" s="126">
        <v>1</v>
      </c>
      <c r="AK25" s="126">
        <v>1</v>
      </c>
      <c r="AL25" s="126">
        <v>1</v>
      </c>
      <c r="AM25" s="126">
        <v>1</v>
      </c>
      <c r="AN25" s="126">
        <v>1</v>
      </c>
      <c r="AO25" s="126">
        <v>1</v>
      </c>
      <c r="AP25" s="126">
        <v>1</v>
      </c>
      <c r="AQ25" s="126">
        <v>1</v>
      </c>
      <c r="AR25" s="126">
        <v>1</v>
      </c>
      <c r="AS25" s="126">
        <v>1</v>
      </c>
      <c r="AT25" s="126">
        <v>1</v>
      </c>
      <c r="AU25" s="126">
        <v>1</v>
      </c>
      <c r="AV25" s="126">
        <v>1</v>
      </c>
      <c r="AW25" s="126">
        <v>1</v>
      </c>
      <c r="AX25" s="126">
        <v>1</v>
      </c>
      <c r="AY25" s="126">
        <v>1</v>
      </c>
      <c r="AZ25" s="126">
        <v>1</v>
      </c>
      <c r="BA25" s="126">
        <v>1</v>
      </c>
      <c r="BB25" s="126">
        <v>1</v>
      </c>
      <c r="BC25" s="126">
        <v>1</v>
      </c>
      <c r="BD25" s="126">
        <v>1</v>
      </c>
      <c r="BE25" s="126">
        <v>1</v>
      </c>
    </row>
    <row r="26" spans="1:57" x14ac:dyDescent="0.35">
      <c r="A26" s="127" t="s">
        <v>22</v>
      </c>
      <c r="G26" s="126">
        <v>1</v>
      </c>
      <c r="H26" s="126">
        <v>1</v>
      </c>
      <c r="I26" s="126">
        <v>1</v>
      </c>
      <c r="J26" s="126">
        <v>1</v>
      </c>
      <c r="K26" s="126">
        <v>1</v>
      </c>
      <c r="L26" s="126">
        <v>1</v>
      </c>
      <c r="M26" s="126">
        <v>1</v>
      </c>
      <c r="N26" s="126">
        <v>1</v>
      </c>
      <c r="O26" s="126">
        <v>1</v>
      </c>
      <c r="P26" s="126">
        <v>1</v>
      </c>
      <c r="Q26" s="126">
        <v>1</v>
      </c>
      <c r="R26" s="126">
        <v>1</v>
      </c>
      <c r="S26" s="126">
        <v>1</v>
      </c>
      <c r="T26" s="126">
        <v>1</v>
      </c>
      <c r="U26" s="126">
        <v>1</v>
      </c>
      <c r="V26" s="126">
        <v>1</v>
      </c>
      <c r="W26" s="126">
        <v>1</v>
      </c>
      <c r="X26" s="126">
        <v>1</v>
      </c>
      <c r="Y26" s="126">
        <v>1</v>
      </c>
      <c r="Z26" s="126">
        <v>1</v>
      </c>
      <c r="AA26" s="126">
        <v>1</v>
      </c>
      <c r="AB26" s="126">
        <v>1</v>
      </c>
      <c r="AC26" s="126">
        <v>1</v>
      </c>
      <c r="AD26" s="126">
        <v>1</v>
      </c>
      <c r="AE26" s="126">
        <v>1</v>
      </c>
      <c r="AF26" s="126">
        <v>1</v>
      </c>
      <c r="AG26" s="126">
        <v>1</v>
      </c>
      <c r="AH26" s="126">
        <v>1</v>
      </c>
      <c r="AI26" s="126">
        <v>1</v>
      </c>
      <c r="AJ26" s="126">
        <v>1</v>
      </c>
      <c r="AK26" s="126">
        <v>1</v>
      </c>
      <c r="AL26" s="126">
        <v>1</v>
      </c>
      <c r="AM26" s="126">
        <v>1</v>
      </c>
      <c r="AN26" s="126">
        <v>1</v>
      </c>
      <c r="AO26" s="126">
        <v>1</v>
      </c>
      <c r="AP26" s="126">
        <v>1</v>
      </c>
      <c r="AQ26" s="126">
        <v>1</v>
      </c>
      <c r="AR26" s="126">
        <v>1</v>
      </c>
      <c r="AS26" s="126">
        <v>1</v>
      </c>
      <c r="AT26" s="126">
        <v>1</v>
      </c>
      <c r="AU26" s="126">
        <v>1</v>
      </c>
      <c r="AV26" s="126">
        <v>1</v>
      </c>
      <c r="AW26" s="126">
        <v>1</v>
      </c>
      <c r="AX26" s="126">
        <v>1</v>
      </c>
      <c r="AY26" s="126">
        <v>1</v>
      </c>
      <c r="AZ26" s="126">
        <v>1</v>
      </c>
      <c r="BA26" s="126">
        <v>1</v>
      </c>
      <c r="BB26" s="126">
        <v>1</v>
      </c>
      <c r="BC26" s="126">
        <v>1</v>
      </c>
      <c r="BD26" s="126">
        <v>1</v>
      </c>
      <c r="BE26" s="126">
        <v>1</v>
      </c>
    </row>
    <row r="27" spans="1:57" x14ac:dyDescent="0.35">
      <c r="A27" s="127" t="s">
        <v>23</v>
      </c>
      <c r="G27" s="126">
        <v>1</v>
      </c>
      <c r="H27" s="126">
        <v>1</v>
      </c>
      <c r="I27" s="126">
        <v>1</v>
      </c>
      <c r="J27" s="126">
        <v>1</v>
      </c>
      <c r="K27" s="126">
        <v>1</v>
      </c>
      <c r="L27" s="126">
        <v>1</v>
      </c>
      <c r="M27" s="126">
        <v>1</v>
      </c>
      <c r="N27" s="126">
        <v>1</v>
      </c>
      <c r="O27" s="126">
        <v>1</v>
      </c>
      <c r="P27" s="126">
        <v>1</v>
      </c>
      <c r="Q27" s="126">
        <v>1</v>
      </c>
      <c r="R27" s="126">
        <v>1</v>
      </c>
      <c r="S27" s="126">
        <v>1</v>
      </c>
      <c r="T27" s="126">
        <v>1</v>
      </c>
      <c r="U27" s="126">
        <v>1</v>
      </c>
      <c r="V27" s="126">
        <v>1</v>
      </c>
      <c r="W27" s="126">
        <v>1</v>
      </c>
      <c r="X27" s="126">
        <v>1</v>
      </c>
      <c r="Y27" s="126">
        <v>1</v>
      </c>
      <c r="Z27" s="126">
        <v>1</v>
      </c>
      <c r="AA27" s="126">
        <v>1</v>
      </c>
      <c r="AB27" s="126">
        <v>1</v>
      </c>
      <c r="AC27" s="126">
        <v>1</v>
      </c>
      <c r="AD27" s="126">
        <v>1</v>
      </c>
      <c r="AE27" s="126">
        <v>1</v>
      </c>
      <c r="AF27" s="126">
        <v>1</v>
      </c>
      <c r="AG27" s="126">
        <v>1</v>
      </c>
      <c r="AH27" s="126">
        <v>1</v>
      </c>
      <c r="AI27" s="126">
        <v>1</v>
      </c>
      <c r="AJ27" s="126">
        <v>1</v>
      </c>
      <c r="AK27" s="126">
        <v>1</v>
      </c>
      <c r="AL27" s="126">
        <v>1</v>
      </c>
      <c r="AM27" s="126">
        <v>1</v>
      </c>
      <c r="AN27" s="126">
        <v>1</v>
      </c>
      <c r="AO27" s="126">
        <v>1</v>
      </c>
      <c r="AP27" s="126">
        <v>1</v>
      </c>
      <c r="AQ27" s="126">
        <v>1</v>
      </c>
      <c r="AR27" s="126">
        <v>1</v>
      </c>
      <c r="AS27" s="126">
        <v>1</v>
      </c>
      <c r="AT27" s="126">
        <v>1</v>
      </c>
      <c r="AU27" s="126">
        <v>1</v>
      </c>
      <c r="AV27" s="126">
        <v>1</v>
      </c>
      <c r="AW27" s="126">
        <v>1</v>
      </c>
      <c r="AX27" s="126">
        <v>1</v>
      </c>
      <c r="AY27" s="126">
        <v>1</v>
      </c>
      <c r="AZ27" s="126">
        <v>1</v>
      </c>
      <c r="BA27" s="126">
        <v>1</v>
      </c>
      <c r="BB27" s="126">
        <v>1</v>
      </c>
      <c r="BC27" s="126">
        <v>1</v>
      </c>
      <c r="BD27" s="126">
        <v>1</v>
      </c>
      <c r="BE27" s="126">
        <v>1</v>
      </c>
    </row>
    <row r="28" spans="1:57" x14ac:dyDescent="0.35">
      <c r="A28" s="127" t="s">
        <v>24</v>
      </c>
      <c r="G28" s="126">
        <v>1</v>
      </c>
      <c r="H28" s="126">
        <v>1</v>
      </c>
      <c r="I28" s="126">
        <v>1</v>
      </c>
      <c r="J28" s="126">
        <v>1</v>
      </c>
      <c r="K28" s="126">
        <v>1</v>
      </c>
      <c r="L28" s="126">
        <v>1</v>
      </c>
      <c r="M28" s="126">
        <v>1</v>
      </c>
      <c r="N28" s="126">
        <v>1</v>
      </c>
      <c r="O28" s="126">
        <v>1</v>
      </c>
      <c r="P28" s="126">
        <v>1</v>
      </c>
      <c r="Q28" s="126">
        <v>1</v>
      </c>
      <c r="R28" s="126">
        <v>1</v>
      </c>
      <c r="S28" s="126">
        <v>1</v>
      </c>
      <c r="T28" s="126">
        <v>1</v>
      </c>
      <c r="U28" s="126">
        <v>1</v>
      </c>
      <c r="V28" s="126">
        <v>1</v>
      </c>
      <c r="W28" s="126">
        <v>1</v>
      </c>
      <c r="X28" s="126">
        <v>1</v>
      </c>
      <c r="Y28" s="126">
        <v>1</v>
      </c>
      <c r="Z28" s="126">
        <v>1</v>
      </c>
      <c r="AA28" s="126">
        <v>1</v>
      </c>
      <c r="AB28" s="126">
        <v>1</v>
      </c>
      <c r="AC28" s="126">
        <v>1</v>
      </c>
      <c r="AD28" s="126">
        <v>1</v>
      </c>
      <c r="AE28" s="126">
        <v>1</v>
      </c>
      <c r="AF28" s="126">
        <v>1</v>
      </c>
      <c r="AG28" s="126">
        <v>1</v>
      </c>
      <c r="AH28" s="126">
        <v>1</v>
      </c>
      <c r="AI28" s="126">
        <v>1</v>
      </c>
      <c r="AJ28" s="126">
        <v>1</v>
      </c>
      <c r="AK28" s="126">
        <v>1</v>
      </c>
      <c r="AL28" s="126">
        <v>1</v>
      </c>
      <c r="AM28" s="126">
        <v>1</v>
      </c>
      <c r="AN28" s="126">
        <v>1</v>
      </c>
      <c r="AO28" s="126">
        <v>1</v>
      </c>
      <c r="AP28" s="126">
        <v>1</v>
      </c>
      <c r="AQ28" s="126">
        <v>1</v>
      </c>
      <c r="AR28" s="126">
        <v>1</v>
      </c>
      <c r="AS28" s="126">
        <v>1</v>
      </c>
      <c r="AT28" s="126">
        <v>1</v>
      </c>
      <c r="AU28" s="126">
        <v>1</v>
      </c>
      <c r="AV28" s="126">
        <v>1</v>
      </c>
      <c r="AW28" s="126">
        <v>1</v>
      </c>
      <c r="AX28" s="126">
        <v>1</v>
      </c>
      <c r="AY28" s="126">
        <v>1</v>
      </c>
      <c r="AZ28" s="126">
        <v>1</v>
      </c>
      <c r="BA28" s="126">
        <v>1</v>
      </c>
      <c r="BB28" s="126">
        <v>1</v>
      </c>
      <c r="BC28" s="126">
        <v>1</v>
      </c>
      <c r="BD28" s="126">
        <v>1</v>
      </c>
      <c r="BE28" s="126">
        <v>1</v>
      </c>
    </row>
    <row r="29" spans="1:57" x14ac:dyDescent="0.35">
      <c r="A29" s="127" t="s">
        <v>25</v>
      </c>
      <c r="G29" s="126">
        <v>1</v>
      </c>
      <c r="H29" s="126">
        <v>1</v>
      </c>
      <c r="I29" s="126">
        <v>1</v>
      </c>
      <c r="J29" s="126">
        <v>1</v>
      </c>
      <c r="K29" s="126">
        <v>1</v>
      </c>
      <c r="L29" s="126">
        <v>1</v>
      </c>
      <c r="M29" s="126">
        <v>1</v>
      </c>
      <c r="N29" s="126">
        <v>1</v>
      </c>
      <c r="O29" s="126">
        <v>1</v>
      </c>
      <c r="P29" s="126">
        <v>1</v>
      </c>
      <c r="Q29" s="126">
        <v>1</v>
      </c>
      <c r="R29" s="126">
        <v>1</v>
      </c>
      <c r="S29" s="126">
        <v>1</v>
      </c>
      <c r="T29" s="126">
        <v>1</v>
      </c>
      <c r="U29" s="126">
        <v>1</v>
      </c>
      <c r="V29" s="126">
        <v>1</v>
      </c>
      <c r="W29" s="126">
        <v>1</v>
      </c>
      <c r="X29" s="126">
        <v>1</v>
      </c>
      <c r="Y29" s="126">
        <v>1</v>
      </c>
      <c r="Z29" s="126">
        <v>1</v>
      </c>
      <c r="AA29" s="126">
        <v>1</v>
      </c>
      <c r="AB29" s="126">
        <v>1</v>
      </c>
      <c r="AC29" s="126">
        <v>1</v>
      </c>
      <c r="AD29" s="126">
        <v>1</v>
      </c>
      <c r="AE29" s="126">
        <v>1</v>
      </c>
      <c r="AF29" s="126">
        <v>1</v>
      </c>
      <c r="AG29" s="126">
        <v>1</v>
      </c>
      <c r="AH29" s="126">
        <v>1</v>
      </c>
      <c r="AI29" s="126">
        <v>1</v>
      </c>
      <c r="AJ29" s="126">
        <v>1</v>
      </c>
      <c r="AK29" s="126">
        <v>1</v>
      </c>
      <c r="AL29" s="126">
        <v>1</v>
      </c>
      <c r="AM29" s="126">
        <v>1</v>
      </c>
      <c r="AN29" s="126">
        <v>1</v>
      </c>
      <c r="AO29" s="126">
        <v>1</v>
      </c>
      <c r="AP29" s="126">
        <v>1</v>
      </c>
      <c r="AQ29" s="126">
        <v>1</v>
      </c>
      <c r="AR29" s="126">
        <v>1</v>
      </c>
      <c r="AS29" s="126">
        <v>1</v>
      </c>
      <c r="AT29" s="126">
        <v>1</v>
      </c>
      <c r="AU29" s="126">
        <v>1</v>
      </c>
      <c r="AV29" s="126">
        <v>1</v>
      </c>
      <c r="AW29" s="126">
        <v>1</v>
      </c>
      <c r="AX29" s="126">
        <v>1</v>
      </c>
      <c r="AY29" s="126">
        <v>1</v>
      </c>
      <c r="AZ29" s="126">
        <v>1</v>
      </c>
      <c r="BA29" s="126">
        <v>1</v>
      </c>
      <c r="BB29" s="126">
        <v>1</v>
      </c>
      <c r="BC29" s="126">
        <v>1</v>
      </c>
      <c r="BD29" s="126">
        <v>1</v>
      </c>
      <c r="BE29" s="126">
        <v>1</v>
      </c>
    </row>
    <row r="30" spans="1:57" x14ac:dyDescent="0.35">
      <c r="A30" s="127" t="s">
        <v>26</v>
      </c>
      <c r="G30" s="126">
        <v>1</v>
      </c>
      <c r="H30" s="126">
        <v>1</v>
      </c>
      <c r="I30" s="126">
        <v>1</v>
      </c>
      <c r="J30" s="126">
        <v>1</v>
      </c>
      <c r="K30" s="126">
        <v>1</v>
      </c>
      <c r="L30" s="126">
        <v>1</v>
      </c>
      <c r="M30" s="126">
        <v>1</v>
      </c>
      <c r="N30" s="126">
        <v>1</v>
      </c>
      <c r="O30" s="126">
        <v>1</v>
      </c>
      <c r="P30" s="126">
        <v>1</v>
      </c>
      <c r="Q30" s="126">
        <v>1</v>
      </c>
      <c r="R30" s="126">
        <v>1</v>
      </c>
      <c r="S30" s="126">
        <v>1</v>
      </c>
      <c r="T30" s="126">
        <v>1</v>
      </c>
      <c r="U30" s="126">
        <v>1</v>
      </c>
      <c r="V30" s="126">
        <v>1</v>
      </c>
      <c r="W30" s="126">
        <v>1</v>
      </c>
      <c r="X30" s="126">
        <v>1</v>
      </c>
      <c r="Y30" s="126">
        <v>1</v>
      </c>
      <c r="Z30" s="126">
        <v>1</v>
      </c>
      <c r="AA30" s="126">
        <v>1</v>
      </c>
      <c r="AB30" s="126">
        <v>1</v>
      </c>
      <c r="AC30" s="126">
        <v>1</v>
      </c>
      <c r="AD30" s="126">
        <v>1</v>
      </c>
      <c r="AE30" s="126">
        <v>1</v>
      </c>
      <c r="AF30" s="126">
        <v>1</v>
      </c>
      <c r="AG30" s="126">
        <v>1</v>
      </c>
      <c r="AH30" s="126">
        <v>1</v>
      </c>
      <c r="AI30" s="126">
        <v>1</v>
      </c>
      <c r="AJ30" s="126">
        <v>1</v>
      </c>
      <c r="AK30" s="126">
        <v>1</v>
      </c>
      <c r="AL30" s="126">
        <v>1</v>
      </c>
      <c r="AM30" s="126">
        <v>1</v>
      </c>
      <c r="AN30" s="126">
        <v>1</v>
      </c>
      <c r="AO30" s="126">
        <v>1</v>
      </c>
      <c r="AP30" s="126">
        <v>1</v>
      </c>
      <c r="AQ30" s="126">
        <v>1</v>
      </c>
      <c r="AR30" s="126">
        <v>1</v>
      </c>
      <c r="AS30" s="126">
        <v>1</v>
      </c>
      <c r="AT30" s="126">
        <v>1</v>
      </c>
      <c r="AU30" s="126">
        <v>1</v>
      </c>
      <c r="AV30" s="126">
        <v>1</v>
      </c>
      <c r="AW30" s="126">
        <v>1</v>
      </c>
      <c r="AX30" s="126">
        <v>1</v>
      </c>
      <c r="AY30" s="126">
        <v>1</v>
      </c>
      <c r="AZ30" s="126">
        <v>1</v>
      </c>
      <c r="BA30" s="126">
        <v>1</v>
      </c>
      <c r="BB30" s="126">
        <v>1</v>
      </c>
      <c r="BC30" s="126">
        <v>1</v>
      </c>
      <c r="BD30" s="126">
        <v>1</v>
      </c>
      <c r="BE30" s="126">
        <v>1</v>
      </c>
    </row>
    <row r="31" spans="1:57" x14ac:dyDescent="0.35">
      <c r="A31" s="127" t="s">
        <v>27</v>
      </c>
      <c r="G31" s="126">
        <v>1</v>
      </c>
      <c r="H31" s="126">
        <v>1</v>
      </c>
      <c r="I31" s="126">
        <v>1</v>
      </c>
      <c r="J31" s="126">
        <v>1</v>
      </c>
      <c r="K31" s="126">
        <v>1</v>
      </c>
      <c r="L31" s="126">
        <v>1</v>
      </c>
      <c r="M31" s="126">
        <v>1</v>
      </c>
      <c r="N31" s="126">
        <v>1</v>
      </c>
      <c r="O31" s="126">
        <v>1</v>
      </c>
      <c r="P31" s="126">
        <v>1</v>
      </c>
      <c r="Q31" s="126">
        <v>1</v>
      </c>
      <c r="R31" s="126">
        <v>1</v>
      </c>
      <c r="S31" s="126">
        <v>1</v>
      </c>
      <c r="T31" s="126">
        <v>1</v>
      </c>
      <c r="U31" s="126">
        <v>1</v>
      </c>
      <c r="V31" s="126">
        <v>1</v>
      </c>
      <c r="W31" s="126">
        <v>1</v>
      </c>
      <c r="X31" s="126">
        <v>1</v>
      </c>
      <c r="Y31" s="126">
        <v>1</v>
      </c>
      <c r="Z31" s="126">
        <v>1</v>
      </c>
      <c r="AA31" s="126">
        <v>1</v>
      </c>
      <c r="AB31" s="126">
        <v>1</v>
      </c>
      <c r="AC31" s="126">
        <v>1</v>
      </c>
      <c r="AD31" s="126">
        <v>1</v>
      </c>
      <c r="AE31" s="126">
        <v>1</v>
      </c>
      <c r="AF31" s="126">
        <v>1</v>
      </c>
      <c r="AG31" s="126">
        <v>1</v>
      </c>
      <c r="AH31" s="126">
        <v>1</v>
      </c>
      <c r="AI31" s="126">
        <v>1</v>
      </c>
      <c r="AJ31" s="126">
        <v>1</v>
      </c>
      <c r="AK31" s="126">
        <v>1</v>
      </c>
      <c r="AL31" s="126">
        <v>1</v>
      </c>
      <c r="AM31" s="126">
        <v>1</v>
      </c>
      <c r="AN31" s="126">
        <v>1</v>
      </c>
      <c r="AO31" s="126">
        <v>1</v>
      </c>
      <c r="AP31" s="126">
        <v>1</v>
      </c>
      <c r="AQ31" s="126">
        <v>1</v>
      </c>
      <c r="AR31" s="126">
        <v>1</v>
      </c>
      <c r="AS31" s="126">
        <v>1</v>
      </c>
      <c r="AT31" s="126">
        <v>1</v>
      </c>
      <c r="AU31" s="126">
        <v>1</v>
      </c>
      <c r="AV31" s="126">
        <v>1</v>
      </c>
      <c r="AW31" s="126">
        <v>1</v>
      </c>
      <c r="AX31" s="126">
        <v>1</v>
      </c>
      <c r="AY31" s="126">
        <v>1</v>
      </c>
      <c r="AZ31" s="126">
        <v>1</v>
      </c>
      <c r="BA31" s="126">
        <v>1</v>
      </c>
      <c r="BB31" s="126">
        <v>1</v>
      </c>
      <c r="BC31" s="126">
        <v>1</v>
      </c>
      <c r="BD31" s="126">
        <v>1</v>
      </c>
      <c r="BE31" s="126">
        <v>1</v>
      </c>
    </row>
    <row r="32" spans="1:57" x14ac:dyDescent="0.35">
      <c r="A32" s="127" t="s">
        <v>28</v>
      </c>
      <c r="G32" s="126">
        <v>1</v>
      </c>
      <c r="H32" s="126">
        <v>1</v>
      </c>
      <c r="I32" s="126">
        <v>1</v>
      </c>
      <c r="J32" s="126">
        <v>1</v>
      </c>
      <c r="K32" s="126">
        <v>1</v>
      </c>
      <c r="L32" s="126">
        <v>1</v>
      </c>
      <c r="M32" s="126">
        <v>1</v>
      </c>
      <c r="N32" s="126">
        <v>1</v>
      </c>
      <c r="O32" s="126">
        <v>1</v>
      </c>
      <c r="P32" s="126">
        <v>1</v>
      </c>
      <c r="Q32" s="126">
        <v>1</v>
      </c>
      <c r="R32" s="126">
        <v>1</v>
      </c>
      <c r="S32" s="126">
        <v>1</v>
      </c>
      <c r="T32" s="126">
        <v>1</v>
      </c>
      <c r="U32" s="126">
        <v>1</v>
      </c>
      <c r="V32" s="126">
        <v>1</v>
      </c>
      <c r="W32" s="126">
        <v>1</v>
      </c>
      <c r="X32" s="126">
        <v>1</v>
      </c>
      <c r="Y32" s="126">
        <v>1</v>
      </c>
      <c r="Z32" s="126">
        <v>1</v>
      </c>
      <c r="AA32" s="126">
        <v>1</v>
      </c>
      <c r="AB32" s="126">
        <v>1</v>
      </c>
      <c r="AC32" s="126">
        <v>1</v>
      </c>
      <c r="AD32" s="126">
        <v>1</v>
      </c>
      <c r="AE32" s="126">
        <v>1</v>
      </c>
      <c r="AF32" s="126">
        <v>1</v>
      </c>
      <c r="AG32" s="126">
        <v>1</v>
      </c>
      <c r="AH32" s="126">
        <v>1</v>
      </c>
      <c r="AI32" s="126">
        <v>1</v>
      </c>
      <c r="AJ32" s="126">
        <v>1</v>
      </c>
      <c r="AK32" s="126">
        <v>1</v>
      </c>
      <c r="AL32" s="126">
        <v>1</v>
      </c>
      <c r="AM32" s="126">
        <v>1</v>
      </c>
      <c r="AN32" s="126">
        <v>1</v>
      </c>
      <c r="AO32" s="126">
        <v>1</v>
      </c>
      <c r="AP32" s="126">
        <v>1</v>
      </c>
      <c r="AQ32" s="126">
        <v>1</v>
      </c>
      <c r="AR32" s="126">
        <v>1</v>
      </c>
      <c r="AS32" s="126">
        <v>1</v>
      </c>
      <c r="AT32" s="126">
        <v>1</v>
      </c>
      <c r="AU32" s="126">
        <v>1</v>
      </c>
      <c r="AV32" s="126">
        <v>1</v>
      </c>
      <c r="AW32" s="126">
        <v>1</v>
      </c>
      <c r="AX32" s="126">
        <v>1</v>
      </c>
      <c r="AY32" s="126">
        <v>1</v>
      </c>
      <c r="AZ32" s="126">
        <v>1</v>
      </c>
      <c r="BA32" s="126">
        <v>1</v>
      </c>
      <c r="BB32" s="126">
        <v>1</v>
      </c>
      <c r="BC32" s="126">
        <v>1</v>
      </c>
      <c r="BD32" s="126">
        <v>1</v>
      </c>
      <c r="BE32" s="126">
        <v>1</v>
      </c>
    </row>
    <row r="33" spans="1:57" x14ac:dyDescent="0.35">
      <c r="A33" s="127" t="s">
        <v>29</v>
      </c>
      <c r="G33" s="126">
        <v>2</v>
      </c>
      <c r="H33" s="126">
        <v>2</v>
      </c>
      <c r="I33" s="126">
        <v>2</v>
      </c>
      <c r="J33" s="126">
        <v>2</v>
      </c>
      <c r="K33" s="126">
        <v>2</v>
      </c>
      <c r="L33" s="126">
        <v>2</v>
      </c>
      <c r="M33" s="126">
        <v>2</v>
      </c>
      <c r="N33" s="126">
        <v>2</v>
      </c>
      <c r="O33" s="126">
        <v>2</v>
      </c>
      <c r="P33" s="126">
        <v>2</v>
      </c>
      <c r="Q33" s="126">
        <v>2</v>
      </c>
      <c r="R33" s="126">
        <v>2</v>
      </c>
      <c r="S33" s="126">
        <v>2</v>
      </c>
      <c r="T33" s="126">
        <v>2</v>
      </c>
      <c r="U33" s="126">
        <v>2</v>
      </c>
      <c r="V33" s="126">
        <v>2</v>
      </c>
      <c r="W33" s="126">
        <v>2</v>
      </c>
      <c r="X33" s="126">
        <v>2</v>
      </c>
      <c r="Y33" s="126">
        <v>2</v>
      </c>
      <c r="Z33" s="126">
        <v>2</v>
      </c>
      <c r="AA33" s="126">
        <v>2</v>
      </c>
      <c r="AB33" s="126">
        <v>2</v>
      </c>
      <c r="AC33" s="126">
        <v>2</v>
      </c>
      <c r="AD33" s="126">
        <v>2</v>
      </c>
      <c r="AE33" s="126">
        <v>2</v>
      </c>
      <c r="AF33" s="126">
        <v>2</v>
      </c>
      <c r="AG33" s="126">
        <v>2</v>
      </c>
      <c r="AH33" s="126">
        <v>2</v>
      </c>
      <c r="AI33" s="126">
        <v>2</v>
      </c>
      <c r="AJ33" s="126">
        <v>2</v>
      </c>
      <c r="AK33" s="126">
        <v>2</v>
      </c>
      <c r="AL33" s="126">
        <v>2</v>
      </c>
      <c r="AM33" s="126">
        <v>2</v>
      </c>
      <c r="AN33" s="126">
        <v>2</v>
      </c>
      <c r="AO33" s="126">
        <v>2</v>
      </c>
      <c r="AP33" s="126">
        <v>2</v>
      </c>
      <c r="AQ33" s="126">
        <v>2</v>
      </c>
      <c r="AR33" s="126">
        <v>2</v>
      </c>
      <c r="AS33" s="126">
        <v>2</v>
      </c>
      <c r="AT33" s="126">
        <v>2</v>
      </c>
      <c r="AU33" s="126">
        <v>2</v>
      </c>
      <c r="AV33" s="126">
        <v>2</v>
      </c>
      <c r="AW33" s="126">
        <v>2</v>
      </c>
      <c r="AX33" s="126">
        <v>2</v>
      </c>
      <c r="AY33" s="126">
        <v>2</v>
      </c>
      <c r="AZ33" s="126">
        <v>2</v>
      </c>
      <c r="BA33" s="126">
        <v>2</v>
      </c>
      <c r="BB33" s="126">
        <v>2</v>
      </c>
      <c r="BC33" s="126">
        <v>2</v>
      </c>
      <c r="BD33" s="126">
        <v>2</v>
      </c>
      <c r="BE33" s="126">
        <v>2</v>
      </c>
    </row>
    <row r="34" spans="1:57" x14ac:dyDescent="0.35">
      <c r="A34" s="127" t="s">
        <v>30</v>
      </c>
      <c r="G34" s="126">
        <v>1</v>
      </c>
      <c r="H34" s="126">
        <v>1</v>
      </c>
      <c r="I34" s="126">
        <v>1</v>
      </c>
      <c r="J34" s="126">
        <v>1</v>
      </c>
      <c r="K34" s="126">
        <v>1</v>
      </c>
      <c r="L34" s="126">
        <v>1</v>
      </c>
      <c r="M34" s="126">
        <v>1</v>
      </c>
      <c r="N34" s="126">
        <v>1</v>
      </c>
      <c r="O34" s="126">
        <v>1</v>
      </c>
      <c r="P34" s="126">
        <v>1</v>
      </c>
      <c r="Q34" s="126">
        <v>1</v>
      </c>
      <c r="R34" s="126">
        <v>1</v>
      </c>
      <c r="S34" s="126">
        <v>1</v>
      </c>
      <c r="T34" s="126">
        <v>1</v>
      </c>
      <c r="U34" s="126">
        <v>1</v>
      </c>
      <c r="V34" s="126">
        <v>1</v>
      </c>
      <c r="W34" s="126">
        <v>1</v>
      </c>
      <c r="X34" s="126">
        <v>1</v>
      </c>
      <c r="Y34" s="126">
        <v>1</v>
      </c>
      <c r="Z34" s="126">
        <v>1</v>
      </c>
      <c r="AA34" s="126">
        <v>1</v>
      </c>
      <c r="AB34" s="126">
        <v>1</v>
      </c>
      <c r="AC34" s="126">
        <v>1</v>
      </c>
      <c r="AD34" s="126">
        <v>1</v>
      </c>
      <c r="AE34" s="126">
        <v>1</v>
      </c>
      <c r="AF34" s="126">
        <v>1</v>
      </c>
      <c r="AG34" s="126">
        <v>1</v>
      </c>
      <c r="AH34" s="126">
        <v>1</v>
      </c>
      <c r="AI34" s="126">
        <v>1</v>
      </c>
      <c r="AJ34" s="126">
        <v>1</v>
      </c>
      <c r="AK34" s="126">
        <v>1</v>
      </c>
      <c r="AL34" s="126">
        <v>1</v>
      </c>
      <c r="AM34" s="126">
        <v>1</v>
      </c>
      <c r="AN34" s="126">
        <v>1</v>
      </c>
      <c r="AO34" s="126">
        <v>1</v>
      </c>
      <c r="AP34" s="126">
        <v>1</v>
      </c>
      <c r="AQ34" s="126">
        <v>1</v>
      </c>
      <c r="AR34" s="126">
        <v>1</v>
      </c>
      <c r="AS34" s="126">
        <v>1</v>
      </c>
      <c r="AT34" s="126">
        <v>1</v>
      </c>
      <c r="AU34" s="126">
        <v>1</v>
      </c>
      <c r="AV34" s="126">
        <v>1</v>
      </c>
      <c r="AW34" s="126">
        <v>1</v>
      </c>
      <c r="AX34" s="126">
        <v>1</v>
      </c>
      <c r="AY34" s="126">
        <v>1</v>
      </c>
      <c r="AZ34" s="126">
        <v>1</v>
      </c>
      <c r="BA34" s="126">
        <v>1</v>
      </c>
      <c r="BB34" s="126">
        <v>1</v>
      </c>
      <c r="BC34" s="126">
        <v>1</v>
      </c>
      <c r="BD34" s="126">
        <v>1</v>
      </c>
      <c r="BE34" s="126">
        <v>1</v>
      </c>
    </row>
    <row r="35" spans="1:57" x14ac:dyDescent="0.35">
      <c r="A35" s="127" t="s">
        <v>31</v>
      </c>
      <c r="G35" s="126">
        <v>1</v>
      </c>
      <c r="H35" s="126">
        <v>1</v>
      </c>
      <c r="I35" s="126">
        <v>1</v>
      </c>
      <c r="J35" s="126">
        <v>1</v>
      </c>
      <c r="K35" s="126">
        <v>1</v>
      </c>
      <c r="L35" s="126">
        <v>1</v>
      </c>
      <c r="M35" s="126">
        <v>1</v>
      </c>
      <c r="N35" s="126">
        <v>1</v>
      </c>
      <c r="O35" s="126">
        <v>1</v>
      </c>
      <c r="P35" s="126">
        <v>1</v>
      </c>
      <c r="Q35" s="126">
        <v>1</v>
      </c>
      <c r="R35" s="126">
        <v>1</v>
      </c>
      <c r="S35" s="126">
        <v>1</v>
      </c>
      <c r="T35" s="126">
        <v>1</v>
      </c>
      <c r="U35" s="126">
        <v>1</v>
      </c>
      <c r="V35" s="126">
        <v>1</v>
      </c>
      <c r="W35" s="126">
        <v>1</v>
      </c>
      <c r="X35" s="126">
        <v>1</v>
      </c>
      <c r="Y35" s="126">
        <v>1</v>
      </c>
      <c r="Z35" s="126">
        <v>1</v>
      </c>
      <c r="AA35" s="126">
        <v>1</v>
      </c>
      <c r="AB35" s="126">
        <v>1</v>
      </c>
      <c r="AC35" s="126">
        <v>1</v>
      </c>
      <c r="AD35" s="126">
        <v>1</v>
      </c>
      <c r="AE35" s="126">
        <v>1</v>
      </c>
      <c r="AF35" s="126">
        <v>1</v>
      </c>
      <c r="AG35" s="126">
        <v>1</v>
      </c>
      <c r="AH35" s="126">
        <v>1</v>
      </c>
      <c r="AI35" s="126">
        <v>1</v>
      </c>
      <c r="AJ35" s="126">
        <v>1</v>
      </c>
      <c r="AK35" s="126">
        <v>1</v>
      </c>
      <c r="AL35" s="126">
        <v>1</v>
      </c>
      <c r="AM35" s="126">
        <v>1</v>
      </c>
      <c r="AN35" s="126">
        <v>1</v>
      </c>
      <c r="AO35" s="126">
        <v>1</v>
      </c>
      <c r="AP35" s="126">
        <v>1</v>
      </c>
      <c r="AQ35" s="126">
        <v>1</v>
      </c>
      <c r="AR35" s="126">
        <v>1</v>
      </c>
      <c r="AS35" s="126">
        <v>1</v>
      </c>
      <c r="AT35" s="126">
        <v>1</v>
      </c>
      <c r="AU35" s="126">
        <v>1</v>
      </c>
      <c r="AV35" s="126">
        <v>1</v>
      </c>
      <c r="AW35" s="126">
        <v>1</v>
      </c>
      <c r="AX35" s="126">
        <v>1</v>
      </c>
      <c r="AY35" s="126">
        <v>1</v>
      </c>
      <c r="AZ35" s="126">
        <v>1</v>
      </c>
      <c r="BA35" s="126">
        <v>1</v>
      </c>
      <c r="BB35" s="126">
        <v>1</v>
      </c>
      <c r="BC35" s="126">
        <v>1</v>
      </c>
      <c r="BD35" s="126">
        <v>1</v>
      </c>
      <c r="BE35" s="126">
        <v>1</v>
      </c>
    </row>
    <row r="36" spans="1:57" x14ac:dyDescent="0.35">
      <c r="A36" s="127" t="s">
        <v>32</v>
      </c>
      <c r="G36" s="126">
        <v>2</v>
      </c>
      <c r="H36" s="126">
        <v>2</v>
      </c>
      <c r="I36" s="126">
        <v>2</v>
      </c>
      <c r="J36" s="126">
        <v>2</v>
      </c>
      <c r="K36" s="126">
        <v>2</v>
      </c>
      <c r="L36" s="126">
        <v>2</v>
      </c>
      <c r="M36" s="126">
        <v>2</v>
      </c>
      <c r="N36" s="126">
        <v>2</v>
      </c>
      <c r="O36" s="126">
        <v>2</v>
      </c>
      <c r="P36" s="126">
        <v>2</v>
      </c>
      <c r="Q36" s="126">
        <v>2</v>
      </c>
      <c r="R36" s="126">
        <v>2</v>
      </c>
      <c r="S36" s="126">
        <v>2</v>
      </c>
      <c r="T36" s="126">
        <v>2</v>
      </c>
      <c r="U36" s="126">
        <v>2</v>
      </c>
      <c r="V36" s="126">
        <v>2</v>
      </c>
      <c r="W36" s="126">
        <v>2</v>
      </c>
      <c r="X36" s="126">
        <v>2</v>
      </c>
      <c r="Y36" s="126">
        <v>2</v>
      </c>
      <c r="Z36" s="126">
        <v>2</v>
      </c>
      <c r="AA36" s="126">
        <v>2</v>
      </c>
      <c r="AB36" s="126">
        <v>2</v>
      </c>
      <c r="AC36" s="126">
        <v>2</v>
      </c>
      <c r="AD36" s="126">
        <v>2</v>
      </c>
      <c r="AE36" s="126">
        <v>2</v>
      </c>
      <c r="AF36" s="126">
        <v>2</v>
      </c>
      <c r="AG36" s="126">
        <v>2</v>
      </c>
      <c r="AH36" s="126">
        <v>2</v>
      </c>
      <c r="AI36" s="126">
        <v>2</v>
      </c>
      <c r="AJ36" s="126">
        <v>2</v>
      </c>
      <c r="AK36" s="126">
        <v>2</v>
      </c>
      <c r="AL36" s="126">
        <v>2</v>
      </c>
      <c r="AM36" s="126">
        <v>2</v>
      </c>
      <c r="AN36" s="126">
        <v>2</v>
      </c>
      <c r="AO36" s="126">
        <v>2</v>
      </c>
      <c r="AP36" s="126">
        <v>2</v>
      </c>
      <c r="AQ36" s="126">
        <v>2</v>
      </c>
      <c r="AR36" s="126">
        <v>2</v>
      </c>
      <c r="AS36" s="126">
        <v>2</v>
      </c>
      <c r="AT36" s="126">
        <v>2</v>
      </c>
      <c r="AU36" s="126">
        <v>2</v>
      </c>
      <c r="AV36" s="126">
        <v>2</v>
      </c>
      <c r="AW36" s="126">
        <v>2</v>
      </c>
      <c r="AX36" s="126">
        <v>2</v>
      </c>
      <c r="AY36" s="126">
        <v>2</v>
      </c>
      <c r="AZ36" s="126">
        <v>2</v>
      </c>
      <c r="BA36" s="126">
        <v>2</v>
      </c>
      <c r="BB36" s="126">
        <v>2</v>
      </c>
      <c r="BC36" s="126">
        <v>2</v>
      </c>
      <c r="BD36" s="126">
        <v>2</v>
      </c>
      <c r="BE36" s="126">
        <v>2</v>
      </c>
    </row>
    <row r="37" spans="1:57" x14ac:dyDescent="0.35">
      <c r="A37" s="127" t="s">
        <v>33</v>
      </c>
      <c r="G37" s="126">
        <v>1</v>
      </c>
      <c r="H37" s="126">
        <v>1</v>
      </c>
      <c r="I37" s="126">
        <v>1</v>
      </c>
      <c r="J37" s="126">
        <v>1</v>
      </c>
      <c r="K37" s="126">
        <v>1</v>
      </c>
      <c r="L37" s="126">
        <v>1</v>
      </c>
      <c r="M37" s="126">
        <v>1</v>
      </c>
      <c r="N37" s="126">
        <v>1</v>
      </c>
      <c r="O37" s="126">
        <v>1</v>
      </c>
      <c r="P37" s="126">
        <v>1</v>
      </c>
      <c r="Q37" s="126">
        <v>1</v>
      </c>
      <c r="R37" s="126">
        <v>1</v>
      </c>
      <c r="S37" s="126">
        <v>1</v>
      </c>
      <c r="T37" s="126">
        <v>1</v>
      </c>
      <c r="U37" s="126">
        <v>1</v>
      </c>
      <c r="V37" s="126">
        <v>1</v>
      </c>
      <c r="W37" s="126">
        <v>1</v>
      </c>
      <c r="X37" s="126">
        <v>1</v>
      </c>
      <c r="Y37" s="126">
        <v>1</v>
      </c>
      <c r="Z37" s="126">
        <v>1</v>
      </c>
      <c r="AA37" s="126">
        <v>1</v>
      </c>
      <c r="AB37" s="126">
        <v>1</v>
      </c>
      <c r="AC37" s="126">
        <v>1</v>
      </c>
      <c r="AD37" s="126">
        <v>1</v>
      </c>
      <c r="AE37" s="126">
        <v>1</v>
      </c>
      <c r="AF37" s="126">
        <v>1</v>
      </c>
      <c r="AG37" s="126">
        <v>1</v>
      </c>
      <c r="AH37" s="126">
        <v>1</v>
      </c>
      <c r="AI37" s="126">
        <v>1</v>
      </c>
      <c r="AJ37" s="126">
        <v>1</v>
      </c>
      <c r="AK37" s="126">
        <v>1</v>
      </c>
      <c r="AL37" s="126">
        <v>1</v>
      </c>
      <c r="AM37" s="126">
        <v>1</v>
      </c>
      <c r="AN37" s="126">
        <v>1</v>
      </c>
      <c r="AO37" s="126">
        <v>1</v>
      </c>
      <c r="AP37" s="126">
        <v>1</v>
      </c>
      <c r="AQ37" s="126">
        <v>1</v>
      </c>
      <c r="AR37" s="126">
        <v>1</v>
      </c>
      <c r="AS37" s="126">
        <v>1</v>
      </c>
      <c r="AT37" s="126">
        <v>1</v>
      </c>
      <c r="AU37" s="126">
        <v>1</v>
      </c>
      <c r="AV37" s="126">
        <v>1</v>
      </c>
      <c r="AW37" s="126">
        <v>1</v>
      </c>
      <c r="AX37" s="126">
        <v>1</v>
      </c>
      <c r="AY37" s="126">
        <v>1</v>
      </c>
      <c r="AZ37" s="126">
        <v>1</v>
      </c>
      <c r="BA37" s="126">
        <v>1</v>
      </c>
      <c r="BB37" s="126">
        <v>1</v>
      </c>
      <c r="BC37" s="126">
        <v>1</v>
      </c>
      <c r="BD37" s="126">
        <v>1</v>
      </c>
      <c r="BE37" s="126">
        <v>1</v>
      </c>
    </row>
    <row r="38" spans="1:57" x14ac:dyDescent="0.35">
      <c r="A38" s="127" t="s">
        <v>34</v>
      </c>
      <c r="G38" s="126">
        <v>1</v>
      </c>
      <c r="H38" s="126">
        <v>1</v>
      </c>
      <c r="I38" s="126">
        <v>1</v>
      </c>
      <c r="J38" s="126">
        <v>1</v>
      </c>
      <c r="K38" s="126">
        <v>1</v>
      </c>
      <c r="L38" s="126">
        <v>1</v>
      </c>
      <c r="M38" s="126">
        <v>1</v>
      </c>
      <c r="N38" s="126">
        <v>1</v>
      </c>
      <c r="O38" s="126">
        <v>1</v>
      </c>
      <c r="P38" s="126">
        <v>1</v>
      </c>
      <c r="Q38" s="126">
        <v>1</v>
      </c>
      <c r="R38" s="126">
        <v>1</v>
      </c>
      <c r="S38" s="126">
        <v>1</v>
      </c>
      <c r="T38" s="126">
        <v>1</v>
      </c>
      <c r="U38" s="126">
        <v>1</v>
      </c>
      <c r="V38" s="126">
        <v>1</v>
      </c>
      <c r="W38" s="126">
        <v>1</v>
      </c>
      <c r="X38" s="126">
        <v>1</v>
      </c>
      <c r="Y38" s="126">
        <v>1</v>
      </c>
      <c r="Z38" s="126">
        <v>1</v>
      </c>
      <c r="AA38" s="126">
        <v>1</v>
      </c>
      <c r="AB38" s="126">
        <v>1</v>
      </c>
      <c r="AC38" s="126">
        <v>1</v>
      </c>
      <c r="AD38" s="126">
        <v>1</v>
      </c>
      <c r="AE38" s="126">
        <v>1</v>
      </c>
      <c r="AF38" s="126">
        <v>1</v>
      </c>
      <c r="AG38" s="126">
        <v>1</v>
      </c>
      <c r="AH38" s="126">
        <v>1</v>
      </c>
      <c r="AI38" s="126">
        <v>1</v>
      </c>
      <c r="AJ38" s="126">
        <v>1</v>
      </c>
      <c r="AK38" s="126">
        <v>1</v>
      </c>
      <c r="AL38" s="126">
        <v>1</v>
      </c>
      <c r="AM38" s="126">
        <v>1</v>
      </c>
      <c r="AN38" s="126">
        <v>1</v>
      </c>
      <c r="AO38" s="126">
        <v>1</v>
      </c>
      <c r="AP38" s="126">
        <v>1</v>
      </c>
      <c r="AQ38" s="126">
        <v>1</v>
      </c>
      <c r="AR38" s="126">
        <v>1</v>
      </c>
      <c r="AS38" s="126">
        <v>1</v>
      </c>
      <c r="AT38" s="126">
        <v>1</v>
      </c>
      <c r="AU38" s="126">
        <v>1</v>
      </c>
      <c r="AV38" s="126">
        <v>1</v>
      </c>
      <c r="AW38" s="126">
        <v>1</v>
      </c>
      <c r="AX38" s="126">
        <v>1</v>
      </c>
      <c r="AY38" s="126">
        <v>1</v>
      </c>
      <c r="AZ38" s="126">
        <v>1</v>
      </c>
      <c r="BA38" s="126">
        <v>1</v>
      </c>
      <c r="BB38" s="126">
        <v>1</v>
      </c>
      <c r="BC38" s="126">
        <v>1</v>
      </c>
      <c r="BD38" s="126">
        <v>1</v>
      </c>
      <c r="BE38" s="126">
        <v>1</v>
      </c>
    </row>
    <row r="39" spans="1:57" x14ac:dyDescent="0.35">
      <c r="A39" s="127" t="s">
        <v>35</v>
      </c>
      <c r="G39" s="126">
        <v>1</v>
      </c>
      <c r="H39" s="126">
        <v>1</v>
      </c>
      <c r="I39" s="126">
        <v>1</v>
      </c>
      <c r="J39" s="126">
        <v>1</v>
      </c>
      <c r="K39" s="126">
        <v>1</v>
      </c>
      <c r="L39" s="126">
        <v>1</v>
      </c>
      <c r="M39" s="126">
        <v>1</v>
      </c>
      <c r="N39" s="126">
        <v>1</v>
      </c>
      <c r="O39" s="126">
        <v>1</v>
      </c>
      <c r="P39" s="126">
        <v>1</v>
      </c>
      <c r="Q39" s="126">
        <v>1</v>
      </c>
      <c r="R39" s="126">
        <v>1</v>
      </c>
      <c r="S39" s="126">
        <v>1</v>
      </c>
      <c r="T39" s="126">
        <v>1</v>
      </c>
      <c r="U39" s="126">
        <v>1</v>
      </c>
      <c r="V39" s="126">
        <v>1</v>
      </c>
      <c r="W39" s="126">
        <v>1</v>
      </c>
      <c r="X39" s="126">
        <v>1</v>
      </c>
      <c r="Y39" s="126">
        <v>1</v>
      </c>
      <c r="Z39" s="126">
        <v>1</v>
      </c>
      <c r="AA39" s="126">
        <v>1</v>
      </c>
      <c r="AB39" s="126">
        <v>1</v>
      </c>
      <c r="AC39" s="126">
        <v>1</v>
      </c>
      <c r="AD39" s="126">
        <v>1</v>
      </c>
      <c r="AE39" s="126">
        <v>1</v>
      </c>
      <c r="AF39" s="126">
        <v>1</v>
      </c>
      <c r="AG39" s="126">
        <v>1</v>
      </c>
      <c r="AH39" s="126">
        <v>1</v>
      </c>
      <c r="AI39" s="126">
        <v>1</v>
      </c>
      <c r="AJ39" s="126">
        <v>1</v>
      </c>
      <c r="AK39" s="126">
        <v>1</v>
      </c>
      <c r="AL39" s="126">
        <v>1</v>
      </c>
      <c r="AM39" s="126">
        <v>1</v>
      </c>
      <c r="AN39" s="126">
        <v>1</v>
      </c>
      <c r="AO39" s="126">
        <v>1</v>
      </c>
      <c r="AP39" s="126">
        <v>1</v>
      </c>
      <c r="AQ39" s="126">
        <v>1</v>
      </c>
      <c r="AR39" s="126">
        <v>1</v>
      </c>
      <c r="AS39" s="126">
        <v>1</v>
      </c>
      <c r="AT39" s="126">
        <v>1</v>
      </c>
      <c r="AU39" s="126">
        <v>1</v>
      </c>
      <c r="AV39" s="126">
        <v>1</v>
      </c>
      <c r="AW39" s="126">
        <v>1</v>
      </c>
      <c r="AX39" s="126">
        <v>1</v>
      </c>
      <c r="AY39" s="126">
        <v>1</v>
      </c>
      <c r="AZ39" s="126">
        <v>1</v>
      </c>
      <c r="BA39" s="126">
        <v>1</v>
      </c>
      <c r="BB39" s="126">
        <v>1</v>
      </c>
      <c r="BC39" s="126">
        <v>1</v>
      </c>
      <c r="BD39" s="126">
        <v>1</v>
      </c>
      <c r="BE39" s="126">
        <v>1</v>
      </c>
    </row>
    <row r="40" spans="1:57" x14ac:dyDescent="0.35">
      <c r="A40" s="127" t="s">
        <v>36</v>
      </c>
      <c r="G40" s="126">
        <v>2</v>
      </c>
      <c r="H40" s="126">
        <v>2</v>
      </c>
      <c r="I40" s="126">
        <v>2</v>
      </c>
      <c r="J40" s="126">
        <v>2</v>
      </c>
      <c r="K40" s="126">
        <v>2</v>
      </c>
      <c r="L40" s="126">
        <v>2</v>
      </c>
      <c r="M40" s="126">
        <v>2</v>
      </c>
      <c r="N40" s="126">
        <v>2</v>
      </c>
      <c r="O40" s="126">
        <v>2</v>
      </c>
      <c r="P40" s="126">
        <v>2</v>
      </c>
      <c r="Q40" s="126">
        <v>2</v>
      </c>
      <c r="R40" s="126">
        <v>2</v>
      </c>
      <c r="S40" s="126">
        <v>2</v>
      </c>
      <c r="T40" s="126">
        <v>2</v>
      </c>
      <c r="U40" s="126">
        <v>2</v>
      </c>
      <c r="V40" s="126">
        <v>2</v>
      </c>
      <c r="W40" s="126">
        <v>2</v>
      </c>
      <c r="X40" s="126">
        <v>2</v>
      </c>
      <c r="Y40" s="126">
        <v>2</v>
      </c>
      <c r="Z40" s="126">
        <v>2</v>
      </c>
      <c r="AA40" s="126">
        <v>2</v>
      </c>
      <c r="AB40" s="126">
        <v>2</v>
      </c>
      <c r="AC40" s="126">
        <v>2</v>
      </c>
      <c r="AD40" s="126">
        <v>2</v>
      </c>
      <c r="AE40" s="126">
        <v>2</v>
      </c>
      <c r="AF40" s="126">
        <v>2</v>
      </c>
      <c r="AG40" s="126">
        <v>2</v>
      </c>
      <c r="AH40" s="126">
        <v>2</v>
      </c>
      <c r="AI40" s="126">
        <v>2</v>
      </c>
      <c r="AJ40" s="126">
        <v>2</v>
      </c>
      <c r="AK40" s="126">
        <v>2</v>
      </c>
      <c r="AL40" s="126">
        <v>2</v>
      </c>
      <c r="AM40" s="126">
        <v>2</v>
      </c>
      <c r="AN40" s="126">
        <v>2</v>
      </c>
      <c r="AO40" s="126">
        <v>2</v>
      </c>
      <c r="AP40" s="126">
        <v>2</v>
      </c>
      <c r="AQ40" s="126">
        <v>2</v>
      </c>
      <c r="AR40" s="126">
        <v>2</v>
      </c>
      <c r="AS40" s="126">
        <v>2</v>
      </c>
      <c r="AT40" s="126">
        <v>2</v>
      </c>
      <c r="AU40" s="126">
        <v>2</v>
      </c>
      <c r="AV40" s="126">
        <v>2</v>
      </c>
      <c r="AW40" s="126">
        <v>2</v>
      </c>
      <c r="AX40" s="126">
        <v>2</v>
      </c>
      <c r="AY40" s="126">
        <v>2</v>
      </c>
      <c r="AZ40" s="126">
        <v>2</v>
      </c>
      <c r="BA40" s="126">
        <v>2</v>
      </c>
      <c r="BB40" s="126">
        <v>2</v>
      </c>
      <c r="BC40" s="126">
        <v>2</v>
      </c>
      <c r="BD40" s="126">
        <v>2</v>
      </c>
      <c r="BE40" s="126">
        <v>2</v>
      </c>
    </row>
    <row r="41" spans="1:57" x14ac:dyDescent="0.35">
      <c r="A41" s="127" t="s">
        <v>37</v>
      </c>
      <c r="G41" s="126">
        <v>1</v>
      </c>
      <c r="H41" s="126">
        <v>1</v>
      </c>
      <c r="I41" s="126">
        <v>1</v>
      </c>
      <c r="J41" s="126">
        <v>1</v>
      </c>
      <c r="K41" s="126">
        <v>1</v>
      </c>
      <c r="L41" s="126">
        <v>1</v>
      </c>
      <c r="M41" s="126">
        <v>1</v>
      </c>
      <c r="N41" s="126">
        <v>1</v>
      </c>
      <c r="O41" s="126">
        <v>1</v>
      </c>
      <c r="P41" s="126">
        <v>1</v>
      </c>
      <c r="Q41" s="126">
        <v>1</v>
      </c>
      <c r="R41" s="126">
        <v>1</v>
      </c>
      <c r="S41" s="126">
        <v>1</v>
      </c>
      <c r="T41" s="126">
        <v>1</v>
      </c>
      <c r="U41" s="126">
        <v>1</v>
      </c>
      <c r="V41" s="126">
        <v>1</v>
      </c>
      <c r="W41" s="126">
        <v>1</v>
      </c>
      <c r="X41" s="126">
        <v>1</v>
      </c>
      <c r="Y41" s="126">
        <v>1</v>
      </c>
      <c r="Z41" s="126">
        <v>1</v>
      </c>
      <c r="AA41" s="126">
        <v>1</v>
      </c>
      <c r="AB41" s="126">
        <v>1</v>
      </c>
      <c r="AC41" s="126">
        <v>1</v>
      </c>
      <c r="AD41" s="126">
        <v>1</v>
      </c>
      <c r="AE41" s="126">
        <v>1</v>
      </c>
      <c r="AF41" s="126">
        <v>1</v>
      </c>
      <c r="AG41" s="126">
        <v>1</v>
      </c>
      <c r="AH41" s="126">
        <v>1</v>
      </c>
      <c r="AI41" s="126">
        <v>1</v>
      </c>
      <c r="AJ41" s="126">
        <v>1</v>
      </c>
      <c r="AK41" s="126">
        <v>1</v>
      </c>
      <c r="AL41" s="126">
        <v>1</v>
      </c>
      <c r="AM41" s="126">
        <v>1</v>
      </c>
      <c r="AN41" s="126">
        <v>1</v>
      </c>
      <c r="AO41" s="126">
        <v>1</v>
      </c>
      <c r="AP41" s="126">
        <v>1</v>
      </c>
      <c r="AQ41" s="126">
        <v>1</v>
      </c>
      <c r="AR41" s="126">
        <v>1</v>
      </c>
      <c r="AS41" s="126">
        <v>1</v>
      </c>
      <c r="AT41" s="126">
        <v>1</v>
      </c>
      <c r="AU41" s="126">
        <v>1</v>
      </c>
      <c r="AV41" s="126">
        <v>1</v>
      </c>
      <c r="AW41" s="126">
        <v>1</v>
      </c>
      <c r="AX41" s="126">
        <v>1</v>
      </c>
      <c r="AY41" s="126">
        <v>1</v>
      </c>
      <c r="AZ41" s="126">
        <v>1</v>
      </c>
      <c r="BA41" s="126">
        <v>1</v>
      </c>
      <c r="BB41" s="126">
        <v>1</v>
      </c>
      <c r="BC41" s="126">
        <v>1</v>
      </c>
      <c r="BD41" s="126">
        <v>1</v>
      </c>
      <c r="BE41" s="126">
        <v>1</v>
      </c>
    </row>
    <row r="42" spans="1:57" x14ac:dyDescent="0.35">
      <c r="A42" s="127" t="s">
        <v>38</v>
      </c>
      <c r="G42" s="126">
        <v>1</v>
      </c>
      <c r="H42" s="126">
        <v>1</v>
      </c>
      <c r="I42" s="126">
        <v>1</v>
      </c>
      <c r="J42" s="126">
        <v>1</v>
      </c>
      <c r="K42" s="126">
        <v>1</v>
      </c>
      <c r="L42" s="126">
        <v>1</v>
      </c>
      <c r="M42" s="126">
        <v>1</v>
      </c>
      <c r="N42" s="126">
        <v>1</v>
      </c>
      <c r="O42" s="126">
        <v>1</v>
      </c>
      <c r="P42" s="126">
        <v>1</v>
      </c>
      <c r="Q42" s="126">
        <v>1</v>
      </c>
      <c r="R42" s="126">
        <v>1</v>
      </c>
      <c r="S42" s="126">
        <v>1</v>
      </c>
      <c r="T42" s="126">
        <v>1</v>
      </c>
      <c r="U42" s="126">
        <v>1</v>
      </c>
      <c r="V42" s="126">
        <v>1</v>
      </c>
      <c r="W42" s="126">
        <v>1</v>
      </c>
      <c r="X42" s="126">
        <v>1</v>
      </c>
      <c r="Y42" s="126">
        <v>1</v>
      </c>
      <c r="Z42" s="126">
        <v>1</v>
      </c>
      <c r="AA42" s="126">
        <v>1</v>
      </c>
      <c r="AB42" s="126">
        <v>1</v>
      </c>
      <c r="AC42" s="126">
        <v>1</v>
      </c>
      <c r="AD42" s="126">
        <v>1</v>
      </c>
      <c r="AE42" s="126">
        <v>1</v>
      </c>
      <c r="AF42" s="126">
        <v>1</v>
      </c>
      <c r="AG42" s="126">
        <v>1</v>
      </c>
      <c r="AH42" s="126">
        <v>1</v>
      </c>
      <c r="AI42" s="126">
        <v>1</v>
      </c>
      <c r="AJ42" s="126">
        <v>1</v>
      </c>
      <c r="AK42" s="126">
        <v>1</v>
      </c>
      <c r="AL42" s="126">
        <v>1</v>
      </c>
      <c r="AM42" s="126">
        <v>1</v>
      </c>
      <c r="AN42" s="126">
        <v>1</v>
      </c>
      <c r="AO42" s="126">
        <v>1</v>
      </c>
      <c r="AP42" s="126">
        <v>1</v>
      </c>
      <c r="AQ42" s="126">
        <v>1</v>
      </c>
      <c r="AR42" s="126">
        <v>1</v>
      </c>
      <c r="AS42" s="126">
        <v>1</v>
      </c>
      <c r="AT42" s="126">
        <v>1</v>
      </c>
      <c r="AU42" s="126">
        <v>1</v>
      </c>
      <c r="AV42" s="126">
        <v>1</v>
      </c>
      <c r="AW42" s="126">
        <v>1</v>
      </c>
      <c r="AX42" s="126">
        <v>1</v>
      </c>
      <c r="AY42" s="126">
        <v>1</v>
      </c>
      <c r="AZ42" s="126">
        <v>1</v>
      </c>
      <c r="BA42" s="126">
        <v>1</v>
      </c>
      <c r="BB42" s="126">
        <v>1</v>
      </c>
      <c r="BC42" s="126">
        <v>1</v>
      </c>
      <c r="BD42" s="126">
        <v>1</v>
      </c>
      <c r="BE42" s="126">
        <v>1</v>
      </c>
    </row>
    <row r="43" spans="1:57" x14ac:dyDescent="0.35">
      <c r="A43" s="127" t="s">
        <v>39</v>
      </c>
      <c r="G43" s="126">
        <v>1</v>
      </c>
      <c r="H43" s="126">
        <v>1</v>
      </c>
      <c r="I43" s="126">
        <v>1</v>
      </c>
      <c r="J43" s="126">
        <v>1</v>
      </c>
      <c r="K43" s="126">
        <v>1</v>
      </c>
      <c r="L43" s="126">
        <v>1</v>
      </c>
      <c r="M43" s="126">
        <v>1</v>
      </c>
      <c r="N43" s="126">
        <v>1</v>
      </c>
      <c r="O43" s="126">
        <v>1</v>
      </c>
      <c r="P43" s="126">
        <v>1</v>
      </c>
      <c r="Q43" s="126">
        <v>1</v>
      </c>
      <c r="R43" s="126">
        <v>1</v>
      </c>
      <c r="S43" s="126">
        <v>1</v>
      </c>
      <c r="T43" s="126">
        <v>1</v>
      </c>
      <c r="U43" s="126">
        <v>1</v>
      </c>
      <c r="V43" s="126">
        <v>1</v>
      </c>
      <c r="W43" s="126">
        <v>1</v>
      </c>
      <c r="X43" s="126">
        <v>1</v>
      </c>
      <c r="Y43" s="126">
        <v>1</v>
      </c>
      <c r="Z43" s="126">
        <v>1</v>
      </c>
      <c r="AA43" s="126">
        <v>1</v>
      </c>
      <c r="AB43" s="126">
        <v>1</v>
      </c>
      <c r="AC43" s="126">
        <v>1</v>
      </c>
      <c r="AD43" s="126">
        <v>1</v>
      </c>
      <c r="AE43" s="126">
        <v>1</v>
      </c>
      <c r="AF43" s="126">
        <v>1</v>
      </c>
      <c r="AG43" s="126">
        <v>1</v>
      </c>
      <c r="AH43" s="126">
        <v>1</v>
      </c>
      <c r="AI43" s="126">
        <v>1</v>
      </c>
      <c r="AJ43" s="126">
        <v>1</v>
      </c>
      <c r="AK43" s="126">
        <v>1</v>
      </c>
      <c r="AL43" s="126">
        <v>1</v>
      </c>
      <c r="AM43" s="126">
        <v>1</v>
      </c>
      <c r="AN43" s="126">
        <v>1</v>
      </c>
      <c r="AO43" s="126">
        <v>1</v>
      </c>
      <c r="AP43" s="126">
        <v>1</v>
      </c>
      <c r="AQ43" s="126">
        <v>1</v>
      </c>
      <c r="AR43" s="126">
        <v>1</v>
      </c>
      <c r="AS43" s="126">
        <v>1</v>
      </c>
      <c r="AT43" s="126">
        <v>1</v>
      </c>
      <c r="AU43" s="126">
        <v>1</v>
      </c>
      <c r="AV43" s="126">
        <v>1</v>
      </c>
      <c r="AW43" s="126">
        <v>1</v>
      </c>
      <c r="AX43" s="126">
        <v>1</v>
      </c>
      <c r="AY43" s="126">
        <v>1</v>
      </c>
      <c r="AZ43" s="126">
        <v>1</v>
      </c>
      <c r="BA43" s="126">
        <v>1</v>
      </c>
      <c r="BB43" s="126">
        <v>1</v>
      </c>
      <c r="BC43" s="126">
        <v>1</v>
      </c>
      <c r="BD43" s="126">
        <v>1</v>
      </c>
      <c r="BE43" s="126">
        <v>1</v>
      </c>
    </row>
    <row r="44" spans="1:57" x14ac:dyDescent="0.35">
      <c r="A44" s="127" t="s">
        <v>40</v>
      </c>
      <c r="G44" s="126">
        <v>1</v>
      </c>
      <c r="H44" s="126">
        <v>1</v>
      </c>
      <c r="I44" s="126">
        <v>1</v>
      </c>
      <c r="J44" s="126">
        <v>1</v>
      </c>
      <c r="K44" s="126">
        <v>1</v>
      </c>
      <c r="L44" s="126">
        <v>1</v>
      </c>
      <c r="M44" s="126">
        <v>1</v>
      </c>
      <c r="N44" s="126">
        <v>1</v>
      </c>
      <c r="O44" s="126">
        <v>1</v>
      </c>
      <c r="P44" s="126">
        <v>1</v>
      </c>
      <c r="Q44" s="126">
        <v>1</v>
      </c>
      <c r="R44" s="126">
        <v>1</v>
      </c>
      <c r="S44" s="126">
        <v>1</v>
      </c>
      <c r="T44" s="126">
        <v>1</v>
      </c>
      <c r="U44" s="126">
        <v>1</v>
      </c>
      <c r="V44" s="126">
        <v>1</v>
      </c>
      <c r="W44" s="126">
        <v>1</v>
      </c>
      <c r="X44" s="126">
        <v>1</v>
      </c>
      <c r="Y44" s="126">
        <v>1</v>
      </c>
      <c r="Z44" s="126">
        <v>1</v>
      </c>
      <c r="AA44" s="126">
        <v>1</v>
      </c>
      <c r="AB44" s="126">
        <v>1</v>
      </c>
      <c r="AC44" s="126">
        <v>1</v>
      </c>
      <c r="AD44" s="126">
        <v>1</v>
      </c>
      <c r="AE44" s="126">
        <v>1</v>
      </c>
      <c r="AF44" s="126">
        <v>1</v>
      </c>
      <c r="AG44" s="126">
        <v>1</v>
      </c>
      <c r="AH44" s="126">
        <v>1</v>
      </c>
      <c r="AI44" s="126">
        <v>1</v>
      </c>
      <c r="AJ44" s="126">
        <v>1</v>
      </c>
      <c r="AK44" s="126">
        <v>1</v>
      </c>
      <c r="AL44" s="126">
        <v>1</v>
      </c>
      <c r="AM44" s="126">
        <v>1</v>
      </c>
      <c r="AN44" s="126">
        <v>1</v>
      </c>
      <c r="AO44" s="126">
        <v>1</v>
      </c>
      <c r="AP44" s="126">
        <v>1</v>
      </c>
      <c r="AQ44" s="126">
        <v>1</v>
      </c>
      <c r="AR44" s="126">
        <v>1</v>
      </c>
      <c r="AS44" s="126">
        <v>1</v>
      </c>
      <c r="AT44" s="126">
        <v>1</v>
      </c>
      <c r="AU44" s="126">
        <v>1</v>
      </c>
      <c r="AV44" s="126">
        <v>1</v>
      </c>
      <c r="AW44" s="126">
        <v>1</v>
      </c>
      <c r="AX44" s="126">
        <v>1</v>
      </c>
      <c r="AY44" s="126">
        <v>1</v>
      </c>
      <c r="AZ44" s="126">
        <v>1</v>
      </c>
      <c r="BA44" s="126">
        <v>1</v>
      </c>
      <c r="BB44" s="126">
        <v>1</v>
      </c>
      <c r="BC44" s="126">
        <v>1</v>
      </c>
      <c r="BD44" s="126">
        <v>1</v>
      </c>
      <c r="BE44" s="126">
        <v>1</v>
      </c>
    </row>
    <row r="45" spans="1:57" x14ac:dyDescent="0.35">
      <c r="A45" s="127" t="s">
        <v>41</v>
      </c>
      <c r="G45" s="126">
        <v>1</v>
      </c>
      <c r="H45" s="126">
        <v>1</v>
      </c>
      <c r="I45" s="126">
        <v>1</v>
      </c>
      <c r="J45" s="126">
        <v>1</v>
      </c>
      <c r="K45" s="126">
        <v>1</v>
      </c>
      <c r="L45" s="126">
        <v>1</v>
      </c>
      <c r="M45" s="126">
        <v>1</v>
      </c>
      <c r="N45" s="126">
        <v>1</v>
      </c>
      <c r="O45" s="126">
        <v>1</v>
      </c>
      <c r="P45" s="126">
        <v>1</v>
      </c>
      <c r="Q45" s="126">
        <v>1</v>
      </c>
      <c r="R45" s="126">
        <v>1</v>
      </c>
      <c r="S45" s="126">
        <v>1</v>
      </c>
      <c r="T45" s="126">
        <v>1</v>
      </c>
      <c r="U45" s="126">
        <v>1</v>
      </c>
      <c r="V45" s="126">
        <v>1</v>
      </c>
      <c r="W45" s="126">
        <v>1</v>
      </c>
      <c r="X45" s="126">
        <v>1</v>
      </c>
      <c r="Y45" s="126">
        <v>1</v>
      </c>
      <c r="Z45" s="126">
        <v>1</v>
      </c>
      <c r="AA45" s="126">
        <v>1</v>
      </c>
      <c r="AB45" s="126">
        <v>1</v>
      </c>
      <c r="AC45" s="126">
        <v>1</v>
      </c>
      <c r="AD45" s="126">
        <v>1</v>
      </c>
      <c r="AE45" s="126">
        <v>1</v>
      </c>
      <c r="AF45" s="126">
        <v>1</v>
      </c>
      <c r="AG45" s="126">
        <v>1</v>
      </c>
      <c r="AH45" s="126">
        <v>1</v>
      </c>
      <c r="AI45" s="126">
        <v>1</v>
      </c>
      <c r="AJ45" s="126">
        <v>1</v>
      </c>
      <c r="AK45" s="126">
        <v>1</v>
      </c>
      <c r="AL45" s="126">
        <v>1</v>
      </c>
      <c r="AM45" s="126">
        <v>1</v>
      </c>
      <c r="AN45" s="126">
        <v>1</v>
      </c>
      <c r="AO45" s="126">
        <v>1</v>
      </c>
      <c r="AP45" s="126">
        <v>1</v>
      </c>
      <c r="AQ45" s="126">
        <v>1</v>
      </c>
      <c r="AR45" s="126">
        <v>1</v>
      </c>
      <c r="AS45" s="126">
        <v>1</v>
      </c>
      <c r="AT45" s="126">
        <v>1</v>
      </c>
      <c r="AU45" s="126">
        <v>1</v>
      </c>
      <c r="AV45" s="126">
        <v>1</v>
      </c>
      <c r="AW45" s="126">
        <v>1</v>
      </c>
      <c r="AX45" s="126">
        <v>1</v>
      </c>
      <c r="AY45" s="126">
        <v>1</v>
      </c>
      <c r="AZ45" s="126">
        <v>1</v>
      </c>
      <c r="BA45" s="126">
        <v>1</v>
      </c>
      <c r="BB45" s="126">
        <v>1</v>
      </c>
      <c r="BC45" s="126">
        <v>1</v>
      </c>
      <c r="BD45" s="126">
        <v>1</v>
      </c>
      <c r="BE45" s="126">
        <v>1</v>
      </c>
    </row>
    <row r="46" spans="1:57" x14ac:dyDescent="0.35">
      <c r="A46" s="127" t="s">
        <v>42</v>
      </c>
      <c r="G46" s="126">
        <v>1</v>
      </c>
      <c r="H46" s="126">
        <v>1</v>
      </c>
      <c r="I46" s="126">
        <v>1</v>
      </c>
      <c r="J46" s="126">
        <v>1</v>
      </c>
      <c r="K46" s="126">
        <v>1</v>
      </c>
      <c r="L46" s="126">
        <v>1</v>
      </c>
      <c r="M46" s="126">
        <v>1</v>
      </c>
      <c r="N46" s="126">
        <v>1</v>
      </c>
      <c r="O46" s="126">
        <v>1</v>
      </c>
      <c r="P46" s="126">
        <v>1</v>
      </c>
      <c r="Q46" s="126">
        <v>1</v>
      </c>
      <c r="R46" s="126">
        <v>1</v>
      </c>
      <c r="S46" s="126">
        <v>1</v>
      </c>
      <c r="T46" s="126">
        <v>1</v>
      </c>
      <c r="U46" s="126">
        <v>1</v>
      </c>
      <c r="V46" s="126">
        <v>1</v>
      </c>
      <c r="W46" s="126">
        <v>1</v>
      </c>
      <c r="X46" s="126">
        <v>1</v>
      </c>
      <c r="Y46" s="126">
        <v>1</v>
      </c>
      <c r="Z46" s="126">
        <v>1</v>
      </c>
      <c r="AA46" s="126">
        <v>1</v>
      </c>
      <c r="AB46" s="126">
        <v>1</v>
      </c>
      <c r="AC46" s="126">
        <v>1</v>
      </c>
      <c r="AD46" s="126">
        <v>1</v>
      </c>
      <c r="AE46" s="126">
        <v>1</v>
      </c>
      <c r="AF46" s="126">
        <v>1</v>
      </c>
      <c r="AG46" s="126">
        <v>1</v>
      </c>
      <c r="AH46" s="126">
        <v>1</v>
      </c>
      <c r="AI46" s="126">
        <v>1</v>
      </c>
      <c r="AJ46" s="126">
        <v>1</v>
      </c>
      <c r="AK46" s="126">
        <v>1</v>
      </c>
      <c r="AL46" s="126">
        <v>1</v>
      </c>
      <c r="AM46" s="126">
        <v>1</v>
      </c>
      <c r="AN46" s="126">
        <v>1</v>
      </c>
      <c r="AO46" s="126">
        <v>1</v>
      </c>
      <c r="AP46" s="126">
        <v>1</v>
      </c>
      <c r="AQ46" s="126">
        <v>1</v>
      </c>
      <c r="AR46" s="126">
        <v>1</v>
      </c>
      <c r="AS46" s="126">
        <v>1</v>
      </c>
      <c r="AT46" s="126">
        <v>1</v>
      </c>
      <c r="AU46" s="126">
        <v>1</v>
      </c>
      <c r="AV46" s="126">
        <v>1</v>
      </c>
      <c r="AW46" s="126">
        <v>1</v>
      </c>
      <c r="AX46" s="126">
        <v>1</v>
      </c>
      <c r="AY46" s="126">
        <v>1</v>
      </c>
      <c r="AZ46" s="126">
        <v>1</v>
      </c>
      <c r="BA46" s="126">
        <v>1</v>
      </c>
      <c r="BB46" s="126">
        <v>1</v>
      </c>
      <c r="BC46" s="126">
        <v>1</v>
      </c>
      <c r="BD46" s="126">
        <v>1</v>
      </c>
      <c r="BE46" s="126">
        <v>1</v>
      </c>
    </row>
    <row r="47" spans="1:57" x14ac:dyDescent="0.35">
      <c r="A47" s="127" t="s">
        <v>43</v>
      </c>
      <c r="G47" s="126">
        <v>2</v>
      </c>
      <c r="H47" s="126">
        <v>2</v>
      </c>
      <c r="I47" s="126">
        <v>2</v>
      </c>
      <c r="J47" s="126">
        <v>2</v>
      </c>
      <c r="K47" s="126">
        <v>2</v>
      </c>
      <c r="L47" s="126">
        <v>2</v>
      </c>
      <c r="M47" s="126">
        <v>2</v>
      </c>
      <c r="N47" s="126">
        <v>2</v>
      </c>
      <c r="O47" s="126">
        <v>2</v>
      </c>
      <c r="P47" s="126">
        <v>2</v>
      </c>
      <c r="Q47" s="126">
        <v>2</v>
      </c>
      <c r="R47" s="126">
        <v>2</v>
      </c>
      <c r="S47" s="126">
        <v>2</v>
      </c>
      <c r="T47" s="126">
        <v>2</v>
      </c>
      <c r="U47" s="126">
        <v>2</v>
      </c>
      <c r="V47" s="126">
        <v>2</v>
      </c>
      <c r="W47" s="126">
        <v>2</v>
      </c>
      <c r="X47" s="126">
        <v>2</v>
      </c>
      <c r="Y47" s="126">
        <v>2</v>
      </c>
      <c r="Z47" s="126">
        <v>2</v>
      </c>
      <c r="AA47" s="126">
        <v>2</v>
      </c>
      <c r="AB47" s="126">
        <v>2</v>
      </c>
      <c r="AC47" s="126">
        <v>2</v>
      </c>
      <c r="AD47" s="126">
        <v>2</v>
      </c>
      <c r="AE47" s="126">
        <v>2</v>
      </c>
      <c r="AF47" s="126">
        <v>2</v>
      </c>
      <c r="AG47" s="126">
        <v>2</v>
      </c>
      <c r="AH47" s="126">
        <v>2</v>
      </c>
      <c r="AI47" s="126">
        <v>2</v>
      </c>
      <c r="AJ47" s="126">
        <v>2</v>
      </c>
      <c r="AK47" s="126">
        <v>2</v>
      </c>
      <c r="AL47" s="126">
        <v>2</v>
      </c>
      <c r="AM47" s="126">
        <v>2</v>
      </c>
      <c r="AN47" s="126">
        <v>2</v>
      </c>
      <c r="AO47" s="126">
        <v>2</v>
      </c>
      <c r="AP47" s="126">
        <v>2</v>
      </c>
      <c r="AQ47" s="126">
        <v>2</v>
      </c>
      <c r="AR47" s="126">
        <v>2</v>
      </c>
      <c r="AS47" s="126">
        <v>2</v>
      </c>
      <c r="AT47" s="126">
        <v>2</v>
      </c>
      <c r="AU47" s="126">
        <v>2</v>
      </c>
      <c r="AV47" s="126">
        <v>2</v>
      </c>
      <c r="AW47" s="126">
        <v>2</v>
      </c>
      <c r="AX47" s="126">
        <v>2</v>
      </c>
      <c r="AY47" s="126">
        <v>2</v>
      </c>
      <c r="AZ47" s="126">
        <v>2</v>
      </c>
      <c r="BA47" s="126">
        <v>2</v>
      </c>
      <c r="BB47" s="126">
        <v>2</v>
      </c>
      <c r="BC47" s="126">
        <v>2</v>
      </c>
      <c r="BD47" s="126">
        <v>2</v>
      </c>
      <c r="BE47" s="126">
        <v>2</v>
      </c>
    </row>
    <row r="48" spans="1:57" x14ac:dyDescent="0.35">
      <c r="A48" s="127" t="s">
        <v>44</v>
      </c>
      <c r="G48" s="126">
        <v>2</v>
      </c>
      <c r="H48" s="126">
        <v>2</v>
      </c>
      <c r="I48" s="126">
        <v>2</v>
      </c>
      <c r="J48" s="126">
        <v>2</v>
      </c>
      <c r="K48" s="126">
        <v>2</v>
      </c>
      <c r="L48" s="126">
        <v>2</v>
      </c>
      <c r="M48" s="126">
        <v>2</v>
      </c>
      <c r="N48" s="126">
        <v>2</v>
      </c>
      <c r="O48" s="126">
        <v>2</v>
      </c>
      <c r="P48" s="126">
        <v>2</v>
      </c>
      <c r="Q48" s="126">
        <v>2</v>
      </c>
      <c r="R48" s="126">
        <v>2</v>
      </c>
      <c r="S48" s="126">
        <v>2</v>
      </c>
      <c r="T48" s="126">
        <v>2</v>
      </c>
      <c r="U48" s="126">
        <v>2</v>
      </c>
      <c r="V48" s="126">
        <v>2</v>
      </c>
      <c r="W48" s="126">
        <v>2</v>
      </c>
      <c r="X48" s="126">
        <v>2</v>
      </c>
      <c r="Y48" s="126">
        <v>2</v>
      </c>
      <c r="Z48" s="126">
        <v>2</v>
      </c>
      <c r="AA48" s="126">
        <v>2</v>
      </c>
      <c r="AB48" s="126">
        <v>2</v>
      </c>
      <c r="AC48" s="126">
        <v>2</v>
      </c>
      <c r="AD48" s="126">
        <v>2</v>
      </c>
      <c r="AE48" s="126">
        <v>2</v>
      </c>
      <c r="AF48" s="126">
        <v>2</v>
      </c>
      <c r="AG48" s="126">
        <v>2</v>
      </c>
      <c r="AH48" s="126">
        <v>2</v>
      </c>
      <c r="AI48" s="126">
        <v>2</v>
      </c>
      <c r="AJ48" s="126">
        <v>2</v>
      </c>
      <c r="AK48" s="126">
        <v>2</v>
      </c>
      <c r="AL48" s="126">
        <v>2</v>
      </c>
      <c r="AM48" s="126">
        <v>2</v>
      </c>
      <c r="AN48" s="126">
        <v>2</v>
      </c>
      <c r="AO48" s="126">
        <v>2</v>
      </c>
      <c r="AP48" s="126">
        <v>2</v>
      </c>
      <c r="AQ48" s="126">
        <v>2</v>
      </c>
      <c r="AR48" s="126">
        <v>2</v>
      </c>
      <c r="AS48" s="126">
        <v>2</v>
      </c>
      <c r="AT48" s="126">
        <v>2</v>
      </c>
      <c r="AU48" s="126">
        <v>2</v>
      </c>
      <c r="AV48" s="126">
        <v>2</v>
      </c>
      <c r="AW48" s="126">
        <v>2</v>
      </c>
      <c r="AX48" s="126">
        <v>2</v>
      </c>
      <c r="AY48" s="126">
        <v>2</v>
      </c>
      <c r="AZ48" s="126">
        <v>2</v>
      </c>
      <c r="BA48" s="126">
        <v>2</v>
      </c>
      <c r="BB48" s="126">
        <v>2</v>
      </c>
      <c r="BC48" s="126">
        <v>2</v>
      </c>
      <c r="BD48" s="126">
        <v>2</v>
      </c>
      <c r="BE48" s="126">
        <v>2</v>
      </c>
    </row>
    <row r="49" spans="1:57" x14ac:dyDescent="0.35">
      <c r="A49" s="127" t="s">
        <v>45</v>
      </c>
      <c r="G49" s="126">
        <v>1</v>
      </c>
      <c r="H49" s="126">
        <v>1</v>
      </c>
      <c r="I49" s="126">
        <v>1</v>
      </c>
      <c r="J49" s="126">
        <v>1</v>
      </c>
      <c r="K49" s="126">
        <v>1</v>
      </c>
      <c r="L49" s="126">
        <v>1</v>
      </c>
      <c r="M49" s="126">
        <v>1</v>
      </c>
      <c r="N49" s="126">
        <v>1</v>
      </c>
      <c r="O49" s="126">
        <v>1</v>
      </c>
      <c r="P49" s="126">
        <v>1</v>
      </c>
      <c r="Q49" s="126">
        <v>1</v>
      </c>
      <c r="R49" s="126">
        <v>1</v>
      </c>
      <c r="S49" s="126">
        <v>1</v>
      </c>
      <c r="T49" s="126">
        <v>1</v>
      </c>
      <c r="U49" s="126">
        <v>1</v>
      </c>
      <c r="V49" s="126">
        <v>1</v>
      </c>
      <c r="W49" s="126">
        <v>1</v>
      </c>
      <c r="X49" s="126">
        <v>1</v>
      </c>
      <c r="Y49" s="126">
        <v>1</v>
      </c>
      <c r="Z49" s="126">
        <v>1</v>
      </c>
      <c r="AA49" s="126">
        <v>1</v>
      </c>
      <c r="AB49" s="126">
        <v>1</v>
      </c>
      <c r="AC49" s="126">
        <v>1</v>
      </c>
      <c r="AD49" s="126">
        <v>1</v>
      </c>
      <c r="AE49" s="126">
        <v>1</v>
      </c>
      <c r="AF49" s="126">
        <v>1</v>
      </c>
      <c r="AG49" s="126">
        <v>1</v>
      </c>
      <c r="AH49" s="126">
        <v>1</v>
      </c>
      <c r="AI49" s="126">
        <v>1</v>
      </c>
      <c r="AJ49" s="126">
        <v>1</v>
      </c>
      <c r="AK49" s="126">
        <v>1</v>
      </c>
      <c r="AL49" s="126">
        <v>1</v>
      </c>
      <c r="AM49" s="126">
        <v>1</v>
      </c>
      <c r="AN49" s="126">
        <v>1</v>
      </c>
      <c r="AO49" s="126">
        <v>1</v>
      </c>
      <c r="AP49" s="126">
        <v>1</v>
      </c>
      <c r="AQ49" s="126">
        <v>1</v>
      </c>
      <c r="AR49" s="126">
        <v>1</v>
      </c>
      <c r="AS49" s="126">
        <v>1</v>
      </c>
      <c r="AT49" s="126">
        <v>1</v>
      </c>
      <c r="AU49" s="126">
        <v>1</v>
      </c>
      <c r="AV49" s="126">
        <v>1</v>
      </c>
      <c r="AW49" s="126">
        <v>1</v>
      </c>
      <c r="AX49" s="126">
        <v>1</v>
      </c>
      <c r="AY49" s="126">
        <v>1</v>
      </c>
      <c r="AZ49" s="126">
        <v>1</v>
      </c>
      <c r="BA49" s="126">
        <v>1</v>
      </c>
      <c r="BB49" s="126">
        <v>1</v>
      </c>
      <c r="BC49" s="126">
        <v>1</v>
      </c>
      <c r="BD49" s="126">
        <v>1</v>
      </c>
      <c r="BE49" s="126">
        <v>1</v>
      </c>
    </row>
    <row r="50" spans="1:57" x14ac:dyDescent="0.35">
      <c r="A50" s="127" t="s">
        <v>46</v>
      </c>
      <c r="G50" s="126">
        <v>2</v>
      </c>
      <c r="H50" s="126">
        <v>2</v>
      </c>
      <c r="I50" s="126">
        <v>2</v>
      </c>
      <c r="J50" s="126">
        <v>2</v>
      </c>
      <c r="K50" s="126">
        <v>2</v>
      </c>
      <c r="L50" s="126">
        <v>2</v>
      </c>
      <c r="M50" s="126">
        <v>2</v>
      </c>
      <c r="N50" s="126">
        <v>2</v>
      </c>
      <c r="O50" s="126">
        <v>2</v>
      </c>
      <c r="P50" s="126">
        <v>2</v>
      </c>
      <c r="Q50" s="126">
        <v>2</v>
      </c>
      <c r="R50" s="126">
        <v>2</v>
      </c>
      <c r="S50" s="126">
        <v>2</v>
      </c>
      <c r="T50" s="126">
        <v>2</v>
      </c>
      <c r="U50" s="126">
        <v>2</v>
      </c>
      <c r="V50" s="126">
        <v>2</v>
      </c>
      <c r="W50" s="126">
        <v>2</v>
      </c>
      <c r="X50" s="126">
        <v>2</v>
      </c>
      <c r="Y50" s="126">
        <v>2</v>
      </c>
      <c r="Z50" s="126">
        <v>2</v>
      </c>
      <c r="AA50" s="126">
        <v>2</v>
      </c>
      <c r="AB50" s="126">
        <v>2</v>
      </c>
      <c r="AC50" s="126">
        <v>2</v>
      </c>
      <c r="AD50" s="126">
        <v>2</v>
      </c>
      <c r="AE50" s="126">
        <v>2</v>
      </c>
      <c r="AF50" s="126">
        <v>2</v>
      </c>
      <c r="AG50" s="126">
        <v>2</v>
      </c>
      <c r="AH50" s="126">
        <v>2</v>
      </c>
      <c r="AI50" s="126">
        <v>2</v>
      </c>
      <c r="AJ50" s="126">
        <v>2</v>
      </c>
      <c r="AK50" s="126">
        <v>2</v>
      </c>
      <c r="AL50" s="126">
        <v>2</v>
      </c>
      <c r="AM50" s="126">
        <v>2</v>
      </c>
      <c r="AN50" s="126">
        <v>2</v>
      </c>
      <c r="AO50" s="126">
        <v>2</v>
      </c>
      <c r="AP50" s="126">
        <v>2</v>
      </c>
      <c r="AQ50" s="126">
        <v>2</v>
      </c>
      <c r="AR50" s="126">
        <v>2</v>
      </c>
      <c r="AS50" s="126">
        <v>2</v>
      </c>
      <c r="AT50" s="126">
        <v>2</v>
      </c>
      <c r="AU50" s="126">
        <v>2</v>
      </c>
      <c r="AV50" s="126">
        <v>2</v>
      </c>
      <c r="AW50" s="126">
        <v>2</v>
      </c>
      <c r="AX50" s="126">
        <v>2</v>
      </c>
      <c r="AY50" s="126">
        <v>2</v>
      </c>
      <c r="AZ50" s="126">
        <v>2</v>
      </c>
      <c r="BA50" s="126">
        <v>2</v>
      </c>
      <c r="BB50" s="126">
        <v>2</v>
      </c>
      <c r="BC50" s="126">
        <v>2</v>
      </c>
      <c r="BD50" s="126">
        <v>2</v>
      </c>
      <c r="BE50" s="126">
        <v>2</v>
      </c>
    </row>
    <row r="51" spans="1:57" x14ac:dyDescent="0.35">
      <c r="A51" s="127" t="s">
        <v>47</v>
      </c>
      <c r="G51" s="126">
        <v>1</v>
      </c>
      <c r="H51" s="126">
        <v>1</v>
      </c>
      <c r="I51" s="126">
        <v>1</v>
      </c>
      <c r="J51" s="126">
        <v>1</v>
      </c>
      <c r="K51" s="126">
        <v>1</v>
      </c>
      <c r="L51" s="126">
        <v>1</v>
      </c>
      <c r="M51" s="126">
        <v>1</v>
      </c>
      <c r="N51" s="126">
        <v>1</v>
      </c>
      <c r="O51" s="126">
        <v>1</v>
      </c>
      <c r="P51" s="126">
        <v>1</v>
      </c>
      <c r="Q51" s="126">
        <v>1</v>
      </c>
      <c r="R51" s="126">
        <v>1</v>
      </c>
      <c r="S51" s="126">
        <v>1</v>
      </c>
      <c r="T51" s="126">
        <v>1</v>
      </c>
      <c r="U51" s="126">
        <v>1</v>
      </c>
      <c r="V51" s="126">
        <v>1</v>
      </c>
      <c r="W51" s="126">
        <v>1</v>
      </c>
      <c r="X51" s="126">
        <v>1</v>
      </c>
      <c r="Y51" s="126">
        <v>1</v>
      </c>
      <c r="Z51" s="126">
        <v>1</v>
      </c>
      <c r="AA51" s="126">
        <v>1</v>
      </c>
      <c r="AB51" s="126">
        <v>1</v>
      </c>
      <c r="AC51" s="126">
        <v>1</v>
      </c>
      <c r="AD51" s="126">
        <v>1</v>
      </c>
      <c r="AE51" s="126">
        <v>1</v>
      </c>
      <c r="AF51" s="126">
        <v>1</v>
      </c>
      <c r="AG51" s="126">
        <v>1</v>
      </c>
      <c r="AH51" s="126">
        <v>1</v>
      </c>
      <c r="AI51" s="126">
        <v>1</v>
      </c>
      <c r="AJ51" s="126">
        <v>1</v>
      </c>
      <c r="AK51" s="126">
        <v>1</v>
      </c>
      <c r="AL51" s="126">
        <v>1</v>
      </c>
      <c r="AM51" s="126">
        <v>1</v>
      </c>
      <c r="AN51" s="126">
        <v>1</v>
      </c>
      <c r="AO51" s="126">
        <v>1</v>
      </c>
      <c r="AP51" s="126">
        <v>1</v>
      </c>
      <c r="AQ51" s="126">
        <v>1</v>
      </c>
      <c r="AR51" s="126">
        <v>1</v>
      </c>
      <c r="AS51" s="126">
        <v>1</v>
      </c>
      <c r="AT51" s="126">
        <v>1</v>
      </c>
      <c r="AU51" s="126">
        <v>1</v>
      </c>
      <c r="AV51" s="126">
        <v>1</v>
      </c>
      <c r="AW51" s="126">
        <v>1</v>
      </c>
      <c r="AX51" s="126">
        <v>1</v>
      </c>
      <c r="AY51" s="126">
        <v>1</v>
      </c>
      <c r="AZ51" s="126">
        <v>1</v>
      </c>
      <c r="BA51" s="126">
        <v>1</v>
      </c>
      <c r="BB51" s="126">
        <v>1</v>
      </c>
      <c r="BC51" s="126">
        <v>1</v>
      </c>
      <c r="BD51" s="126">
        <v>1</v>
      </c>
      <c r="BE51" s="126">
        <v>1</v>
      </c>
    </row>
    <row r="52" spans="1:57" x14ac:dyDescent="0.35">
      <c r="A52" s="127" t="s">
        <v>48</v>
      </c>
      <c r="G52" s="126">
        <v>1</v>
      </c>
      <c r="H52" s="126">
        <v>1</v>
      </c>
      <c r="I52" s="126">
        <v>1</v>
      </c>
      <c r="J52" s="126">
        <v>1</v>
      </c>
      <c r="K52" s="126">
        <v>1</v>
      </c>
      <c r="L52" s="126">
        <v>1</v>
      </c>
      <c r="M52" s="126">
        <v>1</v>
      </c>
      <c r="N52" s="126">
        <v>1</v>
      </c>
      <c r="O52" s="126">
        <v>1</v>
      </c>
      <c r="P52" s="126">
        <v>1</v>
      </c>
      <c r="Q52" s="126">
        <v>1</v>
      </c>
      <c r="R52" s="126">
        <v>1</v>
      </c>
      <c r="S52" s="126">
        <v>1</v>
      </c>
      <c r="T52" s="126">
        <v>1</v>
      </c>
      <c r="U52" s="126">
        <v>1</v>
      </c>
      <c r="V52" s="126">
        <v>1</v>
      </c>
      <c r="W52" s="126">
        <v>1</v>
      </c>
      <c r="X52" s="126">
        <v>1</v>
      </c>
      <c r="Y52" s="126">
        <v>1</v>
      </c>
      <c r="Z52" s="126">
        <v>1</v>
      </c>
      <c r="AA52" s="126">
        <v>1</v>
      </c>
      <c r="AB52" s="126">
        <v>1</v>
      </c>
      <c r="AC52" s="126">
        <v>1</v>
      </c>
      <c r="AD52" s="126">
        <v>1</v>
      </c>
      <c r="AE52" s="126">
        <v>1</v>
      </c>
      <c r="AF52" s="126">
        <v>1</v>
      </c>
      <c r="AG52" s="126">
        <v>1</v>
      </c>
      <c r="AH52" s="126">
        <v>1</v>
      </c>
      <c r="AI52" s="126">
        <v>1</v>
      </c>
      <c r="AJ52" s="126">
        <v>1</v>
      </c>
      <c r="AK52" s="126">
        <v>1</v>
      </c>
      <c r="AL52" s="126">
        <v>1</v>
      </c>
      <c r="AM52" s="126">
        <v>1</v>
      </c>
      <c r="AN52" s="126">
        <v>1</v>
      </c>
      <c r="AO52" s="126">
        <v>1</v>
      </c>
      <c r="AP52" s="126">
        <v>1</v>
      </c>
      <c r="AQ52" s="126">
        <v>1</v>
      </c>
      <c r="AR52" s="126">
        <v>1</v>
      </c>
      <c r="AS52" s="126">
        <v>1</v>
      </c>
      <c r="AT52" s="126">
        <v>1</v>
      </c>
      <c r="AU52" s="126">
        <v>1</v>
      </c>
      <c r="AV52" s="126">
        <v>1</v>
      </c>
      <c r="AW52" s="126">
        <v>1</v>
      </c>
      <c r="AX52" s="126">
        <v>1</v>
      </c>
      <c r="AY52" s="126">
        <v>1</v>
      </c>
      <c r="AZ52" s="126">
        <v>1</v>
      </c>
      <c r="BA52" s="126">
        <v>1</v>
      </c>
      <c r="BB52" s="126">
        <v>1</v>
      </c>
      <c r="BC52" s="126">
        <v>1</v>
      </c>
      <c r="BD52" s="126">
        <v>1</v>
      </c>
      <c r="BE52" s="126">
        <v>1</v>
      </c>
    </row>
    <row r="53" spans="1:57" x14ac:dyDescent="0.35">
      <c r="A53" s="127" t="s">
        <v>49</v>
      </c>
      <c r="G53" s="126">
        <v>2</v>
      </c>
      <c r="H53" s="126">
        <v>2</v>
      </c>
      <c r="I53" s="126">
        <v>2</v>
      </c>
      <c r="J53" s="126">
        <v>2</v>
      </c>
      <c r="K53" s="126">
        <v>2</v>
      </c>
      <c r="L53" s="126">
        <v>2</v>
      </c>
      <c r="M53" s="126">
        <v>2</v>
      </c>
      <c r="N53" s="126">
        <v>2</v>
      </c>
      <c r="O53" s="126">
        <v>2</v>
      </c>
      <c r="P53" s="126">
        <v>2</v>
      </c>
      <c r="Q53" s="126">
        <v>2</v>
      </c>
      <c r="R53" s="126">
        <v>2</v>
      </c>
      <c r="S53" s="126">
        <v>2</v>
      </c>
      <c r="T53" s="126">
        <v>2</v>
      </c>
      <c r="U53" s="126">
        <v>2</v>
      </c>
      <c r="V53" s="126">
        <v>2</v>
      </c>
      <c r="W53" s="126">
        <v>2</v>
      </c>
      <c r="X53" s="126">
        <v>2</v>
      </c>
      <c r="Y53" s="126">
        <v>2</v>
      </c>
      <c r="Z53" s="126">
        <v>2</v>
      </c>
      <c r="AA53" s="126">
        <v>2</v>
      </c>
      <c r="AB53" s="126">
        <v>2</v>
      </c>
      <c r="AC53" s="126">
        <v>2</v>
      </c>
      <c r="AD53" s="126">
        <v>2</v>
      </c>
      <c r="AE53" s="126">
        <v>2</v>
      </c>
      <c r="AF53" s="126">
        <v>2</v>
      </c>
      <c r="AG53" s="126">
        <v>2</v>
      </c>
      <c r="AH53" s="126">
        <v>2</v>
      </c>
      <c r="AI53" s="126">
        <v>2</v>
      </c>
      <c r="AJ53" s="126">
        <v>2</v>
      </c>
      <c r="AK53" s="126">
        <v>2</v>
      </c>
      <c r="AL53" s="126">
        <v>2</v>
      </c>
      <c r="AM53" s="126">
        <v>2</v>
      </c>
      <c r="AN53" s="126">
        <v>2</v>
      </c>
      <c r="AO53" s="126">
        <v>2</v>
      </c>
      <c r="AP53" s="126">
        <v>2</v>
      </c>
      <c r="AQ53" s="126">
        <v>2</v>
      </c>
      <c r="AR53" s="126">
        <v>2</v>
      </c>
      <c r="AS53" s="126">
        <v>2</v>
      </c>
      <c r="AT53" s="126">
        <v>2</v>
      </c>
      <c r="AU53" s="126">
        <v>2</v>
      </c>
      <c r="AV53" s="126">
        <v>2</v>
      </c>
      <c r="AW53" s="126">
        <v>2</v>
      </c>
      <c r="AX53" s="126">
        <v>2</v>
      </c>
      <c r="AY53" s="126">
        <v>2</v>
      </c>
      <c r="AZ53" s="126">
        <v>2</v>
      </c>
      <c r="BA53" s="126">
        <v>2</v>
      </c>
      <c r="BB53" s="126">
        <v>2</v>
      </c>
      <c r="BC53" s="126">
        <v>2</v>
      </c>
      <c r="BD53" s="126">
        <v>2</v>
      </c>
      <c r="BE53" s="126">
        <v>2</v>
      </c>
    </row>
    <row r="54" spans="1:57" x14ac:dyDescent="0.35">
      <c r="A54" s="127" t="s">
        <v>50</v>
      </c>
      <c r="G54" s="126">
        <v>1</v>
      </c>
      <c r="H54" s="126">
        <v>1</v>
      </c>
      <c r="I54" s="126">
        <v>1</v>
      </c>
      <c r="J54" s="126">
        <v>1</v>
      </c>
      <c r="K54" s="126">
        <v>1</v>
      </c>
      <c r="L54" s="126">
        <v>1</v>
      </c>
      <c r="M54" s="126">
        <v>1</v>
      </c>
      <c r="N54" s="126">
        <v>1</v>
      </c>
      <c r="O54" s="126">
        <v>1</v>
      </c>
      <c r="P54" s="126">
        <v>1</v>
      </c>
      <c r="Q54" s="126">
        <v>1</v>
      </c>
      <c r="R54" s="126">
        <v>1</v>
      </c>
      <c r="S54" s="126">
        <v>1</v>
      </c>
      <c r="T54" s="126">
        <v>1</v>
      </c>
      <c r="U54" s="126">
        <v>1</v>
      </c>
      <c r="V54" s="126">
        <v>1</v>
      </c>
      <c r="W54" s="126">
        <v>1</v>
      </c>
      <c r="X54" s="126">
        <v>1</v>
      </c>
      <c r="Y54" s="126">
        <v>1</v>
      </c>
      <c r="Z54" s="126">
        <v>1</v>
      </c>
      <c r="AA54" s="126">
        <v>1</v>
      </c>
      <c r="AB54" s="126">
        <v>1</v>
      </c>
      <c r="AC54" s="126">
        <v>1</v>
      </c>
      <c r="AD54" s="126">
        <v>1</v>
      </c>
      <c r="AE54" s="126">
        <v>1</v>
      </c>
      <c r="AF54" s="126">
        <v>1</v>
      </c>
      <c r="AG54" s="126">
        <v>1</v>
      </c>
      <c r="AH54" s="126">
        <v>1</v>
      </c>
      <c r="AI54" s="126">
        <v>1</v>
      </c>
      <c r="AJ54" s="126">
        <v>1</v>
      </c>
      <c r="AK54" s="126">
        <v>1</v>
      </c>
      <c r="AL54" s="126">
        <v>1</v>
      </c>
      <c r="AM54" s="126">
        <v>1</v>
      </c>
      <c r="AN54" s="126">
        <v>1</v>
      </c>
      <c r="AO54" s="126">
        <v>1</v>
      </c>
      <c r="AP54" s="126">
        <v>1</v>
      </c>
      <c r="AQ54" s="126">
        <v>1</v>
      </c>
      <c r="AR54" s="126">
        <v>1</v>
      </c>
      <c r="AS54" s="126">
        <v>1</v>
      </c>
      <c r="AT54" s="126">
        <v>1</v>
      </c>
      <c r="AU54" s="126">
        <v>1</v>
      </c>
      <c r="AV54" s="126">
        <v>1</v>
      </c>
      <c r="AW54" s="126">
        <v>1</v>
      </c>
      <c r="AX54" s="126">
        <v>1</v>
      </c>
      <c r="AY54" s="126">
        <v>1</v>
      </c>
      <c r="AZ54" s="126">
        <v>1</v>
      </c>
      <c r="BA54" s="126">
        <v>1</v>
      </c>
      <c r="BB54" s="126">
        <v>1</v>
      </c>
      <c r="BC54" s="126">
        <v>1</v>
      </c>
      <c r="BD54" s="126">
        <v>1</v>
      </c>
      <c r="BE54" s="126">
        <v>1</v>
      </c>
    </row>
    <row r="55" spans="1:57" x14ac:dyDescent="0.35">
      <c r="A55" s="127" t="s">
        <v>51</v>
      </c>
      <c r="G55" s="126">
        <v>2</v>
      </c>
      <c r="H55" s="126">
        <v>2</v>
      </c>
      <c r="I55" s="126">
        <v>2</v>
      </c>
      <c r="J55" s="126">
        <v>2</v>
      </c>
      <c r="K55" s="126">
        <v>2</v>
      </c>
      <c r="L55" s="126">
        <v>2</v>
      </c>
      <c r="M55" s="126">
        <v>2</v>
      </c>
      <c r="N55" s="126">
        <v>2</v>
      </c>
      <c r="O55" s="126">
        <v>2</v>
      </c>
      <c r="P55" s="126">
        <v>2</v>
      </c>
      <c r="Q55" s="126">
        <v>2</v>
      </c>
      <c r="R55" s="126">
        <v>2</v>
      </c>
      <c r="S55" s="126">
        <v>2</v>
      </c>
      <c r="T55" s="126">
        <v>2</v>
      </c>
      <c r="U55" s="126">
        <v>2</v>
      </c>
      <c r="V55" s="126">
        <v>2</v>
      </c>
      <c r="W55" s="126">
        <v>2</v>
      </c>
      <c r="X55" s="126">
        <v>2</v>
      </c>
      <c r="Y55" s="126">
        <v>2</v>
      </c>
      <c r="Z55" s="126">
        <v>2</v>
      </c>
      <c r="AA55" s="126">
        <v>2</v>
      </c>
      <c r="AB55" s="126">
        <v>2</v>
      </c>
      <c r="AC55" s="126">
        <v>2</v>
      </c>
      <c r="AD55" s="126">
        <v>2</v>
      </c>
      <c r="AE55" s="126">
        <v>2</v>
      </c>
      <c r="AF55" s="126">
        <v>2</v>
      </c>
      <c r="AG55" s="126">
        <v>2</v>
      </c>
      <c r="AH55" s="126">
        <v>2</v>
      </c>
      <c r="AI55" s="126">
        <v>2</v>
      </c>
      <c r="AJ55" s="126">
        <v>2</v>
      </c>
      <c r="AK55" s="126">
        <v>2</v>
      </c>
      <c r="AL55" s="126">
        <v>2</v>
      </c>
      <c r="AM55" s="126">
        <v>2</v>
      </c>
      <c r="AN55" s="126">
        <v>2</v>
      </c>
      <c r="AO55" s="126">
        <v>2</v>
      </c>
      <c r="AP55" s="126">
        <v>2</v>
      </c>
      <c r="AQ55" s="126">
        <v>2</v>
      </c>
      <c r="AR55" s="126">
        <v>2</v>
      </c>
      <c r="AS55" s="126">
        <v>2</v>
      </c>
      <c r="AT55" s="126">
        <v>2</v>
      </c>
      <c r="AU55" s="126">
        <v>2</v>
      </c>
      <c r="AV55" s="126">
        <v>2</v>
      </c>
      <c r="AW55" s="126">
        <v>2</v>
      </c>
      <c r="AX55" s="126">
        <v>2</v>
      </c>
      <c r="AY55" s="126">
        <v>2</v>
      </c>
      <c r="AZ55" s="126">
        <v>2</v>
      </c>
      <c r="BA55" s="126">
        <v>2</v>
      </c>
      <c r="BB55" s="126">
        <v>2</v>
      </c>
      <c r="BC55" s="126">
        <v>2</v>
      </c>
      <c r="BD55" s="126">
        <v>2</v>
      </c>
      <c r="BE55" s="126">
        <v>2</v>
      </c>
    </row>
    <row r="56" spans="1:57" x14ac:dyDescent="0.35">
      <c r="A56" s="127" t="s">
        <v>52</v>
      </c>
      <c r="G56" s="126">
        <v>1</v>
      </c>
      <c r="H56" s="126">
        <v>1</v>
      </c>
      <c r="I56" s="126">
        <v>1</v>
      </c>
      <c r="J56" s="126">
        <v>1</v>
      </c>
      <c r="K56" s="126">
        <v>1</v>
      </c>
      <c r="L56" s="126">
        <v>1</v>
      </c>
      <c r="M56" s="126">
        <v>1</v>
      </c>
      <c r="N56" s="126">
        <v>1</v>
      </c>
      <c r="O56" s="126">
        <v>1</v>
      </c>
      <c r="P56" s="126">
        <v>1</v>
      </c>
      <c r="Q56" s="126">
        <v>1</v>
      </c>
      <c r="R56" s="126">
        <v>1</v>
      </c>
      <c r="S56" s="126">
        <v>1</v>
      </c>
      <c r="T56" s="126">
        <v>1</v>
      </c>
      <c r="U56" s="126">
        <v>1</v>
      </c>
      <c r="V56" s="126">
        <v>1</v>
      </c>
      <c r="W56" s="126">
        <v>1</v>
      </c>
      <c r="X56" s="126">
        <v>1</v>
      </c>
      <c r="Y56" s="126">
        <v>1</v>
      </c>
      <c r="Z56" s="126">
        <v>1</v>
      </c>
      <c r="AA56" s="126">
        <v>1</v>
      </c>
      <c r="AB56" s="126">
        <v>1</v>
      </c>
      <c r="AC56" s="126">
        <v>1</v>
      </c>
      <c r="AD56" s="126">
        <v>1</v>
      </c>
      <c r="AE56" s="126">
        <v>1</v>
      </c>
      <c r="AF56" s="126">
        <v>1</v>
      </c>
      <c r="AG56" s="126">
        <v>1</v>
      </c>
      <c r="AH56" s="126">
        <v>1</v>
      </c>
      <c r="AI56" s="126">
        <v>1</v>
      </c>
      <c r="AJ56" s="126">
        <v>1</v>
      </c>
      <c r="AK56" s="126">
        <v>1</v>
      </c>
      <c r="AL56" s="126">
        <v>1</v>
      </c>
      <c r="AM56" s="126">
        <v>1</v>
      </c>
      <c r="AN56" s="126">
        <v>1</v>
      </c>
      <c r="AO56" s="126">
        <v>1</v>
      </c>
      <c r="AP56" s="126">
        <v>1</v>
      </c>
      <c r="AQ56" s="126">
        <v>1</v>
      </c>
      <c r="AR56" s="126">
        <v>1</v>
      </c>
      <c r="AS56" s="126">
        <v>1</v>
      </c>
      <c r="AT56" s="126">
        <v>1</v>
      </c>
      <c r="AU56" s="126">
        <v>1</v>
      </c>
      <c r="AV56" s="126">
        <v>1</v>
      </c>
      <c r="AW56" s="126">
        <v>1</v>
      </c>
      <c r="AX56" s="126">
        <v>1</v>
      </c>
      <c r="AY56" s="126">
        <v>1</v>
      </c>
      <c r="AZ56" s="126">
        <v>1</v>
      </c>
      <c r="BA56" s="126">
        <v>1</v>
      </c>
      <c r="BB56" s="126">
        <v>1</v>
      </c>
      <c r="BC56" s="126">
        <v>1</v>
      </c>
      <c r="BD56" s="126">
        <v>1</v>
      </c>
      <c r="BE56" s="126">
        <v>1</v>
      </c>
    </row>
    <row r="57" spans="1:57" x14ac:dyDescent="0.35">
      <c r="A57" s="127" t="s">
        <v>53</v>
      </c>
      <c r="G57" s="126">
        <v>1</v>
      </c>
      <c r="H57" s="126">
        <v>1</v>
      </c>
      <c r="I57" s="126">
        <v>1</v>
      </c>
      <c r="J57" s="126">
        <v>1</v>
      </c>
      <c r="K57" s="126">
        <v>1</v>
      </c>
      <c r="L57" s="126">
        <v>1</v>
      </c>
      <c r="M57" s="126">
        <v>1</v>
      </c>
      <c r="N57" s="126">
        <v>1</v>
      </c>
      <c r="O57" s="126">
        <v>1</v>
      </c>
      <c r="P57" s="126">
        <v>1</v>
      </c>
      <c r="Q57" s="126">
        <v>1</v>
      </c>
      <c r="R57" s="126">
        <v>1</v>
      </c>
      <c r="S57" s="126">
        <v>1</v>
      </c>
      <c r="T57" s="126">
        <v>1</v>
      </c>
      <c r="U57" s="126">
        <v>1</v>
      </c>
      <c r="V57" s="126">
        <v>1</v>
      </c>
      <c r="W57" s="126">
        <v>1</v>
      </c>
      <c r="X57" s="126">
        <v>1</v>
      </c>
      <c r="Y57" s="126">
        <v>1</v>
      </c>
      <c r="Z57" s="126">
        <v>1</v>
      </c>
      <c r="AA57" s="126">
        <v>1</v>
      </c>
      <c r="AB57" s="126">
        <v>1</v>
      </c>
      <c r="AC57" s="126">
        <v>1</v>
      </c>
      <c r="AD57" s="126">
        <v>1</v>
      </c>
      <c r="AE57" s="126">
        <v>1</v>
      </c>
      <c r="AF57" s="126">
        <v>1</v>
      </c>
      <c r="AG57" s="126">
        <v>1</v>
      </c>
      <c r="AH57" s="126">
        <v>1</v>
      </c>
      <c r="AI57" s="126">
        <v>1</v>
      </c>
      <c r="AJ57" s="126">
        <v>1</v>
      </c>
      <c r="AK57" s="126">
        <v>1</v>
      </c>
      <c r="AL57" s="126">
        <v>1</v>
      </c>
      <c r="AM57" s="126">
        <v>1</v>
      </c>
      <c r="AN57" s="126">
        <v>1</v>
      </c>
      <c r="AO57" s="126">
        <v>1</v>
      </c>
      <c r="AP57" s="126">
        <v>1</v>
      </c>
      <c r="AQ57" s="126">
        <v>1</v>
      </c>
      <c r="AR57" s="126">
        <v>1</v>
      </c>
      <c r="AS57" s="126">
        <v>1</v>
      </c>
      <c r="AT57" s="126">
        <v>1</v>
      </c>
      <c r="AU57" s="126">
        <v>1</v>
      </c>
      <c r="AV57" s="126">
        <v>1</v>
      </c>
      <c r="AW57" s="126">
        <v>1</v>
      </c>
      <c r="AX57" s="126">
        <v>1</v>
      </c>
      <c r="AY57" s="126">
        <v>1</v>
      </c>
      <c r="AZ57" s="126">
        <v>1</v>
      </c>
      <c r="BA57" s="126">
        <v>1</v>
      </c>
      <c r="BB57" s="126">
        <v>1</v>
      </c>
      <c r="BC57" s="126">
        <v>1</v>
      </c>
      <c r="BD57" s="126">
        <v>1</v>
      </c>
      <c r="BE57" s="126">
        <v>1</v>
      </c>
    </row>
    <row r="58" spans="1:57" x14ac:dyDescent="0.35">
      <c r="A58" s="127" t="s">
        <v>54</v>
      </c>
      <c r="G58" s="126">
        <v>2</v>
      </c>
      <c r="H58" s="126">
        <v>2</v>
      </c>
      <c r="I58" s="126">
        <v>2</v>
      </c>
      <c r="J58" s="126">
        <v>2</v>
      </c>
      <c r="K58" s="126">
        <v>2</v>
      </c>
      <c r="L58" s="126">
        <v>2</v>
      </c>
      <c r="M58" s="126">
        <v>2</v>
      </c>
      <c r="N58" s="126">
        <v>2</v>
      </c>
      <c r="O58" s="126">
        <v>2</v>
      </c>
      <c r="P58" s="126">
        <v>2</v>
      </c>
      <c r="Q58" s="126">
        <v>2</v>
      </c>
      <c r="R58" s="126">
        <v>2</v>
      </c>
      <c r="S58" s="126">
        <v>2</v>
      </c>
      <c r="T58" s="126">
        <v>2</v>
      </c>
      <c r="U58" s="126">
        <v>2</v>
      </c>
      <c r="V58" s="126">
        <v>2</v>
      </c>
      <c r="W58" s="126">
        <v>2</v>
      </c>
      <c r="X58" s="126">
        <v>2</v>
      </c>
      <c r="Y58" s="126">
        <v>2</v>
      </c>
      <c r="Z58" s="126">
        <v>2</v>
      </c>
      <c r="AA58" s="126">
        <v>2</v>
      </c>
      <c r="AB58" s="126">
        <v>2</v>
      </c>
      <c r="AC58" s="126">
        <v>2</v>
      </c>
      <c r="AD58" s="126">
        <v>2</v>
      </c>
      <c r="AE58" s="126">
        <v>2</v>
      </c>
      <c r="AF58" s="126">
        <v>2</v>
      </c>
      <c r="AG58" s="126">
        <v>2</v>
      </c>
      <c r="AH58" s="126">
        <v>2</v>
      </c>
      <c r="AI58" s="126">
        <v>2</v>
      </c>
      <c r="AJ58" s="126">
        <v>2</v>
      </c>
      <c r="AK58" s="126">
        <v>2</v>
      </c>
      <c r="AL58" s="126">
        <v>2</v>
      </c>
      <c r="AM58" s="126">
        <v>2</v>
      </c>
      <c r="AN58" s="126">
        <v>2</v>
      </c>
      <c r="AO58" s="126">
        <v>2</v>
      </c>
      <c r="AP58" s="126">
        <v>2</v>
      </c>
      <c r="AQ58" s="126">
        <v>2</v>
      </c>
      <c r="AR58" s="126">
        <v>2</v>
      </c>
      <c r="AS58" s="126">
        <v>2</v>
      </c>
      <c r="AT58" s="126">
        <v>2</v>
      </c>
      <c r="AU58" s="126">
        <v>2</v>
      </c>
      <c r="AV58" s="126">
        <v>2</v>
      </c>
      <c r="AW58" s="126">
        <v>2</v>
      </c>
      <c r="AX58" s="126">
        <v>2</v>
      </c>
      <c r="AY58" s="126">
        <v>2</v>
      </c>
      <c r="AZ58" s="126">
        <v>2</v>
      </c>
      <c r="BA58" s="126">
        <v>2</v>
      </c>
      <c r="BB58" s="126">
        <v>2</v>
      </c>
      <c r="BC58" s="126">
        <v>2</v>
      </c>
      <c r="BD58" s="126">
        <v>2</v>
      </c>
      <c r="BE58" s="126">
        <v>2</v>
      </c>
    </row>
    <row r="59" spans="1:57" x14ac:dyDescent="0.35">
      <c r="A59" s="127" t="s">
        <v>55</v>
      </c>
      <c r="G59" s="126">
        <v>2</v>
      </c>
      <c r="H59" s="126">
        <v>2</v>
      </c>
      <c r="I59" s="126">
        <v>2</v>
      </c>
      <c r="J59" s="126">
        <v>2</v>
      </c>
      <c r="K59" s="126">
        <v>2</v>
      </c>
      <c r="L59" s="126">
        <v>2</v>
      </c>
      <c r="M59" s="126">
        <v>2</v>
      </c>
      <c r="N59" s="126">
        <v>2</v>
      </c>
      <c r="O59" s="126">
        <v>2</v>
      </c>
      <c r="P59" s="126">
        <v>2</v>
      </c>
      <c r="Q59" s="126">
        <v>2</v>
      </c>
      <c r="R59" s="126">
        <v>2</v>
      </c>
      <c r="S59" s="126">
        <v>2</v>
      </c>
      <c r="T59" s="126">
        <v>2</v>
      </c>
      <c r="U59" s="126">
        <v>2</v>
      </c>
      <c r="V59" s="126">
        <v>2</v>
      </c>
      <c r="W59" s="126">
        <v>2</v>
      </c>
      <c r="X59" s="126">
        <v>2</v>
      </c>
      <c r="Y59" s="126">
        <v>2</v>
      </c>
      <c r="Z59" s="126">
        <v>2</v>
      </c>
      <c r="AA59" s="126">
        <v>2</v>
      </c>
      <c r="AB59" s="126">
        <v>2</v>
      </c>
      <c r="AC59" s="126">
        <v>2</v>
      </c>
      <c r="AD59" s="126">
        <v>2</v>
      </c>
      <c r="AE59" s="126">
        <v>2</v>
      </c>
      <c r="AF59" s="126">
        <v>2</v>
      </c>
      <c r="AG59" s="126">
        <v>2</v>
      </c>
      <c r="AH59" s="126">
        <v>2</v>
      </c>
      <c r="AI59" s="126">
        <v>2</v>
      </c>
      <c r="AJ59" s="126">
        <v>2</v>
      </c>
      <c r="AK59" s="126">
        <v>2</v>
      </c>
      <c r="AL59" s="126">
        <v>2</v>
      </c>
      <c r="AM59" s="126">
        <v>2</v>
      </c>
      <c r="AN59" s="126">
        <v>2</v>
      </c>
      <c r="AO59" s="126">
        <v>2</v>
      </c>
      <c r="AP59" s="126">
        <v>2</v>
      </c>
      <c r="AQ59" s="126">
        <v>2</v>
      </c>
      <c r="AR59" s="126">
        <v>2</v>
      </c>
      <c r="AS59" s="126">
        <v>2</v>
      </c>
      <c r="AT59" s="126">
        <v>2</v>
      </c>
      <c r="AU59" s="126">
        <v>2</v>
      </c>
      <c r="AV59" s="126">
        <v>2</v>
      </c>
      <c r="AW59" s="126">
        <v>2</v>
      </c>
      <c r="AX59" s="126">
        <v>2</v>
      </c>
      <c r="AY59" s="126">
        <v>2</v>
      </c>
      <c r="AZ59" s="126">
        <v>2</v>
      </c>
      <c r="BA59" s="126">
        <v>2</v>
      </c>
      <c r="BB59" s="126">
        <v>2</v>
      </c>
      <c r="BC59" s="126">
        <v>2</v>
      </c>
      <c r="BD59" s="126">
        <v>2</v>
      </c>
      <c r="BE59" s="126">
        <v>2</v>
      </c>
    </row>
    <row r="61" spans="1:57" x14ac:dyDescent="0.35">
      <c r="A61" s="125" t="s">
        <v>127</v>
      </c>
      <c r="B61" s="125"/>
      <c r="C61" s="125"/>
      <c r="D61" s="125"/>
      <c r="E61" s="125"/>
      <c r="F61" s="125"/>
      <c r="G61" s="125">
        <v>7</v>
      </c>
      <c r="H61" s="125">
        <v>8</v>
      </c>
      <c r="I61" s="125">
        <v>9</v>
      </c>
      <c r="J61" s="125">
        <v>10</v>
      </c>
      <c r="K61" s="125">
        <v>11</v>
      </c>
      <c r="L61" s="125">
        <v>12</v>
      </c>
      <c r="M61" s="125">
        <v>13</v>
      </c>
      <c r="N61" s="125">
        <v>14</v>
      </c>
      <c r="O61" s="125">
        <v>15</v>
      </c>
      <c r="P61" s="125">
        <v>16</v>
      </c>
      <c r="Q61" s="125">
        <v>17</v>
      </c>
      <c r="R61" s="125">
        <v>18</v>
      </c>
      <c r="S61" s="125">
        <v>19</v>
      </c>
      <c r="T61" s="125">
        <v>20</v>
      </c>
      <c r="U61" s="125">
        <v>21</v>
      </c>
      <c r="V61" s="125">
        <v>22</v>
      </c>
      <c r="W61" s="125">
        <v>23</v>
      </c>
      <c r="X61" s="125">
        <v>24</v>
      </c>
      <c r="Y61" s="125">
        <v>25</v>
      </c>
      <c r="Z61" s="125">
        <v>26</v>
      </c>
      <c r="AA61" s="125">
        <v>27</v>
      </c>
      <c r="AB61" s="125">
        <v>28</v>
      </c>
      <c r="AC61" s="125">
        <v>29</v>
      </c>
      <c r="AD61" s="125">
        <v>30</v>
      </c>
      <c r="AE61" s="125">
        <v>31</v>
      </c>
      <c r="AF61" s="125">
        <v>32</v>
      </c>
      <c r="AG61" s="125">
        <v>33</v>
      </c>
      <c r="AH61" s="125">
        <v>34</v>
      </c>
      <c r="AI61" s="125">
        <v>35</v>
      </c>
      <c r="AJ61" s="125">
        <v>36</v>
      </c>
      <c r="AK61" s="125">
        <v>37</v>
      </c>
      <c r="AL61" s="125">
        <v>38</v>
      </c>
      <c r="AM61" s="125">
        <v>39</v>
      </c>
      <c r="AN61" s="125">
        <v>40</v>
      </c>
      <c r="AO61" s="125">
        <v>41</v>
      </c>
      <c r="AP61" s="125">
        <v>42</v>
      </c>
      <c r="AQ61" s="125">
        <v>43</v>
      </c>
      <c r="AR61" s="125">
        <v>44</v>
      </c>
      <c r="AS61" s="125">
        <v>45</v>
      </c>
      <c r="AT61" s="125">
        <v>46</v>
      </c>
      <c r="AU61" s="125">
        <v>47</v>
      </c>
      <c r="AV61" s="125">
        <v>48</v>
      </c>
      <c r="AW61" s="125">
        <v>49</v>
      </c>
      <c r="AX61" s="125">
        <v>50</v>
      </c>
      <c r="AY61" s="125">
        <v>51</v>
      </c>
      <c r="AZ61" s="125">
        <v>52</v>
      </c>
      <c r="BA61" s="125">
        <v>53</v>
      </c>
      <c r="BB61" s="125">
        <v>54</v>
      </c>
      <c r="BC61" s="125">
        <v>55</v>
      </c>
      <c r="BD61" s="125">
        <v>56</v>
      </c>
      <c r="BE61" s="125">
        <v>57</v>
      </c>
    </row>
    <row r="3007" spans="38:38" x14ac:dyDescent="0.35">
      <c r="AL3007" s="18">
        <v>1.42</v>
      </c>
    </row>
  </sheetData>
  <conditionalFormatting sqref="A6">
    <cfRule type="expression" dxfId="12" priority="2">
      <formula>#REF!&gt;1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EB5BADC5-0FAC-4DA3-B622-A4F8D7A47B57}">
            <xm:f>Shape_copy!G6</xm:f>
            <x14:dxf>
              <font>
                <color rgb="FFFF0000"/>
              </font>
            </x14:dxf>
          </x14:cfRule>
          <xm:sqref>G6:BE59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8"/>
  <dimension ref="A1:BE61"/>
  <sheetViews>
    <sheetView workbookViewId="0">
      <selection activeCell="G59" sqref="G59:BE59"/>
    </sheetView>
  </sheetViews>
  <sheetFormatPr defaultColWidth="8.81640625" defaultRowHeight="14.5" x14ac:dyDescent="0.35"/>
  <cols>
    <col min="1" max="16384" width="8.81640625" style="18"/>
  </cols>
  <sheetData>
    <row r="1" spans="1:57" ht="21" x14ac:dyDescent="0.5">
      <c r="A1" s="20" t="s">
        <v>66</v>
      </c>
    </row>
    <row r="3" spans="1:57" x14ac:dyDescent="0.35">
      <c r="A3" s="22" t="s">
        <v>114</v>
      </c>
    </row>
    <row r="4" spans="1:57" x14ac:dyDescent="0.35">
      <c r="G4" s="21" t="s">
        <v>58</v>
      </c>
    </row>
    <row r="5" spans="1:57" x14ac:dyDescent="0.35">
      <c r="A5" s="21" t="s">
        <v>57</v>
      </c>
      <c r="G5" s="124">
        <v>1980</v>
      </c>
      <c r="H5" s="124">
        <v>1981</v>
      </c>
      <c r="I5" s="124">
        <v>1982</v>
      </c>
      <c r="J5" s="124">
        <v>1983</v>
      </c>
      <c r="K5" s="124">
        <v>1984</v>
      </c>
      <c r="L5" s="124">
        <v>1985</v>
      </c>
      <c r="M5" s="124">
        <v>1986</v>
      </c>
      <c r="N5" s="124">
        <v>1987</v>
      </c>
      <c r="O5" s="124">
        <v>1988</v>
      </c>
      <c r="P5" s="124">
        <v>1989</v>
      </c>
      <c r="Q5" s="124">
        <v>1990</v>
      </c>
      <c r="R5" s="124">
        <v>1991</v>
      </c>
      <c r="S5" s="124">
        <v>1992</v>
      </c>
      <c r="T5" s="124">
        <v>1993</v>
      </c>
      <c r="U5" s="124">
        <v>1994</v>
      </c>
      <c r="V5" s="124">
        <v>1995</v>
      </c>
      <c r="W5" s="124">
        <v>1996</v>
      </c>
      <c r="X5" s="124">
        <v>1997</v>
      </c>
      <c r="Y5" s="124">
        <v>1998</v>
      </c>
      <c r="Z5" s="124">
        <v>1999</v>
      </c>
      <c r="AA5" s="124">
        <v>2000</v>
      </c>
      <c r="AB5" s="124">
        <v>2001</v>
      </c>
      <c r="AC5" s="124">
        <v>2002</v>
      </c>
      <c r="AD5" s="124">
        <v>2003</v>
      </c>
      <c r="AE5" s="124">
        <v>2004</v>
      </c>
      <c r="AF5" s="124">
        <v>2005</v>
      </c>
      <c r="AG5" s="124">
        <v>2006</v>
      </c>
      <c r="AH5" s="124">
        <v>2007</v>
      </c>
      <c r="AI5" s="124">
        <v>2008</v>
      </c>
      <c r="AJ5" s="124">
        <v>2009</v>
      </c>
      <c r="AK5" s="124">
        <v>2010</v>
      </c>
      <c r="AL5" s="124">
        <v>2011</v>
      </c>
      <c r="AM5" s="124">
        <v>2012</v>
      </c>
      <c r="AN5" s="124">
        <v>2013</v>
      </c>
      <c r="AO5" s="124">
        <v>2014</v>
      </c>
      <c r="AP5" s="124">
        <v>2015</v>
      </c>
      <c r="AQ5" s="124">
        <v>2016</v>
      </c>
      <c r="AR5" s="124">
        <v>2017</v>
      </c>
      <c r="AS5" s="124">
        <v>2018</v>
      </c>
      <c r="AT5" s="124">
        <v>2019</v>
      </c>
      <c r="AU5" s="124">
        <v>2020</v>
      </c>
      <c r="AV5" s="124">
        <v>2021</v>
      </c>
      <c r="AW5" s="124">
        <v>2022</v>
      </c>
      <c r="AX5" s="124">
        <v>2023</v>
      </c>
      <c r="AY5" s="124">
        <v>2024</v>
      </c>
      <c r="AZ5" s="124">
        <v>2025</v>
      </c>
      <c r="BA5" s="124">
        <v>2026</v>
      </c>
      <c r="BB5" s="124">
        <v>2027</v>
      </c>
      <c r="BC5" s="124">
        <v>2028</v>
      </c>
      <c r="BD5" s="124">
        <v>2029</v>
      </c>
      <c r="BE5" s="124">
        <v>2030</v>
      </c>
    </row>
    <row r="6" spans="1:57" x14ac:dyDescent="0.35">
      <c r="A6" s="127" t="s">
        <v>2</v>
      </c>
      <c r="G6" s="126">
        <v>14.21</v>
      </c>
      <c r="H6" s="126">
        <v>14.21</v>
      </c>
      <c r="I6" s="126">
        <v>14.21</v>
      </c>
      <c r="J6" s="126">
        <v>14.21</v>
      </c>
      <c r="K6" s="126">
        <v>14.21</v>
      </c>
      <c r="L6" s="126">
        <v>14.21</v>
      </c>
      <c r="M6" s="126">
        <v>14.21</v>
      </c>
      <c r="N6" s="126">
        <v>14.21</v>
      </c>
      <c r="O6" s="126">
        <v>14.21</v>
      </c>
      <c r="P6" s="126">
        <v>14.21</v>
      </c>
      <c r="Q6" s="126">
        <v>14.21</v>
      </c>
      <c r="R6" s="126">
        <v>14.21</v>
      </c>
      <c r="S6" s="126">
        <v>14.21</v>
      </c>
      <c r="T6" s="126">
        <v>14.21</v>
      </c>
      <c r="U6" s="126">
        <v>14.21</v>
      </c>
      <c r="V6" s="126">
        <v>14.21</v>
      </c>
      <c r="W6" s="126">
        <v>14.21</v>
      </c>
      <c r="X6" s="126">
        <v>14.21</v>
      </c>
      <c r="Y6" s="126">
        <v>14.21</v>
      </c>
      <c r="Z6" s="126">
        <v>14.21</v>
      </c>
      <c r="AA6" s="126">
        <v>14.21</v>
      </c>
      <c r="AB6" s="126">
        <v>14.21</v>
      </c>
      <c r="AC6" s="126">
        <v>14.21</v>
      </c>
      <c r="AD6" s="126">
        <v>14.21</v>
      </c>
      <c r="AE6" s="126">
        <v>14.21</v>
      </c>
      <c r="AF6" s="126">
        <v>14.21</v>
      </c>
      <c r="AG6" s="126">
        <v>14.21</v>
      </c>
      <c r="AH6" s="126">
        <v>14.21</v>
      </c>
      <c r="AI6" s="126">
        <v>14.21</v>
      </c>
      <c r="AJ6" s="126">
        <v>14.21</v>
      </c>
      <c r="AK6" s="126">
        <v>14.21</v>
      </c>
      <c r="AL6" s="126">
        <v>14.21</v>
      </c>
      <c r="AM6" s="126">
        <v>14.21</v>
      </c>
      <c r="AN6" s="126">
        <v>14.21</v>
      </c>
      <c r="AO6" s="126">
        <v>14.21</v>
      </c>
      <c r="AP6" s="126">
        <v>14.21</v>
      </c>
      <c r="AQ6" s="126">
        <v>14.21</v>
      </c>
      <c r="AR6" s="126">
        <v>14.21</v>
      </c>
      <c r="AS6" s="126">
        <v>14.21</v>
      </c>
      <c r="AT6" s="126">
        <v>14.21</v>
      </c>
      <c r="AU6" s="126">
        <v>14.21</v>
      </c>
      <c r="AV6" s="126">
        <v>14.21</v>
      </c>
      <c r="AW6" s="126">
        <v>14.21</v>
      </c>
      <c r="AX6" s="126">
        <v>14.21</v>
      </c>
      <c r="AY6" s="126">
        <v>14.21</v>
      </c>
      <c r="AZ6" s="126">
        <v>14.21</v>
      </c>
      <c r="BA6" s="126">
        <v>14.21</v>
      </c>
      <c r="BB6" s="126">
        <v>14.21</v>
      </c>
      <c r="BC6" s="126">
        <v>14.21</v>
      </c>
      <c r="BD6" s="126">
        <v>14.21</v>
      </c>
      <c r="BE6" s="126">
        <v>14.21</v>
      </c>
    </row>
    <row r="7" spans="1:57" x14ac:dyDescent="0.35">
      <c r="A7" s="127" t="s">
        <v>3</v>
      </c>
      <c r="G7" s="126">
        <v>25</v>
      </c>
      <c r="H7" s="126">
        <v>25</v>
      </c>
      <c r="I7" s="126">
        <v>25</v>
      </c>
      <c r="J7" s="126">
        <v>25</v>
      </c>
      <c r="K7" s="126">
        <v>25</v>
      </c>
      <c r="L7" s="126">
        <v>25</v>
      </c>
      <c r="M7" s="126">
        <v>25</v>
      </c>
      <c r="N7" s="126">
        <v>25</v>
      </c>
      <c r="O7" s="126">
        <v>25</v>
      </c>
      <c r="P7" s="126">
        <v>25</v>
      </c>
      <c r="Q7" s="126">
        <v>25</v>
      </c>
      <c r="R7" s="126">
        <v>25</v>
      </c>
      <c r="S7" s="126">
        <v>25</v>
      </c>
      <c r="T7" s="126">
        <v>25</v>
      </c>
      <c r="U7" s="126">
        <v>25</v>
      </c>
      <c r="V7" s="126">
        <v>25</v>
      </c>
      <c r="W7" s="126">
        <v>25</v>
      </c>
      <c r="X7" s="126">
        <v>25</v>
      </c>
      <c r="Y7" s="126">
        <v>25</v>
      </c>
      <c r="Z7" s="126">
        <v>25</v>
      </c>
      <c r="AA7" s="126">
        <v>25</v>
      </c>
      <c r="AB7" s="126">
        <v>25</v>
      </c>
      <c r="AC7" s="126">
        <v>25</v>
      </c>
      <c r="AD7" s="126">
        <v>25</v>
      </c>
      <c r="AE7" s="126">
        <v>25</v>
      </c>
      <c r="AF7" s="126">
        <v>25</v>
      </c>
      <c r="AG7" s="126">
        <v>25</v>
      </c>
      <c r="AH7" s="126">
        <v>25</v>
      </c>
      <c r="AI7" s="126">
        <v>25</v>
      </c>
      <c r="AJ7" s="126">
        <v>25</v>
      </c>
      <c r="AK7" s="126">
        <v>25</v>
      </c>
      <c r="AL7" s="126">
        <v>25</v>
      </c>
      <c r="AM7" s="126">
        <v>25</v>
      </c>
      <c r="AN7" s="126">
        <v>25</v>
      </c>
      <c r="AO7" s="126">
        <v>25</v>
      </c>
      <c r="AP7" s="126">
        <v>25</v>
      </c>
      <c r="AQ7" s="126">
        <v>25</v>
      </c>
      <c r="AR7" s="126">
        <v>25</v>
      </c>
      <c r="AS7" s="126">
        <v>25</v>
      </c>
      <c r="AT7" s="126">
        <v>25</v>
      </c>
      <c r="AU7" s="126">
        <v>25</v>
      </c>
      <c r="AV7" s="126">
        <v>25</v>
      </c>
      <c r="AW7" s="126">
        <v>25</v>
      </c>
      <c r="AX7" s="126">
        <v>25</v>
      </c>
      <c r="AY7" s="126">
        <v>25</v>
      </c>
      <c r="AZ7" s="126">
        <v>25</v>
      </c>
      <c r="BA7" s="126">
        <v>25</v>
      </c>
      <c r="BB7" s="126">
        <v>25</v>
      </c>
      <c r="BC7" s="126">
        <v>25</v>
      </c>
      <c r="BD7" s="126">
        <v>25</v>
      </c>
      <c r="BE7" s="126">
        <v>25</v>
      </c>
    </row>
    <row r="8" spans="1:57" x14ac:dyDescent="0.35">
      <c r="A8" s="127" t="s">
        <v>4</v>
      </c>
      <c r="G8" s="126">
        <v>16.07</v>
      </c>
      <c r="H8" s="126">
        <v>16.07</v>
      </c>
      <c r="I8" s="126">
        <v>16.07</v>
      </c>
      <c r="J8" s="126">
        <v>16.07</v>
      </c>
      <c r="K8" s="126">
        <v>16.07</v>
      </c>
      <c r="L8" s="126">
        <v>16.07</v>
      </c>
      <c r="M8" s="126">
        <v>16.07</v>
      </c>
      <c r="N8" s="126">
        <v>16.07</v>
      </c>
      <c r="O8" s="126">
        <v>16.07</v>
      </c>
      <c r="P8" s="126">
        <v>16.07</v>
      </c>
      <c r="Q8" s="126">
        <v>16.07</v>
      </c>
      <c r="R8" s="126">
        <v>16.07</v>
      </c>
      <c r="S8" s="126">
        <v>16.07</v>
      </c>
      <c r="T8" s="126">
        <v>16.07</v>
      </c>
      <c r="U8" s="126">
        <v>16.07</v>
      </c>
      <c r="V8" s="126">
        <v>16.07</v>
      </c>
      <c r="W8" s="126">
        <v>16.07</v>
      </c>
      <c r="X8" s="126">
        <v>16.07</v>
      </c>
      <c r="Y8" s="126">
        <v>16.07</v>
      </c>
      <c r="Z8" s="126">
        <v>16.07</v>
      </c>
      <c r="AA8" s="126">
        <v>16.07</v>
      </c>
      <c r="AB8" s="126">
        <v>16.07</v>
      </c>
      <c r="AC8" s="126">
        <v>16.07</v>
      </c>
      <c r="AD8" s="126">
        <v>16.07</v>
      </c>
      <c r="AE8" s="126">
        <v>16.07</v>
      </c>
      <c r="AF8" s="126">
        <v>16.07</v>
      </c>
      <c r="AG8" s="126">
        <v>16.07</v>
      </c>
      <c r="AH8" s="126">
        <v>16.07</v>
      </c>
      <c r="AI8" s="126">
        <v>16.07</v>
      </c>
      <c r="AJ8" s="126">
        <v>16.07</v>
      </c>
      <c r="AK8" s="126">
        <v>16.07</v>
      </c>
      <c r="AL8" s="126">
        <v>16.07</v>
      </c>
      <c r="AM8" s="126">
        <v>16.07</v>
      </c>
      <c r="AN8" s="126">
        <v>16.07</v>
      </c>
      <c r="AO8" s="126">
        <v>16.07</v>
      </c>
      <c r="AP8" s="126">
        <v>16.07</v>
      </c>
      <c r="AQ8" s="126">
        <v>16.07</v>
      </c>
      <c r="AR8" s="126">
        <v>16.07</v>
      </c>
      <c r="AS8" s="126">
        <v>16.07</v>
      </c>
      <c r="AT8" s="126">
        <v>16.07</v>
      </c>
      <c r="AU8" s="126">
        <v>16.07</v>
      </c>
      <c r="AV8" s="126">
        <v>16.07</v>
      </c>
      <c r="AW8" s="126">
        <v>16.07</v>
      </c>
      <c r="AX8" s="126">
        <v>16.07</v>
      </c>
      <c r="AY8" s="126">
        <v>16.07</v>
      </c>
      <c r="AZ8" s="126">
        <v>16.07</v>
      </c>
      <c r="BA8" s="126">
        <v>16.07</v>
      </c>
      <c r="BB8" s="126">
        <v>16.07</v>
      </c>
      <c r="BC8" s="126">
        <v>16.07</v>
      </c>
      <c r="BD8" s="126">
        <v>16.07</v>
      </c>
      <c r="BE8" s="126">
        <v>16.07</v>
      </c>
    </row>
    <row r="9" spans="1:57" x14ac:dyDescent="0.35">
      <c r="A9" s="127" t="s">
        <v>5</v>
      </c>
      <c r="G9" s="126">
        <v>17.13</v>
      </c>
      <c r="H9" s="126">
        <v>17.13</v>
      </c>
      <c r="I9" s="126">
        <v>17.13</v>
      </c>
      <c r="J9" s="126">
        <v>17.13</v>
      </c>
      <c r="K9" s="126">
        <v>17.13</v>
      </c>
      <c r="L9" s="126">
        <v>17.13</v>
      </c>
      <c r="M9" s="126">
        <v>17.13</v>
      </c>
      <c r="N9" s="126">
        <v>17.13</v>
      </c>
      <c r="O9" s="126">
        <v>17.13</v>
      </c>
      <c r="P9" s="126">
        <v>17.13</v>
      </c>
      <c r="Q9" s="126">
        <v>17.13</v>
      </c>
      <c r="R9" s="126">
        <v>17.13</v>
      </c>
      <c r="S9" s="126">
        <v>17.13</v>
      </c>
      <c r="T9" s="126">
        <v>17.13</v>
      </c>
      <c r="U9" s="126">
        <v>17.13</v>
      </c>
      <c r="V9" s="126">
        <v>17.13</v>
      </c>
      <c r="W9" s="126">
        <v>17.13</v>
      </c>
      <c r="X9" s="126">
        <v>17.13</v>
      </c>
      <c r="Y9" s="126">
        <v>17.13</v>
      </c>
      <c r="Z9" s="126">
        <v>17.13</v>
      </c>
      <c r="AA9" s="126">
        <v>17.13</v>
      </c>
      <c r="AB9" s="126">
        <v>17.13</v>
      </c>
      <c r="AC9" s="126">
        <v>17.13</v>
      </c>
      <c r="AD9" s="126">
        <v>17.13</v>
      </c>
      <c r="AE9" s="126">
        <v>17.13</v>
      </c>
      <c r="AF9" s="126">
        <v>17.13</v>
      </c>
      <c r="AG9" s="126">
        <v>17.13</v>
      </c>
      <c r="AH9" s="126">
        <v>17.13</v>
      </c>
      <c r="AI9" s="126">
        <v>17.13</v>
      </c>
      <c r="AJ9" s="126">
        <v>17.13</v>
      </c>
      <c r="AK9" s="126">
        <v>17.13</v>
      </c>
      <c r="AL9" s="126">
        <v>17.13</v>
      </c>
      <c r="AM9" s="126">
        <v>17.13</v>
      </c>
      <c r="AN9" s="126">
        <v>17.13</v>
      </c>
      <c r="AO9" s="126">
        <v>17.13</v>
      </c>
      <c r="AP9" s="126">
        <v>17.13</v>
      </c>
      <c r="AQ9" s="126">
        <v>17.13</v>
      </c>
      <c r="AR9" s="126">
        <v>17.13</v>
      </c>
      <c r="AS9" s="126">
        <v>17.13</v>
      </c>
      <c r="AT9" s="126">
        <v>17.13</v>
      </c>
      <c r="AU9" s="126">
        <v>17.13</v>
      </c>
      <c r="AV9" s="126">
        <v>17.13</v>
      </c>
      <c r="AW9" s="126">
        <v>17.13</v>
      </c>
      <c r="AX9" s="126">
        <v>17.13</v>
      </c>
      <c r="AY9" s="126">
        <v>17.13</v>
      </c>
      <c r="AZ9" s="126">
        <v>17.13</v>
      </c>
      <c r="BA9" s="126">
        <v>17.13</v>
      </c>
      <c r="BB9" s="126">
        <v>17.13</v>
      </c>
      <c r="BC9" s="126">
        <v>17.13</v>
      </c>
      <c r="BD9" s="126">
        <v>17.13</v>
      </c>
      <c r="BE9" s="126">
        <v>17.13</v>
      </c>
    </row>
    <row r="10" spans="1:57" x14ac:dyDescent="0.35">
      <c r="A10" s="127" t="s">
        <v>6</v>
      </c>
      <c r="G10" s="126">
        <v>19.350000000000001</v>
      </c>
      <c r="H10" s="126">
        <v>19.350000000000001</v>
      </c>
      <c r="I10" s="126">
        <v>19.350000000000001</v>
      </c>
      <c r="J10" s="126">
        <v>19.350000000000001</v>
      </c>
      <c r="K10" s="126">
        <v>19.350000000000001</v>
      </c>
      <c r="L10" s="126">
        <v>19.350000000000001</v>
      </c>
      <c r="M10" s="126">
        <v>19.350000000000001</v>
      </c>
      <c r="N10" s="126">
        <v>19.350000000000001</v>
      </c>
      <c r="O10" s="126">
        <v>19.350000000000001</v>
      </c>
      <c r="P10" s="126">
        <v>19.350000000000001</v>
      </c>
      <c r="Q10" s="126">
        <v>19.350000000000001</v>
      </c>
      <c r="R10" s="126">
        <v>19.350000000000001</v>
      </c>
      <c r="S10" s="126">
        <v>19.350000000000001</v>
      </c>
      <c r="T10" s="126">
        <v>19.350000000000001</v>
      </c>
      <c r="U10" s="126">
        <v>19.350000000000001</v>
      </c>
      <c r="V10" s="126">
        <v>19.350000000000001</v>
      </c>
      <c r="W10" s="126">
        <v>19.350000000000001</v>
      </c>
      <c r="X10" s="126">
        <v>19.350000000000001</v>
      </c>
      <c r="Y10" s="126">
        <v>19.350000000000001</v>
      </c>
      <c r="Z10" s="126">
        <v>19.350000000000001</v>
      </c>
      <c r="AA10" s="126">
        <v>19.350000000000001</v>
      </c>
      <c r="AB10" s="126">
        <v>19.350000000000001</v>
      </c>
      <c r="AC10" s="126">
        <v>19.350000000000001</v>
      </c>
      <c r="AD10" s="126">
        <v>19.350000000000001</v>
      </c>
      <c r="AE10" s="126">
        <v>19.350000000000001</v>
      </c>
      <c r="AF10" s="126">
        <v>19.350000000000001</v>
      </c>
      <c r="AG10" s="126">
        <v>19.350000000000001</v>
      </c>
      <c r="AH10" s="126">
        <v>19.350000000000001</v>
      </c>
      <c r="AI10" s="126">
        <v>19.350000000000001</v>
      </c>
      <c r="AJ10" s="126">
        <v>19.350000000000001</v>
      </c>
      <c r="AK10" s="126">
        <v>19.350000000000001</v>
      </c>
      <c r="AL10" s="126">
        <v>19.350000000000001</v>
      </c>
      <c r="AM10" s="126">
        <v>19.350000000000001</v>
      </c>
      <c r="AN10" s="126">
        <v>19.350000000000001</v>
      </c>
      <c r="AO10" s="126">
        <v>19.350000000000001</v>
      </c>
      <c r="AP10" s="126">
        <v>19.350000000000001</v>
      </c>
      <c r="AQ10" s="126">
        <v>19.350000000000001</v>
      </c>
      <c r="AR10" s="126">
        <v>19.350000000000001</v>
      </c>
      <c r="AS10" s="126">
        <v>19.350000000000001</v>
      </c>
      <c r="AT10" s="126">
        <v>19.350000000000001</v>
      </c>
      <c r="AU10" s="126">
        <v>19.350000000000001</v>
      </c>
      <c r="AV10" s="126">
        <v>19.350000000000001</v>
      </c>
      <c r="AW10" s="126">
        <v>19.350000000000001</v>
      </c>
      <c r="AX10" s="126">
        <v>19.350000000000001</v>
      </c>
      <c r="AY10" s="126">
        <v>19.350000000000001</v>
      </c>
      <c r="AZ10" s="126">
        <v>19.350000000000001</v>
      </c>
      <c r="BA10" s="126">
        <v>19.350000000000001</v>
      </c>
      <c r="BB10" s="126">
        <v>19.350000000000001</v>
      </c>
      <c r="BC10" s="126">
        <v>19.350000000000001</v>
      </c>
      <c r="BD10" s="126">
        <v>19.350000000000001</v>
      </c>
      <c r="BE10" s="126">
        <v>19.350000000000001</v>
      </c>
    </row>
    <row r="11" spans="1:57" x14ac:dyDescent="0.35">
      <c r="A11" s="127" t="s">
        <v>7</v>
      </c>
      <c r="G11" s="126">
        <v>13.32</v>
      </c>
      <c r="H11" s="126">
        <v>13.32</v>
      </c>
      <c r="I11" s="126">
        <v>13.32</v>
      </c>
      <c r="J11" s="126">
        <v>13.32</v>
      </c>
      <c r="K11" s="126">
        <v>13.32</v>
      </c>
      <c r="L11" s="126">
        <v>13.32</v>
      </c>
      <c r="M11" s="126">
        <v>13.32</v>
      </c>
      <c r="N11" s="126">
        <v>13.32</v>
      </c>
      <c r="O11" s="126">
        <v>13.32</v>
      </c>
      <c r="P11" s="126">
        <v>13.32</v>
      </c>
      <c r="Q11" s="126">
        <v>13.32</v>
      </c>
      <c r="R11" s="126">
        <v>13.32</v>
      </c>
      <c r="S11" s="126">
        <v>13.32</v>
      </c>
      <c r="T11" s="126">
        <v>13.32</v>
      </c>
      <c r="U11" s="126">
        <v>13.32</v>
      </c>
      <c r="V11" s="126">
        <v>13.32</v>
      </c>
      <c r="W11" s="126">
        <v>13.32</v>
      </c>
      <c r="X11" s="126">
        <v>13.32</v>
      </c>
      <c r="Y11" s="126">
        <v>13.32</v>
      </c>
      <c r="Z11" s="126">
        <v>13.32</v>
      </c>
      <c r="AA11" s="126">
        <v>13.32</v>
      </c>
      <c r="AB11" s="126">
        <v>13.32</v>
      </c>
      <c r="AC11" s="126">
        <v>13.32</v>
      </c>
      <c r="AD11" s="126">
        <v>13.32</v>
      </c>
      <c r="AE11" s="126">
        <v>13.32</v>
      </c>
      <c r="AF11" s="126">
        <v>13.32</v>
      </c>
      <c r="AG11" s="126">
        <v>13.32</v>
      </c>
      <c r="AH11" s="126">
        <v>13.32</v>
      </c>
      <c r="AI11" s="126">
        <v>13.32</v>
      </c>
      <c r="AJ11" s="126">
        <v>13.32</v>
      </c>
      <c r="AK11" s="126">
        <v>13.32</v>
      </c>
      <c r="AL11" s="126">
        <v>13.32</v>
      </c>
      <c r="AM11" s="126">
        <v>13.32</v>
      </c>
      <c r="AN11" s="126">
        <v>13.32</v>
      </c>
      <c r="AO11" s="126">
        <v>13.32</v>
      </c>
      <c r="AP11" s="126">
        <v>13.32</v>
      </c>
      <c r="AQ11" s="126">
        <v>13.32</v>
      </c>
      <c r="AR11" s="126">
        <v>13.32</v>
      </c>
      <c r="AS11" s="126">
        <v>13.32</v>
      </c>
      <c r="AT11" s="126">
        <v>13.32</v>
      </c>
      <c r="AU11" s="126">
        <v>13.32</v>
      </c>
      <c r="AV11" s="126">
        <v>13.32</v>
      </c>
      <c r="AW11" s="126">
        <v>13.32</v>
      </c>
      <c r="AX11" s="126">
        <v>13.32</v>
      </c>
      <c r="AY11" s="126">
        <v>13.32</v>
      </c>
      <c r="AZ11" s="126">
        <v>13.32</v>
      </c>
      <c r="BA11" s="126">
        <v>13.32</v>
      </c>
      <c r="BB11" s="126">
        <v>13.32</v>
      </c>
      <c r="BC11" s="126">
        <v>13.32</v>
      </c>
      <c r="BD11" s="126">
        <v>13.32</v>
      </c>
      <c r="BE11" s="126">
        <v>13.32</v>
      </c>
    </row>
    <row r="12" spans="1:57" x14ac:dyDescent="0.35">
      <c r="A12" s="127" t="s">
        <v>8</v>
      </c>
      <c r="G12" s="126">
        <v>18.079999999999998</v>
      </c>
      <c r="H12" s="126">
        <v>18.079999999999998</v>
      </c>
      <c r="I12" s="126">
        <v>18.079999999999998</v>
      </c>
      <c r="J12" s="126">
        <v>18.079999999999998</v>
      </c>
      <c r="K12" s="126">
        <v>18.079999999999998</v>
      </c>
      <c r="L12" s="126">
        <v>18.079999999999998</v>
      </c>
      <c r="M12" s="126">
        <v>18.079999999999998</v>
      </c>
      <c r="N12" s="126">
        <v>18.079999999999998</v>
      </c>
      <c r="O12" s="126">
        <v>18.079999999999998</v>
      </c>
      <c r="P12" s="126">
        <v>18.079999999999998</v>
      </c>
      <c r="Q12" s="126">
        <v>18.079999999999998</v>
      </c>
      <c r="R12" s="126">
        <v>18.079999999999998</v>
      </c>
      <c r="S12" s="126">
        <v>18.079999999999998</v>
      </c>
      <c r="T12" s="126">
        <v>18.079999999999998</v>
      </c>
      <c r="U12" s="126">
        <v>18.079999999999998</v>
      </c>
      <c r="V12" s="126">
        <v>18.079999999999998</v>
      </c>
      <c r="W12" s="126">
        <v>18.079999999999998</v>
      </c>
      <c r="X12" s="126">
        <v>18.079999999999998</v>
      </c>
      <c r="Y12" s="126">
        <v>18.079999999999998</v>
      </c>
      <c r="Z12" s="126">
        <v>18.079999999999998</v>
      </c>
      <c r="AA12" s="126">
        <v>18.079999999999998</v>
      </c>
      <c r="AB12" s="126">
        <v>18.079999999999998</v>
      </c>
      <c r="AC12" s="126">
        <v>18.079999999999998</v>
      </c>
      <c r="AD12" s="126">
        <v>18.079999999999998</v>
      </c>
      <c r="AE12" s="126">
        <v>18.079999999999998</v>
      </c>
      <c r="AF12" s="126">
        <v>18.079999999999998</v>
      </c>
      <c r="AG12" s="126">
        <v>18.079999999999998</v>
      </c>
      <c r="AH12" s="126">
        <v>18.079999999999998</v>
      </c>
      <c r="AI12" s="126">
        <v>18.079999999999998</v>
      </c>
      <c r="AJ12" s="126">
        <v>18.079999999999998</v>
      </c>
      <c r="AK12" s="126">
        <v>18.079999999999998</v>
      </c>
      <c r="AL12" s="126">
        <v>18.079999999999998</v>
      </c>
      <c r="AM12" s="126">
        <v>18.079999999999998</v>
      </c>
      <c r="AN12" s="126">
        <v>18.079999999999998</v>
      </c>
      <c r="AO12" s="126">
        <v>18.079999999999998</v>
      </c>
      <c r="AP12" s="126">
        <v>18.079999999999998</v>
      </c>
      <c r="AQ12" s="126">
        <v>18.079999999999998</v>
      </c>
      <c r="AR12" s="126">
        <v>18.079999999999998</v>
      </c>
      <c r="AS12" s="126">
        <v>18.079999999999998</v>
      </c>
      <c r="AT12" s="126">
        <v>18.079999999999998</v>
      </c>
      <c r="AU12" s="126">
        <v>18.079999999999998</v>
      </c>
      <c r="AV12" s="126">
        <v>18.079999999999998</v>
      </c>
      <c r="AW12" s="126">
        <v>18.079999999999998</v>
      </c>
      <c r="AX12" s="126">
        <v>18.079999999999998</v>
      </c>
      <c r="AY12" s="126">
        <v>18.079999999999998</v>
      </c>
      <c r="AZ12" s="126">
        <v>18.079999999999998</v>
      </c>
      <c r="BA12" s="126">
        <v>18.079999999999998</v>
      </c>
      <c r="BB12" s="126">
        <v>18.079999999999998</v>
      </c>
      <c r="BC12" s="126">
        <v>18.079999999999998</v>
      </c>
      <c r="BD12" s="126">
        <v>18.079999999999998</v>
      </c>
      <c r="BE12" s="126">
        <v>18.079999999999998</v>
      </c>
    </row>
    <row r="13" spans="1:57" x14ac:dyDescent="0.35">
      <c r="A13" s="127" t="s">
        <v>9</v>
      </c>
      <c r="G13" s="126">
        <v>13.47</v>
      </c>
      <c r="H13" s="126">
        <v>13.47</v>
      </c>
      <c r="I13" s="126">
        <v>13.47</v>
      </c>
      <c r="J13" s="126">
        <v>13.47</v>
      </c>
      <c r="K13" s="126">
        <v>13.47</v>
      </c>
      <c r="L13" s="126">
        <v>13.47</v>
      </c>
      <c r="M13" s="126">
        <v>13.47</v>
      </c>
      <c r="N13" s="126">
        <v>13.47</v>
      </c>
      <c r="O13" s="126">
        <v>13.47</v>
      </c>
      <c r="P13" s="126">
        <v>13.47</v>
      </c>
      <c r="Q13" s="126">
        <v>13.47</v>
      </c>
      <c r="R13" s="126">
        <v>13.47</v>
      </c>
      <c r="S13" s="126">
        <v>13.47</v>
      </c>
      <c r="T13" s="126">
        <v>13.47</v>
      </c>
      <c r="U13" s="126">
        <v>13.47</v>
      </c>
      <c r="V13" s="126">
        <v>13.47</v>
      </c>
      <c r="W13" s="126">
        <v>13.47</v>
      </c>
      <c r="X13" s="126">
        <v>13.47</v>
      </c>
      <c r="Y13" s="126">
        <v>13.47</v>
      </c>
      <c r="Z13" s="126">
        <v>13.47</v>
      </c>
      <c r="AA13" s="126">
        <v>13.47</v>
      </c>
      <c r="AB13" s="126">
        <v>13.47</v>
      </c>
      <c r="AC13" s="126">
        <v>13.47</v>
      </c>
      <c r="AD13" s="126">
        <v>13.47</v>
      </c>
      <c r="AE13" s="126">
        <v>13.47</v>
      </c>
      <c r="AF13" s="126">
        <v>13.47</v>
      </c>
      <c r="AG13" s="126">
        <v>13.47</v>
      </c>
      <c r="AH13" s="126">
        <v>13.47</v>
      </c>
      <c r="AI13" s="126">
        <v>13.47</v>
      </c>
      <c r="AJ13" s="126">
        <v>13.47</v>
      </c>
      <c r="AK13" s="126">
        <v>13.47</v>
      </c>
      <c r="AL13" s="126">
        <v>13.47</v>
      </c>
      <c r="AM13" s="126">
        <v>13.47</v>
      </c>
      <c r="AN13" s="126">
        <v>13.47</v>
      </c>
      <c r="AO13" s="126">
        <v>13.47</v>
      </c>
      <c r="AP13" s="126">
        <v>13.47</v>
      </c>
      <c r="AQ13" s="126">
        <v>13.47</v>
      </c>
      <c r="AR13" s="126">
        <v>13.47</v>
      </c>
      <c r="AS13" s="126">
        <v>13.47</v>
      </c>
      <c r="AT13" s="126">
        <v>13.47</v>
      </c>
      <c r="AU13" s="126">
        <v>13.47</v>
      </c>
      <c r="AV13" s="126">
        <v>13.47</v>
      </c>
      <c r="AW13" s="126">
        <v>13.47</v>
      </c>
      <c r="AX13" s="126">
        <v>13.47</v>
      </c>
      <c r="AY13" s="126">
        <v>13.47</v>
      </c>
      <c r="AZ13" s="126">
        <v>13.47</v>
      </c>
      <c r="BA13" s="126">
        <v>13.47</v>
      </c>
      <c r="BB13" s="126">
        <v>13.47</v>
      </c>
      <c r="BC13" s="126">
        <v>13.47</v>
      </c>
      <c r="BD13" s="126">
        <v>13.47</v>
      </c>
      <c r="BE13" s="126">
        <v>13.47</v>
      </c>
    </row>
    <row r="14" spans="1:57" x14ac:dyDescent="0.35">
      <c r="A14" s="127" t="s">
        <v>10</v>
      </c>
      <c r="G14" s="126">
        <v>16.71</v>
      </c>
      <c r="H14" s="126">
        <v>16.71</v>
      </c>
      <c r="I14" s="126">
        <v>16.71</v>
      </c>
      <c r="J14" s="126">
        <v>16.71</v>
      </c>
      <c r="K14" s="126">
        <v>16.71</v>
      </c>
      <c r="L14" s="126">
        <v>16.71</v>
      </c>
      <c r="M14" s="126">
        <v>16.71</v>
      </c>
      <c r="N14" s="126">
        <v>16.71</v>
      </c>
      <c r="O14" s="126">
        <v>16.71</v>
      </c>
      <c r="P14" s="126">
        <v>16.71</v>
      </c>
      <c r="Q14" s="126">
        <v>16.71</v>
      </c>
      <c r="R14" s="126">
        <v>16.71</v>
      </c>
      <c r="S14" s="126">
        <v>16.71</v>
      </c>
      <c r="T14" s="126">
        <v>16.71</v>
      </c>
      <c r="U14" s="126">
        <v>16.71</v>
      </c>
      <c r="V14" s="126">
        <v>16.71</v>
      </c>
      <c r="W14" s="126">
        <v>16.71</v>
      </c>
      <c r="X14" s="126">
        <v>16.71</v>
      </c>
      <c r="Y14" s="126">
        <v>16.71</v>
      </c>
      <c r="Z14" s="126">
        <v>16.71</v>
      </c>
      <c r="AA14" s="126">
        <v>16.71</v>
      </c>
      <c r="AB14" s="126">
        <v>16.71</v>
      </c>
      <c r="AC14" s="126">
        <v>16.71</v>
      </c>
      <c r="AD14" s="126">
        <v>16.71</v>
      </c>
      <c r="AE14" s="126">
        <v>16.71</v>
      </c>
      <c r="AF14" s="126">
        <v>16.71</v>
      </c>
      <c r="AG14" s="126">
        <v>16.71</v>
      </c>
      <c r="AH14" s="126">
        <v>16.71</v>
      </c>
      <c r="AI14" s="126">
        <v>16.71</v>
      </c>
      <c r="AJ14" s="126">
        <v>16.71</v>
      </c>
      <c r="AK14" s="126">
        <v>16.71</v>
      </c>
      <c r="AL14" s="126">
        <v>16.71</v>
      </c>
      <c r="AM14" s="126">
        <v>16.71</v>
      </c>
      <c r="AN14" s="126">
        <v>16.71</v>
      </c>
      <c r="AO14" s="126">
        <v>16.71</v>
      </c>
      <c r="AP14" s="126">
        <v>16.71</v>
      </c>
      <c r="AQ14" s="126">
        <v>16.71</v>
      </c>
      <c r="AR14" s="126">
        <v>16.71</v>
      </c>
      <c r="AS14" s="126">
        <v>16.71</v>
      </c>
      <c r="AT14" s="126">
        <v>16.71</v>
      </c>
      <c r="AU14" s="126">
        <v>16.71</v>
      </c>
      <c r="AV14" s="126">
        <v>16.71</v>
      </c>
      <c r="AW14" s="126">
        <v>16.71</v>
      </c>
      <c r="AX14" s="126">
        <v>16.71</v>
      </c>
      <c r="AY14" s="126">
        <v>16.71</v>
      </c>
      <c r="AZ14" s="126">
        <v>16.71</v>
      </c>
      <c r="BA14" s="126">
        <v>16.71</v>
      </c>
      <c r="BB14" s="126">
        <v>16.71</v>
      </c>
      <c r="BC14" s="126">
        <v>16.71</v>
      </c>
      <c r="BD14" s="126">
        <v>16.71</v>
      </c>
      <c r="BE14" s="126">
        <v>16.71</v>
      </c>
    </row>
    <row r="15" spans="1:57" x14ac:dyDescent="0.35">
      <c r="A15" s="127" t="s">
        <v>11</v>
      </c>
      <c r="G15" s="126">
        <v>18.55</v>
      </c>
      <c r="H15" s="126">
        <v>18.55</v>
      </c>
      <c r="I15" s="126">
        <v>18.55</v>
      </c>
      <c r="J15" s="126">
        <v>18.55</v>
      </c>
      <c r="K15" s="126">
        <v>18.55</v>
      </c>
      <c r="L15" s="126">
        <v>18.55</v>
      </c>
      <c r="M15" s="126">
        <v>18.55</v>
      </c>
      <c r="N15" s="126">
        <v>18.55</v>
      </c>
      <c r="O15" s="126">
        <v>18.55</v>
      </c>
      <c r="P15" s="126">
        <v>18.55</v>
      </c>
      <c r="Q15" s="126">
        <v>18.55</v>
      </c>
      <c r="R15" s="126">
        <v>18.55</v>
      </c>
      <c r="S15" s="126">
        <v>18.55</v>
      </c>
      <c r="T15" s="126">
        <v>18.55</v>
      </c>
      <c r="U15" s="126">
        <v>18.55</v>
      </c>
      <c r="V15" s="126">
        <v>18.55</v>
      </c>
      <c r="W15" s="126">
        <v>18.55</v>
      </c>
      <c r="X15" s="126">
        <v>18.55</v>
      </c>
      <c r="Y15" s="126">
        <v>18.55</v>
      </c>
      <c r="Z15" s="126">
        <v>18.55</v>
      </c>
      <c r="AA15" s="126">
        <v>18.55</v>
      </c>
      <c r="AB15" s="126">
        <v>18.55</v>
      </c>
      <c r="AC15" s="126">
        <v>18.55</v>
      </c>
      <c r="AD15" s="126">
        <v>18.55</v>
      </c>
      <c r="AE15" s="126">
        <v>18.55</v>
      </c>
      <c r="AF15" s="126">
        <v>18.55</v>
      </c>
      <c r="AG15" s="126">
        <v>18.55</v>
      </c>
      <c r="AH15" s="126">
        <v>18.55</v>
      </c>
      <c r="AI15" s="126">
        <v>18.55</v>
      </c>
      <c r="AJ15" s="126">
        <v>18.55</v>
      </c>
      <c r="AK15" s="126">
        <v>18.55</v>
      </c>
      <c r="AL15" s="126">
        <v>18.55</v>
      </c>
      <c r="AM15" s="126">
        <v>18.55</v>
      </c>
      <c r="AN15" s="126">
        <v>18.55</v>
      </c>
      <c r="AO15" s="126">
        <v>18.55</v>
      </c>
      <c r="AP15" s="126">
        <v>18.55</v>
      </c>
      <c r="AQ15" s="126">
        <v>18.55</v>
      </c>
      <c r="AR15" s="126">
        <v>18.55</v>
      </c>
      <c r="AS15" s="126">
        <v>18.55</v>
      </c>
      <c r="AT15" s="126">
        <v>18.55</v>
      </c>
      <c r="AU15" s="126">
        <v>18.55</v>
      </c>
      <c r="AV15" s="126">
        <v>18.55</v>
      </c>
      <c r="AW15" s="126">
        <v>18.55</v>
      </c>
      <c r="AX15" s="126">
        <v>18.55</v>
      </c>
      <c r="AY15" s="126">
        <v>18.55</v>
      </c>
      <c r="AZ15" s="126">
        <v>18.55</v>
      </c>
      <c r="BA15" s="126">
        <v>18.55</v>
      </c>
      <c r="BB15" s="126">
        <v>18.55</v>
      </c>
      <c r="BC15" s="126">
        <v>18.55</v>
      </c>
      <c r="BD15" s="126">
        <v>18.55</v>
      </c>
      <c r="BE15" s="126">
        <v>18.55</v>
      </c>
    </row>
    <row r="16" spans="1:57" x14ac:dyDescent="0.35">
      <c r="A16" s="127" t="s">
        <v>12</v>
      </c>
      <c r="G16" s="126">
        <v>20.6</v>
      </c>
      <c r="H16" s="126">
        <v>20.6</v>
      </c>
      <c r="I16" s="126">
        <v>20.6</v>
      </c>
      <c r="J16" s="126">
        <v>20.6</v>
      </c>
      <c r="K16" s="126">
        <v>20.6</v>
      </c>
      <c r="L16" s="126">
        <v>20.6</v>
      </c>
      <c r="M16" s="126">
        <v>20.6</v>
      </c>
      <c r="N16" s="126">
        <v>20.6</v>
      </c>
      <c r="O16" s="126">
        <v>20.6</v>
      </c>
      <c r="P16" s="126">
        <v>20.6</v>
      </c>
      <c r="Q16" s="126">
        <v>20.6</v>
      </c>
      <c r="R16" s="126">
        <v>20.6</v>
      </c>
      <c r="S16" s="126">
        <v>20.6</v>
      </c>
      <c r="T16" s="126">
        <v>20.6</v>
      </c>
      <c r="U16" s="126">
        <v>20.6</v>
      </c>
      <c r="V16" s="126">
        <v>20.6</v>
      </c>
      <c r="W16" s="126">
        <v>20.6</v>
      </c>
      <c r="X16" s="126">
        <v>20.6</v>
      </c>
      <c r="Y16" s="126">
        <v>20.6</v>
      </c>
      <c r="Z16" s="126">
        <v>20.6</v>
      </c>
      <c r="AA16" s="126">
        <v>20.6</v>
      </c>
      <c r="AB16" s="126">
        <v>20.6</v>
      </c>
      <c r="AC16" s="126">
        <v>20.6</v>
      </c>
      <c r="AD16" s="126">
        <v>20.6</v>
      </c>
      <c r="AE16" s="126">
        <v>20.6</v>
      </c>
      <c r="AF16" s="126">
        <v>20.6</v>
      </c>
      <c r="AG16" s="126">
        <v>20.6</v>
      </c>
      <c r="AH16" s="126">
        <v>20.6</v>
      </c>
      <c r="AI16" s="126">
        <v>20.6</v>
      </c>
      <c r="AJ16" s="126">
        <v>20.6</v>
      </c>
      <c r="AK16" s="126">
        <v>20.6</v>
      </c>
      <c r="AL16" s="126">
        <v>20.6</v>
      </c>
      <c r="AM16" s="126">
        <v>20.6</v>
      </c>
      <c r="AN16" s="126">
        <v>20.6</v>
      </c>
      <c r="AO16" s="126">
        <v>20.6</v>
      </c>
      <c r="AP16" s="126">
        <v>20.6</v>
      </c>
      <c r="AQ16" s="126">
        <v>20.6</v>
      </c>
      <c r="AR16" s="126">
        <v>20.6</v>
      </c>
      <c r="AS16" s="126">
        <v>20.6</v>
      </c>
      <c r="AT16" s="126">
        <v>20.6</v>
      </c>
      <c r="AU16" s="126">
        <v>20.6</v>
      </c>
      <c r="AV16" s="126">
        <v>20.6</v>
      </c>
      <c r="AW16" s="126">
        <v>20.6</v>
      </c>
      <c r="AX16" s="126">
        <v>20.6</v>
      </c>
      <c r="AY16" s="126">
        <v>20.6</v>
      </c>
      <c r="AZ16" s="126">
        <v>20.6</v>
      </c>
      <c r="BA16" s="126">
        <v>20.6</v>
      </c>
      <c r="BB16" s="126">
        <v>20.6</v>
      </c>
      <c r="BC16" s="126">
        <v>20.6</v>
      </c>
      <c r="BD16" s="126">
        <v>20.6</v>
      </c>
      <c r="BE16" s="126">
        <v>20.6</v>
      </c>
    </row>
    <row r="17" spans="1:57" x14ac:dyDescent="0.35">
      <c r="A17" s="127" t="s">
        <v>13</v>
      </c>
      <c r="G17" s="126">
        <v>13.36</v>
      </c>
      <c r="H17" s="126">
        <v>13.36</v>
      </c>
      <c r="I17" s="126">
        <v>13.36</v>
      </c>
      <c r="J17" s="126">
        <v>13.36</v>
      </c>
      <c r="K17" s="126">
        <v>13.36</v>
      </c>
      <c r="L17" s="126">
        <v>13.36</v>
      </c>
      <c r="M17" s="126">
        <v>13.36</v>
      </c>
      <c r="N17" s="126">
        <v>13.36</v>
      </c>
      <c r="O17" s="126">
        <v>13.36</v>
      </c>
      <c r="P17" s="126">
        <v>13.36</v>
      </c>
      <c r="Q17" s="126">
        <v>13.36</v>
      </c>
      <c r="R17" s="126">
        <v>13.36</v>
      </c>
      <c r="S17" s="126">
        <v>13.36</v>
      </c>
      <c r="T17" s="126">
        <v>13.36</v>
      </c>
      <c r="U17" s="126">
        <v>13.36</v>
      </c>
      <c r="V17" s="126">
        <v>13.36</v>
      </c>
      <c r="W17" s="126">
        <v>13.36</v>
      </c>
      <c r="X17" s="126">
        <v>13.36</v>
      </c>
      <c r="Y17" s="126">
        <v>13.36</v>
      </c>
      <c r="Z17" s="126">
        <v>13.36</v>
      </c>
      <c r="AA17" s="126">
        <v>13.36</v>
      </c>
      <c r="AB17" s="126">
        <v>13.36</v>
      </c>
      <c r="AC17" s="126">
        <v>13.36</v>
      </c>
      <c r="AD17" s="126">
        <v>13.36</v>
      </c>
      <c r="AE17" s="126">
        <v>13.36</v>
      </c>
      <c r="AF17" s="126">
        <v>13.36</v>
      </c>
      <c r="AG17" s="126">
        <v>13.36</v>
      </c>
      <c r="AH17" s="126">
        <v>13.36</v>
      </c>
      <c r="AI17" s="126">
        <v>13.36</v>
      </c>
      <c r="AJ17" s="126">
        <v>13.36</v>
      </c>
      <c r="AK17" s="126">
        <v>13.36</v>
      </c>
      <c r="AL17" s="126">
        <v>13.36</v>
      </c>
      <c r="AM17" s="126">
        <v>13.36</v>
      </c>
      <c r="AN17" s="126">
        <v>13.36</v>
      </c>
      <c r="AO17" s="126">
        <v>13.36</v>
      </c>
      <c r="AP17" s="126">
        <v>13.36</v>
      </c>
      <c r="AQ17" s="126">
        <v>13.36</v>
      </c>
      <c r="AR17" s="126">
        <v>13.36</v>
      </c>
      <c r="AS17" s="126">
        <v>13.36</v>
      </c>
      <c r="AT17" s="126">
        <v>13.36</v>
      </c>
      <c r="AU17" s="126">
        <v>13.36</v>
      </c>
      <c r="AV17" s="126">
        <v>13.36</v>
      </c>
      <c r="AW17" s="126">
        <v>13.36</v>
      </c>
      <c r="AX17" s="126">
        <v>13.36</v>
      </c>
      <c r="AY17" s="126">
        <v>13.36</v>
      </c>
      <c r="AZ17" s="126">
        <v>13.36</v>
      </c>
      <c r="BA17" s="126">
        <v>13.36</v>
      </c>
      <c r="BB17" s="126">
        <v>13.36</v>
      </c>
      <c r="BC17" s="126">
        <v>13.36</v>
      </c>
      <c r="BD17" s="126">
        <v>13.36</v>
      </c>
      <c r="BE17" s="126">
        <v>13.36</v>
      </c>
    </row>
    <row r="18" spans="1:57" x14ac:dyDescent="0.35">
      <c r="A18" s="127" t="s">
        <v>14</v>
      </c>
      <c r="G18" s="126">
        <v>15.36</v>
      </c>
      <c r="H18" s="126">
        <v>15.36</v>
      </c>
      <c r="I18" s="126">
        <v>15.36</v>
      </c>
      <c r="J18" s="126">
        <v>15.36</v>
      </c>
      <c r="K18" s="126">
        <v>15.36</v>
      </c>
      <c r="L18" s="126">
        <v>15.36</v>
      </c>
      <c r="M18" s="126">
        <v>15.36</v>
      </c>
      <c r="N18" s="126">
        <v>15.36</v>
      </c>
      <c r="O18" s="126">
        <v>15.36</v>
      </c>
      <c r="P18" s="126">
        <v>15.36</v>
      </c>
      <c r="Q18" s="126">
        <v>15.36</v>
      </c>
      <c r="R18" s="126">
        <v>15.36</v>
      </c>
      <c r="S18" s="126">
        <v>15.36</v>
      </c>
      <c r="T18" s="126">
        <v>15.36</v>
      </c>
      <c r="U18" s="126">
        <v>15.36</v>
      </c>
      <c r="V18" s="126">
        <v>15.36</v>
      </c>
      <c r="W18" s="126">
        <v>15.36</v>
      </c>
      <c r="X18" s="126">
        <v>15.36</v>
      </c>
      <c r="Y18" s="126">
        <v>15.36</v>
      </c>
      <c r="Z18" s="126">
        <v>15.36</v>
      </c>
      <c r="AA18" s="126">
        <v>15.36</v>
      </c>
      <c r="AB18" s="126">
        <v>15.36</v>
      </c>
      <c r="AC18" s="126">
        <v>15.36</v>
      </c>
      <c r="AD18" s="126">
        <v>15.36</v>
      </c>
      <c r="AE18" s="126">
        <v>15.36</v>
      </c>
      <c r="AF18" s="126">
        <v>15.36</v>
      </c>
      <c r="AG18" s="126">
        <v>15.36</v>
      </c>
      <c r="AH18" s="126">
        <v>15.36</v>
      </c>
      <c r="AI18" s="126">
        <v>15.36</v>
      </c>
      <c r="AJ18" s="126">
        <v>15.36</v>
      </c>
      <c r="AK18" s="126">
        <v>15.36</v>
      </c>
      <c r="AL18" s="126">
        <v>15.36</v>
      </c>
      <c r="AM18" s="126">
        <v>15.36</v>
      </c>
      <c r="AN18" s="126">
        <v>15.36</v>
      </c>
      <c r="AO18" s="126">
        <v>15.36</v>
      </c>
      <c r="AP18" s="126">
        <v>15.36</v>
      </c>
      <c r="AQ18" s="126">
        <v>15.36</v>
      </c>
      <c r="AR18" s="126">
        <v>15.36</v>
      </c>
      <c r="AS18" s="126">
        <v>15.36</v>
      </c>
      <c r="AT18" s="126">
        <v>15.36</v>
      </c>
      <c r="AU18" s="126">
        <v>15.36</v>
      </c>
      <c r="AV18" s="126">
        <v>15.36</v>
      </c>
      <c r="AW18" s="126">
        <v>15.36</v>
      </c>
      <c r="AX18" s="126">
        <v>15.36</v>
      </c>
      <c r="AY18" s="126">
        <v>15.36</v>
      </c>
      <c r="AZ18" s="126">
        <v>15.36</v>
      </c>
      <c r="BA18" s="126">
        <v>15.36</v>
      </c>
      <c r="BB18" s="126">
        <v>15.36</v>
      </c>
      <c r="BC18" s="126">
        <v>15.36</v>
      </c>
      <c r="BD18" s="126">
        <v>15.36</v>
      </c>
      <c r="BE18" s="126">
        <v>15.36</v>
      </c>
    </row>
    <row r="19" spans="1:57" x14ac:dyDescent="0.35">
      <c r="A19" s="127" t="s">
        <v>15</v>
      </c>
      <c r="G19" s="126">
        <v>17.989999999999998</v>
      </c>
      <c r="H19" s="126">
        <v>17.989999999999998</v>
      </c>
      <c r="I19" s="126">
        <v>17.989999999999998</v>
      </c>
      <c r="J19" s="126">
        <v>17.989999999999998</v>
      </c>
      <c r="K19" s="126">
        <v>17.989999999999998</v>
      </c>
      <c r="L19" s="126">
        <v>17.989999999999998</v>
      </c>
      <c r="M19" s="126">
        <v>17.989999999999998</v>
      </c>
      <c r="N19" s="126">
        <v>17.989999999999998</v>
      </c>
      <c r="O19" s="126">
        <v>17.989999999999998</v>
      </c>
      <c r="P19" s="126">
        <v>17.989999999999998</v>
      </c>
      <c r="Q19" s="126">
        <v>17.989999999999998</v>
      </c>
      <c r="R19" s="126">
        <v>17.989999999999998</v>
      </c>
      <c r="S19" s="126">
        <v>17.989999999999998</v>
      </c>
      <c r="T19" s="126">
        <v>17.989999999999998</v>
      </c>
      <c r="U19" s="126">
        <v>17.989999999999998</v>
      </c>
      <c r="V19" s="126">
        <v>17.989999999999998</v>
      </c>
      <c r="W19" s="126">
        <v>17.989999999999998</v>
      </c>
      <c r="X19" s="126">
        <v>17.989999999999998</v>
      </c>
      <c r="Y19" s="126">
        <v>17.989999999999998</v>
      </c>
      <c r="Z19" s="126">
        <v>17.989999999999998</v>
      </c>
      <c r="AA19" s="126">
        <v>17.989999999999998</v>
      </c>
      <c r="AB19" s="126">
        <v>17.989999999999998</v>
      </c>
      <c r="AC19" s="126">
        <v>17.989999999999998</v>
      </c>
      <c r="AD19" s="126">
        <v>17.989999999999998</v>
      </c>
      <c r="AE19" s="126">
        <v>17.989999999999998</v>
      </c>
      <c r="AF19" s="126">
        <v>17.989999999999998</v>
      </c>
      <c r="AG19" s="126">
        <v>17.989999999999998</v>
      </c>
      <c r="AH19" s="126">
        <v>17.989999999999998</v>
      </c>
      <c r="AI19" s="126">
        <v>17.989999999999998</v>
      </c>
      <c r="AJ19" s="126">
        <v>17.989999999999998</v>
      </c>
      <c r="AK19" s="126">
        <v>17.989999999999998</v>
      </c>
      <c r="AL19" s="126">
        <v>17.989999999999998</v>
      </c>
      <c r="AM19" s="126">
        <v>17.989999999999998</v>
      </c>
      <c r="AN19" s="126">
        <v>17.989999999999998</v>
      </c>
      <c r="AO19" s="126">
        <v>17.989999999999998</v>
      </c>
      <c r="AP19" s="126">
        <v>17.989999999999998</v>
      </c>
      <c r="AQ19" s="126">
        <v>17.989999999999998</v>
      </c>
      <c r="AR19" s="126">
        <v>17.989999999999998</v>
      </c>
      <c r="AS19" s="126">
        <v>17.989999999999998</v>
      </c>
      <c r="AT19" s="126">
        <v>17.989999999999998</v>
      </c>
      <c r="AU19" s="126">
        <v>17.989999999999998</v>
      </c>
      <c r="AV19" s="126">
        <v>17.989999999999998</v>
      </c>
      <c r="AW19" s="126">
        <v>17.989999999999998</v>
      </c>
      <c r="AX19" s="126">
        <v>17.989999999999998</v>
      </c>
      <c r="AY19" s="126">
        <v>17.989999999999998</v>
      </c>
      <c r="AZ19" s="126">
        <v>17.989999999999998</v>
      </c>
      <c r="BA19" s="126">
        <v>17.989999999999998</v>
      </c>
      <c r="BB19" s="126">
        <v>17.989999999999998</v>
      </c>
      <c r="BC19" s="126">
        <v>17.989999999999998</v>
      </c>
      <c r="BD19" s="126">
        <v>17.989999999999998</v>
      </c>
      <c r="BE19" s="126">
        <v>17.989999999999998</v>
      </c>
    </row>
    <row r="20" spans="1:57" x14ac:dyDescent="0.35">
      <c r="A20" s="127" t="s">
        <v>16</v>
      </c>
      <c r="G20" s="126">
        <v>7.97</v>
      </c>
      <c r="H20" s="126">
        <v>7.97</v>
      </c>
      <c r="I20" s="126">
        <v>7.97</v>
      </c>
      <c r="J20" s="126">
        <v>7.97</v>
      </c>
      <c r="K20" s="126">
        <v>7.97</v>
      </c>
      <c r="L20" s="126">
        <v>7.97</v>
      </c>
      <c r="M20" s="126">
        <v>7.97</v>
      </c>
      <c r="N20" s="126">
        <v>7.97</v>
      </c>
      <c r="O20" s="126">
        <v>7.97</v>
      </c>
      <c r="P20" s="126">
        <v>7.97</v>
      </c>
      <c r="Q20" s="126">
        <v>7.97</v>
      </c>
      <c r="R20" s="126">
        <v>7.97</v>
      </c>
      <c r="S20" s="126">
        <v>7.97</v>
      </c>
      <c r="T20" s="126">
        <v>7.97</v>
      </c>
      <c r="U20" s="126">
        <v>7.97</v>
      </c>
      <c r="V20" s="126">
        <v>7.97</v>
      </c>
      <c r="W20" s="126">
        <v>7.97</v>
      </c>
      <c r="X20" s="126">
        <v>7.97</v>
      </c>
      <c r="Y20" s="126">
        <v>7.97</v>
      </c>
      <c r="Z20" s="126">
        <v>7.97</v>
      </c>
      <c r="AA20" s="126">
        <v>7.97</v>
      </c>
      <c r="AB20" s="126">
        <v>7.97</v>
      </c>
      <c r="AC20" s="126">
        <v>7.97</v>
      </c>
      <c r="AD20" s="126">
        <v>7.97</v>
      </c>
      <c r="AE20" s="126">
        <v>7.97</v>
      </c>
      <c r="AF20" s="126">
        <v>7.97</v>
      </c>
      <c r="AG20" s="126">
        <v>7.97</v>
      </c>
      <c r="AH20" s="126">
        <v>7.97</v>
      </c>
      <c r="AI20" s="126">
        <v>7.97</v>
      </c>
      <c r="AJ20" s="126">
        <v>7.97</v>
      </c>
      <c r="AK20" s="126">
        <v>7.97</v>
      </c>
      <c r="AL20" s="126">
        <v>7.97</v>
      </c>
      <c r="AM20" s="126">
        <v>7.97</v>
      </c>
      <c r="AN20" s="126">
        <v>7.97</v>
      </c>
      <c r="AO20" s="126">
        <v>7.97</v>
      </c>
      <c r="AP20" s="126">
        <v>7.97</v>
      </c>
      <c r="AQ20" s="126">
        <v>7.97</v>
      </c>
      <c r="AR20" s="126">
        <v>7.97</v>
      </c>
      <c r="AS20" s="126">
        <v>7.97</v>
      </c>
      <c r="AT20" s="126">
        <v>7.97</v>
      </c>
      <c r="AU20" s="126">
        <v>7.97</v>
      </c>
      <c r="AV20" s="126">
        <v>7.97</v>
      </c>
      <c r="AW20" s="126">
        <v>7.97</v>
      </c>
      <c r="AX20" s="126">
        <v>7.97</v>
      </c>
      <c r="AY20" s="126">
        <v>7.97</v>
      </c>
      <c r="AZ20" s="126">
        <v>7.97</v>
      </c>
      <c r="BA20" s="126">
        <v>7.97</v>
      </c>
      <c r="BB20" s="126">
        <v>7.97</v>
      </c>
      <c r="BC20" s="126">
        <v>7.97</v>
      </c>
      <c r="BD20" s="126">
        <v>7.97</v>
      </c>
      <c r="BE20" s="126">
        <v>7.97</v>
      </c>
    </row>
    <row r="21" spans="1:57" x14ac:dyDescent="0.35">
      <c r="A21" s="127" t="s">
        <v>17</v>
      </c>
      <c r="G21" s="126">
        <v>11.02</v>
      </c>
      <c r="H21" s="126">
        <v>11.02</v>
      </c>
      <c r="I21" s="126">
        <v>11.02</v>
      </c>
      <c r="J21" s="126">
        <v>11.02</v>
      </c>
      <c r="K21" s="126">
        <v>11.02</v>
      </c>
      <c r="L21" s="126">
        <v>11.02</v>
      </c>
      <c r="M21" s="126">
        <v>11.02</v>
      </c>
      <c r="N21" s="126">
        <v>11.02</v>
      </c>
      <c r="O21" s="126">
        <v>11.02</v>
      </c>
      <c r="P21" s="126">
        <v>11.02</v>
      </c>
      <c r="Q21" s="126">
        <v>11.02</v>
      </c>
      <c r="R21" s="126">
        <v>11.02</v>
      </c>
      <c r="S21" s="126">
        <v>11.02</v>
      </c>
      <c r="T21" s="126">
        <v>11.02</v>
      </c>
      <c r="U21" s="126">
        <v>11.02</v>
      </c>
      <c r="V21" s="126">
        <v>11.02</v>
      </c>
      <c r="W21" s="126">
        <v>11.02</v>
      </c>
      <c r="X21" s="126">
        <v>11.02</v>
      </c>
      <c r="Y21" s="126">
        <v>11.02</v>
      </c>
      <c r="Z21" s="126">
        <v>11.02</v>
      </c>
      <c r="AA21" s="126">
        <v>11.02</v>
      </c>
      <c r="AB21" s="126">
        <v>11.02</v>
      </c>
      <c r="AC21" s="126">
        <v>11.02</v>
      </c>
      <c r="AD21" s="126">
        <v>11.02</v>
      </c>
      <c r="AE21" s="126">
        <v>11.02</v>
      </c>
      <c r="AF21" s="126">
        <v>11.02</v>
      </c>
      <c r="AG21" s="126">
        <v>11.02</v>
      </c>
      <c r="AH21" s="126">
        <v>11.02</v>
      </c>
      <c r="AI21" s="126">
        <v>11.02</v>
      </c>
      <c r="AJ21" s="126">
        <v>11.02</v>
      </c>
      <c r="AK21" s="126">
        <v>11.02</v>
      </c>
      <c r="AL21" s="126">
        <v>11.02</v>
      </c>
      <c r="AM21" s="126">
        <v>11.02</v>
      </c>
      <c r="AN21" s="126">
        <v>11.02</v>
      </c>
      <c r="AO21" s="126">
        <v>11.02</v>
      </c>
      <c r="AP21" s="126">
        <v>11.02</v>
      </c>
      <c r="AQ21" s="126">
        <v>11.02</v>
      </c>
      <c r="AR21" s="126">
        <v>11.02</v>
      </c>
      <c r="AS21" s="126">
        <v>11.02</v>
      </c>
      <c r="AT21" s="126">
        <v>11.02</v>
      </c>
      <c r="AU21" s="126">
        <v>11.02</v>
      </c>
      <c r="AV21" s="126">
        <v>11.02</v>
      </c>
      <c r="AW21" s="126">
        <v>11.02</v>
      </c>
      <c r="AX21" s="126">
        <v>11.02</v>
      </c>
      <c r="AY21" s="126">
        <v>11.02</v>
      </c>
      <c r="AZ21" s="126">
        <v>11.02</v>
      </c>
      <c r="BA21" s="126">
        <v>11.02</v>
      </c>
      <c r="BB21" s="126">
        <v>11.02</v>
      </c>
      <c r="BC21" s="126">
        <v>11.02</v>
      </c>
      <c r="BD21" s="126">
        <v>11.02</v>
      </c>
      <c r="BE21" s="126">
        <v>11.02</v>
      </c>
    </row>
    <row r="22" spans="1:57" x14ac:dyDescent="0.35">
      <c r="A22" s="127" t="s">
        <v>18</v>
      </c>
      <c r="G22" s="126">
        <v>7.61</v>
      </c>
      <c r="H22" s="126">
        <v>7.61</v>
      </c>
      <c r="I22" s="126">
        <v>7.61</v>
      </c>
      <c r="J22" s="126">
        <v>7.61</v>
      </c>
      <c r="K22" s="126">
        <v>7.61</v>
      </c>
      <c r="L22" s="126">
        <v>7.61</v>
      </c>
      <c r="M22" s="126">
        <v>7.61</v>
      </c>
      <c r="N22" s="126">
        <v>7.61</v>
      </c>
      <c r="O22" s="126">
        <v>7.61</v>
      </c>
      <c r="P22" s="126">
        <v>7.61</v>
      </c>
      <c r="Q22" s="126">
        <v>7.61</v>
      </c>
      <c r="R22" s="126">
        <v>7.61</v>
      </c>
      <c r="S22" s="126">
        <v>7.61</v>
      </c>
      <c r="T22" s="126">
        <v>7.61</v>
      </c>
      <c r="U22" s="126">
        <v>7.61</v>
      </c>
      <c r="V22" s="126">
        <v>7.61</v>
      </c>
      <c r="W22" s="126">
        <v>7.61</v>
      </c>
      <c r="X22" s="126">
        <v>7.61</v>
      </c>
      <c r="Y22" s="126">
        <v>7.61</v>
      </c>
      <c r="Z22" s="126">
        <v>7.61</v>
      </c>
      <c r="AA22" s="126">
        <v>7.61</v>
      </c>
      <c r="AB22" s="126">
        <v>7.61</v>
      </c>
      <c r="AC22" s="126">
        <v>7.61</v>
      </c>
      <c r="AD22" s="126">
        <v>7.61</v>
      </c>
      <c r="AE22" s="126">
        <v>7.61</v>
      </c>
      <c r="AF22" s="126">
        <v>7.61</v>
      </c>
      <c r="AG22" s="126">
        <v>7.61</v>
      </c>
      <c r="AH22" s="126">
        <v>7.61</v>
      </c>
      <c r="AI22" s="126">
        <v>7.61</v>
      </c>
      <c r="AJ22" s="126">
        <v>7.61</v>
      </c>
      <c r="AK22" s="126">
        <v>7.61</v>
      </c>
      <c r="AL22" s="126">
        <v>7.61</v>
      </c>
      <c r="AM22" s="126">
        <v>7.61</v>
      </c>
      <c r="AN22" s="126">
        <v>7.61</v>
      </c>
      <c r="AO22" s="126">
        <v>7.61</v>
      </c>
      <c r="AP22" s="126">
        <v>7.61</v>
      </c>
      <c r="AQ22" s="126">
        <v>7.61</v>
      </c>
      <c r="AR22" s="126">
        <v>7.61</v>
      </c>
      <c r="AS22" s="126">
        <v>7.61</v>
      </c>
      <c r="AT22" s="126">
        <v>7.61</v>
      </c>
      <c r="AU22" s="126">
        <v>7.61</v>
      </c>
      <c r="AV22" s="126">
        <v>7.61</v>
      </c>
      <c r="AW22" s="126">
        <v>7.61</v>
      </c>
      <c r="AX22" s="126">
        <v>7.61</v>
      </c>
      <c r="AY22" s="126">
        <v>7.61</v>
      </c>
      <c r="AZ22" s="126">
        <v>7.61</v>
      </c>
      <c r="BA22" s="126">
        <v>7.61</v>
      </c>
      <c r="BB22" s="126">
        <v>7.61</v>
      </c>
      <c r="BC22" s="126">
        <v>7.61</v>
      </c>
      <c r="BD22" s="126">
        <v>7.61</v>
      </c>
      <c r="BE22" s="126">
        <v>7.61</v>
      </c>
    </row>
    <row r="23" spans="1:57" x14ac:dyDescent="0.35">
      <c r="A23" s="127" t="s">
        <v>19</v>
      </c>
      <c r="G23" s="126">
        <v>10.59</v>
      </c>
      <c r="H23" s="126">
        <v>10.59</v>
      </c>
      <c r="I23" s="126">
        <v>10.59</v>
      </c>
      <c r="J23" s="126">
        <v>10.59</v>
      </c>
      <c r="K23" s="126">
        <v>10.59</v>
      </c>
      <c r="L23" s="126">
        <v>10.59</v>
      </c>
      <c r="M23" s="126">
        <v>10.59</v>
      </c>
      <c r="N23" s="126">
        <v>10.59</v>
      </c>
      <c r="O23" s="126">
        <v>10.59</v>
      </c>
      <c r="P23" s="126">
        <v>10.59</v>
      </c>
      <c r="Q23" s="126">
        <v>10.59</v>
      </c>
      <c r="R23" s="126">
        <v>10.59</v>
      </c>
      <c r="S23" s="126">
        <v>10.59</v>
      </c>
      <c r="T23" s="126">
        <v>10.59</v>
      </c>
      <c r="U23" s="126">
        <v>10.59</v>
      </c>
      <c r="V23" s="126">
        <v>10.59</v>
      </c>
      <c r="W23" s="126">
        <v>10.59</v>
      </c>
      <c r="X23" s="126">
        <v>10.59</v>
      </c>
      <c r="Y23" s="126">
        <v>10.59</v>
      </c>
      <c r="Z23" s="126">
        <v>10.59</v>
      </c>
      <c r="AA23" s="126">
        <v>10.59</v>
      </c>
      <c r="AB23" s="126">
        <v>10.59</v>
      </c>
      <c r="AC23" s="126">
        <v>10.59</v>
      </c>
      <c r="AD23" s="126">
        <v>10.59</v>
      </c>
      <c r="AE23" s="126">
        <v>10.59</v>
      </c>
      <c r="AF23" s="126">
        <v>10.59</v>
      </c>
      <c r="AG23" s="126">
        <v>10.59</v>
      </c>
      <c r="AH23" s="126">
        <v>10.59</v>
      </c>
      <c r="AI23" s="126">
        <v>10.59</v>
      </c>
      <c r="AJ23" s="126">
        <v>10.59</v>
      </c>
      <c r="AK23" s="126">
        <v>10.59</v>
      </c>
      <c r="AL23" s="126">
        <v>10.59</v>
      </c>
      <c r="AM23" s="126">
        <v>10.59</v>
      </c>
      <c r="AN23" s="126">
        <v>10.59</v>
      </c>
      <c r="AO23" s="126">
        <v>10.59</v>
      </c>
      <c r="AP23" s="126">
        <v>10.59</v>
      </c>
      <c r="AQ23" s="126">
        <v>10.59</v>
      </c>
      <c r="AR23" s="126">
        <v>10.59</v>
      </c>
      <c r="AS23" s="126">
        <v>10.59</v>
      </c>
      <c r="AT23" s="126">
        <v>10.59</v>
      </c>
      <c r="AU23" s="126">
        <v>10.59</v>
      </c>
      <c r="AV23" s="126">
        <v>10.59</v>
      </c>
      <c r="AW23" s="126">
        <v>10.59</v>
      </c>
      <c r="AX23" s="126">
        <v>10.59</v>
      </c>
      <c r="AY23" s="126">
        <v>10.59</v>
      </c>
      <c r="AZ23" s="126">
        <v>10.59</v>
      </c>
      <c r="BA23" s="126">
        <v>10.59</v>
      </c>
      <c r="BB23" s="126">
        <v>10.59</v>
      </c>
      <c r="BC23" s="126">
        <v>10.59</v>
      </c>
      <c r="BD23" s="126">
        <v>10.59</v>
      </c>
      <c r="BE23" s="126">
        <v>10.59</v>
      </c>
    </row>
    <row r="24" spans="1:57" x14ac:dyDescent="0.35">
      <c r="A24" s="127" t="s">
        <v>20</v>
      </c>
      <c r="G24" s="126">
        <v>8.09</v>
      </c>
      <c r="H24" s="126">
        <v>8.09</v>
      </c>
      <c r="I24" s="126">
        <v>8.09</v>
      </c>
      <c r="J24" s="126">
        <v>8.09</v>
      </c>
      <c r="K24" s="126">
        <v>8.09</v>
      </c>
      <c r="L24" s="126">
        <v>8.09</v>
      </c>
      <c r="M24" s="126">
        <v>8.09</v>
      </c>
      <c r="N24" s="126">
        <v>8.09</v>
      </c>
      <c r="O24" s="126">
        <v>8.09</v>
      </c>
      <c r="P24" s="126">
        <v>8.09</v>
      </c>
      <c r="Q24" s="126">
        <v>8.09</v>
      </c>
      <c r="R24" s="126">
        <v>8.09</v>
      </c>
      <c r="S24" s="126">
        <v>8.09</v>
      </c>
      <c r="T24" s="126">
        <v>8.09</v>
      </c>
      <c r="U24" s="126">
        <v>8.09</v>
      </c>
      <c r="V24" s="126">
        <v>8.09</v>
      </c>
      <c r="W24" s="126">
        <v>8.09</v>
      </c>
      <c r="X24" s="126">
        <v>8.09</v>
      </c>
      <c r="Y24" s="126">
        <v>8.09</v>
      </c>
      <c r="Z24" s="126">
        <v>8.09</v>
      </c>
      <c r="AA24" s="126">
        <v>8.09</v>
      </c>
      <c r="AB24" s="126">
        <v>8.09</v>
      </c>
      <c r="AC24" s="126">
        <v>8.09</v>
      </c>
      <c r="AD24" s="126">
        <v>8.09</v>
      </c>
      <c r="AE24" s="126">
        <v>8.09</v>
      </c>
      <c r="AF24" s="126">
        <v>8.09</v>
      </c>
      <c r="AG24" s="126">
        <v>8.09</v>
      </c>
      <c r="AH24" s="126">
        <v>8.09</v>
      </c>
      <c r="AI24" s="126">
        <v>8.09</v>
      </c>
      <c r="AJ24" s="126">
        <v>8.09</v>
      </c>
      <c r="AK24" s="126">
        <v>8.09</v>
      </c>
      <c r="AL24" s="126">
        <v>8.09</v>
      </c>
      <c r="AM24" s="126">
        <v>8.09</v>
      </c>
      <c r="AN24" s="126">
        <v>8.09</v>
      </c>
      <c r="AO24" s="126">
        <v>8.09</v>
      </c>
      <c r="AP24" s="126">
        <v>8.09</v>
      </c>
      <c r="AQ24" s="126">
        <v>8.09</v>
      </c>
      <c r="AR24" s="126">
        <v>8.09</v>
      </c>
      <c r="AS24" s="126">
        <v>8.09</v>
      </c>
      <c r="AT24" s="126">
        <v>8.09</v>
      </c>
      <c r="AU24" s="126">
        <v>8.09</v>
      </c>
      <c r="AV24" s="126">
        <v>8.09</v>
      </c>
      <c r="AW24" s="126">
        <v>8.09</v>
      </c>
      <c r="AX24" s="126">
        <v>8.09</v>
      </c>
      <c r="AY24" s="126">
        <v>8.09</v>
      </c>
      <c r="AZ24" s="126">
        <v>8.09</v>
      </c>
      <c r="BA24" s="126">
        <v>8.09</v>
      </c>
      <c r="BB24" s="126">
        <v>8.09</v>
      </c>
      <c r="BC24" s="126">
        <v>8.09</v>
      </c>
      <c r="BD24" s="126">
        <v>8.09</v>
      </c>
      <c r="BE24" s="126">
        <v>8.09</v>
      </c>
    </row>
    <row r="25" spans="1:57" x14ac:dyDescent="0.35">
      <c r="A25" s="127" t="s">
        <v>21</v>
      </c>
      <c r="G25" s="126">
        <v>6.15</v>
      </c>
      <c r="H25" s="126">
        <v>6.15</v>
      </c>
      <c r="I25" s="126">
        <v>6.15</v>
      </c>
      <c r="J25" s="126">
        <v>6.15</v>
      </c>
      <c r="K25" s="126">
        <v>6.15</v>
      </c>
      <c r="L25" s="126">
        <v>6.15</v>
      </c>
      <c r="M25" s="126">
        <v>6.15</v>
      </c>
      <c r="N25" s="126">
        <v>6.15</v>
      </c>
      <c r="O25" s="126">
        <v>6.15</v>
      </c>
      <c r="P25" s="126">
        <v>6.15</v>
      </c>
      <c r="Q25" s="126">
        <v>6.15</v>
      </c>
      <c r="R25" s="126">
        <v>6.15</v>
      </c>
      <c r="S25" s="126">
        <v>6.15</v>
      </c>
      <c r="T25" s="126">
        <v>6.15</v>
      </c>
      <c r="U25" s="126">
        <v>6.15</v>
      </c>
      <c r="V25" s="126">
        <v>6.15</v>
      </c>
      <c r="W25" s="126">
        <v>6.15</v>
      </c>
      <c r="X25" s="126">
        <v>6.15</v>
      </c>
      <c r="Y25" s="126">
        <v>6.15</v>
      </c>
      <c r="Z25" s="126">
        <v>6.15</v>
      </c>
      <c r="AA25" s="126">
        <v>6.15</v>
      </c>
      <c r="AB25" s="126">
        <v>6.15</v>
      </c>
      <c r="AC25" s="126">
        <v>6.15</v>
      </c>
      <c r="AD25" s="126">
        <v>6.15</v>
      </c>
      <c r="AE25" s="126">
        <v>6.15</v>
      </c>
      <c r="AF25" s="126">
        <v>6.15</v>
      </c>
      <c r="AG25" s="126">
        <v>6.15</v>
      </c>
      <c r="AH25" s="126">
        <v>6.15</v>
      </c>
      <c r="AI25" s="126">
        <v>6.15</v>
      </c>
      <c r="AJ25" s="126">
        <v>6.15</v>
      </c>
      <c r="AK25" s="126">
        <v>6.15</v>
      </c>
      <c r="AL25" s="126">
        <v>6.15</v>
      </c>
      <c r="AM25" s="126">
        <v>6.15</v>
      </c>
      <c r="AN25" s="126">
        <v>6.15</v>
      </c>
      <c r="AO25" s="126">
        <v>6.15</v>
      </c>
      <c r="AP25" s="126">
        <v>6.15</v>
      </c>
      <c r="AQ25" s="126">
        <v>6.15</v>
      </c>
      <c r="AR25" s="126">
        <v>6.15</v>
      </c>
      <c r="AS25" s="126">
        <v>6.15</v>
      </c>
      <c r="AT25" s="126">
        <v>6.15</v>
      </c>
      <c r="AU25" s="126">
        <v>6.15</v>
      </c>
      <c r="AV25" s="126">
        <v>6.15</v>
      </c>
      <c r="AW25" s="126">
        <v>6.15</v>
      </c>
      <c r="AX25" s="126">
        <v>6.15</v>
      </c>
      <c r="AY25" s="126">
        <v>6.15</v>
      </c>
      <c r="AZ25" s="126">
        <v>6.15</v>
      </c>
      <c r="BA25" s="126">
        <v>6.15</v>
      </c>
      <c r="BB25" s="126">
        <v>6.15</v>
      </c>
      <c r="BC25" s="126">
        <v>6.15</v>
      </c>
      <c r="BD25" s="126">
        <v>6.15</v>
      </c>
      <c r="BE25" s="126">
        <v>6.15</v>
      </c>
    </row>
    <row r="26" spans="1:57" x14ac:dyDescent="0.35">
      <c r="A26" s="127" t="s">
        <v>22</v>
      </c>
      <c r="G26" s="126">
        <v>10.33</v>
      </c>
      <c r="H26" s="126">
        <v>10.33</v>
      </c>
      <c r="I26" s="126">
        <v>10.33</v>
      </c>
      <c r="J26" s="126">
        <v>10.33</v>
      </c>
      <c r="K26" s="126">
        <v>10.33</v>
      </c>
      <c r="L26" s="126">
        <v>10.33</v>
      </c>
      <c r="M26" s="126">
        <v>10.33</v>
      </c>
      <c r="N26" s="126">
        <v>10.33</v>
      </c>
      <c r="O26" s="126">
        <v>10.33</v>
      </c>
      <c r="P26" s="126">
        <v>10.33</v>
      </c>
      <c r="Q26" s="126">
        <v>10.33</v>
      </c>
      <c r="R26" s="126">
        <v>10.33</v>
      </c>
      <c r="S26" s="126">
        <v>10.33</v>
      </c>
      <c r="T26" s="126">
        <v>10.33</v>
      </c>
      <c r="U26" s="126">
        <v>10.33</v>
      </c>
      <c r="V26" s="126">
        <v>10.33</v>
      </c>
      <c r="W26" s="126">
        <v>10.33</v>
      </c>
      <c r="X26" s="126">
        <v>10.33</v>
      </c>
      <c r="Y26" s="126">
        <v>10.33</v>
      </c>
      <c r="Z26" s="126">
        <v>10.33</v>
      </c>
      <c r="AA26" s="126">
        <v>10.33</v>
      </c>
      <c r="AB26" s="126">
        <v>10.33</v>
      </c>
      <c r="AC26" s="126">
        <v>10.33</v>
      </c>
      <c r="AD26" s="126">
        <v>10.33</v>
      </c>
      <c r="AE26" s="126">
        <v>10.33</v>
      </c>
      <c r="AF26" s="126">
        <v>10.33</v>
      </c>
      <c r="AG26" s="126">
        <v>10.33</v>
      </c>
      <c r="AH26" s="126">
        <v>10.33</v>
      </c>
      <c r="AI26" s="126">
        <v>10.33</v>
      </c>
      <c r="AJ26" s="126">
        <v>10.33</v>
      </c>
      <c r="AK26" s="126">
        <v>10.33</v>
      </c>
      <c r="AL26" s="126">
        <v>10.33</v>
      </c>
      <c r="AM26" s="126">
        <v>10.33</v>
      </c>
      <c r="AN26" s="126">
        <v>10.33</v>
      </c>
      <c r="AO26" s="126">
        <v>10.33</v>
      </c>
      <c r="AP26" s="126">
        <v>10.33</v>
      </c>
      <c r="AQ26" s="126">
        <v>10.33</v>
      </c>
      <c r="AR26" s="126">
        <v>10.33</v>
      </c>
      <c r="AS26" s="126">
        <v>10.33</v>
      </c>
      <c r="AT26" s="126">
        <v>10.33</v>
      </c>
      <c r="AU26" s="126">
        <v>10.33</v>
      </c>
      <c r="AV26" s="126">
        <v>10.33</v>
      </c>
      <c r="AW26" s="126">
        <v>10.33</v>
      </c>
      <c r="AX26" s="126">
        <v>10.33</v>
      </c>
      <c r="AY26" s="126">
        <v>10.33</v>
      </c>
      <c r="AZ26" s="126">
        <v>10.33</v>
      </c>
      <c r="BA26" s="126">
        <v>10.33</v>
      </c>
      <c r="BB26" s="126">
        <v>10.33</v>
      </c>
      <c r="BC26" s="126">
        <v>10.33</v>
      </c>
      <c r="BD26" s="126">
        <v>10.33</v>
      </c>
      <c r="BE26" s="126">
        <v>10.33</v>
      </c>
    </row>
    <row r="27" spans="1:57" x14ac:dyDescent="0.35">
      <c r="A27" s="127" t="s">
        <v>23</v>
      </c>
      <c r="G27" s="126">
        <v>8.76</v>
      </c>
      <c r="H27" s="126">
        <v>8.76</v>
      </c>
      <c r="I27" s="126">
        <v>8.76</v>
      </c>
      <c r="J27" s="126">
        <v>8.76</v>
      </c>
      <c r="K27" s="126">
        <v>8.76</v>
      </c>
      <c r="L27" s="126">
        <v>8.76</v>
      </c>
      <c r="M27" s="126">
        <v>8.76</v>
      </c>
      <c r="N27" s="126">
        <v>8.76</v>
      </c>
      <c r="O27" s="126">
        <v>8.76</v>
      </c>
      <c r="P27" s="126">
        <v>8.76</v>
      </c>
      <c r="Q27" s="126">
        <v>8.76</v>
      </c>
      <c r="R27" s="126">
        <v>8.76</v>
      </c>
      <c r="S27" s="126">
        <v>8.76</v>
      </c>
      <c r="T27" s="126">
        <v>8.76</v>
      </c>
      <c r="U27" s="126">
        <v>8.76</v>
      </c>
      <c r="V27" s="126">
        <v>8.76</v>
      </c>
      <c r="W27" s="126">
        <v>8.76</v>
      </c>
      <c r="X27" s="126">
        <v>8.76</v>
      </c>
      <c r="Y27" s="126">
        <v>8.76</v>
      </c>
      <c r="Z27" s="126">
        <v>8.76</v>
      </c>
      <c r="AA27" s="126">
        <v>8.76</v>
      </c>
      <c r="AB27" s="126">
        <v>8.76</v>
      </c>
      <c r="AC27" s="126">
        <v>8.76</v>
      </c>
      <c r="AD27" s="126">
        <v>8.76</v>
      </c>
      <c r="AE27" s="126">
        <v>8.76</v>
      </c>
      <c r="AF27" s="126">
        <v>8.76</v>
      </c>
      <c r="AG27" s="126">
        <v>8.76</v>
      </c>
      <c r="AH27" s="126">
        <v>8.76</v>
      </c>
      <c r="AI27" s="126">
        <v>8.76</v>
      </c>
      <c r="AJ27" s="126">
        <v>8.76</v>
      </c>
      <c r="AK27" s="126">
        <v>8.76</v>
      </c>
      <c r="AL27" s="126">
        <v>8.76</v>
      </c>
      <c r="AM27" s="126">
        <v>8.76</v>
      </c>
      <c r="AN27" s="126">
        <v>8.76</v>
      </c>
      <c r="AO27" s="126">
        <v>8.76</v>
      </c>
      <c r="AP27" s="126">
        <v>8.76</v>
      </c>
      <c r="AQ27" s="126">
        <v>8.76</v>
      </c>
      <c r="AR27" s="126">
        <v>8.76</v>
      </c>
      <c r="AS27" s="126">
        <v>8.76</v>
      </c>
      <c r="AT27" s="126">
        <v>8.76</v>
      </c>
      <c r="AU27" s="126">
        <v>8.76</v>
      </c>
      <c r="AV27" s="126">
        <v>8.76</v>
      </c>
      <c r="AW27" s="126">
        <v>8.76</v>
      </c>
      <c r="AX27" s="126">
        <v>8.76</v>
      </c>
      <c r="AY27" s="126">
        <v>8.76</v>
      </c>
      <c r="AZ27" s="126">
        <v>8.76</v>
      </c>
      <c r="BA27" s="126">
        <v>8.76</v>
      </c>
      <c r="BB27" s="126">
        <v>8.76</v>
      </c>
      <c r="BC27" s="126">
        <v>8.76</v>
      </c>
      <c r="BD27" s="126">
        <v>8.76</v>
      </c>
      <c r="BE27" s="126">
        <v>8.76</v>
      </c>
    </row>
    <row r="28" spans="1:57" x14ac:dyDescent="0.35">
      <c r="A28" s="127" t="s">
        <v>24</v>
      </c>
      <c r="G28" s="126">
        <v>9.31</v>
      </c>
      <c r="H28" s="126">
        <v>9.31</v>
      </c>
      <c r="I28" s="126">
        <v>9.31</v>
      </c>
      <c r="J28" s="126">
        <v>9.31</v>
      </c>
      <c r="K28" s="126">
        <v>9.31</v>
      </c>
      <c r="L28" s="126">
        <v>9.31</v>
      </c>
      <c r="M28" s="126">
        <v>9.31</v>
      </c>
      <c r="N28" s="126">
        <v>9.31</v>
      </c>
      <c r="O28" s="126">
        <v>9.31</v>
      </c>
      <c r="P28" s="126">
        <v>9.31</v>
      </c>
      <c r="Q28" s="126">
        <v>9.31</v>
      </c>
      <c r="R28" s="126">
        <v>9.31</v>
      </c>
      <c r="S28" s="126">
        <v>9.31</v>
      </c>
      <c r="T28" s="126">
        <v>9.31</v>
      </c>
      <c r="U28" s="126">
        <v>9.31</v>
      </c>
      <c r="V28" s="126">
        <v>9.31</v>
      </c>
      <c r="W28" s="126">
        <v>9.31</v>
      </c>
      <c r="X28" s="126">
        <v>9.31</v>
      </c>
      <c r="Y28" s="126">
        <v>9.31</v>
      </c>
      <c r="Z28" s="126">
        <v>9.31</v>
      </c>
      <c r="AA28" s="126">
        <v>9.31</v>
      </c>
      <c r="AB28" s="126">
        <v>9.31</v>
      </c>
      <c r="AC28" s="126">
        <v>9.31</v>
      </c>
      <c r="AD28" s="126">
        <v>9.31</v>
      </c>
      <c r="AE28" s="126">
        <v>9.31</v>
      </c>
      <c r="AF28" s="126">
        <v>9.31</v>
      </c>
      <c r="AG28" s="126">
        <v>9.31</v>
      </c>
      <c r="AH28" s="126">
        <v>9.31</v>
      </c>
      <c r="AI28" s="126">
        <v>9.31</v>
      </c>
      <c r="AJ28" s="126">
        <v>9.31</v>
      </c>
      <c r="AK28" s="126">
        <v>9.31</v>
      </c>
      <c r="AL28" s="126">
        <v>9.31</v>
      </c>
      <c r="AM28" s="126">
        <v>9.31</v>
      </c>
      <c r="AN28" s="126">
        <v>9.31</v>
      </c>
      <c r="AO28" s="126">
        <v>9.31</v>
      </c>
      <c r="AP28" s="126">
        <v>9.31</v>
      </c>
      <c r="AQ28" s="126">
        <v>9.31</v>
      </c>
      <c r="AR28" s="126">
        <v>9.31</v>
      </c>
      <c r="AS28" s="126">
        <v>9.31</v>
      </c>
      <c r="AT28" s="126">
        <v>9.31</v>
      </c>
      <c r="AU28" s="126">
        <v>9.31</v>
      </c>
      <c r="AV28" s="126">
        <v>9.31</v>
      </c>
      <c r="AW28" s="126">
        <v>9.31</v>
      </c>
      <c r="AX28" s="126">
        <v>9.31</v>
      </c>
      <c r="AY28" s="126">
        <v>9.31</v>
      </c>
      <c r="AZ28" s="126">
        <v>9.31</v>
      </c>
      <c r="BA28" s="126">
        <v>9.31</v>
      </c>
      <c r="BB28" s="126">
        <v>9.31</v>
      </c>
      <c r="BC28" s="126">
        <v>9.31</v>
      </c>
      <c r="BD28" s="126">
        <v>9.31</v>
      </c>
      <c r="BE28" s="126">
        <v>9.31</v>
      </c>
    </row>
    <row r="29" spans="1:57" x14ac:dyDescent="0.35">
      <c r="A29" s="127" t="s">
        <v>25</v>
      </c>
      <c r="G29" s="126">
        <v>7.7</v>
      </c>
      <c r="H29" s="126">
        <v>7.7</v>
      </c>
      <c r="I29" s="126">
        <v>7.7</v>
      </c>
      <c r="J29" s="126">
        <v>7.7</v>
      </c>
      <c r="K29" s="126">
        <v>7.7</v>
      </c>
      <c r="L29" s="126">
        <v>7.7</v>
      </c>
      <c r="M29" s="126">
        <v>7.7</v>
      </c>
      <c r="N29" s="126">
        <v>7.7</v>
      </c>
      <c r="O29" s="126">
        <v>7.7</v>
      </c>
      <c r="P29" s="126">
        <v>7.7</v>
      </c>
      <c r="Q29" s="126">
        <v>7.7</v>
      </c>
      <c r="R29" s="126">
        <v>7.7</v>
      </c>
      <c r="S29" s="126">
        <v>7.7</v>
      </c>
      <c r="T29" s="126">
        <v>7.7</v>
      </c>
      <c r="U29" s="126">
        <v>7.7</v>
      </c>
      <c r="V29" s="126">
        <v>7.7</v>
      </c>
      <c r="W29" s="126">
        <v>7.7</v>
      </c>
      <c r="X29" s="126">
        <v>7.7</v>
      </c>
      <c r="Y29" s="126">
        <v>7.7</v>
      </c>
      <c r="Z29" s="126">
        <v>7.7</v>
      </c>
      <c r="AA29" s="126">
        <v>7.7</v>
      </c>
      <c r="AB29" s="126">
        <v>7.7</v>
      </c>
      <c r="AC29" s="126">
        <v>7.7</v>
      </c>
      <c r="AD29" s="126">
        <v>7.7</v>
      </c>
      <c r="AE29" s="126">
        <v>7.7</v>
      </c>
      <c r="AF29" s="126">
        <v>7.7</v>
      </c>
      <c r="AG29" s="126">
        <v>7.7</v>
      </c>
      <c r="AH29" s="126">
        <v>7.7</v>
      </c>
      <c r="AI29" s="126">
        <v>7.7</v>
      </c>
      <c r="AJ29" s="126">
        <v>7.7</v>
      </c>
      <c r="AK29" s="126">
        <v>7.7</v>
      </c>
      <c r="AL29" s="126">
        <v>7.7</v>
      </c>
      <c r="AM29" s="126">
        <v>7.7</v>
      </c>
      <c r="AN29" s="126">
        <v>7.7</v>
      </c>
      <c r="AO29" s="126">
        <v>7.7</v>
      </c>
      <c r="AP29" s="126">
        <v>7.7</v>
      </c>
      <c r="AQ29" s="126">
        <v>7.7</v>
      </c>
      <c r="AR29" s="126">
        <v>7.7</v>
      </c>
      <c r="AS29" s="126">
        <v>7.7</v>
      </c>
      <c r="AT29" s="126">
        <v>7.7</v>
      </c>
      <c r="AU29" s="126">
        <v>7.7</v>
      </c>
      <c r="AV29" s="126">
        <v>7.7</v>
      </c>
      <c r="AW29" s="126">
        <v>7.7</v>
      </c>
      <c r="AX29" s="126">
        <v>7.7</v>
      </c>
      <c r="AY29" s="126">
        <v>7.7</v>
      </c>
      <c r="AZ29" s="126">
        <v>7.7</v>
      </c>
      <c r="BA29" s="126">
        <v>7.7</v>
      </c>
      <c r="BB29" s="126">
        <v>7.7</v>
      </c>
      <c r="BC29" s="126">
        <v>7.7</v>
      </c>
      <c r="BD29" s="126">
        <v>7.7</v>
      </c>
      <c r="BE29" s="126">
        <v>7.7</v>
      </c>
    </row>
    <row r="30" spans="1:57" x14ac:dyDescent="0.35">
      <c r="A30" s="127" t="s">
        <v>26</v>
      </c>
      <c r="G30" s="126">
        <v>5.62</v>
      </c>
      <c r="H30" s="126">
        <v>5.62</v>
      </c>
      <c r="I30" s="126">
        <v>5.62</v>
      </c>
      <c r="J30" s="126">
        <v>5.62</v>
      </c>
      <c r="K30" s="126">
        <v>5.62</v>
      </c>
      <c r="L30" s="126">
        <v>5.62</v>
      </c>
      <c r="M30" s="126">
        <v>5.62</v>
      </c>
      <c r="N30" s="126">
        <v>5.62</v>
      </c>
      <c r="O30" s="126">
        <v>5.62</v>
      </c>
      <c r="P30" s="126">
        <v>5.62</v>
      </c>
      <c r="Q30" s="126">
        <v>5.62</v>
      </c>
      <c r="R30" s="126">
        <v>5.62</v>
      </c>
      <c r="S30" s="126">
        <v>5.62</v>
      </c>
      <c r="T30" s="126">
        <v>5.62</v>
      </c>
      <c r="U30" s="126">
        <v>5.62</v>
      </c>
      <c r="V30" s="126">
        <v>5.62</v>
      </c>
      <c r="W30" s="126">
        <v>5.62</v>
      </c>
      <c r="X30" s="126">
        <v>5.62</v>
      </c>
      <c r="Y30" s="126">
        <v>5.62</v>
      </c>
      <c r="Z30" s="126">
        <v>5.62</v>
      </c>
      <c r="AA30" s="126">
        <v>5.62</v>
      </c>
      <c r="AB30" s="126">
        <v>5.62</v>
      </c>
      <c r="AC30" s="126">
        <v>5.62</v>
      </c>
      <c r="AD30" s="126">
        <v>5.62</v>
      </c>
      <c r="AE30" s="126">
        <v>5.62</v>
      </c>
      <c r="AF30" s="126">
        <v>5.62</v>
      </c>
      <c r="AG30" s="126">
        <v>5.62</v>
      </c>
      <c r="AH30" s="126">
        <v>5.62</v>
      </c>
      <c r="AI30" s="126">
        <v>5.62</v>
      </c>
      <c r="AJ30" s="126">
        <v>5.62</v>
      </c>
      <c r="AK30" s="126">
        <v>5.62</v>
      </c>
      <c r="AL30" s="126">
        <v>5.62</v>
      </c>
      <c r="AM30" s="126">
        <v>5.62</v>
      </c>
      <c r="AN30" s="126">
        <v>5.62</v>
      </c>
      <c r="AO30" s="126">
        <v>5.62</v>
      </c>
      <c r="AP30" s="126">
        <v>5.62</v>
      </c>
      <c r="AQ30" s="126">
        <v>5.62</v>
      </c>
      <c r="AR30" s="126">
        <v>5.62</v>
      </c>
      <c r="AS30" s="126">
        <v>5.62</v>
      </c>
      <c r="AT30" s="126">
        <v>5.62</v>
      </c>
      <c r="AU30" s="126">
        <v>5.62</v>
      </c>
      <c r="AV30" s="126">
        <v>5.62</v>
      </c>
      <c r="AW30" s="126">
        <v>5.62</v>
      </c>
      <c r="AX30" s="126">
        <v>5.62</v>
      </c>
      <c r="AY30" s="126">
        <v>5.62</v>
      </c>
      <c r="AZ30" s="126">
        <v>5.62</v>
      </c>
      <c r="BA30" s="126">
        <v>5.62</v>
      </c>
      <c r="BB30" s="126">
        <v>5.62</v>
      </c>
      <c r="BC30" s="126">
        <v>5.62</v>
      </c>
      <c r="BD30" s="126">
        <v>5.62</v>
      </c>
      <c r="BE30" s="126">
        <v>5.62</v>
      </c>
    </row>
    <row r="31" spans="1:57" x14ac:dyDescent="0.35">
      <c r="A31" s="127" t="s">
        <v>27</v>
      </c>
      <c r="G31" s="126">
        <v>7.78</v>
      </c>
      <c r="H31" s="126">
        <v>7.78</v>
      </c>
      <c r="I31" s="126">
        <v>7.78</v>
      </c>
      <c r="J31" s="126">
        <v>7.78</v>
      </c>
      <c r="K31" s="126">
        <v>7.78</v>
      </c>
      <c r="L31" s="126">
        <v>7.78</v>
      </c>
      <c r="M31" s="126">
        <v>7.78</v>
      </c>
      <c r="N31" s="126">
        <v>7.78</v>
      </c>
      <c r="O31" s="126">
        <v>7.78</v>
      </c>
      <c r="P31" s="126">
        <v>7.78</v>
      </c>
      <c r="Q31" s="126">
        <v>7.78</v>
      </c>
      <c r="R31" s="126">
        <v>7.78</v>
      </c>
      <c r="S31" s="126">
        <v>7.78</v>
      </c>
      <c r="T31" s="126">
        <v>7.78</v>
      </c>
      <c r="U31" s="126">
        <v>7.78</v>
      </c>
      <c r="V31" s="126">
        <v>7.78</v>
      </c>
      <c r="W31" s="126">
        <v>7.78</v>
      </c>
      <c r="X31" s="126">
        <v>7.78</v>
      </c>
      <c r="Y31" s="126">
        <v>7.78</v>
      </c>
      <c r="Z31" s="126">
        <v>7.78</v>
      </c>
      <c r="AA31" s="126">
        <v>7.78</v>
      </c>
      <c r="AB31" s="126">
        <v>7.78</v>
      </c>
      <c r="AC31" s="126">
        <v>7.78</v>
      </c>
      <c r="AD31" s="126">
        <v>7.78</v>
      </c>
      <c r="AE31" s="126">
        <v>7.78</v>
      </c>
      <c r="AF31" s="126">
        <v>7.78</v>
      </c>
      <c r="AG31" s="126">
        <v>7.78</v>
      </c>
      <c r="AH31" s="126">
        <v>7.78</v>
      </c>
      <c r="AI31" s="126">
        <v>7.78</v>
      </c>
      <c r="AJ31" s="126">
        <v>7.78</v>
      </c>
      <c r="AK31" s="126">
        <v>7.78</v>
      </c>
      <c r="AL31" s="126">
        <v>7.78</v>
      </c>
      <c r="AM31" s="126">
        <v>7.78</v>
      </c>
      <c r="AN31" s="126">
        <v>7.78</v>
      </c>
      <c r="AO31" s="126">
        <v>7.78</v>
      </c>
      <c r="AP31" s="126">
        <v>7.78</v>
      </c>
      <c r="AQ31" s="126">
        <v>7.78</v>
      </c>
      <c r="AR31" s="126">
        <v>7.78</v>
      </c>
      <c r="AS31" s="126">
        <v>7.78</v>
      </c>
      <c r="AT31" s="126">
        <v>7.78</v>
      </c>
      <c r="AU31" s="126">
        <v>7.78</v>
      </c>
      <c r="AV31" s="126">
        <v>7.78</v>
      </c>
      <c r="AW31" s="126">
        <v>7.78</v>
      </c>
      <c r="AX31" s="126">
        <v>7.78</v>
      </c>
      <c r="AY31" s="126">
        <v>7.78</v>
      </c>
      <c r="AZ31" s="126">
        <v>7.78</v>
      </c>
      <c r="BA31" s="126">
        <v>7.78</v>
      </c>
      <c r="BB31" s="126">
        <v>7.78</v>
      </c>
      <c r="BC31" s="126">
        <v>7.78</v>
      </c>
      <c r="BD31" s="126">
        <v>7.78</v>
      </c>
      <c r="BE31" s="126">
        <v>7.78</v>
      </c>
    </row>
    <row r="32" spans="1:57" x14ac:dyDescent="0.35">
      <c r="A32" s="127" t="s">
        <v>28</v>
      </c>
      <c r="G32" s="126">
        <v>15.94</v>
      </c>
      <c r="H32" s="126">
        <v>15.94</v>
      </c>
      <c r="I32" s="126">
        <v>15.94</v>
      </c>
      <c r="J32" s="126">
        <v>15.94</v>
      </c>
      <c r="K32" s="126">
        <v>15.94</v>
      </c>
      <c r="L32" s="126">
        <v>15.94</v>
      </c>
      <c r="M32" s="126">
        <v>15.94</v>
      </c>
      <c r="N32" s="126">
        <v>15.94</v>
      </c>
      <c r="O32" s="126">
        <v>15.94</v>
      </c>
      <c r="P32" s="126">
        <v>15.94</v>
      </c>
      <c r="Q32" s="126">
        <v>15.94</v>
      </c>
      <c r="R32" s="126">
        <v>15.94</v>
      </c>
      <c r="S32" s="126">
        <v>15.94</v>
      </c>
      <c r="T32" s="126">
        <v>15.94</v>
      </c>
      <c r="U32" s="126">
        <v>15.94</v>
      </c>
      <c r="V32" s="126">
        <v>15.94</v>
      </c>
      <c r="W32" s="126">
        <v>15.94</v>
      </c>
      <c r="X32" s="126">
        <v>15.94</v>
      </c>
      <c r="Y32" s="126">
        <v>15.94</v>
      </c>
      <c r="Z32" s="126">
        <v>15.94</v>
      </c>
      <c r="AA32" s="126">
        <v>15.94</v>
      </c>
      <c r="AB32" s="126">
        <v>15.94</v>
      </c>
      <c r="AC32" s="126">
        <v>15.94</v>
      </c>
      <c r="AD32" s="126">
        <v>15.94</v>
      </c>
      <c r="AE32" s="126">
        <v>15.94</v>
      </c>
      <c r="AF32" s="126">
        <v>15.94</v>
      </c>
      <c r="AG32" s="126">
        <v>15.94</v>
      </c>
      <c r="AH32" s="126">
        <v>15.94</v>
      </c>
      <c r="AI32" s="126">
        <v>15.94</v>
      </c>
      <c r="AJ32" s="126">
        <v>15.94</v>
      </c>
      <c r="AK32" s="126">
        <v>15.94</v>
      </c>
      <c r="AL32" s="126">
        <v>15.94</v>
      </c>
      <c r="AM32" s="126">
        <v>15.94</v>
      </c>
      <c r="AN32" s="126">
        <v>15.94</v>
      </c>
      <c r="AO32" s="126">
        <v>15.94</v>
      </c>
      <c r="AP32" s="126">
        <v>15.94</v>
      </c>
      <c r="AQ32" s="126">
        <v>15.94</v>
      </c>
      <c r="AR32" s="126">
        <v>15.94</v>
      </c>
      <c r="AS32" s="126">
        <v>15.94</v>
      </c>
      <c r="AT32" s="126">
        <v>15.94</v>
      </c>
      <c r="AU32" s="126">
        <v>15.94</v>
      </c>
      <c r="AV32" s="126">
        <v>15.94</v>
      </c>
      <c r="AW32" s="126">
        <v>15.94</v>
      </c>
      <c r="AX32" s="126">
        <v>15.94</v>
      </c>
      <c r="AY32" s="126">
        <v>15.94</v>
      </c>
      <c r="AZ32" s="126">
        <v>15.94</v>
      </c>
      <c r="BA32" s="126">
        <v>15.94</v>
      </c>
      <c r="BB32" s="126">
        <v>15.94</v>
      </c>
      <c r="BC32" s="126">
        <v>15.94</v>
      </c>
      <c r="BD32" s="126">
        <v>15.94</v>
      </c>
      <c r="BE32" s="126">
        <v>15.94</v>
      </c>
    </row>
    <row r="33" spans="1:57" x14ac:dyDescent="0.35">
      <c r="A33" s="127" t="s">
        <v>29</v>
      </c>
      <c r="G33" s="126">
        <v>12.18</v>
      </c>
      <c r="H33" s="126">
        <v>12.18</v>
      </c>
      <c r="I33" s="126">
        <v>12.18</v>
      </c>
      <c r="J33" s="126">
        <v>12.18</v>
      </c>
      <c r="K33" s="126">
        <v>12.18</v>
      </c>
      <c r="L33" s="126">
        <v>12.18</v>
      </c>
      <c r="M33" s="126">
        <v>12.18</v>
      </c>
      <c r="N33" s="126">
        <v>12.18</v>
      </c>
      <c r="O33" s="126">
        <v>12.18</v>
      </c>
      <c r="P33" s="126">
        <v>12.18</v>
      </c>
      <c r="Q33" s="126">
        <v>12.18</v>
      </c>
      <c r="R33" s="126">
        <v>12.18</v>
      </c>
      <c r="S33" s="126">
        <v>12.18</v>
      </c>
      <c r="T33" s="126">
        <v>12.18</v>
      </c>
      <c r="U33" s="126">
        <v>12.18</v>
      </c>
      <c r="V33" s="126">
        <v>12.18</v>
      </c>
      <c r="W33" s="126">
        <v>12.18</v>
      </c>
      <c r="X33" s="126">
        <v>12.18</v>
      </c>
      <c r="Y33" s="126">
        <v>12.18</v>
      </c>
      <c r="Z33" s="126">
        <v>12.18</v>
      </c>
      <c r="AA33" s="126">
        <v>12.18</v>
      </c>
      <c r="AB33" s="126">
        <v>12.18</v>
      </c>
      <c r="AC33" s="126">
        <v>12.18</v>
      </c>
      <c r="AD33" s="126">
        <v>12.18</v>
      </c>
      <c r="AE33" s="126">
        <v>12.18</v>
      </c>
      <c r="AF33" s="126">
        <v>12.18</v>
      </c>
      <c r="AG33" s="126">
        <v>12.18</v>
      </c>
      <c r="AH33" s="126">
        <v>12.18</v>
      </c>
      <c r="AI33" s="126">
        <v>12.18</v>
      </c>
      <c r="AJ33" s="126">
        <v>12.18</v>
      </c>
      <c r="AK33" s="126">
        <v>12.18</v>
      </c>
      <c r="AL33" s="126">
        <v>12.18</v>
      </c>
      <c r="AM33" s="126">
        <v>12.18</v>
      </c>
      <c r="AN33" s="126">
        <v>12.18</v>
      </c>
      <c r="AO33" s="126">
        <v>12.18</v>
      </c>
      <c r="AP33" s="126">
        <v>12.18</v>
      </c>
      <c r="AQ33" s="126">
        <v>12.18</v>
      </c>
      <c r="AR33" s="126">
        <v>12.18</v>
      </c>
      <c r="AS33" s="126">
        <v>12.18</v>
      </c>
      <c r="AT33" s="126">
        <v>12.18</v>
      </c>
      <c r="AU33" s="126">
        <v>12.18</v>
      </c>
      <c r="AV33" s="126">
        <v>12.18</v>
      </c>
      <c r="AW33" s="126">
        <v>12.18</v>
      </c>
      <c r="AX33" s="126">
        <v>12.18</v>
      </c>
      <c r="AY33" s="126">
        <v>12.18</v>
      </c>
      <c r="AZ33" s="126">
        <v>12.18</v>
      </c>
      <c r="BA33" s="126">
        <v>12.18</v>
      </c>
      <c r="BB33" s="126">
        <v>12.18</v>
      </c>
      <c r="BC33" s="126">
        <v>12.18</v>
      </c>
      <c r="BD33" s="126">
        <v>12.18</v>
      </c>
      <c r="BE33" s="126">
        <v>12.18</v>
      </c>
    </row>
    <row r="34" spans="1:57" x14ac:dyDescent="0.35">
      <c r="A34" s="127" t="s">
        <v>30</v>
      </c>
      <c r="G34" s="126">
        <v>9.8699999999999992</v>
      </c>
      <c r="H34" s="126">
        <v>9.8699999999999992</v>
      </c>
      <c r="I34" s="126">
        <v>9.8699999999999992</v>
      </c>
      <c r="J34" s="126">
        <v>9.8699999999999992</v>
      </c>
      <c r="K34" s="126">
        <v>9.8699999999999992</v>
      </c>
      <c r="L34" s="126">
        <v>9.8699999999999992</v>
      </c>
      <c r="M34" s="126">
        <v>9.8699999999999992</v>
      </c>
      <c r="N34" s="126">
        <v>9.8699999999999992</v>
      </c>
      <c r="O34" s="126">
        <v>9.8699999999999992</v>
      </c>
      <c r="P34" s="126">
        <v>9.8699999999999992</v>
      </c>
      <c r="Q34" s="126">
        <v>9.8699999999999992</v>
      </c>
      <c r="R34" s="126">
        <v>9.8699999999999992</v>
      </c>
      <c r="S34" s="126">
        <v>9.8699999999999992</v>
      </c>
      <c r="T34" s="126">
        <v>9.8699999999999992</v>
      </c>
      <c r="U34" s="126">
        <v>9.8699999999999992</v>
      </c>
      <c r="V34" s="126">
        <v>9.8699999999999992</v>
      </c>
      <c r="W34" s="126">
        <v>9.8699999999999992</v>
      </c>
      <c r="X34" s="126">
        <v>9.8699999999999992</v>
      </c>
      <c r="Y34" s="126">
        <v>9.8699999999999992</v>
      </c>
      <c r="Z34" s="126">
        <v>9.8699999999999992</v>
      </c>
      <c r="AA34" s="126">
        <v>9.8699999999999992</v>
      </c>
      <c r="AB34" s="126">
        <v>9.8699999999999992</v>
      </c>
      <c r="AC34" s="126">
        <v>9.8699999999999992</v>
      </c>
      <c r="AD34" s="126">
        <v>9.8699999999999992</v>
      </c>
      <c r="AE34" s="126">
        <v>9.8699999999999992</v>
      </c>
      <c r="AF34" s="126">
        <v>9.8699999999999992</v>
      </c>
      <c r="AG34" s="126">
        <v>9.8699999999999992</v>
      </c>
      <c r="AH34" s="126">
        <v>9.8699999999999992</v>
      </c>
      <c r="AI34" s="126">
        <v>9.8699999999999992</v>
      </c>
      <c r="AJ34" s="126">
        <v>9.8699999999999992</v>
      </c>
      <c r="AK34" s="126">
        <v>9.8699999999999992</v>
      </c>
      <c r="AL34" s="126">
        <v>9.8699999999999992</v>
      </c>
      <c r="AM34" s="126">
        <v>9.8699999999999992</v>
      </c>
      <c r="AN34" s="126">
        <v>9.8699999999999992</v>
      </c>
      <c r="AO34" s="126">
        <v>9.8699999999999992</v>
      </c>
      <c r="AP34" s="126">
        <v>9.8699999999999992</v>
      </c>
      <c r="AQ34" s="126">
        <v>9.8699999999999992</v>
      </c>
      <c r="AR34" s="126">
        <v>9.8699999999999992</v>
      </c>
      <c r="AS34" s="126">
        <v>9.8699999999999992</v>
      </c>
      <c r="AT34" s="126">
        <v>9.8699999999999992</v>
      </c>
      <c r="AU34" s="126">
        <v>9.8699999999999992</v>
      </c>
      <c r="AV34" s="126">
        <v>9.8699999999999992</v>
      </c>
      <c r="AW34" s="126">
        <v>9.8699999999999992</v>
      </c>
      <c r="AX34" s="126">
        <v>9.8699999999999992</v>
      </c>
      <c r="AY34" s="126">
        <v>9.8699999999999992</v>
      </c>
      <c r="AZ34" s="126">
        <v>9.8699999999999992</v>
      </c>
      <c r="BA34" s="126">
        <v>9.8699999999999992</v>
      </c>
      <c r="BB34" s="126">
        <v>9.8699999999999992</v>
      </c>
      <c r="BC34" s="126">
        <v>9.8699999999999992</v>
      </c>
      <c r="BD34" s="126">
        <v>9.8699999999999992</v>
      </c>
      <c r="BE34" s="126">
        <v>9.8699999999999992</v>
      </c>
    </row>
    <row r="35" spans="1:57" x14ac:dyDescent="0.35">
      <c r="A35" s="127" t="s">
        <v>31</v>
      </c>
      <c r="G35" s="126">
        <v>10.01</v>
      </c>
      <c r="H35" s="126">
        <v>10.01</v>
      </c>
      <c r="I35" s="126">
        <v>10.01</v>
      </c>
      <c r="J35" s="126">
        <v>10.01</v>
      </c>
      <c r="K35" s="126">
        <v>10.01</v>
      </c>
      <c r="L35" s="126">
        <v>10.01</v>
      </c>
      <c r="M35" s="126">
        <v>10.01</v>
      </c>
      <c r="N35" s="126">
        <v>10.01</v>
      </c>
      <c r="O35" s="126">
        <v>10.01</v>
      </c>
      <c r="P35" s="126">
        <v>10.01</v>
      </c>
      <c r="Q35" s="126">
        <v>10.01</v>
      </c>
      <c r="R35" s="126">
        <v>10.01</v>
      </c>
      <c r="S35" s="126">
        <v>10.01</v>
      </c>
      <c r="T35" s="126">
        <v>10.01</v>
      </c>
      <c r="U35" s="126">
        <v>10.01</v>
      </c>
      <c r="V35" s="126">
        <v>10.01</v>
      </c>
      <c r="W35" s="126">
        <v>10.01</v>
      </c>
      <c r="X35" s="126">
        <v>10.01</v>
      </c>
      <c r="Y35" s="126">
        <v>10.01</v>
      </c>
      <c r="Z35" s="126">
        <v>10.01</v>
      </c>
      <c r="AA35" s="126">
        <v>10.01</v>
      </c>
      <c r="AB35" s="126">
        <v>10.01</v>
      </c>
      <c r="AC35" s="126">
        <v>10.01</v>
      </c>
      <c r="AD35" s="126">
        <v>10.01</v>
      </c>
      <c r="AE35" s="126">
        <v>10.01</v>
      </c>
      <c r="AF35" s="126">
        <v>10.01</v>
      </c>
      <c r="AG35" s="126">
        <v>10.01</v>
      </c>
      <c r="AH35" s="126">
        <v>10.01</v>
      </c>
      <c r="AI35" s="126">
        <v>10.01</v>
      </c>
      <c r="AJ35" s="126">
        <v>10.01</v>
      </c>
      <c r="AK35" s="126">
        <v>10.01</v>
      </c>
      <c r="AL35" s="126">
        <v>10.01</v>
      </c>
      <c r="AM35" s="126">
        <v>10.01</v>
      </c>
      <c r="AN35" s="126">
        <v>10.01</v>
      </c>
      <c r="AO35" s="126">
        <v>10.01</v>
      </c>
      <c r="AP35" s="126">
        <v>10.01</v>
      </c>
      <c r="AQ35" s="126">
        <v>10.01</v>
      </c>
      <c r="AR35" s="126">
        <v>10.01</v>
      </c>
      <c r="AS35" s="126">
        <v>10.01</v>
      </c>
      <c r="AT35" s="126">
        <v>10.01</v>
      </c>
      <c r="AU35" s="126">
        <v>10.01</v>
      </c>
      <c r="AV35" s="126">
        <v>10.01</v>
      </c>
      <c r="AW35" s="126">
        <v>10.01</v>
      </c>
      <c r="AX35" s="126">
        <v>10.01</v>
      </c>
      <c r="AY35" s="126">
        <v>10.01</v>
      </c>
      <c r="AZ35" s="126">
        <v>10.01</v>
      </c>
      <c r="BA35" s="126">
        <v>10.01</v>
      </c>
      <c r="BB35" s="126">
        <v>10.01</v>
      </c>
      <c r="BC35" s="126">
        <v>10.01</v>
      </c>
      <c r="BD35" s="126">
        <v>10.01</v>
      </c>
      <c r="BE35" s="126">
        <v>10.01</v>
      </c>
    </row>
    <row r="36" spans="1:57" x14ac:dyDescent="0.35">
      <c r="A36" s="127" t="s">
        <v>32</v>
      </c>
      <c r="G36" s="126">
        <v>10</v>
      </c>
      <c r="H36" s="126">
        <v>10</v>
      </c>
      <c r="I36" s="126">
        <v>10</v>
      </c>
      <c r="J36" s="126">
        <v>10</v>
      </c>
      <c r="K36" s="126">
        <v>10</v>
      </c>
      <c r="L36" s="126">
        <v>10</v>
      </c>
      <c r="M36" s="126">
        <v>10</v>
      </c>
      <c r="N36" s="126">
        <v>10</v>
      </c>
      <c r="O36" s="126">
        <v>10</v>
      </c>
      <c r="P36" s="126">
        <v>10</v>
      </c>
      <c r="Q36" s="126">
        <v>10</v>
      </c>
      <c r="R36" s="126">
        <v>10</v>
      </c>
      <c r="S36" s="126">
        <v>10</v>
      </c>
      <c r="T36" s="126">
        <v>10</v>
      </c>
      <c r="U36" s="126">
        <v>10</v>
      </c>
      <c r="V36" s="126">
        <v>10</v>
      </c>
      <c r="W36" s="126">
        <v>10</v>
      </c>
      <c r="X36" s="126">
        <v>10</v>
      </c>
      <c r="Y36" s="126">
        <v>10</v>
      </c>
      <c r="Z36" s="126">
        <v>10</v>
      </c>
      <c r="AA36" s="126">
        <v>10</v>
      </c>
      <c r="AB36" s="126">
        <v>10</v>
      </c>
      <c r="AC36" s="126">
        <v>10</v>
      </c>
      <c r="AD36" s="126">
        <v>10</v>
      </c>
      <c r="AE36" s="126">
        <v>10</v>
      </c>
      <c r="AF36" s="126">
        <v>10</v>
      </c>
      <c r="AG36" s="126">
        <v>10</v>
      </c>
      <c r="AH36" s="126">
        <v>10</v>
      </c>
      <c r="AI36" s="126">
        <v>10</v>
      </c>
      <c r="AJ36" s="126">
        <v>10</v>
      </c>
      <c r="AK36" s="126">
        <v>10</v>
      </c>
      <c r="AL36" s="126">
        <v>10</v>
      </c>
      <c r="AM36" s="126">
        <v>10</v>
      </c>
      <c r="AN36" s="126">
        <v>10</v>
      </c>
      <c r="AO36" s="126">
        <v>10</v>
      </c>
      <c r="AP36" s="126">
        <v>10</v>
      </c>
      <c r="AQ36" s="126">
        <v>10</v>
      </c>
      <c r="AR36" s="126">
        <v>10</v>
      </c>
      <c r="AS36" s="126">
        <v>10</v>
      </c>
      <c r="AT36" s="126">
        <v>10</v>
      </c>
      <c r="AU36" s="126">
        <v>10</v>
      </c>
      <c r="AV36" s="126">
        <v>10</v>
      </c>
      <c r="AW36" s="126">
        <v>10</v>
      </c>
      <c r="AX36" s="126">
        <v>10</v>
      </c>
      <c r="AY36" s="126">
        <v>10</v>
      </c>
      <c r="AZ36" s="126">
        <v>10</v>
      </c>
      <c r="BA36" s="126">
        <v>10</v>
      </c>
      <c r="BB36" s="126">
        <v>10</v>
      </c>
      <c r="BC36" s="126">
        <v>10</v>
      </c>
      <c r="BD36" s="126">
        <v>10</v>
      </c>
      <c r="BE36" s="126">
        <v>10</v>
      </c>
    </row>
    <row r="37" spans="1:57" x14ac:dyDescent="0.35">
      <c r="A37" s="127" t="s">
        <v>33</v>
      </c>
      <c r="G37" s="126">
        <v>8.33</v>
      </c>
      <c r="H37" s="126">
        <v>8.33</v>
      </c>
      <c r="I37" s="126">
        <v>8.33</v>
      </c>
      <c r="J37" s="126">
        <v>8.33</v>
      </c>
      <c r="K37" s="126">
        <v>8.33</v>
      </c>
      <c r="L37" s="126">
        <v>8.33</v>
      </c>
      <c r="M37" s="126">
        <v>8.33</v>
      </c>
      <c r="N37" s="126">
        <v>8.33</v>
      </c>
      <c r="O37" s="126">
        <v>8.33</v>
      </c>
      <c r="P37" s="126">
        <v>8.33</v>
      </c>
      <c r="Q37" s="126">
        <v>8.33</v>
      </c>
      <c r="R37" s="126">
        <v>8.33</v>
      </c>
      <c r="S37" s="126">
        <v>8.33</v>
      </c>
      <c r="T37" s="126">
        <v>8.33</v>
      </c>
      <c r="U37" s="126">
        <v>8.33</v>
      </c>
      <c r="V37" s="126">
        <v>8.33</v>
      </c>
      <c r="W37" s="126">
        <v>8.33</v>
      </c>
      <c r="X37" s="126">
        <v>8.33</v>
      </c>
      <c r="Y37" s="126">
        <v>8.33</v>
      </c>
      <c r="Z37" s="126">
        <v>8.33</v>
      </c>
      <c r="AA37" s="126">
        <v>8.33</v>
      </c>
      <c r="AB37" s="126">
        <v>8.33</v>
      </c>
      <c r="AC37" s="126">
        <v>8.33</v>
      </c>
      <c r="AD37" s="126">
        <v>8.33</v>
      </c>
      <c r="AE37" s="126">
        <v>8.33</v>
      </c>
      <c r="AF37" s="126">
        <v>8.33</v>
      </c>
      <c r="AG37" s="126">
        <v>8.33</v>
      </c>
      <c r="AH37" s="126">
        <v>8.33</v>
      </c>
      <c r="AI37" s="126">
        <v>8.33</v>
      </c>
      <c r="AJ37" s="126">
        <v>8.33</v>
      </c>
      <c r="AK37" s="126">
        <v>8.33</v>
      </c>
      <c r="AL37" s="126">
        <v>8.33</v>
      </c>
      <c r="AM37" s="126">
        <v>8.33</v>
      </c>
      <c r="AN37" s="126">
        <v>8.33</v>
      </c>
      <c r="AO37" s="126">
        <v>8.33</v>
      </c>
      <c r="AP37" s="126">
        <v>8.33</v>
      </c>
      <c r="AQ37" s="126">
        <v>8.33</v>
      </c>
      <c r="AR37" s="126">
        <v>8.33</v>
      </c>
      <c r="AS37" s="126">
        <v>8.33</v>
      </c>
      <c r="AT37" s="126">
        <v>8.33</v>
      </c>
      <c r="AU37" s="126">
        <v>8.33</v>
      </c>
      <c r="AV37" s="126">
        <v>8.33</v>
      </c>
      <c r="AW37" s="126">
        <v>8.33</v>
      </c>
      <c r="AX37" s="126">
        <v>8.33</v>
      </c>
      <c r="AY37" s="126">
        <v>8.33</v>
      </c>
      <c r="AZ37" s="126">
        <v>8.33</v>
      </c>
      <c r="BA37" s="126">
        <v>8.33</v>
      </c>
      <c r="BB37" s="126">
        <v>8.33</v>
      </c>
      <c r="BC37" s="126">
        <v>8.33</v>
      </c>
      <c r="BD37" s="126">
        <v>8.33</v>
      </c>
      <c r="BE37" s="126">
        <v>8.33</v>
      </c>
    </row>
    <row r="38" spans="1:57" x14ac:dyDescent="0.35">
      <c r="A38" s="127" t="s">
        <v>34</v>
      </c>
      <c r="G38" s="126">
        <v>12.54</v>
      </c>
      <c r="H38" s="126">
        <v>12.54</v>
      </c>
      <c r="I38" s="126">
        <v>12.54</v>
      </c>
      <c r="J38" s="126">
        <v>12.54</v>
      </c>
      <c r="K38" s="126">
        <v>12.54</v>
      </c>
      <c r="L38" s="126">
        <v>12.54</v>
      </c>
      <c r="M38" s="126">
        <v>12.54</v>
      </c>
      <c r="N38" s="126">
        <v>12.54</v>
      </c>
      <c r="O38" s="126">
        <v>12.54</v>
      </c>
      <c r="P38" s="126">
        <v>12.54</v>
      </c>
      <c r="Q38" s="126">
        <v>12.54</v>
      </c>
      <c r="R38" s="126">
        <v>12.54</v>
      </c>
      <c r="S38" s="126">
        <v>12.54</v>
      </c>
      <c r="T38" s="126">
        <v>12.54</v>
      </c>
      <c r="U38" s="126">
        <v>12.54</v>
      </c>
      <c r="V38" s="126">
        <v>12.54</v>
      </c>
      <c r="W38" s="126">
        <v>12.54</v>
      </c>
      <c r="X38" s="126">
        <v>12.54</v>
      </c>
      <c r="Y38" s="126">
        <v>12.54</v>
      </c>
      <c r="Z38" s="126">
        <v>12.54</v>
      </c>
      <c r="AA38" s="126">
        <v>12.54</v>
      </c>
      <c r="AB38" s="126">
        <v>12.54</v>
      </c>
      <c r="AC38" s="126">
        <v>12.54</v>
      </c>
      <c r="AD38" s="126">
        <v>12.54</v>
      </c>
      <c r="AE38" s="126">
        <v>12.54</v>
      </c>
      <c r="AF38" s="126">
        <v>12.54</v>
      </c>
      <c r="AG38" s="126">
        <v>12.54</v>
      </c>
      <c r="AH38" s="126">
        <v>12.54</v>
      </c>
      <c r="AI38" s="126">
        <v>12.54</v>
      </c>
      <c r="AJ38" s="126">
        <v>12.54</v>
      </c>
      <c r="AK38" s="126">
        <v>12.54</v>
      </c>
      <c r="AL38" s="126">
        <v>12.54</v>
      </c>
      <c r="AM38" s="126">
        <v>12.54</v>
      </c>
      <c r="AN38" s="126">
        <v>12.54</v>
      </c>
      <c r="AO38" s="126">
        <v>12.54</v>
      </c>
      <c r="AP38" s="126">
        <v>12.54</v>
      </c>
      <c r="AQ38" s="126">
        <v>12.54</v>
      </c>
      <c r="AR38" s="126">
        <v>12.54</v>
      </c>
      <c r="AS38" s="126">
        <v>12.54</v>
      </c>
      <c r="AT38" s="126">
        <v>12.54</v>
      </c>
      <c r="AU38" s="126">
        <v>12.54</v>
      </c>
      <c r="AV38" s="126">
        <v>12.54</v>
      </c>
      <c r="AW38" s="126">
        <v>12.54</v>
      </c>
      <c r="AX38" s="126">
        <v>12.54</v>
      </c>
      <c r="AY38" s="126">
        <v>12.54</v>
      </c>
      <c r="AZ38" s="126">
        <v>12.54</v>
      </c>
      <c r="BA38" s="126">
        <v>12.54</v>
      </c>
      <c r="BB38" s="126">
        <v>12.54</v>
      </c>
      <c r="BC38" s="126">
        <v>12.54</v>
      </c>
      <c r="BD38" s="126">
        <v>12.54</v>
      </c>
      <c r="BE38" s="126">
        <v>12.54</v>
      </c>
    </row>
    <row r="39" spans="1:57" x14ac:dyDescent="0.35">
      <c r="A39" s="127" t="s">
        <v>35</v>
      </c>
      <c r="G39" s="126">
        <v>6.75</v>
      </c>
      <c r="H39" s="126">
        <v>6.75</v>
      </c>
      <c r="I39" s="126">
        <v>6.75</v>
      </c>
      <c r="J39" s="126">
        <v>6.75</v>
      </c>
      <c r="K39" s="126">
        <v>6.75</v>
      </c>
      <c r="L39" s="126">
        <v>6.75</v>
      </c>
      <c r="M39" s="126">
        <v>6.75</v>
      </c>
      <c r="N39" s="126">
        <v>6.75</v>
      </c>
      <c r="O39" s="126">
        <v>6.75</v>
      </c>
      <c r="P39" s="126">
        <v>6.75</v>
      </c>
      <c r="Q39" s="126">
        <v>6.75</v>
      </c>
      <c r="R39" s="126">
        <v>6.75</v>
      </c>
      <c r="S39" s="126">
        <v>6.75</v>
      </c>
      <c r="T39" s="126">
        <v>6.75</v>
      </c>
      <c r="U39" s="126">
        <v>6.75</v>
      </c>
      <c r="V39" s="126">
        <v>6.75</v>
      </c>
      <c r="W39" s="126">
        <v>6.75</v>
      </c>
      <c r="X39" s="126">
        <v>6.75</v>
      </c>
      <c r="Y39" s="126">
        <v>6.75</v>
      </c>
      <c r="Z39" s="126">
        <v>6.75</v>
      </c>
      <c r="AA39" s="126">
        <v>6.75</v>
      </c>
      <c r="AB39" s="126">
        <v>6.75</v>
      </c>
      <c r="AC39" s="126">
        <v>6.75</v>
      </c>
      <c r="AD39" s="126">
        <v>6.75</v>
      </c>
      <c r="AE39" s="126">
        <v>6.75</v>
      </c>
      <c r="AF39" s="126">
        <v>6.75</v>
      </c>
      <c r="AG39" s="126">
        <v>6.75</v>
      </c>
      <c r="AH39" s="126">
        <v>6.75</v>
      </c>
      <c r="AI39" s="126">
        <v>6.75</v>
      </c>
      <c r="AJ39" s="126">
        <v>6.75</v>
      </c>
      <c r="AK39" s="126">
        <v>6.75</v>
      </c>
      <c r="AL39" s="126">
        <v>6.75</v>
      </c>
      <c r="AM39" s="126">
        <v>6.75</v>
      </c>
      <c r="AN39" s="126">
        <v>6.75</v>
      </c>
      <c r="AO39" s="126">
        <v>6.75</v>
      </c>
      <c r="AP39" s="126">
        <v>6.75</v>
      </c>
      <c r="AQ39" s="126">
        <v>6.75</v>
      </c>
      <c r="AR39" s="126">
        <v>6.75</v>
      </c>
      <c r="AS39" s="126">
        <v>6.75</v>
      </c>
      <c r="AT39" s="126">
        <v>6.75</v>
      </c>
      <c r="AU39" s="126">
        <v>6.75</v>
      </c>
      <c r="AV39" s="126">
        <v>6.75</v>
      </c>
      <c r="AW39" s="126">
        <v>6.75</v>
      </c>
      <c r="AX39" s="126">
        <v>6.75</v>
      </c>
      <c r="AY39" s="126">
        <v>6.75</v>
      </c>
      <c r="AZ39" s="126">
        <v>6.75</v>
      </c>
      <c r="BA39" s="126">
        <v>6.75</v>
      </c>
      <c r="BB39" s="126">
        <v>6.75</v>
      </c>
      <c r="BC39" s="126">
        <v>6.75</v>
      </c>
      <c r="BD39" s="126">
        <v>6.75</v>
      </c>
      <c r="BE39" s="126">
        <v>6.75</v>
      </c>
    </row>
    <row r="40" spans="1:57" x14ac:dyDescent="0.35">
      <c r="A40" s="127" t="s">
        <v>36</v>
      </c>
      <c r="G40" s="126">
        <v>12.08</v>
      </c>
      <c r="H40" s="126">
        <v>12.08</v>
      </c>
      <c r="I40" s="126">
        <v>12.08</v>
      </c>
      <c r="J40" s="126">
        <v>12.08</v>
      </c>
      <c r="K40" s="126">
        <v>12.08</v>
      </c>
      <c r="L40" s="126">
        <v>12.08</v>
      </c>
      <c r="M40" s="126">
        <v>12.08</v>
      </c>
      <c r="N40" s="126">
        <v>12.08</v>
      </c>
      <c r="O40" s="126">
        <v>12.08</v>
      </c>
      <c r="P40" s="126">
        <v>12.08</v>
      </c>
      <c r="Q40" s="126">
        <v>12.08</v>
      </c>
      <c r="R40" s="126">
        <v>12.08</v>
      </c>
      <c r="S40" s="126">
        <v>12.08</v>
      </c>
      <c r="T40" s="126">
        <v>12.08</v>
      </c>
      <c r="U40" s="126">
        <v>12.08</v>
      </c>
      <c r="V40" s="126">
        <v>12.08</v>
      </c>
      <c r="W40" s="126">
        <v>12.08</v>
      </c>
      <c r="X40" s="126">
        <v>12.08</v>
      </c>
      <c r="Y40" s="126">
        <v>12.08</v>
      </c>
      <c r="Z40" s="126">
        <v>12.08</v>
      </c>
      <c r="AA40" s="126">
        <v>12.08</v>
      </c>
      <c r="AB40" s="126">
        <v>12.08</v>
      </c>
      <c r="AC40" s="126">
        <v>12.08</v>
      </c>
      <c r="AD40" s="126">
        <v>12.08</v>
      </c>
      <c r="AE40" s="126">
        <v>12.08</v>
      </c>
      <c r="AF40" s="126">
        <v>12.08</v>
      </c>
      <c r="AG40" s="126">
        <v>12.08</v>
      </c>
      <c r="AH40" s="126">
        <v>12.08</v>
      </c>
      <c r="AI40" s="126">
        <v>12.08</v>
      </c>
      <c r="AJ40" s="126">
        <v>12.08</v>
      </c>
      <c r="AK40" s="126">
        <v>12.08</v>
      </c>
      <c r="AL40" s="126">
        <v>12.08</v>
      </c>
      <c r="AM40" s="126">
        <v>12.08</v>
      </c>
      <c r="AN40" s="126">
        <v>12.08</v>
      </c>
      <c r="AO40" s="126">
        <v>12.08</v>
      </c>
      <c r="AP40" s="126">
        <v>12.08</v>
      </c>
      <c r="AQ40" s="126">
        <v>12.08</v>
      </c>
      <c r="AR40" s="126">
        <v>12.08</v>
      </c>
      <c r="AS40" s="126">
        <v>12.08</v>
      </c>
      <c r="AT40" s="126">
        <v>12.08</v>
      </c>
      <c r="AU40" s="126">
        <v>12.08</v>
      </c>
      <c r="AV40" s="126">
        <v>12.08</v>
      </c>
      <c r="AW40" s="126">
        <v>12.08</v>
      </c>
      <c r="AX40" s="126">
        <v>12.08</v>
      </c>
      <c r="AY40" s="126">
        <v>12.08</v>
      </c>
      <c r="AZ40" s="126">
        <v>12.08</v>
      </c>
      <c r="BA40" s="126">
        <v>12.08</v>
      </c>
      <c r="BB40" s="126">
        <v>12.08</v>
      </c>
      <c r="BC40" s="126">
        <v>12.08</v>
      </c>
      <c r="BD40" s="126">
        <v>12.08</v>
      </c>
      <c r="BE40" s="126">
        <v>12.08</v>
      </c>
    </row>
    <row r="41" spans="1:57" x14ac:dyDescent="0.35">
      <c r="A41" s="127" t="s">
        <v>37</v>
      </c>
      <c r="G41" s="126">
        <v>10.95</v>
      </c>
      <c r="H41" s="126">
        <v>10.95</v>
      </c>
      <c r="I41" s="126">
        <v>10.95</v>
      </c>
      <c r="J41" s="126">
        <v>10.95</v>
      </c>
      <c r="K41" s="126">
        <v>10.95</v>
      </c>
      <c r="L41" s="126">
        <v>10.95</v>
      </c>
      <c r="M41" s="126">
        <v>10.95</v>
      </c>
      <c r="N41" s="126">
        <v>10.95</v>
      </c>
      <c r="O41" s="126">
        <v>10.95</v>
      </c>
      <c r="P41" s="126">
        <v>10.95</v>
      </c>
      <c r="Q41" s="126">
        <v>10.95</v>
      </c>
      <c r="R41" s="126">
        <v>10.95</v>
      </c>
      <c r="S41" s="126">
        <v>10.95</v>
      </c>
      <c r="T41" s="126">
        <v>10.95</v>
      </c>
      <c r="U41" s="126">
        <v>10.95</v>
      </c>
      <c r="V41" s="126">
        <v>10.95</v>
      </c>
      <c r="W41" s="126">
        <v>10.95</v>
      </c>
      <c r="X41" s="126">
        <v>10.95</v>
      </c>
      <c r="Y41" s="126">
        <v>10.95</v>
      </c>
      <c r="Z41" s="126">
        <v>10.95</v>
      </c>
      <c r="AA41" s="126">
        <v>10.95</v>
      </c>
      <c r="AB41" s="126">
        <v>10.95</v>
      </c>
      <c r="AC41" s="126">
        <v>10.95</v>
      </c>
      <c r="AD41" s="126">
        <v>10.95</v>
      </c>
      <c r="AE41" s="126">
        <v>10.95</v>
      </c>
      <c r="AF41" s="126">
        <v>10.95</v>
      </c>
      <c r="AG41" s="126">
        <v>10.95</v>
      </c>
      <c r="AH41" s="126">
        <v>10.95</v>
      </c>
      <c r="AI41" s="126">
        <v>10.95</v>
      </c>
      <c r="AJ41" s="126">
        <v>10.95</v>
      </c>
      <c r="AK41" s="126">
        <v>10.95</v>
      </c>
      <c r="AL41" s="126">
        <v>10.95</v>
      </c>
      <c r="AM41" s="126">
        <v>10.95</v>
      </c>
      <c r="AN41" s="126">
        <v>10.95</v>
      </c>
      <c r="AO41" s="126">
        <v>10.95</v>
      </c>
      <c r="AP41" s="126">
        <v>10.95</v>
      </c>
      <c r="AQ41" s="126">
        <v>10.95</v>
      </c>
      <c r="AR41" s="126">
        <v>10.95</v>
      </c>
      <c r="AS41" s="126">
        <v>10.95</v>
      </c>
      <c r="AT41" s="126">
        <v>10.95</v>
      </c>
      <c r="AU41" s="126">
        <v>10.95</v>
      </c>
      <c r="AV41" s="126">
        <v>10.95</v>
      </c>
      <c r="AW41" s="126">
        <v>10.95</v>
      </c>
      <c r="AX41" s="126">
        <v>10.95</v>
      </c>
      <c r="AY41" s="126">
        <v>10.95</v>
      </c>
      <c r="AZ41" s="126">
        <v>10.95</v>
      </c>
      <c r="BA41" s="126">
        <v>10.95</v>
      </c>
      <c r="BB41" s="126">
        <v>10.95</v>
      </c>
      <c r="BC41" s="126">
        <v>10.95</v>
      </c>
      <c r="BD41" s="126">
        <v>10.95</v>
      </c>
      <c r="BE41" s="126">
        <v>10.95</v>
      </c>
    </row>
    <row r="42" spans="1:57" x14ac:dyDescent="0.35">
      <c r="A42" s="127" t="s">
        <v>38</v>
      </c>
      <c r="G42" s="126">
        <v>8.7200000000000006</v>
      </c>
      <c r="H42" s="126">
        <v>8.7200000000000006</v>
      </c>
      <c r="I42" s="126">
        <v>8.7200000000000006</v>
      </c>
      <c r="J42" s="126">
        <v>8.7200000000000006</v>
      </c>
      <c r="K42" s="126">
        <v>8.7200000000000006</v>
      </c>
      <c r="L42" s="126">
        <v>8.7200000000000006</v>
      </c>
      <c r="M42" s="126">
        <v>8.7200000000000006</v>
      </c>
      <c r="N42" s="126">
        <v>8.7200000000000006</v>
      </c>
      <c r="O42" s="126">
        <v>8.7200000000000006</v>
      </c>
      <c r="P42" s="126">
        <v>8.7200000000000006</v>
      </c>
      <c r="Q42" s="126">
        <v>8.7200000000000006</v>
      </c>
      <c r="R42" s="126">
        <v>8.7200000000000006</v>
      </c>
      <c r="S42" s="126">
        <v>8.7200000000000006</v>
      </c>
      <c r="T42" s="126">
        <v>8.7200000000000006</v>
      </c>
      <c r="U42" s="126">
        <v>8.7200000000000006</v>
      </c>
      <c r="V42" s="126">
        <v>8.7200000000000006</v>
      </c>
      <c r="W42" s="126">
        <v>8.7200000000000006</v>
      </c>
      <c r="X42" s="126">
        <v>8.7200000000000006</v>
      </c>
      <c r="Y42" s="126">
        <v>8.7200000000000006</v>
      </c>
      <c r="Z42" s="126">
        <v>8.7200000000000006</v>
      </c>
      <c r="AA42" s="126">
        <v>8.7200000000000006</v>
      </c>
      <c r="AB42" s="126">
        <v>8.7200000000000006</v>
      </c>
      <c r="AC42" s="126">
        <v>8.7200000000000006</v>
      </c>
      <c r="AD42" s="126">
        <v>8.7200000000000006</v>
      </c>
      <c r="AE42" s="126">
        <v>8.7200000000000006</v>
      </c>
      <c r="AF42" s="126">
        <v>8.7200000000000006</v>
      </c>
      <c r="AG42" s="126">
        <v>8.7200000000000006</v>
      </c>
      <c r="AH42" s="126">
        <v>8.7200000000000006</v>
      </c>
      <c r="AI42" s="126">
        <v>8.7200000000000006</v>
      </c>
      <c r="AJ42" s="126">
        <v>8.7200000000000006</v>
      </c>
      <c r="AK42" s="126">
        <v>8.7200000000000006</v>
      </c>
      <c r="AL42" s="126">
        <v>8.7200000000000006</v>
      </c>
      <c r="AM42" s="126">
        <v>8.7200000000000006</v>
      </c>
      <c r="AN42" s="126">
        <v>8.7200000000000006</v>
      </c>
      <c r="AO42" s="126">
        <v>8.7200000000000006</v>
      </c>
      <c r="AP42" s="126">
        <v>8.7200000000000006</v>
      </c>
      <c r="AQ42" s="126">
        <v>8.7200000000000006</v>
      </c>
      <c r="AR42" s="126">
        <v>8.7200000000000006</v>
      </c>
      <c r="AS42" s="126">
        <v>8.7200000000000006</v>
      </c>
      <c r="AT42" s="126">
        <v>8.7200000000000006</v>
      </c>
      <c r="AU42" s="126">
        <v>8.7200000000000006</v>
      </c>
      <c r="AV42" s="126">
        <v>8.7200000000000006</v>
      </c>
      <c r="AW42" s="126">
        <v>8.7200000000000006</v>
      </c>
      <c r="AX42" s="126">
        <v>8.7200000000000006</v>
      </c>
      <c r="AY42" s="126">
        <v>8.7200000000000006</v>
      </c>
      <c r="AZ42" s="126">
        <v>8.7200000000000006</v>
      </c>
      <c r="BA42" s="126">
        <v>8.7200000000000006</v>
      </c>
      <c r="BB42" s="126">
        <v>8.7200000000000006</v>
      </c>
      <c r="BC42" s="126">
        <v>8.7200000000000006</v>
      </c>
      <c r="BD42" s="126">
        <v>8.7200000000000006</v>
      </c>
      <c r="BE42" s="126">
        <v>8.7200000000000006</v>
      </c>
    </row>
    <row r="43" spans="1:57" x14ac:dyDescent="0.35">
      <c r="A43" s="127" t="s">
        <v>39</v>
      </c>
      <c r="G43" s="126">
        <v>7.11</v>
      </c>
      <c r="H43" s="126">
        <v>7.11</v>
      </c>
      <c r="I43" s="126">
        <v>7.11</v>
      </c>
      <c r="J43" s="126">
        <v>7.11</v>
      </c>
      <c r="K43" s="126">
        <v>7.11</v>
      </c>
      <c r="L43" s="126">
        <v>7.11</v>
      </c>
      <c r="M43" s="126">
        <v>7.11</v>
      </c>
      <c r="N43" s="126">
        <v>7.11</v>
      </c>
      <c r="O43" s="126">
        <v>7.11</v>
      </c>
      <c r="P43" s="126">
        <v>7.11</v>
      </c>
      <c r="Q43" s="126">
        <v>7.11</v>
      </c>
      <c r="R43" s="126">
        <v>7.11</v>
      </c>
      <c r="S43" s="126">
        <v>7.11</v>
      </c>
      <c r="T43" s="126">
        <v>7.11</v>
      </c>
      <c r="U43" s="126">
        <v>7.11</v>
      </c>
      <c r="V43" s="126">
        <v>7.11</v>
      </c>
      <c r="W43" s="126">
        <v>7.11</v>
      </c>
      <c r="X43" s="126">
        <v>7.11</v>
      </c>
      <c r="Y43" s="126">
        <v>7.11</v>
      </c>
      <c r="Z43" s="126">
        <v>7.11</v>
      </c>
      <c r="AA43" s="126">
        <v>7.11</v>
      </c>
      <c r="AB43" s="126">
        <v>7.11</v>
      </c>
      <c r="AC43" s="126">
        <v>7.11</v>
      </c>
      <c r="AD43" s="126">
        <v>7.11</v>
      </c>
      <c r="AE43" s="126">
        <v>7.11</v>
      </c>
      <c r="AF43" s="126">
        <v>7.11</v>
      </c>
      <c r="AG43" s="126">
        <v>7.11</v>
      </c>
      <c r="AH43" s="126">
        <v>7.11</v>
      </c>
      <c r="AI43" s="126">
        <v>7.11</v>
      </c>
      <c r="AJ43" s="126">
        <v>7.11</v>
      </c>
      <c r="AK43" s="126">
        <v>7.11</v>
      </c>
      <c r="AL43" s="126">
        <v>7.11</v>
      </c>
      <c r="AM43" s="126">
        <v>7.11</v>
      </c>
      <c r="AN43" s="126">
        <v>7.11</v>
      </c>
      <c r="AO43" s="126">
        <v>7.11</v>
      </c>
      <c r="AP43" s="126">
        <v>7.11</v>
      </c>
      <c r="AQ43" s="126">
        <v>7.11</v>
      </c>
      <c r="AR43" s="126">
        <v>7.11</v>
      </c>
      <c r="AS43" s="126">
        <v>7.11</v>
      </c>
      <c r="AT43" s="126">
        <v>7.11</v>
      </c>
      <c r="AU43" s="126">
        <v>7.11</v>
      </c>
      <c r="AV43" s="126">
        <v>7.11</v>
      </c>
      <c r="AW43" s="126">
        <v>7.11</v>
      </c>
      <c r="AX43" s="126">
        <v>7.11</v>
      </c>
      <c r="AY43" s="126">
        <v>7.11</v>
      </c>
      <c r="AZ43" s="126">
        <v>7.11</v>
      </c>
      <c r="BA43" s="126">
        <v>7.11</v>
      </c>
      <c r="BB43" s="126">
        <v>7.11</v>
      </c>
      <c r="BC43" s="126">
        <v>7.11</v>
      </c>
      <c r="BD43" s="126">
        <v>7.11</v>
      </c>
      <c r="BE43" s="126">
        <v>7.11</v>
      </c>
    </row>
    <row r="44" spans="1:57" x14ac:dyDescent="0.35">
      <c r="A44" s="127" t="s">
        <v>40</v>
      </c>
      <c r="G44" s="126">
        <v>8.6999999999999993</v>
      </c>
      <c r="H44" s="126">
        <v>8.6999999999999993</v>
      </c>
      <c r="I44" s="126">
        <v>8.6999999999999993</v>
      </c>
      <c r="J44" s="126">
        <v>8.6999999999999993</v>
      </c>
      <c r="K44" s="126">
        <v>8.6999999999999993</v>
      </c>
      <c r="L44" s="126">
        <v>8.6999999999999993</v>
      </c>
      <c r="M44" s="126">
        <v>8.6999999999999993</v>
      </c>
      <c r="N44" s="126">
        <v>8.6999999999999993</v>
      </c>
      <c r="O44" s="126">
        <v>8.6999999999999993</v>
      </c>
      <c r="P44" s="126">
        <v>8.6999999999999993</v>
      </c>
      <c r="Q44" s="126">
        <v>8.6999999999999993</v>
      </c>
      <c r="R44" s="126">
        <v>8.6999999999999993</v>
      </c>
      <c r="S44" s="126">
        <v>8.6999999999999993</v>
      </c>
      <c r="T44" s="126">
        <v>8.6999999999999993</v>
      </c>
      <c r="U44" s="126">
        <v>8.6999999999999993</v>
      </c>
      <c r="V44" s="126">
        <v>8.6999999999999993</v>
      </c>
      <c r="W44" s="126">
        <v>8.6999999999999993</v>
      </c>
      <c r="X44" s="126">
        <v>8.6999999999999993</v>
      </c>
      <c r="Y44" s="126">
        <v>8.6999999999999993</v>
      </c>
      <c r="Z44" s="126">
        <v>8.6999999999999993</v>
      </c>
      <c r="AA44" s="126">
        <v>8.6999999999999993</v>
      </c>
      <c r="AB44" s="126">
        <v>8.6999999999999993</v>
      </c>
      <c r="AC44" s="126">
        <v>8.6999999999999993</v>
      </c>
      <c r="AD44" s="126">
        <v>8.6999999999999993</v>
      </c>
      <c r="AE44" s="126">
        <v>8.6999999999999993</v>
      </c>
      <c r="AF44" s="126">
        <v>8.6999999999999993</v>
      </c>
      <c r="AG44" s="126">
        <v>8.6999999999999993</v>
      </c>
      <c r="AH44" s="126">
        <v>8.6999999999999993</v>
      </c>
      <c r="AI44" s="126">
        <v>8.6999999999999993</v>
      </c>
      <c r="AJ44" s="126">
        <v>8.6999999999999993</v>
      </c>
      <c r="AK44" s="126">
        <v>8.6999999999999993</v>
      </c>
      <c r="AL44" s="126">
        <v>8.6999999999999993</v>
      </c>
      <c r="AM44" s="126">
        <v>8.6999999999999993</v>
      </c>
      <c r="AN44" s="126">
        <v>8.6999999999999993</v>
      </c>
      <c r="AO44" s="126">
        <v>8.6999999999999993</v>
      </c>
      <c r="AP44" s="126">
        <v>8.6999999999999993</v>
      </c>
      <c r="AQ44" s="126">
        <v>8.6999999999999993</v>
      </c>
      <c r="AR44" s="126">
        <v>8.6999999999999993</v>
      </c>
      <c r="AS44" s="126">
        <v>8.6999999999999993</v>
      </c>
      <c r="AT44" s="126">
        <v>8.6999999999999993</v>
      </c>
      <c r="AU44" s="126">
        <v>8.6999999999999993</v>
      </c>
      <c r="AV44" s="126">
        <v>8.6999999999999993</v>
      </c>
      <c r="AW44" s="126">
        <v>8.6999999999999993</v>
      </c>
      <c r="AX44" s="126">
        <v>8.6999999999999993</v>
      </c>
      <c r="AY44" s="126">
        <v>8.6999999999999993</v>
      </c>
      <c r="AZ44" s="126">
        <v>8.6999999999999993</v>
      </c>
      <c r="BA44" s="126">
        <v>8.6999999999999993</v>
      </c>
      <c r="BB44" s="126">
        <v>8.6999999999999993</v>
      </c>
      <c r="BC44" s="126">
        <v>8.6999999999999993</v>
      </c>
      <c r="BD44" s="126">
        <v>8.6999999999999993</v>
      </c>
      <c r="BE44" s="126">
        <v>8.6999999999999993</v>
      </c>
    </row>
    <row r="45" spans="1:57" x14ac:dyDescent="0.35">
      <c r="A45" s="127" t="s">
        <v>41</v>
      </c>
      <c r="G45" s="126">
        <v>7.3</v>
      </c>
      <c r="H45" s="126">
        <v>7.3</v>
      </c>
      <c r="I45" s="126">
        <v>7.3</v>
      </c>
      <c r="J45" s="126">
        <v>7.3</v>
      </c>
      <c r="K45" s="126">
        <v>7.3</v>
      </c>
      <c r="L45" s="126">
        <v>7.3</v>
      </c>
      <c r="M45" s="126">
        <v>7.3</v>
      </c>
      <c r="N45" s="126">
        <v>7.3</v>
      </c>
      <c r="O45" s="126">
        <v>7.3</v>
      </c>
      <c r="P45" s="126">
        <v>7.3</v>
      </c>
      <c r="Q45" s="126">
        <v>7.3</v>
      </c>
      <c r="R45" s="126">
        <v>7.3</v>
      </c>
      <c r="S45" s="126">
        <v>7.3</v>
      </c>
      <c r="T45" s="126">
        <v>7.3</v>
      </c>
      <c r="U45" s="126">
        <v>7.3</v>
      </c>
      <c r="V45" s="126">
        <v>7.3</v>
      </c>
      <c r="W45" s="126">
        <v>7.3</v>
      </c>
      <c r="X45" s="126">
        <v>7.3</v>
      </c>
      <c r="Y45" s="126">
        <v>7.3</v>
      </c>
      <c r="Z45" s="126">
        <v>7.3</v>
      </c>
      <c r="AA45" s="126">
        <v>7.3</v>
      </c>
      <c r="AB45" s="126">
        <v>7.3</v>
      </c>
      <c r="AC45" s="126">
        <v>7.3</v>
      </c>
      <c r="AD45" s="126">
        <v>7.3</v>
      </c>
      <c r="AE45" s="126">
        <v>7.3</v>
      </c>
      <c r="AF45" s="126">
        <v>7.3</v>
      </c>
      <c r="AG45" s="126">
        <v>7.3</v>
      </c>
      <c r="AH45" s="126">
        <v>7.3</v>
      </c>
      <c r="AI45" s="126">
        <v>7.3</v>
      </c>
      <c r="AJ45" s="126">
        <v>7.3</v>
      </c>
      <c r="AK45" s="126">
        <v>7.3</v>
      </c>
      <c r="AL45" s="126">
        <v>7.3</v>
      </c>
      <c r="AM45" s="126">
        <v>7.3</v>
      </c>
      <c r="AN45" s="126">
        <v>7.3</v>
      </c>
      <c r="AO45" s="126">
        <v>7.3</v>
      </c>
      <c r="AP45" s="126">
        <v>7.3</v>
      </c>
      <c r="AQ45" s="126">
        <v>7.3</v>
      </c>
      <c r="AR45" s="126">
        <v>7.3</v>
      </c>
      <c r="AS45" s="126">
        <v>7.3</v>
      </c>
      <c r="AT45" s="126">
        <v>7.3</v>
      </c>
      <c r="AU45" s="126">
        <v>7.3</v>
      </c>
      <c r="AV45" s="126">
        <v>7.3</v>
      </c>
      <c r="AW45" s="126">
        <v>7.3</v>
      </c>
      <c r="AX45" s="126">
        <v>7.3</v>
      </c>
      <c r="AY45" s="126">
        <v>7.3</v>
      </c>
      <c r="AZ45" s="126">
        <v>7.3</v>
      </c>
      <c r="BA45" s="126">
        <v>7.3</v>
      </c>
      <c r="BB45" s="126">
        <v>7.3</v>
      </c>
      <c r="BC45" s="126">
        <v>7.3</v>
      </c>
      <c r="BD45" s="126">
        <v>7.3</v>
      </c>
      <c r="BE45" s="126">
        <v>7.3</v>
      </c>
    </row>
    <row r="46" spans="1:57" x14ac:dyDescent="0.35">
      <c r="A46" s="127" t="s">
        <v>42</v>
      </c>
      <c r="G46" s="126">
        <v>12.914999999999999</v>
      </c>
      <c r="H46" s="126">
        <v>12.914999999999999</v>
      </c>
      <c r="I46" s="126">
        <v>12.914999999999999</v>
      </c>
      <c r="J46" s="126">
        <v>12.914999999999999</v>
      </c>
      <c r="K46" s="126">
        <v>12.914999999999999</v>
      </c>
      <c r="L46" s="126">
        <v>12.914999999999999</v>
      </c>
      <c r="M46" s="126">
        <v>12.914999999999999</v>
      </c>
      <c r="N46" s="126">
        <v>12.914999999999999</v>
      </c>
      <c r="O46" s="126">
        <v>12.914999999999999</v>
      </c>
      <c r="P46" s="126">
        <v>12.914999999999999</v>
      </c>
      <c r="Q46" s="126">
        <v>12.914999999999999</v>
      </c>
      <c r="R46" s="126">
        <v>12.914999999999999</v>
      </c>
      <c r="S46" s="126">
        <v>12.914999999999999</v>
      </c>
      <c r="T46" s="126">
        <v>12.914999999999999</v>
      </c>
      <c r="U46" s="126">
        <v>12.914999999999999</v>
      </c>
      <c r="V46" s="126">
        <v>12.914999999999999</v>
      </c>
      <c r="W46" s="126">
        <v>12.914999999999999</v>
      </c>
      <c r="X46" s="126">
        <v>12.914999999999999</v>
      </c>
      <c r="Y46" s="126">
        <v>12.914999999999999</v>
      </c>
      <c r="Z46" s="126">
        <v>12.914999999999999</v>
      </c>
      <c r="AA46" s="126">
        <v>12.914999999999999</v>
      </c>
      <c r="AB46" s="126">
        <v>12.914999999999999</v>
      </c>
      <c r="AC46" s="126">
        <v>12.914999999999999</v>
      </c>
      <c r="AD46" s="126">
        <v>12.914999999999999</v>
      </c>
      <c r="AE46" s="126">
        <v>12.914999999999999</v>
      </c>
      <c r="AF46" s="126">
        <v>12.914999999999999</v>
      </c>
      <c r="AG46" s="126">
        <v>12.914999999999999</v>
      </c>
      <c r="AH46" s="126">
        <v>12.914999999999999</v>
      </c>
      <c r="AI46" s="126">
        <v>12.914999999999999</v>
      </c>
      <c r="AJ46" s="126">
        <v>12.914999999999999</v>
      </c>
      <c r="AK46" s="126">
        <v>12.914999999999999</v>
      </c>
      <c r="AL46" s="126">
        <v>12.914999999999999</v>
      </c>
      <c r="AM46" s="126">
        <v>12.914999999999999</v>
      </c>
      <c r="AN46" s="126">
        <v>12.914999999999999</v>
      </c>
      <c r="AO46" s="126">
        <v>12.914999999999999</v>
      </c>
      <c r="AP46" s="126">
        <v>12.914999999999999</v>
      </c>
      <c r="AQ46" s="126">
        <v>12.914999999999999</v>
      </c>
      <c r="AR46" s="126">
        <v>12.914999999999999</v>
      </c>
      <c r="AS46" s="126">
        <v>12.914999999999999</v>
      </c>
      <c r="AT46" s="126">
        <v>12.914999999999999</v>
      </c>
      <c r="AU46" s="126">
        <v>12.914999999999999</v>
      </c>
      <c r="AV46" s="126">
        <v>12.914999999999999</v>
      </c>
      <c r="AW46" s="126">
        <v>12.914999999999999</v>
      </c>
      <c r="AX46" s="126">
        <v>12.914999999999999</v>
      </c>
      <c r="AY46" s="126">
        <v>12.914999999999999</v>
      </c>
      <c r="AZ46" s="126">
        <v>12.914999999999999</v>
      </c>
      <c r="BA46" s="126">
        <v>12.914999999999999</v>
      </c>
      <c r="BB46" s="126">
        <v>12.914999999999999</v>
      </c>
      <c r="BC46" s="126">
        <v>12.914999999999999</v>
      </c>
      <c r="BD46" s="126">
        <v>12.914999999999999</v>
      </c>
      <c r="BE46" s="126">
        <v>12.914999999999999</v>
      </c>
    </row>
    <row r="47" spans="1:57" x14ac:dyDescent="0.35">
      <c r="A47" s="127" t="s">
        <v>43</v>
      </c>
      <c r="G47" s="126">
        <v>16.59</v>
      </c>
      <c r="H47" s="126">
        <v>16.59</v>
      </c>
      <c r="I47" s="126">
        <v>16.59</v>
      </c>
      <c r="J47" s="126">
        <v>16.59</v>
      </c>
      <c r="K47" s="126">
        <v>16.59</v>
      </c>
      <c r="L47" s="126">
        <v>16.59</v>
      </c>
      <c r="M47" s="126">
        <v>16.59</v>
      </c>
      <c r="N47" s="126">
        <v>16.59</v>
      </c>
      <c r="O47" s="126">
        <v>16.59</v>
      </c>
      <c r="P47" s="126">
        <v>16.59</v>
      </c>
      <c r="Q47" s="126">
        <v>16.59</v>
      </c>
      <c r="R47" s="126">
        <v>16.59</v>
      </c>
      <c r="S47" s="126">
        <v>16.59</v>
      </c>
      <c r="T47" s="126">
        <v>16.59</v>
      </c>
      <c r="U47" s="126">
        <v>16.59</v>
      </c>
      <c r="V47" s="126">
        <v>16.59</v>
      </c>
      <c r="W47" s="126">
        <v>16.59</v>
      </c>
      <c r="X47" s="126">
        <v>16.59</v>
      </c>
      <c r="Y47" s="126">
        <v>16.59</v>
      </c>
      <c r="Z47" s="126">
        <v>16.59</v>
      </c>
      <c r="AA47" s="126">
        <v>16.59</v>
      </c>
      <c r="AB47" s="126">
        <v>16.59</v>
      </c>
      <c r="AC47" s="126">
        <v>16.59</v>
      </c>
      <c r="AD47" s="126">
        <v>16.59</v>
      </c>
      <c r="AE47" s="126">
        <v>16.59</v>
      </c>
      <c r="AF47" s="126">
        <v>16.59</v>
      </c>
      <c r="AG47" s="126">
        <v>16.59</v>
      </c>
      <c r="AH47" s="126">
        <v>16.59</v>
      </c>
      <c r="AI47" s="126">
        <v>16.59</v>
      </c>
      <c r="AJ47" s="126">
        <v>16.59</v>
      </c>
      <c r="AK47" s="126">
        <v>16.59</v>
      </c>
      <c r="AL47" s="126">
        <v>16.59</v>
      </c>
      <c r="AM47" s="126">
        <v>16.59</v>
      </c>
      <c r="AN47" s="126">
        <v>16.59</v>
      </c>
      <c r="AO47" s="126">
        <v>16.59</v>
      </c>
      <c r="AP47" s="126">
        <v>16.59</v>
      </c>
      <c r="AQ47" s="126">
        <v>16.59</v>
      </c>
      <c r="AR47" s="126">
        <v>16.59</v>
      </c>
      <c r="AS47" s="126">
        <v>16.59</v>
      </c>
      <c r="AT47" s="126">
        <v>16.59</v>
      </c>
      <c r="AU47" s="126">
        <v>16.59</v>
      </c>
      <c r="AV47" s="126">
        <v>16.59</v>
      </c>
      <c r="AW47" s="126">
        <v>16.59</v>
      </c>
      <c r="AX47" s="126">
        <v>16.59</v>
      </c>
      <c r="AY47" s="126">
        <v>16.59</v>
      </c>
      <c r="AZ47" s="126">
        <v>16.59</v>
      </c>
      <c r="BA47" s="126">
        <v>16.59</v>
      </c>
      <c r="BB47" s="126">
        <v>16.59</v>
      </c>
      <c r="BC47" s="126">
        <v>16.59</v>
      </c>
      <c r="BD47" s="126">
        <v>16.59</v>
      </c>
      <c r="BE47" s="126">
        <v>16.59</v>
      </c>
    </row>
    <row r="48" spans="1:57" x14ac:dyDescent="0.35">
      <c r="A48" s="127" t="s">
        <v>44</v>
      </c>
      <c r="G48" s="126">
        <v>20.5</v>
      </c>
      <c r="H48" s="126">
        <v>20.5</v>
      </c>
      <c r="I48" s="126">
        <v>20.5</v>
      </c>
      <c r="J48" s="126">
        <v>20.5</v>
      </c>
      <c r="K48" s="126">
        <v>20.5</v>
      </c>
      <c r="L48" s="126">
        <v>20.5</v>
      </c>
      <c r="M48" s="126">
        <v>20.5</v>
      </c>
      <c r="N48" s="126">
        <v>20.5</v>
      </c>
      <c r="O48" s="126">
        <v>20.5</v>
      </c>
      <c r="P48" s="126">
        <v>20.5</v>
      </c>
      <c r="Q48" s="126">
        <v>20.5</v>
      </c>
      <c r="R48" s="126">
        <v>20.5</v>
      </c>
      <c r="S48" s="126">
        <v>20.5</v>
      </c>
      <c r="T48" s="126">
        <v>20.5</v>
      </c>
      <c r="U48" s="126">
        <v>20.5</v>
      </c>
      <c r="V48" s="126">
        <v>20.5</v>
      </c>
      <c r="W48" s="126">
        <v>20.5</v>
      </c>
      <c r="X48" s="126">
        <v>20.5</v>
      </c>
      <c r="Y48" s="126">
        <v>20.5</v>
      </c>
      <c r="Z48" s="126">
        <v>20.5</v>
      </c>
      <c r="AA48" s="126">
        <v>20.5</v>
      </c>
      <c r="AB48" s="126">
        <v>20.5</v>
      </c>
      <c r="AC48" s="126">
        <v>20.5</v>
      </c>
      <c r="AD48" s="126">
        <v>20.5</v>
      </c>
      <c r="AE48" s="126">
        <v>20.5</v>
      </c>
      <c r="AF48" s="126">
        <v>20.5</v>
      </c>
      <c r="AG48" s="126">
        <v>20.5</v>
      </c>
      <c r="AH48" s="126">
        <v>20.5</v>
      </c>
      <c r="AI48" s="126">
        <v>20.5</v>
      </c>
      <c r="AJ48" s="126">
        <v>20.5</v>
      </c>
      <c r="AK48" s="126">
        <v>20.5</v>
      </c>
      <c r="AL48" s="126">
        <v>20.5</v>
      </c>
      <c r="AM48" s="126">
        <v>20.5</v>
      </c>
      <c r="AN48" s="126">
        <v>20.5</v>
      </c>
      <c r="AO48" s="126">
        <v>20.5</v>
      </c>
      <c r="AP48" s="126">
        <v>20.5</v>
      </c>
      <c r="AQ48" s="126">
        <v>20.5</v>
      </c>
      <c r="AR48" s="126">
        <v>20.5</v>
      </c>
      <c r="AS48" s="126">
        <v>20.5</v>
      </c>
      <c r="AT48" s="126">
        <v>20.5</v>
      </c>
      <c r="AU48" s="126">
        <v>20.5</v>
      </c>
      <c r="AV48" s="126">
        <v>20.5</v>
      </c>
      <c r="AW48" s="126">
        <v>20.5</v>
      </c>
      <c r="AX48" s="126">
        <v>20.5</v>
      </c>
      <c r="AY48" s="126">
        <v>20.5</v>
      </c>
      <c r="AZ48" s="126">
        <v>20.5</v>
      </c>
      <c r="BA48" s="126">
        <v>20.5</v>
      </c>
      <c r="BB48" s="126">
        <v>20.5</v>
      </c>
      <c r="BC48" s="126">
        <v>20.5</v>
      </c>
      <c r="BD48" s="126">
        <v>20.5</v>
      </c>
      <c r="BE48" s="126">
        <v>20.5</v>
      </c>
    </row>
    <row r="49" spans="1:57" x14ac:dyDescent="0.35">
      <c r="A49" s="127" t="s">
        <v>45</v>
      </c>
      <c r="G49" s="126">
        <v>14.98</v>
      </c>
      <c r="H49" s="126">
        <v>14.98</v>
      </c>
      <c r="I49" s="126">
        <v>14.98</v>
      </c>
      <c r="J49" s="126">
        <v>14.98</v>
      </c>
      <c r="K49" s="126">
        <v>14.98</v>
      </c>
      <c r="L49" s="126">
        <v>14.98</v>
      </c>
      <c r="M49" s="126">
        <v>14.98</v>
      </c>
      <c r="N49" s="126">
        <v>14.98</v>
      </c>
      <c r="O49" s="126">
        <v>14.98</v>
      </c>
      <c r="P49" s="126">
        <v>14.98</v>
      </c>
      <c r="Q49" s="126">
        <v>14.98</v>
      </c>
      <c r="R49" s="126">
        <v>14.98</v>
      </c>
      <c r="S49" s="126">
        <v>14.98</v>
      </c>
      <c r="T49" s="126">
        <v>14.98</v>
      </c>
      <c r="U49" s="126">
        <v>14.98</v>
      </c>
      <c r="V49" s="126">
        <v>14.98</v>
      </c>
      <c r="W49" s="126">
        <v>14.98</v>
      </c>
      <c r="X49" s="126">
        <v>14.98</v>
      </c>
      <c r="Y49" s="126">
        <v>14.98</v>
      </c>
      <c r="Z49" s="126">
        <v>14.98</v>
      </c>
      <c r="AA49" s="126">
        <v>14.98</v>
      </c>
      <c r="AB49" s="126">
        <v>14.98</v>
      </c>
      <c r="AC49" s="126">
        <v>14.98</v>
      </c>
      <c r="AD49" s="126">
        <v>14.98</v>
      </c>
      <c r="AE49" s="126">
        <v>14.98</v>
      </c>
      <c r="AF49" s="126">
        <v>14.98</v>
      </c>
      <c r="AG49" s="126">
        <v>14.98</v>
      </c>
      <c r="AH49" s="126">
        <v>14.98</v>
      </c>
      <c r="AI49" s="126">
        <v>14.98</v>
      </c>
      <c r="AJ49" s="126">
        <v>14.98</v>
      </c>
      <c r="AK49" s="126">
        <v>14.98</v>
      </c>
      <c r="AL49" s="126">
        <v>14.98</v>
      </c>
      <c r="AM49" s="126">
        <v>14.98</v>
      </c>
      <c r="AN49" s="126">
        <v>14.98</v>
      </c>
      <c r="AO49" s="126">
        <v>14.98</v>
      </c>
      <c r="AP49" s="126">
        <v>14.98</v>
      </c>
      <c r="AQ49" s="126">
        <v>14.98</v>
      </c>
      <c r="AR49" s="126">
        <v>14.98</v>
      </c>
      <c r="AS49" s="126">
        <v>14.98</v>
      </c>
      <c r="AT49" s="126">
        <v>14.98</v>
      </c>
      <c r="AU49" s="126">
        <v>14.98</v>
      </c>
      <c r="AV49" s="126">
        <v>14.98</v>
      </c>
      <c r="AW49" s="126">
        <v>14.98</v>
      </c>
      <c r="AX49" s="126">
        <v>14.98</v>
      </c>
      <c r="AY49" s="126">
        <v>14.98</v>
      </c>
      <c r="AZ49" s="126">
        <v>14.98</v>
      </c>
      <c r="BA49" s="126">
        <v>14.98</v>
      </c>
      <c r="BB49" s="126">
        <v>14.98</v>
      </c>
      <c r="BC49" s="126">
        <v>14.98</v>
      </c>
      <c r="BD49" s="126">
        <v>14.98</v>
      </c>
      <c r="BE49" s="126">
        <v>14.98</v>
      </c>
    </row>
    <row r="50" spans="1:57" x14ac:dyDescent="0.35">
      <c r="A50" s="127" t="s">
        <v>46</v>
      </c>
      <c r="G50" s="126">
        <v>15.5</v>
      </c>
      <c r="H50" s="126">
        <v>15.5</v>
      </c>
      <c r="I50" s="126">
        <v>15.5</v>
      </c>
      <c r="J50" s="126">
        <v>15.5</v>
      </c>
      <c r="K50" s="126">
        <v>15.5</v>
      </c>
      <c r="L50" s="126">
        <v>15.5</v>
      </c>
      <c r="M50" s="126">
        <v>15.5</v>
      </c>
      <c r="N50" s="126">
        <v>15.5</v>
      </c>
      <c r="O50" s="126">
        <v>15.5</v>
      </c>
      <c r="P50" s="126">
        <v>15.5</v>
      </c>
      <c r="Q50" s="126">
        <v>15.5</v>
      </c>
      <c r="R50" s="126">
        <v>15.5</v>
      </c>
      <c r="S50" s="126">
        <v>15.5</v>
      </c>
      <c r="T50" s="126">
        <v>15.5</v>
      </c>
      <c r="U50" s="126">
        <v>15.5</v>
      </c>
      <c r="V50" s="126">
        <v>15.5</v>
      </c>
      <c r="W50" s="126">
        <v>15.5</v>
      </c>
      <c r="X50" s="126">
        <v>15.5</v>
      </c>
      <c r="Y50" s="126">
        <v>15.5</v>
      </c>
      <c r="Z50" s="126">
        <v>15.5</v>
      </c>
      <c r="AA50" s="126">
        <v>15.5</v>
      </c>
      <c r="AB50" s="126">
        <v>15.5</v>
      </c>
      <c r="AC50" s="126">
        <v>15.5</v>
      </c>
      <c r="AD50" s="126">
        <v>15.5</v>
      </c>
      <c r="AE50" s="126">
        <v>15.5</v>
      </c>
      <c r="AF50" s="126">
        <v>15.5</v>
      </c>
      <c r="AG50" s="126">
        <v>15.5</v>
      </c>
      <c r="AH50" s="126">
        <v>15.5</v>
      </c>
      <c r="AI50" s="126">
        <v>15.5</v>
      </c>
      <c r="AJ50" s="126">
        <v>15.5</v>
      </c>
      <c r="AK50" s="126">
        <v>15.5</v>
      </c>
      <c r="AL50" s="126">
        <v>15.5</v>
      </c>
      <c r="AM50" s="126">
        <v>15.5</v>
      </c>
      <c r="AN50" s="126">
        <v>15.5</v>
      </c>
      <c r="AO50" s="126">
        <v>15.5</v>
      </c>
      <c r="AP50" s="126">
        <v>15.5</v>
      </c>
      <c r="AQ50" s="126">
        <v>15.5</v>
      </c>
      <c r="AR50" s="126">
        <v>15.5</v>
      </c>
      <c r="AS50" s="126">
        <v>15.5</v>
      </c>
      <c r="AT50" s="126">
        <v>15.5</v>
      </c>
      <c r="AU50" s="126">
        <v>15.5</v>
      </c>
      <c r="AV50" s="126">
        <v>15.5</v>
      </c>
      <c r="AW50" s="126">
        <v>15.5</v>
      </c>
      <c r="AX50" s="126">
        <v>15.5</v>
      </c>
      <c r="AY50" s="126">
        <v>15.5</v>
      </c>
      <c r="AZ50" s="126">
        <v>15.5</v>
      </c>
      <c r="BA50" s="126">
        <v>15.5</v>
      </c>
      <c r="BB50" s="126">
        <v>15.5</v>
      </c>
      <c r="BC50" s="126">
        <v>15.5</v>
      </c>
      <c r="BD50" s="126">
        <v>15.5</v>
      </c>
      <c r="BE50" s="126">
        <v>15.5</v>
      </c>
    </row>
    <row r="51" spans="1:57" x14ac:dyDescent="0.35">
      <c r="A51" s="127" t="s">
        <v>47</v>
      </c>
      <c r="G51" s="126">
        <v>4.5599999999999996</v>
      </c>
      <c r="H51" s="126">
        <v>4.5599999999999996</v>
      </c>
      <c r="I51" s="126">
        <v>4.5599999999999996</v>
      </c>
      <c r="J51" s="126">
        <v>4.5599999999999996</v>
      </c>
      <c r="K51" s="126">
        <v>4.5599999999999996</v>
      </c>
      <c r="L51" s="126">
        <v>4.5599999999999996</v>
      </c>
      <c r="M51" s="126">
        <v>4.5599999999999996</v>
      </c>
      <c r="N51" s="126">
        <v>4.5599999999999996</v>
      </c>
      <c r="O51" s="126">
        <v>4.5599999999999996</v>
      </c>
      <c r="P51" s="126">
        <v>4.5599999999999996</v>
      </c>
      <c r="Q51" s="126">
        <v>4.5599999999999996</v>
      </c>
      <c r="R51" s="126">
        <v>4.5599999999999996</v>
      </c>
      <c r="S51" s="126">
        <v>4.5599999999999996</v>
      </c>
      <c r="T51" s="126">
        <v>4.5599999999999996</v>
      </c>
      <c r="U51" s="126">
        <v>4.5599999999999996</v>
      </c>
      <c r="V51" s="126">
        <v>4.5599999999999996</v>
      </c>
      <c r="W51" s="126">
        <v>4.5599999999999996</v>
      </c>
      <c r="X51" s="126">
        <v>4.5599999999999996</v>
      </c>
      <c r="Y51" s="126">
        <v>4.5599999999999996</v>
      </c>
      <c r="Z51" s="126">
        <v>4.5599999999999996</v>
      </c>
      <c r="AA51" s="126">
        <v>4.5599999999999996</v>
      </c>
      <c r="AB51" s="126">
        <v>4.5599999999999996</v>
      </c>
      <c r="AC51" s="126">
        <v>4.5599999999999996</v>
      </c>
      <c r="AD51" s="126">
        <v>4.5599999999999996</v>
      </c>
      <c r="AE51" s="126">
        <v>4.5599999999999996</v>
      </c>
      <c r="AF51" s="126">
        <v>4.5599999999999996</v>
      </c>
      <c r="AG51" s="126">
        <v>4.5599999999999996</v>
      </c>
      <c r="AH51" s="126">
        <v>4.5599999999999996</v>
      </c>
      <c r="AI51" s="126">
        <v>4.5599999999999996</v>
      </c>
      <c r="AJ51" s="126">
        <v>4.5599999999999996</v>
      </c>
      <c r="AK51" s="126">
        <v>4.5599999999999996</v>
      </c>
      <c r="AL51" s="126">
        <v>4.5599999999999996</v>
      </c>
      <c r="AM51" s="126">
        <v>4.5599999999999996</v>
      </c>
      <c r="AN51" s="126">
        <v>4.5599999999999996</v>
      </c>
      <c r="AO51" s="126">
        <v>4.5599999999999996</v>
      </c>
      <c r="AP51" s="126">
        <v>4.5599999999999996</v>
      </c>
      <c r="AQ51" s="126">
        <v>4.5599999999999996</v>
      </c>
      <c r="AR51" s="126">
        <v>4.5599999999999996</v>
      </c>
      <c r="AS51" s="126">
        <v>4.5599999999999996</v>
      </c>
      <c r="AT51" s="126">
        <v>4.5599999999999996</v>
      </c>
      <c r="AU51" s="126">
        <v>4.5599999999999996</v>
      </c>
      <c r="AV51" s="126">
        <v>4.5599999999999996</v>
      </c>
      <c r="AW51" s="126">
        <v>4.5599999999999996</v>
      </c>
      <c r="AX51" s="126">
        <v>4.5599999999999996</v>
      </c>
      <c r="AY51" s="126">
        <v>4.5599999999999996</v>
      </c>
      <c r="AZ51" s="126">
        <v>4.5599999999999996</v>
      </c>
      <c r="BA51" s="126">
        <v>4.5599999999999996</v>
      </c>
      <c r="BB51" s="126">
        <v>4.5599999999999996</v>
      </c>
      <c r="BC51" s="126">
        <v>4.5599999999999996</v>
      </c>
      <c r="BD51" s="126">
        <v>4.5599999999999996</v>
      </c>
      <c r="BE51" s="126">
        <v>4.5599999999999996</v>
      </c>
    </row>
    <row r="52" spans="1:57" x14ac:dyDescent="0.35">
      <c r="A52" s="127" t="s">
        <v>48</v>
      </c>
      <c r="G52" s="126">
        <v>4.78</v>
      </c>
      <c r="H52" s="126">
        <v>4.78</v>
      </c>
      <c r="I52" s="126">
        <v>4.78</v>
      </c>
      <c r="J52" s="126">
        <v>4.78</v>
      </c>
      <c r="K52" s="126">
        <v>4.78</v>
      </c>
      <c r="L52" s="126">
        <v>4.78</v>
      </c>
      <c r="M52" s="126">
        <v>4.78</v>
      </c>
      <c r="N52" s="126">
        <v>4.78</v>
      </c>
      <c r="O52" s="126">
        <v>4.78</v>
      </c>
      <c r="P52" s="126">
        <v>4.78</v>
      </c>
      <c r="Q52" s="126">
        <v>4.78</v>
      </c>
      <c r="R52" s="126">
        <v>4.78</v>
      </c>
      <c r="S52" s="126">
        <v>4.78</v>
      </c>
      <c r="T52" s="126">
        <v>4.78</v>
      </c>
      <c r="U52" s="126">
        <v>4.78</v>
      </c>
      <c r="V52" s="126">
        <v>4.78</v>
      </c>
      <c r="W52" s="126">
        <v>4.78</v>
      </c>
      <c r="X52" s="126">
        <v>4.78</v>
      </c>
      <c r="Y52" s="126">
        <v>4.78</v>
      </c>
      <c r="Z52" s="126">
        <v>4.78</v>
      </c>
      <c r="AA52" s="126">
        <v>4.78</v>
      </c>
      <c r="AB52" s="126">
        <v>4.78</v>
      </c>
      <c r="AC52" s="126">
        <v>4.78</v>
      </c>
      <c r="AD52" s="126">
        <v>4.78</v>
      </c>
      <c r="AE52" s="126">
        <v>4.78</v>
      </c>
      <c r="AF52" s="126">
        <v>4.78</v>
      </c>
      <c r="AG52" s="126">
        <v>4.78</v>
      </c>
      <c r="AH52" s="126">
        <v>4.78</v>
      </c>
      <c r="AI52" s="126">
        <v>4.78</v>
      </c>
      <c r="AJ52" s="126">
        <v>4.78</v>
      </c>
      <c r="AK52" s="126">
        <v>4.78</v>
      </c>
      <c r="AL52" s="126">
        <v>4.78</v>
      </c>
      <c r="AM52" s="126">
        <v>4.78</v>
      </c>
      <c r="AN52" s="126">
        <v>4.78</v>
      </c>
      <c r="AO52" s="126">
        <v>4.78</v>
      </c>
      <c r="AP52" s="126">
        <v>4.78</v>
      </c>
      <c r="AQ52" s="126">
        <v>4.78</v>
      </c>
      <c r="AR52" s="126">
        <v>4.78</v>
      </c>
      <c r="AS52" s="126">
        <v>4.78</v>
      </c>
      <c r="AT52" s="126">
        <v>4.78</v>
      </c>
      <c r="AU52" s="126">
        <v>4.78</v>
      </c>
      <c r="AV52" s="126">
        <v>4.78</v>
      </c>
      <c r="AW52" s="126">
        <v>4.78</v>
      </c>
      <c r="AX52" s="126">
        <v>4.78</v>
      </c>
      <c r="AY52" s="126">
        <v>4.78</v>
      </c>
      <c r="AZ52" s="126">
        <v>4.78</v>
      </c>
      <c r="BA52" s="126">
        <v>4.78</v>
      </c>
      <c r="BB52" s="126">
        <v>4.78</v>
      </c>
      <c r="BC52" s="126">
        <v>4.78</v>
      </c>
      <c r="BD52" s="126">
        <v>4.78</v>
      </c>
      <c r="BE52" s="126">
        <v>4.78</v>
      </c>
    </row>
    <row r="53" spans="1:57" x14ac:dyDescent="0.35">
      <c r="A53" s="127" t="s">
        <v>49</v>
      </c>
      <c r="G53" s="126">
        <v>11.56</v>
      </c>
      <c r="H53" s="126">
        <v>11.56</v>
      </c>
      <c r="I53" s="126">
        <v>11.56</v>
      </c>
      <c r="J53" s="126">
        <v>11.56</v>
      </c>
      <c r="K53" s="126">
        <v>11.56</v>
      </c>
      <c r="L53" s="126">
        <v>11.56</v>
      </c>
      <c r="M53" s="126">
        <v>11.56</v>
      </c>
      <c r="N53" s="126">
        <v>11.56</v>
      </c>
      <c r="O53" s="126">
        <v>11.56</v>
      </c>
      <c r="P53" s="126">
        <v>11.56</v>
      </c>
      <c r="Q53" s="126">
        <v>11.56</v>
      </c>
      <c r="R53" s="126">
        <v>11.56</v>
      </c>
      <c r="S53" s="126">
        <v>11.56</v>
      </c>
      <c r="T53" s="126">
        <v>11.56</v>
      </c>
      <c r="U53" s="126">
        <v>11.56</v>
      </c>
      <c r="V53" s="126">
        <v>11.56</v>
      </c>
      <c r="W53" s="126">
        <v>11.56</v>
      </c>
      <c r="X53" s="126">
        <v>11.56</v>
      </c>
      <c r="Y53" s="126">
        <v>11.56</v>
      </c>
      <c r="Z53" s="126">
        <v>11.56</v>
      </c>
      <c r="AA53" s="126">
        <v>11.56</v>
      </c>
      <c r="AB53" s="126">
        <v>11.56</v>
      </c>
      <c r="AC53" s="126">
        <v>11.56</v>
      </c>
      <c r="AD53" s="126">
        <v>11.56</v>
      </c>
      <c r="AE53" s="126">
        <v>11.56</v>
      </c>
      <c r="AF53" s="126">
        <v>11.56</v>
      </c>
      <c r="AG53" s="126">
        <v>11.56</v>
      </c>
      <c r="AH53" s="126">
        <v>11.56</v>
      </c>
      <c r="AI53" s="126">
        <v>11.56</v>
      </c>
      <c r="AJ53" s="126">
        <v>11.56</v>
      </c>
      <c r="AK53" s="126">
        <v>11.56</v>
      </c>
      <c r="AL53" s="126">
        <v>11.56</v>
      </c>
      <c r="AM53" s="126">
        <v>11.56</v>
      </c>
      <c r="AN53" s="126">
        <v>11.56</v>
      </c>
      <c r="AO53" s="126">
        <v>11.56</v>
      </c>
      <c r="AP53" s="126">
        <v>11.56</v>
      </c>
      <c r="AQ53" s="126">
        <v>11.56</v>
      </c>
      <c r="AR53" s="126">
        <v>11.56</v>
      </c>
      <c r="AS53" s="126">
        <v>11.56</v>
      </c>
      <c r="AT53" s="126">
        <v>11.56</v>
      </c>
      <c r="AU53" s="126">
        <v>11.56</v>
      </c>
      <c r="AV53" s="126">
        <v>11.56</v>
      </c>
      <c r="AW53" s="126">
        <v>11.56</v>
      </c>
      <c r="AX53" s="126">
        <v>11.56</v>
      </c>
      <c r="AY53" s="126">
        <v>11.56</v>
      </c>
      <c r="AZ53" s="126">
        <v>11.56</v>
      </c>
      <c r="BA53" s="126">
        <v>11.56</v>
      </c>
      <c r="BB53" s="126">
        <v>11.56</v>
      </c>
      <c r="BC53" s="126">
        <v>11.56</v>
      </c>
      <c r="BD53" s="126">
        <v>11.56</v>
      </c>
      <c r="BE53" s="126">
        <v>11.56</v>
      </c>
    </row>
    <row r="54" spans="1:57" x14ac:dyDescent="0.35">
      <c r="A54" s="127" t="s">
        <v>50</v>
      </c>
      <c r="G54" s="126">
        <v>13.46</v>
      </c>
      <c r="H54" s="126">
        <v>13.46</v>
      </c>
      <c r="I54" s="126">
        <v>13.46</v>
      </c>
      <c r="J54" s="126">
        <v>13.46</v>
      </c>
      <c r="K54" s="126">
        <v>13.46</v>
      </c>
      <c r="L54" s="126">
        <v>13.46</v>
      </c>
      <c r="M54" s="126">
        <v>13.46</v>
      </c>
      <c r="N54" s="126">
        <v>13.46</v>
      </c>
      <c r="O54" s="126">
        <v>13.46</v>
      </c>
      <c r="P54" s="126">
        <v>13.46</v>
      </c>
      <c r="Q54" s="126">
        <v>13.46</v>
      </c>
      <c r="R54" s="126">
        <v>13.46</v>
      </c>
      <c r="S54" s="126">
        <v>13.46</v>
      </c>
      <c r="T54" s="126">
        <v>13.46</v>
      </c>
      <c r="U54" s="126">
        <v>13.46</v>
      </c>
      <c r="V54" s="126">
        <v>13.46</v>
      </c>
      <c r="W54" s="126">
        <v>13.46</v>
      </c>
      <c r="X54" s="126">
        <v>13.46</v>
      </c>
      <c r="Y54" s="126">
        <v>13.46</v>
      </c>
      <c r="Z54" s="126">
        <v>13.46</v>
      </c>
      <c r="AA54" s="126">
        <v>13.46</v>
      </c>
      <c r="AB54" s="126">
        <v>13.46</v>
      </c>
      <c r="AC54" s="126">
        <v>13.46</v>
      </c>
      <c r="AD54" s="126">
        <v>13.46</v>
      </c>
      <c r="AE54" s="126">
        <v>13.46</v>
      </c>
      <c r="AF54" s="126">
        <v>13.46</v>
      </c>
      <c r="AG54" s="126">
        <v>13.46</v>
      </c>
      <c r="AH54" s="126">
        <v>13.46</v>
      </c>
      <c r="AI54" s="126">
        <v>13.46</v>
      </c>
      <c r="AJ54" s="126">
        <v>13.46</v>
      </c>
      <c r="AK54" s="126">
        <v>13.46</v>
      </c>
      <c r="AL54" s="126">
        <v>13.46</v>
      </c>
      <c r="AM54" s="126">
        <v>13.46</v>
      </c>
      <c r="AN54" s="126">
        <v>13.46</v>
      </c>
      <c r="AO54" s="126">
        <v>13.46</v>
      </c>
      <c r="AP54" s="126">
        <v>13.46</v>
      </c>
      <c r="AQ54" s="126">
        <v>13.46</v>
      </c>
      <c r="AR54" s="126">
        <v>13.46</v>
      </c>
      <c r="AS54" s="126">
        <v>13.46</v>
      </c>
      <c r="AT54" s="126">
        <v>13.46</v>
      </c>
      <c r="AU54" s="126">
        <v>13.46</v>
      </c>
      <c r="AV54" s="126">
        <v>13.46</v>
      </c>
      <c r="AW54" s="126">
        <v>13.46</v>
      </c>
      <c r="AX54" s="126">
        <v>13.46</v>
      </c>
      <c r="AY54" s="126">
        <v>13.46</v>
      </c>
      <c r="AZ54" s="126">
        <v>13.46</v>
      </c>
      <c r="BA54" s="126">
        <v>13.46</v>
      </c>
      <c r="BB54" s="126">
        <v>13.46</v>
      </c>
      <c r="BC54" s="126">
        <v>13.46</v>
      </c>
      <c r="BD54" s="126">
        <v>13.46</v>
      </c>
      <c r="BE54" s="126">
        <v>13.46</v>
      </c>
    </row>
    <row r="55" spans="1:57" x14ac:dyDescent="0.35">
      <c r="A55" s="127" t="s">
        <v>51</v>
      </c>
      <c r="G55" s="126">
        <v>13.52</v>
      </c>
      <c r="H55" s="126">
        <v>13.52</v>
      </c>
      <c r="I55" s="126">
        <v>13.52</v>
      </c>
      <c r="J55" s="126">
        <v>13.52</v>
      </c>
      <c r="K55" s="126">
        <v>13.52</v>
      </c>
      <c r="L55" s="126">
        <v>13.52</v>
      </c>
      <c r="M55" s="126">
        <v>13.52</v>
      </c>
      <c r="N55" s="126">
        <v>13.52</v>
      </c>
      <c r="O55" s="126">
        <v>13.52</v>
      </c>
      <c r="P55" s="126">
        <v>13.52</v>
      </c>
      <c r="Q55" s="126">
        <v>13.52</v>
      </c>
      <c r="R55" s="126">
        <v>13.52</v>
      </c>
      <c r="S55" s="126">
        <v>13.52</v>
      </c>
      <c r="T55" s="126">
        <v>13.52</v>
      </c>
      <c r="U55" s="126">
        <v>13.52</v>
      </c>
      <c r="V55" s="126">
        <v>13.52</v>
      </c>
      <c r="W55" s="126">
        <v>13.52</v>
      </c>
      <c r="X55" s="126">
        <v>13.52</v>
      </c>
      <c r="Y55" s="126">
        <v>13.52</v>
      </c>
      <c r="Z55" s="126">
        <v>13.52</v>
      </c>
      <c r="AA55" s="126">
        <v>13.52</v>
      </c>
      <c r="AB55" s="126">
        <v>13.52</v>
      </c>
      <c r="AC55" s="126">
        <v>13.52</v>
      </c>
      <c r="AD55" s="126">
        <v>13.52</v>
      </c>
      <c r="AE55" s="126">
        <v>13.52</v>
      </c>
      <c r="AF55" s="126">
        <v>13.52</v>
      </c>
      <c r="AG55" s="126">
        <v>13.52</v>
      </c>
      <c r="AH55" s="126">
        <v>13.52</v>
      </c>
      <c r="AI55" s="126">
        <v>13.52</v>
      </c>
      <c r="AJ55" s="126">
        <v>13.52</v>
      </c>
      <c r="AK55" s="126">
        <v>13.52</v>
      </c>
      <c r="AL55" s="126">
        <v>13.52</v>
      </c>
      <c r="AM55" s="126">
        <v>13.52</v>
      </c>
      <c r="AN55" s="126">
        <v>13.52</v>
      </c>
      <c r="AO55" s="126">
        <v>13.52</v>
      </c>
      <c r="AP55" s="126">
        <v>13.52</v>
      </c>
      <c r="AQ55" s="126">
        <v>13.52</v>
      </c>
      <c r="AR55" s="126">
        <v>13.52</v>
      </c>
      <c r="AS55" s="126">
        <v>13.52</v>
      </c>
      <c r="AT55" s="126">
        <v>13.52</v>
      </c>
      <c r="AU55" s="126">
        <v>13.52</v>
      </c>
      <c r="AV55" s="126">
        <v>13.52</v>
      </c>
      <c r="AW55" s="126">
        <v>13.52</v>
      </c>
      <c r="AX55" s="126">
        <v>13.52</v>
      </c>
      <c r="AY55" s="126">
        <v>13.52</v>
      </c>
      <c r="AZ55" s="126">
        <v>13.52</v>
      </c>
      <c r="BA55" s="126">
        <v>13.52</v>
      </c>
      <c r="BB55" s="126">
        <v>13.52</v>
      </c>
      <c r="BC55" s="126">
        <v>13.52</v>
      </c>
      <c r="BD55" s="126">
        <v>13.52</v>
      </c>
      <c r="BE55" s="126">
        <v>13.52</v>
      </c>
    </row>
    <row r="56" spans="1:57" x14ac:dyDescent="0.35">
      <c r="A56" s="127" t="s">
        <v>52</v>
      </c>
      <c r="G56" s="126">
        <v>5.89</v>
      </c>
      <c r="H56" s="126">
        <v>5.89</v>
      </c>
      <c r="I56" s="126">
        <v>5.89</v>
      </c>
      <c r="J56" s="126">
        <v>5.89</v>
      </c>
      <c r="K56" s="126">
        <v>5.89</v>
      </c>
      <c r="L56" s="126">
        <v>5.89</v>
      </c>
      <c r="M56" s="126">
        <v>5.89</v>
      </c>
      <c r="N56" s="126">
        <v>5.89</v>
      </c>
      <c r="O56" s="126">
        <v>5.89</v>
      </c>
      <c r="P56" s="126">
        <v>5.89</v>
      </c>
      <c r="Q56" s="126">
        <v>5.89</v>
      </c>
      <c r="R56" s="126">
        <v>5.89</v>
      </c>
      <c r="S56" s="126">
        <v>5.89</v>
      </c>
      <c r="T56" s="126">
        <v>5.89</v>
      </c>
      <c r="U56" s="126">
        <v>5.89</v>
      </c>
      <c r="V56" s="126">
        <v>5.89</v>
      </c>
      <c r="W56" s="126">
        <v>5.89</v>
      </c>
      <c r="X56" s="126">
        <v>5.89</v>
      </c>
      <c r="Y56" s="126">
        <v>5.89</v>
      </c>
      <c r="Z56" s="126">
        <v>5.89</v>
      </c>
      <c r="AA56" s="126">
        <v>5.89</v>
      </c>
      <c r="AB56" s="126">
        <v>5.89</v>
      </c>
      <c r="AC56" s="126">
        <v>5.89</v>
      </c>
      <c r="AD56" s="126">
        <v>5.89</v>
      </c>
      <c r="AE56" s="126">
        <v>5.89</v>
      </c>
      <c r="AF56" s="126">
        <v>5.89</v>
      </c>
      <c r="AG56" s="126">
        <v>5.89</v>
      </c>
      <c r="AH56" s="126">
        <v>5.89</v>
      </c>
      <c r="AI56" s="126">
        <v>5.89</v>
      </c>
      <c r="AJ56" s="126">
        <v>5.89</v>
      </c>
      <c r="AK56" s="126">
        <v>5.89</v>
      </c>
      <c r="AL56" s="126">
        <v>5.89</v>
      </c>
      <c r="AM56" s="126">
        <v>5.89</v>
      </c>
      <c r="AN56" s="126">
        <v>5.89</v>
      </c>
      <c r="AO56" s="126">
        <v>5.89</v>
      </c>
      <c r="AP56" s="126">
        <v>5.89</v>
      </c>
      <c r="AQ56" s="126">
        <v>5.89</v>
      </c>
      <c r="AR56" s="126">
        <v>5.89</v>
      </c>
      <c r="AS56" s="126">
        <v>5.89</v>
      </c>
      <c r="AT56" s="126">
        <v>5.89</v>
      </c>
      <c r="AU56" s="126">
        <v>5.89</v>
      </c>
      <c r="AV56" s="126">
        <v>5.89</v>
      </c>
      <c r="AW56" s="126">
        <v>5.89</v>
      </c>
      <c r="AX56" s="126">
        <v>5.89</v>
      </c>
      <c r="AY56" s="126">
        <v>5.89</v>
      </c>
      <c r="AZ56" s="126">
        <v>5.89</v>
      </c>
      <c r="BA56" s="126">
        <v>5.89</v>
      </c>
      <c r="BB56" s="126">
        <v>5.89</v>
      </c>
      <c r="BC56" s="126">
        <v>5.89</v>
      </c>
      <c r="BD56" s="126">
        <v>5.89</v>
      </c>
      <c r="BE56" s="126">
        <v>5.89</v>
      </c>
    </row>
    <row r="57" spans="1:57" x14ac:dyDescent="0.35">
      <c r="A57" s="127" t="s">
        <v>53</v>
      </c>
      <c r="G57" s="126">
        <v>11.56</v>
      </c>
      <c r="H57" s="126">
        <v>11.56</v>
      </c>
      <c r="I57" s="126">
        <v>11.56</v>
      </c>
      <c r="J57" s="126">
        <v>11.56</v>
      </c>
      <c r="K57" s="126">
        <v>11.56</v>
      </c>
      <c r="L57" s="126">
        <v>11.56</v>
      </c>
      <c r="M57" s="126">
        <v>11.56</v>
      </c>
      <c r="N57" s="126">
        <v>11.56</v>
      </c>
      <c r="O57" s="126">
        <v>11.56</v>
      </c>
      <c r="P57" s="126">
        <v>11.56</v>
      </c>
      <c r="Q57" s="126">
        <v>11.56</v>
      </c>
      <c r="R57" s="126">
        <v>11.56</v>
      </c>
      <c r="S57" s="126">
        <v>11.56</v>
      </c>
      <c r="T57" s="126">
        <v>11.56</v>
      </c>
      <c r="U57" s="126">
        <v>11.56</v>
      </c>
      <c r="V57" s="126">
        <v>11.56</v>
      </c>
      <c r="W57" s="126">
        <v>11.56</v>
      </c>
      <c r="X57" s="126">
        <v>11.56</v>
      </c>
      <c r="Y57" s="126">
        <v>11.56</v>
      </c>
      <c r="Z57" s="126">
        <v>11.56</v>
      </c>
      <c r="AA57" s="126">
        <v>11.56</v>
      </c>
      <c r="AB57" s="126">
        <v>11.56</v>
      </c>
      <c r="AC57" s="126">
        <v>11.56</v>
      </c>
      <c r="AD57" s="126">
        <v>11.56</v>
      </c>
      <c r="AE57" s="126">
        <v>11.56</v>
      </c>
      <c r="AF57" s="126">
        <v>11.56</v>
      </c>
      <c r="AG57" s="126">
        <v>11.56</v>
      </c>
      <c r="AH57" s="126">
        <v>11.56</v>
      </c>
      <c r="AI57" s="126">
        <v>11.56</v>
      </c>
      <c r="AJ57" s="126">
        <v>11.56</v>
      </c>
      <c r="AK57" s="126">
        <v>11.56</v>
      </c>
      <c r="AL57" s="126">
        <v>11.56</v>
      </c>
      <c r="AM57" s="126">
        <v>11.56</v>
      </c>
      <c r="AN57" s="126">
        <v>11.56</v>
      </c>
      <c r="AO57" s="126">
        <v>11.56</v>
      </c>
      <c r="AP57" s="126">
        <v>11.56</v>
      </c>
      <c r="AQ57" s="126">
        <v>11.56</v>
      </c>
      <c r="AR57" s="126">
        <v>11.56</v>
      </c>
      <c r="AS57" s="126">
        <v>11.56</v>
      </c>
      <c r="AT57" s="126">
        <v>11.56</v>
      </c>
      <c r="AU57" s="126">
        <v>11.56</v>
      </c>
      <c r="AV57" s="126">
        <v>11.56</v>
      </c>
      <c r="AW57" s="126">
        <v>11.56</v>
      </c>
      <c r="AX57" s="126">
        <v>11.56</v>
      </c>
      <c r="AY57" s="126">
        <v>11.56</v>
      </c>
      <c r="AZ57" s="126">
        <v>11.56</v>
      </c>
      <c r="BA57" s="126">
        <v>11.56</v>
      </c>
      <c r="BB57" s="126">
        <v>11.56</v>
      </c>
      <c r="BC57" s="126">
        <v>11.56</v>
      </c>
      <c r="BD57" s="126">
        <v>11.56</v>
      </c>
      <c r="BE57" s="126">
        <v>11.56</v>
      </c>
    </row>
    <row r="58" spans="1:57" x14ac:dyDescent="0.35">
      <c r="A58" s="127" t="s">
        <v>54</v>
      </c>
      <c r="G58" s="126">
        <v>10.06</v>
      </c>
      <c r="H58" s="126">
        <v>10.06</v>
      </c>
      <c r="I58" s="126">
        <v>10.06</v>
      </c>
      <c r="J58" s="126">
        <v>10.06</v>
      </c>
      <c r="K58" s="126">
        <v>10.06</v>
      </c>
      <c r="L58" s="126">
        <v>10.06</v>
      </c>
      <c r="M58" s="126">
        <v>10.06</v>
      </c>
      <c r="N58" s="126">
        <v>10.06</v>
      </c>
      <c r="O58" s="126">
        <v>10.06</v>
      </c>
      <c r="P58" s="126">
        <v>10.06</v>
      </c>
      <c r="Q58" s="126">
        <v>10.06</v>
      </c>
      <c r="R58" s="126">
        <v>10.06</v>
      </c>
      <c r="S58" s="126">
        <v>10.06</v>
      </c>
      <c r="T58" s="126">
        <v>10.06</v>
      </c>
      <c r="U58" s="126">
        <v>10.06</v>
      </c>
      <c r="V58" s="126">
        <v>10.06</v>
      </c>
      <c r="W58" s="126">
        <v>10.06</v>
      </c>
      <c r="X58" s="126">
        <v>10.06</v>
      </c>
      <c r="Y58" s="126">
        <v>10.06</v>
      </c>
      <c r="Z58" s="126">
        <v>10.06</v>
      </c>
      <c r="AA58" s="126">
        <v>10.06</v>
      </c>
      <c r="AB58" s="126">
        <v>10.06</v>
      </c>
      <c r="AC58" s="126">
        <v>10.06</v>
      </c>
      <c r="AD58" s="126">
        <v>10.06</v>
      </c>
      <c r="AE58" s="126">
        <v>10.06</v>
      </c>
      <c r="AF58" s="126">
        <v>10.06</v>
      </c>
      <c r="AG58" s="126">
        <v>10.06</v>
      </c>
      <c r="AH58" s="126">
        <v>10.06</v>
      </c>
      <c r="AI58" s="126">
        <v>10.06</v>
      </c>
      <c r="AJ58" s="126">
        <v>10.06</v>
      </c>
      <c r="AK58" s="126">
        <v>10.06</v>
      </c>
      <c r="AL58" s="126">
        <v>10.06</v>
      </c>
      <c r="AM58" s="126">
        <v>10.06</v>
      </c>
      <c r="AN58" s="126">
        <v>10.06</v>
      </c>
      <c r="AO58" s="126">
        <v>10.06</v>
      </c>
      <c r="AP58" s="126">
        <v>10.06</v>
      </c>
      <c r="AQ58" s="126">
        <v>10.06</v>
      </c>
      <c r="AR58" s="126">
        <v>10.06</v>
      </c>
      <c r="AS58" s="126">
        <v>10.06</v>
      </c>
      <c r="AT58" s="126">
        <v>10.06</v>
      </c>
      <c r="AU58" s="126">
        <v>10.06</v>
      </c>
      <c r="AV58" s="126">
        <v>10.06</v>
      </c>
      <c r="AW58" s="126">
        <v>10.06</v>
      </c>
      <c r="AX58" s="126">
        <v>10.06</v>
      </c>
      <c r="AY58" s="126">
        <v>10.06</v>
      </c>
      <c r="AZ58" s="126">
        <v>10.06</v>
      </c>
      <c r="BA58" s="126">
        <v>10.06</v>
      </c>
      <c r="BB58" s="126">
        <v>10.06</v>
      </c>
      <c r="BC58" s="126">
        <v>10.06</v>
      </c>
      <c r="BD58" s="126">
        <v>10.06</v>
      </c>
      <c r="BE58" s="126">
        <v>10.06</v>
      </c>
    </row>
    <row r="59" spans="1:57" x14ac:dyDescent="0.35">
      <c r="A59" s="127" t="s">
        <v>55</v>
      </c>
      <c r="G59" s="126">
        <v>15</v>
      </c>
      <c r="H59" s="126">
        <v>15</v>
      </c>
      <c r="I59" s="126">
        <v>15</v>
      </c>
      <c r="J59" s="126">
        <v>15</v>
      </c>
      <c r="K59" s="126">
        <v>15</v>
      </c>
      <c r="L59" s="126">
        <v>15</v>
      </c>
      <c r="M59" s="126">
        <v>15</v>
      </c>
      <c r="N59" s="126">
        <v>15</v>
      </c>
      <c r="O59" s="126">
        <v>15</v>
      </c>
      <c r="P59" s="126">
        <v>15</v>
      </c>
      <c r="Q59" s="126">
        <v>15</v>
      </c>
      <c r="R59" s="126">
        <v>15</v>
      </c>
      <c r="S59" s="126">
        <v>15</v>
      </c>
      <c r="T59" s="126">
        <v>15</v>
      </c>
      <c r="U59" s="126">
        <v>15</v>
      </c>
      <c r="V59" s="126">
        <v>15</v>
      </c>
      <c r="W59" s="126">
        <v>15</v>
      </c>
      <c r="X59" s="126">
        <v>15</v>
      </c>
      <c r="Y59" s="126">
        <v>15</v>
      </c>
      <c r="Z59" s="126">
        <v>15</v>
      </c>
      <c r="AA59" s="126">
        <v>15</v>
      </c>
      <c r="AB59" s="126">
        <v>15</v>
      </c>
      <c r="AC59" s="126">
        <v>15</v>
      </c>
      <c r="AD59" s="126">
        <v>15</v>
      </c>
      <c r="AE59" s="126">
        <v>15</v>
      </c>
      <c r="AF59" s="126">
        <v>15</v>
      </c>
      <c r="AG59" s="126">
        <v>15</v>
      </c>
      <c r="AH59" s="126">
        <v>15</v>
      </c>
      <c r="AI59" s="126">
        <v>15</v>
      </c>
      <c r="AJ59" s="126">
        <v>15</v>
      </c>
      <c r="AK59" s="126">
        <v>15</v>
      </c>
      <c r="AL59" s="126">
        <v>15</v>
      </c>
      <c r="AM59" s="126">
        <v>15</v>
      </c>
      <c r="AN59" s="126">
        <v>15</v>
      </c>
      <c r="AO59" s="126">
        <v>15</v>
      </c>
      <c r="AP59" s="126">
        <v>15</v>
      </c>
      <c r="AQ59" s="126">
        <v>15</v>
      </c>
      <c r="AR59" s="126">
        <v>15</v>
      </c>
      <c r="AS59" s="126">
        <v>15</v>
      </c>
      <c r="AT59" s="126">
        <v>15</v>
      </c>
      <c r="AU59" s="126">
        <v>15</v>
      </c>
      <c r="AV59" s="126">
        <v>15</v>
      </c>
      <c r="AW59" s="126">
        <v>15</v>
      </c>
      <c r="AX59" s="126">
        <v>15</v>
      </c>
      <c r="AY59" s="126">
        <v>15</v>
      </c>
      <c r="AZ59" s="126">
        <v>15</v>
      </c>
      <c r="BA59" s="126">
        <v>15</v>
      </c>
      <c r="BB59" s="126">
        <v>15</v>
      </c>
      <c r="BC59" s="126">
        <v>15</v>
      </c>
      <c r="BD59" s="126">
        <v>15</v>
      </c>
      <c r="BE59" s="126">
        <v>15</v>
      </c>
    </row>
    <row r="61" spans="1:57" x14ac:dyDescent="0.35">
      <c r="A61" s="125" t="s">
        <v>127</v>
      </c>
      <c r="B61" s="125"/>
      <c r="C61" s="125"/>
      <c r="D61" s="125"/>
      <c r="E61" s="125"/>
      <c r="F61" s="125"/>
      <c r="G61" s="125">
        <v>7</v>
      </c>
      <c r="H61" s="125">
        <v>8</v>
      </c>
      <c r="I61" s="125">
        <v>9</v>
      </c>
      <c r="J61" s="125">
        <v>10</v>
      </c>
      <c r="K61" s="125">
        <v>11</v>
      </c>
      <c r="L61" s="125">
        <v>12</v>
      </c>
      <c r="M61" s="125">
        <v>13</v>
      </c>
      <c r="N61" s="125">
        <v>14</v>
      </c>
      <c r="O61" s="125">
        <v>15</v>
      </c>
      <c r="P61" s="125">
        <v>16</v>
      </c>
      <c r="Q61" s="125">
        <v>17</v>
      </c>
      <c r="R61" s="125">
        <v>18</v>
      </c>
      <c r="S61" s="125">
        <v>19</v>
      </c>
      <c r="T61" s="125">
        <v>20</v>
      </c>
      <c r="U61" s="125">
        <v>21</v>
      </c>
      <c r="V61" s="125">
        <v>22</v>
      </c>
      <c r="W61" s="125">
        <v>23</v>
      </c>
      <c r="X61" s="125">
        <v>24</v>
      </c>
      <c r="Y61" s="125">
        <v>25</v>
      </c>
      <c r="Z61" s="125">
        <v>26</v>
      </c>
      <c r="AA61" s="125">
        <v>27</v>
      </c>
      <c r="AB61" s="125">
        <v>28</v>
      </c>
      <c r="AC61" s="125">
        <v>29</v>
      </c>
      <c r="AD61" s="125">
        <v>30</v>
      </c>
      <c r="AE61" s="125">
        <v>31</v>
      </c>
      <c r="AF61" s="125">
        <v>32</v>
      </c>
      <c r="AG61" s="125">
        <v>33</v>
      </c>
      <c r="AH61" s="125">
        <v>34</v>
      </c>
      <c r="AI61" s="125">
        <v>35</v>
      </c>
      <c r="AJ61" s="125">
        <v>36</v>
      </c>
      <c r="AK61" s="125">
        <v>37</v>
      </c>
      <c r="AL61" s="125">
        <v>38</v>
      </c>
      <c r="AM61" s="125">
        <v>39</v>
      </c>
      <c r="AN61" s="125">
        <v>40</v>
      </c>
      <c r="AO61" s="125">
        <v>41</v>
      </c>
      <c r="AP61" s="125">
        <v>42</v>
      </c>
      <c r="AQ61" s="125">
        <v>43</v>
      </c>
      <c r="AR61" s="125">
        <v>44</v>
      </c>
      <c r="AS61" s="125">
        <v>45</v>
      </c>
      <c r="AT61" s="125">
        <v>46</v>
      </c>
      <c r="AU61" s="125">
        <v>47</v>
      </c>
      <c r="AV61" s="125">
        <v>48</v>
      </c>
      <c r="AW61" s="125">
        <v>49</v>
      </c>
      <c r="AX61" s="125">
        <v>50</v>
      </c>
      <c r="AY61" s="125">
        <v>51</v>
      </c>
      <c r="AZ61" s="125">
        <v>52</v>
      </c>
      <c r="BA61" s="125">
        <v>53</v>
      </c>
      <c r="BB61" s="125">
        <v>54</v>
      </c>
      <c r="BC61" s="125">
        <v>55</v>
      </c>
      <c r="BD61" s="125">
        <v>56</v>
      </c>
      <c r="BE61" s="125">
        <v>57</v>
      </c>
    </row>
  </sheetData>
  <conditionalFormatting sqref="A6">
    <cfRule type="expression" dxfId="10" priority="3">
      <formula>#REF!&gt;1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notEqual" id="{15E2AF37-1CA3-4C30-8F32-6B06FBF9EA45}">
            <xm:f>Scale_copy!G6</xm:f>
            <x14:dxf>
              <font>
                <color rgb="FFFF0000"/>
              </font>
            </x14:dxf>
          </x14:cfRule>
          <xm:sqref>G6:BE59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9"/>
  <dimension ref="A1:BE58"/>
  <sheetViews>
    <sheetView workbookViewId="0">
      <selection activeCell="G58" sqref="G58:BE58"/>
    </sheetView>
  </sheetViews>
  <sheetFormatPr defaultColWidth="8.81640625" defaultRowHeight="14.5" x14ac:dyDescent="0.35"/>
  <cols>
    <col min="1" max="6" width="8.81640625" style="18"/>
    <col min="7" max="7" width="9.1796875" style="18" customWidth="1"/>
    <col min="8" max="16384" width="8.81640625" style="18"/>
  </cols>
  <sheetData>
    <row r="1" spans="1:57" ht="21" x14ac:dyDescent="0.5">
      <c r="A1" s="20" t="s">
        <v>65</v>
      </c>
      <c r="E1" s="21"/>
    </row>
    <row r="4" spans="1:57" x14ac:dyDescent="0.35">
      <c r="A4" s="133" t="s">
        <v>73</v>
      </c>
      <c r="B4" s="76"/>
      <c r="C4" s="80" t="s">
        <v>64</v>
      </c>
      <c r="D4" s="80" t="s">
        <v>62</v>
      </c>
      <c r="E4" s="80" t="s">
        <v>63</v>
      </c>
      <c r="F4" s="80" t="s">
        <v>58</v>
      </c>
      <c r="G4" s="80" t="s">
        <v>60</v>
      </c>
    </row>
    <row r="5" spans="1:57" x14ac:dyDescent="0.35">
      <c r="F5" s="21" t="s">
        <v>59</v>
      </c>
      <c r="G5" s="124">
        <v>1980</v>
      </c>
      <c r="H5" s="124">
        <v>1981</v>
      </c>
      <c r="I5" s="124">
        <v>1982</v>
      </c>
      <c r="J5" s="124">
        <v>1983</v>
      </c>
      <c r="K5" s="124">
        <v>1984</v>
      </c>
      <c r="L5" s="124">
        <v>1985</v>
      </c>
      <c r="M5" s="124">
        <v>1986</v>
      </c>
      <c r="N5" s="124">
        <v>1987</v>
      </c>
      <c r="O5" s="124">
        <v>1988</v>
      </c>
      <c r="P5" s="124">
        <v>1989</v>
      </c>
      <c r="Q5" s="124">
        <v>1990</v>
      </c>
      <c r="R5" s="124">
        <v>1991</v>
      </c>
      <c r="S5" s="124">
        <v>1992</v>
      </c>
      <c r="T5" s="124">
        <v>1993</v>
      </c>
      <c r="U5" s="124">
        <v>1994</v>
      </c>
      <c r="V5" s="124">
        <v>1995</v>
      </c>
      <c r="W5" s="124">
        <v>1996</v>
      </c>
      <c r="X5" s="124">
        <v>1997</v>
      </c>
      <c r="Y5" s="124">
        <v>1998</v>
      </c>
      <c r="Z5" s="124">
        <v>1999</v>
      </c>
      <c r="AA5" s="124">
        <v>2000</v>
      </c>
      <c r="AB5" s="124">
        <v>2001</v>
      </c>
      <c r="AC5" s="124">
        <v>2002</v>
      </c>
      <c r="AD5" s="124">
        <v>2003</v>
      </c>
      <c r="AE5" s="124">
        <v>2004</v>
      </c>
      <c r="AF5" s="124">
        <v>2005</v>
      </c>
      <c r="AG5" s="124">
        <v>2006</v>
      </c>
      <c r="AH5" s="124">
        <v>2007</v>
      </c>
      <c r="AI5" s="124">
        <v>2008</v>
      </c>
      <c r="AJ5" s="124">
        <v>2009</v>
      </c>
      <c r="AK5" s="124">
        <v>2010</v>
      </c>
      <c r="AL5" s="124">
        <v>2011</v>
      </c>
      <c r="AM5" s="124">
        <v>2012</v>
      </c>
      <c r="AN5" s="124">
        <v>2013</v>
      </c>
      <c r="AO5" s="124">
        <v>2014</v>
      </c>
      <c r="AP5" s="124">
        <v>2015</v>
      </c>
      <c r="AQ5" s="124">
        <v>2016</v>
      </c>
      <c r="AR5" s="124">
        <v>2017</v>
      </c>
      <c r="AS5" s="124">
        <v>2018</v>
      </c>
      <c r="AT5" s="124">
        <v>2019</v>
      </c>
      <c r="AU5" s="124">
        <v>2020</v>
      </c>
      <c r="AV5" s="124">
        <v>2021</v>
      </c>
      <c r="AW5" s="124">
        <v>2022</v>
      </c>
      <c r="AX5" s="124">
        <v>2023</v>
      </c>
      <c r="AY5" s="124">
        <v>2024</v>
      </c>
      <c r="AZ5" s="124">
        <v>2025</v>
      </c>
      <c r="BA5" s="124">
        <v>2026</v>
      </c>
      <c r="BB5" s="124">
        <v>2027</v>
      </c>
      <c r="BC5" s="124">
        <v>2028</v>
      </c>
      <c r="BD5" s="124">
        <v>2029</v>
      </c>
      <c r="BE5" s="124">
        <v>2030</v>
      </c>
    </row>
    <row r="6" spans="1:57" x14ac:dyDescent="0.35">
      <c r="A6" s="131">
        <f>SUM(G6:BE6)</f>
        <v>70.264370074350424</v>
      </c>
      <c r="B6" s="81"/>
      <c r="C6" s="132">
        <v>70.239000000000004</v>
      </c>
      <c r="D6" s="126">
        <v>2</v>
      </c>
      <c r="E6" s="126">
        <v>15</v>
      </c>
      <c r="F6" s="124">
        <v>1980</v>
      </c>
      <c r="G6" s="128">
        <f t="shared" ref="G6:AL6" si="0">WEIBULL(G$5-$F6+0.5,$D6,$E6,FALSE)*$C6</f>
        <v>0.31182666670231213</v>
      </c>
      <c r="H6" s="128">
        <f t="shared" si="0"/>
        <v>0.92720147030277089</v>
      </c>
      <c r="I6" s="128">
        <f t="shared" si="0"/>
        <v>1.518105908181671</v>
      </c>
      <c r="J6" s="128">
        <f t="shared" si="0"/>
        <v>2.06942132432743</v>
      </c>
      <c r="K6" s="128">
        <f t="shared" si="0"/>
        <v>2.5677445008906319</v>
      </c>
      <c r="L6" s="128">
        <f t="shared" si="0"/>
        <v>3.0019261675035764</v>
      </c>
      <c r="M6" s="128">
        <f t="shared" si="0"/>
        <v>3.363475753689793</v>
      </c>
      <c r="N6" s="128">
        <f t="shared" si="0"/>
        <v>3.64681254681016</v>
      </c>
      <c r="O6" s="128">
        <f t="shared" si="0"/>
        <v>3.849354773916307</v>
      </c>
      <c r="P6" s="128">
        <f t="shared" si="0"/>
        <v>3.9714496460016435</v>
      </c>
      <c r="Q6" s="128">
        <f t="shared" si="0"/>
        <v>4.016158094771126</v>
      </c>
      <c r="R6" s="128">
        <f t="shared" si="0"/>
        <v>3.9889169313247121</v>
      </c>
      <c r="S6" s="128">
        <f t="shared" si="0"/>
        <v>3.897107808824952</v>
      </c>
      <c r="T6" s="128">
        <f t="shared" si="0"/>
        <v>3.7495662856119791</v>
      </c>
      <c r="U6" s="128">
        <f t="shared" si="0"/>
        <v>3.5560653528020119</v>
      </c>
      <c r="V6" s="128">
        <f t="shared" si="0"/>
        <v>3.3268061739278041</v>
      </c>
      <c r="W6" s="128">
        <f t="shared" si="0"/>
        <v>3.071944877448459</v>
      </c>
      <c r="X6" s="128">
        <f t="shared" si="0"/>
        <v>2.8011786092728537</v>
      </c>
      <c r="Y6" s="128">
        <f t="shared" si="0"/>
        <v>2.5234073510298347</v>
      </c>
      <c r="Z6" s="128">
        <f t="shared" si="0"/>
        <v>2.246480919928886</v>
      </c>
      <c r="AA6" s="128">
        <f t="shared" si="0"/>
        <v>1.9770337177400028</v>
      </c>
      <c r="AB6" s="128">
        <f t="shared" si="0"/>
        <v>1.7204037151058242</v>
      </c>
      <c r="AC6" s="128">
        <f t="shared" si="0"/>
        <v>1.4806272268001575</v>
      </c>
      <c r="AD6" s="128">
        <f t="shared" si="0"/>
        <v>1.2604974786733072</v>
      </c>
      <c r="AE6" s="128">
        <f t="shared" si="0"/>
        <v>1.0616728563031663</v>
      </c>
      <c r="AF6" s="128">
        <f t="shared" si="0"/>
        <v>0.88481998879340429</v>
      </c>
      <c r="AG6" s="128">
        <f t="shared" si="0"/>
        <v>0.72977727988424834</v>
      </c>
      <c r="AH6" s="128">
        <f t="shared" si="0"/>
        <v>0.59572590075787268</v>
      </c>
      <c r="AI6" s="128">
        <f t="shared" si="0"/>
        <v>0.48135731691821559</v>
      </c>
      <c r="AJ6" s="128">
        <f t="shared" si="0"/>
        <v>0.38502884564297385</v>
      </c>
      <c r="AK6" s="128">
        <f t="shared" si="0"/>
        <v>0.3049012668120798</v>
      </c>
      <c r="AL6" s="128">
        <f t="shared" si="0"/>
        <v>0.23905491980017057</v>
      </c>
      <c r="AM6" s="128">
        <f t="shared" ref="AM6:BE6" si="1">WEIBULL(AM$5-$F6+0.5,$D6,$E6,FALSE)*$C6</f>
        <v>0.18558285027595031</v>
      </c>
      <c r="AN6" s="128">
        <f t="shared" si="1"/>
        <v>0.14266132016241481</v>
      </c>
      <c r="AO6" s="128">
        <f t="shared" si="1"/>
        <v>0.10859931432333343</v>
      </c>
      <c r="AP6" s="128">
        <f t="shared" si="1"/>
        <v>8.1869568680750987E-2</v>
      </c>
      <c r="AQ6" s="128">
        <f t="shared" si="1"/>
        <v>6.1124142504381765E-2</v>
      </c>
      <c r="AR6" s="128">
        <f t="shared" si="1"/>
        <v>4.5197722691499319E-2</v>
      </c>
      <c r="AS6" s="128">
        <f t="shared" si="1"/>
        <v>3.3101752717687206E-2</v>
      </c>
      <c r="AT6" s="128">
        <f t="shared" si="1"/>
        <v>2.4012199101946154E-2</v>
      </c>
      <c r="AU6" s="128">
        <f t="shared" si="1"/>
        <v>1.7253374435119831E-2</v>
      </c>
      <c r="AV6" s="128">
        <f t="shared" si="1"/>
        <v>1.2279789150947858E-2</v>
      </c>
      <c r="AW6" s="128">
        <f t="shared" si="1"/>
        <v>8.6575525556801744E-3</v>
      </c>
      <c r="AX6" s="128">
        <f t="shared" si="1"/>
        <v>6.0464220944486695E-3</v>
      </c>
      <c r="AY6" s="128">
        <f t="shared" si="1"/>
        <v>4.1832307208242514E-3</v>
      </c>
      <c r="AZ6" s="128">
        <f t="shared" si="1"/>
        <v>2.8671169691215194E-3</v>
      </c>
      <c r="BA6" s="128">
        <f t="shared" si="1"/>
        <v>1.9467437057381254E-3</v>
      </c>
      <c r="BB6" s="128">
        <f t="shared" si="1"/>
        <v>1.3095161304657653E-3</v>
      </c>
      <c r="BC6" s="128">
        <f t="shared" si="1"/>
        <v>8.7269000587325844E-4</v>
      </c>
      <c r="BD6" s="128">
        <f t="shared" si="1"/>
        <v>5.7618783975430063E-4</v>
      </c>
      <c r="BE6" s="128">
        <f t="shared" si="1"/>
        <v>3.7690378417303249E-4</v>
      </c>
    </row>
    <row r="7" spans="1:57" x14ac:dyDescent="0.35">
      <c r="A7" s="131">
        <f t="shared" ref="A7:A56" si="2">SUM(G7:BE7)</f>
        <v>77.613607456420993</v>
      </c>
      <c r="B7" s="81"/>
      <c r="C7" s="132">
        <v>77.585999999999999</v>
      </c>
      <c r="D7" s="126">
        <v>2</v>
      </c>
      <c r="E7" s="126">
        <v>15</v>
      </c>
      <c r="F7" s="124">
        <v>1981</v>
      </c>
      <c r="G7" s="128"/>
      <c r="H7" s="128">
        <f t="shared" ref="H7:AM7" si="3">WEIBULL(H$5-$F7+0.5,$D7,$E7,FALSE)*$C7</f>
        <v>0.34444373870307932</v>
      </c>
      <c r="I7" s="128">
        <f t="shared" si="3"/>
        <v>1.0241867520168393</v>
      </c>
      <c r="J7" s="128">
        <f t="shared" si="3"/>
        <v>1.6768997991455334</v>
      </c>
      <c r="K7" s="128">
        <f t="shared" si="3"/>
        <v>2.28588281252962</v>
      </c>
      <c r="L7" s="128">
        <f t="shared" si="3"/>
        <v>2.8363305976181401</v>
      </c>
      <c r="M7" s="128">
        <f t="shared" si="3"/>
        <v>3.3159276702676928</v>
      </c>
      <c r="N7" s="128">
        <f t="shared" si="3"/>
        <v>3.715295346257439</v>
      </c>
      <c r="O7" s="128">
        <f t="shared" si="3"/>
        <v>4.0282691703585334</v>
      </c>
      <c r="P7" s="128">
        <f t="shared" si="3"/>
        <v>4.2519973161501525</v>
      </c>
      <c r="Q7" s="128">
        <f t="shared" si="3"/>
        <v>4.3868633128985817</v>
      </c>
      <c r="R7" s="128">
        <f t="shared" si="3"/>
        <v>4.4362482657912636</v>
      </c>
      <c r="S7" s="128">
        <f t="shared" si="3"/>
        <v>4.4061576764156536</v>
      </c>
      <c r="T7" s="128">
        <f t="shared" si="3"/>
        <v>4.3047453189181608</v>
      </c>
      <c r="U7" s="128">
        <f t="shared" si="3"/>
        <v>4.1417709511167731</v>
      </c>
      <c r="V7" s="128">
        <f t="shared" si="3"/>
        <v>3.9280298190819467</v>
      </c>
      <c r="W7" s="128">
        <f t="shared" si="3"/>
        <v>3.6747901281391049</v>
      </c>
      <c r="X7" s="128">
        <f t="shared" si="3"/>
        <v>3.3932703378709284</v>
      </c>
      <c r="Y7" s="128">
        <f t="shared" si="3"/>
        <v>3.0941819157311978</v>
      </c>
      <c r="Z7" s="128">
        <f t="shared" si="3"/>
        <v>2.7873557815031642</v>
      </c>
      <c r="AA7" s="128">
        <f t="shared" si="3"/>
        <v>2.4814628433434778</v>
      </c>
      <c r="AB7" s="128">
        <f t="shared" si="3"/>
        <v>2.1838314615039485</v>
      </c>
      <c r="AC7" s="128">
        <f t="shared" si="3"/>
        <v>1.900357958402034</v>
      </c>
      <c r="AD7" s="128">
        <f t="shared" si="3"/>
        <v>1.6355008473713608</v>
      </c>
      <c r="AE7" s="128">
        <f t="shared" si="3"/>
        <v>1.3923455257100359</v>
      </c>
      <c r="AF7" s="128">
        <f t="shared" si="3"/>
        <v>1.1727238461415659</v>
      </c>
      <c r="AG7" s="128">
        <f t="shared" si="3"/>
        <v>0.97737216717955921</v>
      </c>
      <c r="AH7" s="128">
        <f t="shared" si="3"/>
        <v>0.80611198959409003</v>
      </c>
      <c r="AI7" s="128">
        <f t="shared" si="3"/>
        <v>0.65803883506599337</v>
      </c>
      <c r="AJ7" s="128">
        <f t="shared" si="3"/>
        <v>0.53170729637974168</v>
      </c>
      <c r="AK7" s="128">
        <f t="shared" si="3"/>
        <v>0.42530286618624646</v>
      </c>
      <c r="AL7" s="128">
        <f t="shared" si="3"/>
        <v>0.33679394192517004</v>
      </c>
      <c r="AM7" s="128">
        <f t="shared" si="3"/>
        <v>0.26406006645333835</v>
      </c>
      <c r="AN7" s="128">
        <f t="shared" ref="AN7:BE7" si="4">WEIBULL(AN$5-$F7+0.5,$D7,$E7,FALSE)*$C7</f>
        <v>0.20499481800011218</v>
      </c>
      <c r="AO7" s="128">
        <f t="shared" si="4"/>
        <v>0.15758369547005388</v>
      </c>
      <c r="AP7" s="128">
        <f t="shared" si="4"/>
        <v>0.11995880352923799</v>
      </c>
      <c r="AQ7" s="128">
        <f t="shared" si="4"/>
        <v>9.0433126264108904E-2</v>
      </c>
      <c r="AR7" s="128">
        <f t="shared" si="4"/>
        <v>6.7517728332478585E-2</v>
      </c>
      <c r="AS7" s="128">
        <f t="shared" si="4"/>
        <v>4.9925404871120974E-2</v>
      </c>
      <c r="AT7" s="128">
        <f t="shared" si="4"/>
        <v>3.6564196334721161E-2</v>
      </c>
      <c r="AU7" s="128">
        <f t="shared" si="4"/>
        <v>2.6523875333128236E-2</v>
      </c>
      <c r="AV7" s="128">
        <f t="shared" si="4"/>
        <v>1.9058077548416225E-2</v>
      </c>
      <c r="AW7" s="128">
        <f t="shared" si="4"/>
        <v>1.3564255201034188E-2</v>
      </c>
      <c r="AX7" s="128">
        <f t="shared" si="4"/>
        <v>9.56313262695941E-3</v>
      </c>
      <c r="AY7" s="128">
        <f t="shared" si="4"/>
        <v>6.6788778971781267E-3</v>
      </c>
      <c r="AZ7" s="128">
        <f t="shared" si="4"/>
        <v>4.6207966899567245E-3</v>
      </c>
      <c r="BA7" s="128">
        <f t="shared" si="4"/>
        <v>3.1670174285832967E-3</v>
      </c>
      <c r="BB7" s="128">
        <f t="shared" si="4"/>
        <v>2.1503731139879295E-3</v>
      </c>
      <c r="BC7" s="128">
        <f t="shared" si="4"/>
        <v>1.4464915288987152E-3</v>
      </c>
      <c r="BD7" s="128">
        <f t="shared" si="4"/>
        <v>9.6397338794234851E-4</v>
      </c>
      <c r="BE7" s="128">
        <f t="shared" si="4"/>
        <v>6.3645709271454838E-4</v>
      </c>
    </row>
    <row r="8" spans="1:57" x14ac:dyDescent="0.35">
      <c r="A8" s="131">
        <f t="shared" si="2"/>
        <v>84.952521539658647</v>
      </c>
      <c r="B8" s="81"/>
      <c r="C8" s="132">
        <v>84.923000000000002</v>
      </c>
      <c r="D8" s="126">
        <v>2</v>
      </c>
      <c r="E8" s="126">
        <v>15</v>
      </c>
      <c r="F8" s="124">
        <v>1982</v>
      </c>
      <c r="G8" s="128"/>
      <c r="H8" s="128"/>
      <c r="I8" s="128">
        <f t="shared" ref="I8:AN8" si="5">WEIBULL(I$5-$F8+0.5,$D8,$E8,FALSE)*$C8</f>
        <v>0.37701641561469346</v>
      </c>
      <c r="J8" s="128">
        <f t="shared" si="5"/>
        <v>1.1210400270864078</v>
      </c>
      <c r="K8" s="128">
        <f t="shared" si="5"/>
        <v>1.8354775557811478</v>
      </c>
      <c r="L8" s="128">
        <f t="shared" si="5"/>
        <v>2.5020496750503045</v>
      </c>
      <c r="M8" s="128">
        <f t="shared" si="5"/>
        <v>3.1045511218715403</v>
      </c>
      <c r="N8" s="128">
        <f t="shared" si="5"/>
        <v>3.6295017856590528</v>
      </c>
      <c r="O8" s="128">
        <f t="shared" si="5"/>
        <v>4.066636077259048</v>
      </c>
      <c r="P8" s="128">
        <f t="shared" si="5"/>
        <v>4.4092065933848605</v>
      </c>
      <c r="Q8" s="128">
        <f t="shared" si="5"/>
        <v>4.6540918217129299</v>
      </c>
      <c r="R8" s="128">
        <f t="shared" si="5"/>
        <v>4.801711560349629</v>
      </c>
      <c r="S8" s="128">
        <f t="shared" si="5"/>
        <v>4.855766652176829</v>
      </c>
      <c r="T8" s="128">
        <f t="shared" si="5"/>
        <v>4.8228305152249957</v>
      </c>
      <c r="U8" s="128">
        <f t="shared" si="5"/>
        <v>4.7118279936907044</v>
      </c>
      <c r="V8" s="128">
        <f t="shared" si="5"/>
        <v>4.5334417869420989</v>
      </c>
      <c r="W8" s="128">
        <f t="shared" si="5"/>
        <v>4.299488004612896</v>
      </c>
      <c r="X8" s="128">
        <f t="shared" si="5"/>
        <v>4.0223004414708479</v>
      </c>
      <c r="Y8" s="128">
        <f t="shared" si="5"/>
        <v>3.7141584422835674</v>
      </c>
      <c r="Z8" s="128">
        <f t="shared" si="5"/>
        <v>3.3867864154569194</v>
      </c>
      <c r="AA8" s="128">
        <f t="shared" si="5"/>
        <v>3.0509449518288507</v>
      </c>
      <c r="AB8" s="128">
        <f t="shared" si="5"/>
        <v>2.7161249329164816</v>
      </c>
      <c r="AC8" s="128">
        <f t="shared" si="5"/>
        <v>2.390347732906708</v>
      </c>
      <c r="AD8" s="128">
        <f t="shared" si="5"/>
        <v>2.0800672660193325</v>
      </c>
      <c r="AE8" s="128">
        <f t="shared" si="5"/>
        <v>1.7901636694934406</v>
      </c>
      <c r="AF8" s="128">
        <f t="shared" si="5"/>
        <v>1.5240141144004509</v>
      </c>
      <c r="AG8" s="128">
        <f t="shared" si="5"/>
        <v>1.2836236845033924</v>
      </c>
      <c r="AH8" s="128">
        <f t="shared" si="5"/>
        <v>1.0697983728171283</v>
      </c>
      <c r="AI8" s="128">
        <f t="shared" si="5"/>
        <v>0.88234280014820854</v>
      </c>
      <c r="AJ8" s="128">
        <f t="shared" si="5"/>
        <v>0.7202669552536457</v>
      </c>
      <c r="AK8" s="128">
        <f t="shared" si="5"/>
        <v>0.58198874449587301</v>
      </c>
      <c r="AL8" s="128">
        <f t="shared" si="5"/>
        <v>0.46552206976947658</v>
      </c>
      <c r="AM8" s="128">
        <f t="shared" si="5"/>
        <v>0.3686432079255435</v>
      </c>
      <c r="AN8" s="128">
        <f t="shared" si="5"/>
        <v>0.28903117860718242</v>
      </c>
      <c r="AO8" s="128">
        <f t="shared" ref="AO8:BE8" si="6">WEIBULL(AO$5-$F8+0.5,$D8,$E8,FALSE)*$C8</f>
        <v>0.22438036409949641</v>
      </c>
      <c r="AP8" s="128">
        <f t="shared" si="6"/>
        <v>0.17248575993611459</v>
      </c>
      <c r="AQ8" s="128">
        <f t="shared" si="6"/>
        <v>0.13130283133701284</v>
      </c>
      <c r="AR8" s="128">
        <f t="shared" si="6"/>
        <v>9.8985027991221622E-2</v>
      </c>
      <c r="AS8" s="128">
        <f t="shared" si="6"/>
        <v>7.3902611852384184E-2</v>
      </c>
      <c r="AT8" s="128">
        <f t="shared" si="6"/>
        <v>5.4646652203621873E-2</v>
      </c>
      <c r="AU8" s="128">
        <f t="shared" si="6"/>
        <v>4.0021927220549133E-2</v>
      </c>
      <c r="AV8" s="128">
        <f t="shared" si="6"/>
        <v>2.9032132922373229E-2</v>
      </c>
      <c r="AW8" s="128">
        <f t="shared" si="6"/>
        <v>2.0860324280722698E-2</v>
      </c>
      <c r="AX8" s="128">
        <f t="shared" si="6"/>
        <v>1.4846972964676958E-2</v>
      </c>
      <c r="AY8" s="128">
        <f t="shared" si="6"/>
        <v>1.0467480113413167E-2</v>
      </c>
      <c r="AZ8" s="128">
        <f t="shared" si="6"/>
        <v>7.3104728644608312E-3</v>
      </c>
      <c r="BA8" s="128">
        <f t="shared" si="6"/>
        <v>5.0577670881498584E-3</v>
      </c>
      <c r="BB8" s="128">
        <f t="shared" si="6"/>
        <v>3.4665096935990944E-3</v>
      </c>
      <c r="BC8" s="128">
        <f t="shared" si="6"/>
        <v>2.3537253622972825E-3</v>
      </c>
      <c r="BD8" s="128">
        <f t="shared" si="6"/>
        <v>1.5832804901485524E-3</v>
      </c>
      <c r="BE8" s="128">
        <f t="shared" si="6"/>
        <v>1.0551325242212264E-3</v>
      </c>
    </row>
    <row r="9" spans="1:57" x14ac:dyDescent="0.35">
      <c r="A9" s="131">
        <f t="shared" si="2"/>
        <v>92.138874837539149</v>
      </c>
      <c r="B9" s="81"/>
      <c r="C9" s="132">
        <v>92.108000000000004</v>
      </c>
      <c r="D9" s="126">
        <v>2</v>
      </c>
      <c r="E9" s="126">
        <v>15</v>
      </c>
      <c r="F9" s="124">
        <v>1983</v>
      </c>
      <c r="G9" s="128"/>
      <c r="H9" s="128"/>
      <c r="I9" s="128"/>
      <c r="J9" s="128">
        <f>WEIBULL(J$5-$F9+0.5,$D9,$E9,FALSE)*$C9</f>
        <v>0.40891428717118078</v>
      </c>
      <c r="K9" s="128">
        <f t="shared" ref="K9:BE9" si="7">WEIBULL(K$5-$F9+0.5,$D9,$E9,FALSE)*$C9</f>
        <v>1.2158868011595783</v>
      </c>
      <c r="L9" s="128">
        <f t="shared" si="7"/>
        <v>1.9907700706273914</v>
      </c>
      <c r="M9" s="128">
        <f t="shared" si="7"/>
        <v>2.7137382272121036</v>
      </c>
      <c r="N9" s="128">
        <f t="shared" si="7"/>
        <v>3.3672149445184916</v>
      </c>
      <c r="O9" s="128">
        <f t="shared" si="7"/>
        <v>3.9365796129845161</v>
      </c>
      <c r="P9" s="128">
        <f t="shared" si="7"/>
        <v>4.4106981124568891</v>
      </c>
      <c r="Q9" s="128">
        <f t="shared" si="7"/>
        <v>4.782252168476063</v>
      </c>
      <c r="R9" s="128">
        <f t="shared" si="7"/>
        <v>5.0478561698754705</v>
      </c>
      <c r="S9" s="128">
        <f t="shared" si="7"/>
        <v>5.2079654322231148</v>
      </c>
      <c r="T9" s="128">
        <f t="shared" si="7"/>
        <v>5.2665939121168988</v>
      </c>
      <c r="U9" s="128">
        <f t="shared" si="7"/>
        <v>5.2308711785540307</v>
      </c>
      <c r="V9" s="128">
        <f t="shared" si="7"/>
        <v>5.1104771715891264</v>
      </c>
      <c r="W9" s="128">
        <f t="shared" si="7"/>
        <v>4.9169984116395193</v>
      </c>
      <c r="X9" s="128">
        <f t="shared" si="7"/>
        <v>4.6632507227592601</v>
      </c>
      <c r="Y9" s="128">
        <f t="shared" si="7"/>
        <v>4.3626114134333083</v>
      </c>
      <c r="Z9" s="128">
        <f t="shared" si="7"/>
        <v>4.0283987353467827</v>
      </c>
      <c r="AA9" s="128">
        <f t="shared" si="7"/>
        <v>3.6733290528467664</v>
      </c>
      <c r="AB9" s="128">
        <f t="shared" si="7"/>
        <v>3.3090733679103637</v>
      </c>
      <c r="AC9" s="128">
        <f t="shared" si="7"/>
        <v>2.9459255480973505</v>
      </c>
      <c r="AD9" s="128">
        <f t="shared" si="7"/>
        <v>2.5925856244194274</v>
      </c>
      <c r="AE9" s="128">
        <f t="shared" si="7"/>
        <v>2.2560535513171778</v>
      </c>
      <c r="AF9" s="128">
        <f t="shared" si="7"/>
        <v>1.9416223551888396</v>
      </c>
      <c r="AG9" s="128">
        <f t="shared" si="7"/>
        <v>1.6529549362268965</v>
      </c>
      <c r="AH9" s="128">
        <f t="shared" si="7"/>
        <v>1.3922260204213048</v>
      </c>
      <c r="AI9" s="128">
        <f t="shared" si="7"/>
        <v>1.1603097926761896</v>
      </c>
      <c r="AJ9" s="128">
        <f t="shared" si="7"/>
        <v>0.9569943435353343</v>
      </c>
      <c r="AK9" s="128">
        <f t="shared" si="7"/>
        <v>0.7812059008101786</v>
      </c>
      <c r="AL9" s="128">
        <f t="shared" si="7"/>
        <v>0.63122851616200404</v>
      </c>
      <c r="AM9" s="128">
        <f t="shared" si="7"/>
        <v>0.50490805556005969</v>
      </c>
      <c r="AN9" s="128">
        <f t="shared" si="7"/>
        <v>0.39983265541262036</v>
      </c>
      <c r="AO9" s="128">
        <f t="shared" si="7"/>
        <v>0.3134849663713053</v>
      </c>
      <c r="AP9" s="128">
        <f t="shared" si="7"/>
        <v>0.24336430150225988</v>
      </c>
      <c r="AQ9" s="128">
        <f t="shared" si="7"/>
        <v>0.18707909961018385</v>
      </c>
      <c r="AR9" s="128">
        <f t="shared" si="7"/>
        <v>0.14241184589321595</v>
      </c>
      <c r="AS9" s="128">
        <f t="shared" si="7"/>
        <v>0.10735976070340709</v>
      </c>
      <c r="AT9" s="128">
        <f t="shared" si="7"/>
        <v>8.0155220287783074E-2</v>
      </c>
      <c r="AU9" s="128">
        <f t="shared" si="7"/>
        <v>5.9270089859887229E-2</v>
      </c>
      <c r="AV9" s="128">
        <f t="shared" si="7"/>
        <v>4.34080245920462E-2</v>
      </c>
      <c r="AW9" s="128">
        <f t="shared" si="7"/>
        <v>3.1488427154174409E-2</v>
      </c>
      <c r="AX9" s="128">
        <f t="shared" si="7"/>
        <v>2.2625234021982341E-2</v>
      </c>
      <c r="AY9" s="128">
        <f t="shared" si="7"/>
        <v>1.6103116774377556E-2</v>
      </c>
      <c r="AZ9" s="128">
        <f t="shared" si="7"/>
        <v>1.1353092310519647E-2</v>
      </c>
      <c r="BA9" s="128">
        <f t="shared" si="7"/>
        <v>7.9289831329528906E-3</v>
      </c>
      <c r="BB9" s="128">
        <f t="shared" si="7"/>
        <v>5.4856848080650378E-3</v>
      </c>
      <c r="BC9" s="128">
        <f t="shared" si="7"/>
        <v>3.7597974030359901E-3</v>
      </c>
      <c r="BD9" s="128">
        <f t="shared" si="7"/>
        <v>2.5528647795117704E-3</v>
      </c>
      <c r="BE9" s="128">
        <f t="shared" si="7"/>
        <v>1.7172356062150759E-3</v>
      </c>
    </row>
    <row r="10" spans="1:57" x14ac:dyDescent="0.35">
      <c r="A10" s="131">
        <f t="shared" si="2"/>
        <v>99.417461517193985</v>
      </c>
      <c r="B10" s="81"/>
      <c r="C10" s="132">
        <v>99.385999999999996</v>
      </c>
      <c r="D10" s="126">
        <v>2</v>
      </c>
      <c r="E10" s="126">
        <v>15</v>
      </c>
      <c r="F10" s="124">
        <v>1984</v>
      </c>
      <c r="G10" s="128"/>
      <c r="H10" s="128"/>
      <c r="I10" s="128"/>
      <c r="J10" s="128"/>
      <c r="K10" s="128">
        <f t="shared" ref="K10:BE10" si="8">WEIBULL(K$5-$F10+0.5,$D10,$E10,FALSE)*$C10</f>
        <v>0.44122503305679167</v>
      </c>
      <c r="L10" s="128">
        <f t="shared" si="8"/>
        <v>1.3119612370265974</v>
      </c>
      <c r="M10" s="128">
        <f t="shared" si="8"/>
        <v>2.1480726347263421</v>
      </c>
      <c r="N10" s="128">
        <f t="shared" si="8"/>
        <v>2.9281667982119042</v>
      </c>
      <c r="O10" s="128">
        <f t="shared" si="8"/>
        <v>3.6332785911746512</v>
      </c>
      <c r="P10" s="128">
        <f t="shared" si="8"/>
        <v>4.2476321428766131</v>
      </c>
      <c r="Q10" s="128">
        <f t="shared" si="8"/>
        <v>4.7592135602188774</v>
      </c>
      <c r="R10" s="128">
        <f t="shared" si="8"/>
        <v>5.1601263084223081</v>
      </c>
      <c r="S10" s="128">
        <f t="shared" si="8"/>
        <v>5.4467172590789454</v>
      </c>
      <c r="T10" s="128">
        <f t="shared" si="8"/>
        <v>5.6194777049433977</v>
      </c>
      <c r="U10" s="128">
        <f t="shared" si="8"/>
        <v>5.6827387691584885</v>
      </c>
      <c r="V10" s="128">
        <f t="shared" si="8"/>
        <v>5.6441933703019371</v>
      </c>
      <c r="W10" s="128">
        <f t="shared" si="8"/>
        <v>5.5142863179697414</v>
      </c>
      <c r="X10" s="128">
        <f t="shared" si="8"/>
        <v>5.3055196523559864</v>
      </c>
      <c r="Y10" s="128">
        <f t="shared" si="8"/>
        <v>5.0317218518711924</v>
      </c>
      <c r="Z10" s="128">
        <f t="shared" si="8"/>
        <v>4.7073272455756587</v>
      </c>
      <c r="AA10" s="128">
        <f t="shared" si="8"/>
        <v>4.3467064393014212</v>
      </c>
      <c r="AB10" s="128">
        <f t="shared" si="8"/>
        <v>3.9635805928500094</v>
      </c>
      <c r="AC10" s="128">
        <f t="shared" si="8"/>
        <v>3.5705429033649558</v>
      </c>
      <c r="AD10" s="128">
        <f t="shared" si="8"/>
        <v>3.1787006180049859</v>
      </c>
      <c r="AE10" s="128">
        <f t="shared" si="8"/>
        <v>2.7974412088911844</v>
      </c>
      <c r="AF10" s="128">
        <f t="shared" si="8"/>
        <v>2.434317738428899</v>
      </c>
      <c r="AG10" s="128">
        <f t="shared" si="8"/>
        <v>2.095041466461089</v>
      </c>
      <c r="AH10" s="128">
        <f t="shared" si="8"/>
        <v>1.7835647206740599</v>
      </c>
      <c r="AI10" s="128">
        <f t="shared" si="8"/>
        <v>1.5022340650713488</v>
      </c>
      <c r="AJ10" s="128">
        <f t="shared" si="8"/>
        <v>1.2519927590971009</v>
      </c>
      <c r="AK10" s="128">
        <f t="shared" si="8"/>
        <v>1.0326121490706859</v>
      </c>
      <c r="AL10" s="128">
        <f t="shared" si="8"/>
        <v>0.84293361768706743</v>
      </c>
      <c r="AM10" s="128">
        <f t="shared" si="8"/>
        <v>0.68110562934030627</v>
      </c>
      <c r="AN10" s="128">
        <f t="shared" si="8"/>
        <v>0.54480383907903862</v>
      </c>
      <c r="AO10" s="128">
        <f t="shared" si="8"/>
        <v>0.43142580764796418</v>
      </c>
      <c r="AP10" s="128">
        <f t="shared" si="8"/>
        <v>0.3382552749791391</v>
      </c>
      <c r="AQ10" s="128">
        <f t="shared" si="8"/>
        <v>0.26259396001545576</v>
      </c>
      <c r="AR10" s="128">
        <f t="shared" si="8"/>
        <v>0.20186133011093205</v>
      </c>
      <c r="AS10" s="128">
        <f t="shared" si="8"/>
        <v>0.15366465145202546</v>
      </c>
      <c r="AT10" s="128">
        <f t="shared" si="8"/>
        <v>0.11584289287867305</v>
      </c>
      <c r="AU10" s="128">
        <f t="shared" si="8"/>
        <v>8.6488760189360414E-2</v>
      </c>
      <c r="AV10" s="128">
        <f t="shared" si="8"/>
        <v>6.3953371594375641E-2</v>
      </c>
      <c r="AW10" s="128">
        <f t="shared" si="8"/>
        <v>4.6837950363758887E-2</v>
      </c>
      <c r="AX10" s="128">
        <f t="shared" si="8"/>
        <v>3.3976514755990547E-2</v>
      </c>
      <c r="AY10" s="128">
        <f t="shared" si="8"/>
        <v>2.4412988106448263E-2</v>
      </c>
      <c r="AZ10" s="128">
        <f t="shared" si="8"/>
        <v>1.7375519648003296E-2</v>
      </c>
      <c r="BA10" s="128">
        <f t="shared" si="8"/>
        <v>1.2250167546503078E-2</v>
      </c>
      <c r="BB10" s="128">
        <f t="shared" si="8"/>
        <v>8.5554991710997501E-3</v>
      </c>
      <c r="BC10" s="128">
        <f t="shared" si="8"/>
        <v>5.9191413377160697E-3</v>
      </c>
      <c r="BD10" s="128">
        <f t="shared" si="8"/>
        <v>4.056881320820503E-3</v>
      </c>
      <c r="BE10" s="128">
        <f t="shared" si="8"/>
        <v>2.7545817841724586E-3</v>
      </c>
    </row>
    <row r="11" spans="1:57" x14ac:dyDescent="0.35">
      <c r="A11" s="131">
        <f t="shared" si="2"/>
        <v>106.3697152597403</v>
      </c>
      <c r="B11" s="81"/>
      <c r="C11" s="132">
        <v>106.339</v>
      </c>
      <c r="D11" s="126">
        <v>2</v>
      </c>
      <c r="E11" s="126">
        <v>15</v>
      </c>
      <c r="F11" s="124">
        <v>1985</v>
      </c>
      <c r="G11" s="128"/>
      <c r="H11" s="128"/>
      <c r="I11" s="128"/>
      <c r="J11" s="128"/>
      <c r="K11" s="128"/>
      <c r="L11" s="128">
        <f t="shared" ref="L11:BE11" si="9">WEIBULL(L$5-$F11+0.5,$D11,$E11,FALSE)*$C11</f>
        <v>0.47209293854492757</v>
      </c>
      <c r="M11" s="128">
        <f t="shared" si="9"/>
        <v>1.4037454569473702</v>
      </c>
      <c r="N11" s="128">
        <f t="shared" si="9"/>
        <v>2.2983508331572304</v>
      </c>
      <c r="O11" s="128">
        <f t="shared" si="9"/>
        <v>3.1330200345627723</v>
      </c>
      <c r="P11" s="128">
        <f t="shared" si="9"/>
        <v>3.8874611324222852</v>
      </c>
      <c r="Q11" s="128">
        <f t="shared" si="9"/>
        <v>4.5447945831541281</v>
      </c>
      <c r="R11" s="128">
        <f t="shared" si="9"/>
        <v>5.0921660070846517</v>
      </c>
      <c r="S11" s="128">
        <f t="shared" si="9"/>
        <v>5.5211264314020072</v>
      </c>
      <c r="T11" s="128">
        <f t="shared" si="9"/>
        <v>5.827767156472702</v>
      </c>
      <c r="U11" s="128">
        <f t="shared" si="9"/>
        <v>6.0126138456721874</v>
      </c>
      <c r="V11" s="128">
        <f t="shared" si="9"/>
        <v>6.0803006255764851</v>
      </c>
      <c r="W11" s="128">
        <f t="shared" si="9"/>
        <v>6.0390586078978705</v>
      </c>
      <c r="X11" s="128">
        <f t="shared" si="9"/>
        <v>5.9000633164287155</v>
      </c>
      <c r="Y11" s="128">
        <f t="shared" si="9"/>
        <v>5.67669142848976</v>
      </c>
      <c r="Z11" s="128">
        <f t="shared" si="9"/>
        <v>5.3837388566410844</v>
      </c>
      <c r="AA11" s="128">
        <f t="shared" si="9"/>
        <v>5.0366497491323727</v>
      </c>
      <c r="AB11" s="128">
        <f t="shared" si="9"/>
        <v>4.6508000729365691</v>
      </c>
      <c r="AC11" s="128">
        <f t="shared" si="9"/>
        <v>4.2408709140429961</v>
      </c>
      <c r="AD11" s="128">
        <f t="shared" si="9"/>
        <v>3.8203364840211504</v>
      </c>
      <c r="AE11" s="128">
        <f t="shared" si="9"/>
        <v>3.4010810880610172</v>
      </c>
      <c r="AF11" s="128">
        <f t="shared" si="9"/>
        <v>2.9931489416243702</v>
      </c>
      <c r="AG11" s="128">
        <f t="shared" si="9"/>
        <v>2.6046215159759996</v>
      </c>
      <c r="AH11" s="128">
        <f t="shared" si="9"/>
        <v>2.2416096281368176</v>
      </c>
      <c r="AI11" s="128">
        <f t="shared" si="9"/>
        <v>1.9083421088660262</v>
      </c>
      <c r="AJ11" s="128">
        <f t="shared" si="9"/>
        <v>1.6073296867327609</v>
      </c>
      <c r="AK11" s="128">
        <f t="shared" si="9"/>
        <v>1.3395816111889665</v>
      </c>
      <c r="AL11" s="128">
        <f t="shared" si="9"/>
        <v>1.1048532320450331</v>
      </c>
      <c r="AM11" s="128">
        <f t="shared" si="9"/>
        <v>0.90190487564873389</v>
      </c>
      <c r="AN11" s="128">
        <f t="shared" si="9"/>
        <v>0.72875547379327899</v>
      </c>
      <c r="AO11" s="128">
        <f t="shared" si="9"/>
        <v>0.58291807139663421</v>
      </c>
      <c r="AP11" s="128">
        <f t="shared" si="9"/>
        <v>0.46160816372000951</v>
      </c>
      <c r="AQ11" s="128">
        <f t="shared" si="9"/>
        <v>0.36191946235895067</v>
      </c>
      <c r="AR11" s="128">
        <f t="shared" si="9"/>
        <v>0.28096491572337701</v>
      </c>
      <c r="AS11" s="128">
        <f t="shared" si="9"/>
        <v>0.21598345826038279</v>
      </c>
      <c r="AT11" s="128">
        <f t="shared" si="9"/>
        <v>0.16441496157161908</v>
      </c>
      <c r="AU11" s="128">
        <f t="shared" si="9"/>
        <v>0.12394720972596959</v>
      </c>
      <c r="AV11" s="128">
        <f t="shared" si="9"/>
        <v>9.2539475074722766E-2</v>
      </c>
      <c r="AW11" s="128">
        <f t="shared" si="9"/>
        <v>6.8427520797439398E-2</v>
      </c>
      <c r="AX11" s="128">
        <f t="shared" si="9"/>
        <v>5.0114712371277202E-2</v>
      </c>
      <c r="AY11" s="128">
        <f t="shared" si="9"/>
        <v>3.635349649485118E-2</v>
      </c>
      <c r="AZ11" s="128">
        <f t="shared" si="9"/>
        <v>2.6120909808741693E-2</v>
      </c>
      <c r="BA11" s="128">
        <f t="shared" si="9"/>
        <v>1.8591103212213217E-2</v>
      </c>
      <c r="BB11" s="128">
        <f t="shared" si="9"/>
        <v>1.3107183775658452E-2</v>
      </c>
      <c r="BC11" s="128">
        <f t="shared" si="9"/>
        <v>9.1540380572271395E-3</v>
      </c>
      <c r="BD11" s="128">
        <f t="shared" si="9"/>
        <v>6.3332418118385806E-3</v>
      </c>
      <c r="BE11" s="128">
        <f t="shared" si="9"/>
        <v>4.3406989191106544E-3</v>
      </c>
    </row>
    <row r="12" spans="1:57" x14ac:dyDescent="0.35">
      <c r="A12" s="131">
        <f t="shared" si="2"/>
        <v>113.01402317239152</v>
      </c>
      <c r="B12" s="81"/>
      <c r="C12" s="132">
        <v>112.986</v>
      </c>
      <c r="D12" s="126">
        <v>2</v>
      </c>
      <c r="E12" s="126">
        <v>15</v>
      </c>
      <c r="F12" s="124">
        <v>1986</v>
      </c>
      <c r="G12" s="128"/>
      <c r="H12" s="128"/>
      <c r="I12" s="128"/>
      <c r="J12" s="128"/>
      <c r="K12" s="128"/>
      <c r="L12" s="128"/>
      <c r="M12" s="128">
        <f t="shared" ref="M12:BE12" si="10">WEIBULL(M$5-$F12+0.5,$D12,$E12,FALSE)*$C12</f>
        <v>0.50160235430497924</v>
      </c>
      <c r="N12" s="128">
        <f t="shared" si="10"/>
        <v>1.4914902735464466</v>
      </c>
      <c r="O12" s="128">
        <f t="shared" si="10"/>
        <v>2.4420153211437277</v>
      </c>
      <c r="P12" s="128">
        <f t="shared" si="10"/>
        <v>3.3288577250595681</v>
      </c>
      <c r="Q12" s="128">
        <f t="shared" si="10"/>
        <v>4.1304571559621994</v>
      </c>
      <c r="R12" s="128">
        <f t="shared" si="10"/>
        <v>4.8288789698252979</v>
      </c>
      <c r="S12" s="128">
        <f t="shared" si="10"/>
        <v>5.4104652900296832</v>
      </c>
      <c r="T12" s="128">
        <f t="shared" si="10"/>
        <v>5.8662390184070494</v>
      </c>
      <c r="U12" s="128">
        <f t="shared" si="10"/>
        <v>6.1920471317317709</v>
      </c>
      <c r="V12" s="128">
        <f t="shared" si="10"/>
        <v>6.3884481513566778</v>
      </c>
      <c r="W12" s="128">
        <f t="shared" si="10"/>
        <v>6.4603658721765749</v>
      </c>
      <c r="X12" s="128">
        <f t="shared" si="10"/>
        <v>6.4165459132768676</v>
      </c>
      <c r="Y12" s="128">
        <f t="shared" si="10"/>
        <v>6.2688623540753143</v>
      </c>
      <c r="Z12" s="128">
        <f t="shared" si="10"/>
        <v>6.0315280164318263</v>
      </c>
      <c r="AA12" s="128">
        <f t="shared" si="10"/>
        <v>5.7202636704920069</v>
      </c>
      <c r="AB12" s="128">
        <f t="shared" si="10"/>
        <v>5.3514788417746102</v>
      </c>
      <c r="AC12" s="128">
        <f t="shared" si="10"/>
        <v>4.9415106126709034</v>
      </c>
      <c r="AD12" s="128">
        <f t="shared" si="10"/>
        <v>4.5059577492177088</v>
      </c>
      <c r="AE12" s="128">
        <f t="shared" si="10"/>
        <v>4.0591367041594681</v>
      </c>
      <c r="AF12" s="128">
        <f t="shared" si="10"/>
        <v>3.6136746425644599</v>
      </c>
      <c r="AG12" s="128">
        <f t="shared" si="10"/>
        <v>3.18024362010524</v>
      </c>
      <c r="AH12" s="128">
        <f t="shared" si="10"/>
        <v>2.767430261748411</v>
      </c>
      <c r="AI12" s="128">
        <f t="shared" si="10"/>
        <v>2.38172735726936</v>
      </c>
      <c r="AJ12" s="128">
        <f t="shared" si="10"/>
        <v>2.0276280716607906</v>
      </c>
      <c r="AK12" s="128">
        <f t="shared" si="10"/>
        <v>1.7078000732110301</v>
      </c>
      <c r="AL12" s="128">
        <f t="shared" si="10"/>
        <v>1.4233156971740997</v>
      </c>
      <c r="AM12" s="128">
        <f t="shared" si="10"/>
        <v>1.1739150008542503</v>
      </c>
      <c r="AN12" s="128">
        <f t="shared" si="10"/>
        <v>0.95828082152406779</v>
      </c>
      <c r="AO12" s="128">
        <f t="shared" si="10"/>
        <v>0.77430825907717238</v>
      </c>
      <c r="AP12" s="128">
        <f t="shared" si="10"/>
        <v>0.61935490473692734</v>
      </c>
      <c r="AQ12" s="128">
        <f t="shared" si="10"/>
        <v>0.49046220094291837</v>
      </c>
      <c r="AR12" s="128">
        <f t="shared" si="10"/>
        <v>0.38454219405945517</v>
      </c>
      <c r="AS12" s="128">
        <f t="shared" si="10"/>
        <v>0.29852736971310129</v>
      </c>
      <c r="AT12" s="128">
        <f t="shared" si="10"/>
        <v>0.22948407465753498</v>
      </c>
      <c r="AU12" s="128">
        <f t="shared" si="10"/>
        <v>0.17469215290844334</v>
      </c>
      <c r="AV12" s="128">
        <f t="shared" si="10"/>
        <v>0.1316948573721626</v>
      </c>
      <c r="AW12" s="128">
        <f t="shared" si="10"/>
        <v>9.8323899329433487E-2</v>
      </c>
      <c r="AX12" s="128">
        <f t="shared" si="10"/>
        <v>7.2704763678607925E-2</v>
      </c>
      <c r="AY12" s="128">
        <f t="shared" si="10"/>
        <v>5.3247264803892518E-2</v>
      </c>
      <c r="AZ12" s="128">
        <f t="shared" si="10"/>
        <v>3.8625867790436766E-2</v>
      </c>
      <c r="BA12" s="128">
        <f t="shared" si="10"/>
        <v>2.7753666252743482E-2</v>
      </c>
      <c r="BB12" s="128">
        <f t="shared" si="10"/>
        <v>1.9753189211250081E-2</v>
      </c>
      <c r="BC12" s="128">
        <f t="shared" si="10"/>
        <v>1.3926482909154176E-2</v>
      </c>
      <c r="BD12" s="128">
        <f t="shared" si="10"/>
        <v>9.7262353786838843E-3</v>
      </c>
      <c r="BE12" s="128">
        <f t="shared" si="10"/>
        <v>6.7291178152173135E-3</v>
      </c>
    </row>
    <row r="13" spans="1:57" x14ac:dyDescent="0.35">
      <c r="A13" s="131">
        <f t="shared" si="2"/>
        <v>119.85558448340539</v>
      </c>
      <c r="B13" s="81"/>
      <c r="C13" s="132">
        <v>119.833</v>
      </c>
      <c r="D13" s="126">
        <v>2</v>
      </c>
      <c r="E13" s="126">
        <v>15</v>
      </c>
      <c r="F13" s="124">
        <v>1987</v>
      </c>
      <c r="G13" s="128"/>
      <c r="H13" s="128"/>
      <c r="I13" s="128"/>
      <c r="J13" s="128"/>
      <c r="K13" s="128"/>
      <c r="L13" s="128"/>
      <c r="M13" s="128"/>
      <c r="N13" s="128">
        <f t="shared" ref="N13:BE13" si="11">WEIBULL(N$5-$F13+0.5,$D13,$E13,FALSE)*$C13</f>
        <v>0.53199967184809249</v>
      </c>
      <c r="O13" s="128">
        <f t="shared" si="11"/>
        <v>1.5818752230355206</v>
      </c>
      <c r="P13" s="128">
        <f t="shared" si="11"/>
        <v>2.5900024956951859</v>
      </c>
      <c r="Q13" s="128">
        <f t="shared" si="11"/>
        <v>3.5305879291864763</v>
      </c>
      <c r="R13" s="128">
        <f t="shared" si="11"/>
        <v>4.3807646289842834</v>
      </c>
      <c r="S13" s="128">
        <f t="shared" si="11"/>
        <v>5.1215111039515948</v>
      </c>
      <c r="T13" s="128">
        <f t="shared" si="11"/>
        <v>5.7383418042954615</v>
      </c>
      <c r="U13" s="128">
        <f t="shared" si="11"/>
        <v>6.221735615853043</v>
      </c>
      <c r="V13" s="128">
        <f t="shared" si="11"/>
        <v>6.5672878404122033</v>
      </c>
      <c r="W13" s="128">
        <f t="shared" si="11"/>
        <v>6.7755908459590106</v>
      </c>
      <c r="X13" s="128">
        <f t="shared" si="11"/>
        <v>6.8518668114681063</v>
      </c>
      <c r="Y13" s="128">
        <f t="shared" si="11"/>
        <v>6.8053913442878482</v>
      </c>
      <c r="Z13" s="128">
        <f t="shared" si="11"/>
        <v>6.6487580981352306</v>
      </c>
      <c r="AA13" s="128">
        <f t="shared" si="11"/>
        <v>6.3970411979632438</v>
      </c>
      <c r="AB13" s="128">
        <f t="shared" si="11"/>
        <v>6.0669140993226476</v>
      </c>
      <c r="AC13" s="128">
        <f t="shared" si="11"/>
        <v>5.6757807520080084</v>
      </c>
      <c r="AD13" s="128">
        <f t="shared" si="11"/>
        <v>5.2409682726018474</v>
      </c>
      <c r="AE13" s="128">
        <f t="shared" si="11"/>
        <v>4.7790207190448877</v>
      </c>
      <c r="AF13" s="128">
        <f t="shared" si="11"/>
        <v>4.3051221272506464</v>
      </c>
      <c r="AG13" s="128">
        <f t="shared" si="11"/>
        <v>3.8326648738996592</v>
      </c>
      <c r="AH13" s="128">
        <f t="shared" si="11"/>
        <v>3.3729677458098455</v>
      </c>
      <c r="AI13" s="128">
        <f t="shared" si="11"/>
        <v>2.9351377210990508</v>
      </c>
      <c r="AJ13" s="128">
        <f t="shared" si="11"/>
        <v>2.526061055384377</v>
      </c>
      <c r="AK13" s="128">
        <f t="shared" si="11"/>
        <v>2.1505032013818308</v>
      </c>
      <c r="AL13" s="128">
        <f t="shared" si="11"/>
        <v>1.8112934892207651</v>
      </c>
      <c r="AM13" s="128">
        <f t="shared" si="11"/>
        <v>1.5095692381309531</v>
      </c>
      <c r="AN13" s="128">
        <f t="shared" si="11"/>
        <v>1.2450547527779314</v>
      </c>
      <c r="AO13" s="128">
        <f t="shared" si="11"/>
        <v>1.0163530498087694</v>
      </c>
      <c r="AP13" s="128">
        <f t="shared" si="11"/>
        <v>0.82123167126896068</v>
      </c>
      <c r="AQ13" s="128">
        <f t="shared" si="11"/>
        <v>0.65688807727807175</v>
      </c>
      <c r="AR13" s="128">
        <f t="shared" si="11"/>
        <v>0.52018442042016477</v>
      </c>
      <c r="AS13" s="128">
        <f t="shared" si="11"/>
        <v>0.40784561574643485</v>
      </c>
      <c r="AT13" s="128">
        <f t="shared" si="11"/>
        <v>0.31661825619837913</v>
      </c>
      <c r="AU13" s="128">
        <f t="shared" si="11"/>
        <v>0.24339090788625484</v>
      </c>
      <c r="AV13" s="128">
        <f t="shared" si="11"/>
        <v>0.18527857220786192</v>
      </c>
      <c r="AW13" s="128">
        <f t="shared" si="11"/>
        <v>0.1396756221432599</v>
      </c>
      <c r="AX13" s="128">
        <f t="shared" si="11"/>
        <v>0.10428236974796878</v>
      </c>
      <c r="AY13" s="128">
        <f t="shared" si="11"/>
        <v>7.7110703502191624E-2</v>
      </c>
      <c r="AZ13" s="128">
        <f t="shared" si="11"/>
        <v>5.6474071860627438E-2</v>
      </c>
      <c r="BA13" s="128">
        <f t="shared" si="11"/>
        <v>4.096661192476421E-2</v>
      </c>
      <c r="BB13" s="128">
        <f t="shared" si="11"/>
        <v>2.9435550316543727E-2</v>
      </c>
      <c r="BC13" s="128">
        <f t="shared" si="11"/>
        <v>2.0950240939158222E-2</v>
      </c>
      <c r="BD13" s="128">
        <f t="shared" si="11"/>
        <v>1.4770433739159473E-2</v>
      </c>
      <c r="BE13" s="128">
        <f t="shared" si="11"/>
        <v>1.031564940907569E-2</v>
      </c>
    </row>
    <row r="14" spans="1:57" x14ac:dyDescent="0.35">
      <c r="A14" s="131">
        <f t="shared" si="2"/>
        <v>125.97189603082076</v>
      </c>
      <c r="B14" s="81"/>
      <c r="C14" s="132">
        <v>125.959</v>
      </c>
      <c r="D14" s="126">
        <v>2</v>
      </c>
      <c r="E14" s="126">
        <v>15</v>
      </c>
      <c r="F14" s="124">
        <v>1988</v>
      </c>
      <c r="G14" s="128"/>
      <c r="H14" s="128"/>
      <c r="I14" s="128"/>
      <c r="J14" s="128"/>
      <c r="K14" s="128"/>
      <c r="L14" s="128"/>
      <c r="M14" s="128"/>
      <c r="N14" s="128"/>
      <c r="O14" s="128">
        <f t="shared" ref="O14:BE14" si="12">WEIBULL(O$5-$F14+0.5,$D14,$E14,FALSE)*$C14</f>
        <v>0.55919610346326876</v>
      </c>
      <c r="P14" s="128">
        <f t="shared" si="12"/>
        <v>1.6627424934561528</v>
      </c>
      <c r="Q14" s="128">
        <f t="shared" si="12"/>
        <v>2.7224063851799585</v>
      </c>
      <c r="R14" s="128">
        <f t="shared" si="12"/>
        <v>3.7110756216768284</v>
      </c>
      <c r="S14" s="128">
        <f t="shared" si="12"/>
        <v>4.6047143266231449</v>
      </c>
      <c r="T14" s="128">
        <f t="shared" si="12"/>
        <v>5.3833286085021568</v>
      </c>
      <c r="U14" s="128">
        <f t="shared" si="12"/>
        <v>6.0316923996499465</v>
      </c>
      <c r="V14" s="128">
        <f t="shared" si="12"/>
        <v>6.5397978556594047</v>
      </c>
      <c r="W14" s="128">
        <f t="shared" si="12"/>
        <v>6.9030151051086159</v>
      </c>
      <c r="X14" s="128">
        <f t="shared" si="12"/>
        <v>7.1219667985125215</v>
      </c>
      <c r="Y14" s="128">
        <f t="shared" si="12"/>
        <v>7.2021420786069879</v>
      </c>
      <c r="Z14" s="128">
        <f t="shared" si="12"/>
        <v>7.1532907323955266</v>
      </c>
      <c r="AA14" s="128">
        <f t="shared" si="12"/>
        <v>6.988650215575138</v>
      </c>
      <c r="AB14" s="128">
        <f t="shared" si="12"/>
        <v>6.7240652596050525</v>
      </c>
      <c r="AC14" s="128">
        <f t="shared" si="12"/>
        <v>6.3770616861514053</v>
      </c>
      <c r="AD14" s="128">
        <f t="shared" si="12"/>
        <v>5.9659331548252714</v>
      </c>
      <c r="AE14" s="128">
        <f t="shared" si="12"/>
        <v>5.5088925642240127</v>
      </c>
      <c r="AF14" s="128">
        <f t="shared" si="12"/>
        <v>5.0233297234499261</v>
      </c>
      <c r="AG14" s="128">
        <f t="shared" si="12"/>
        <v>4.5252048936967633</v>
      </c>
      <c r="AH14" s="128">
        <f t="shared" si="12"/>
        <v>4.0285950852563746</v>
      </c>
      <c r="AI14" s="128">
        <f t="shared" si="12"/>
        <v>3.5453977142728825</v>
      </c>
      <c r="AJ14" s="128">
        <f t="shared" si="12"/>
        <v>3.0851853180001778</v>
      </c>
      <c r="AK14" s="128">
        <f t="shared" si="12"/>
        <v>2.6551961853175734</v>
      </c>
      <c r="AL14" s="128">
        <f t="shared" si="12"/>
        <v>2.2604393843336479</v>
      </c>
      <c r="AM14" s="128">
        <f t="shared" si="12"/>
        <v>1.9038888837695656</v>
      </c>
      <c r="AN14" s="128">
        <f t="shared" si="12"/>
        <v>1.5867401439147542</v>
      </c>
      <c r="AO14" s="128">
        <f t="shared" si="12"/>
        <v>1.3087033755739694</v>
      </c>
      <c r="AP14" s="128">
        <f t="shared" si="12"/>
        <v>1.0683101800077006</v>
      </c>
      <c r="AQ14" s="128">
        <f t="shared" si="12"/>
        <v>0.86321397345778728</v>
      </c>
      <c r="AR14" s="128">
        <f t="shared" si="12"/>
        <v>0.69046894700014727</v>
      </c>
      <c r="AS14" s="128">
        <f t="shared" si="12"/>
        <v>0.5467768428705243</v>
      </c>
      <c r="AT14" s="128">
        <f t="shared" si="12"/>
        <v>0.42869515003217135</v>
      </c>
      <c r="AU14" s="128">
        <f t="shared" si="12"/>
        <v>0.33280414353718624</v>
      </c>
      <c r="AV14" s="128">
        <f t="shared" si="12"/>
        <v>0.25583332943717318</v>
      </c>
      <c r="AW14" s="128">
        <f t="shared" si="12"/>
        <v>0.1947502247021278</v>
      </c>
      <c r="AX14" s="128">
        <f t="shared" si="12"/>
        <v>0.14681599967907732</v>
      </c>
      <c r="AY14" s="128">
        <f t="shared" si="12"/>
        <v>0.10961340374591641</v>
      </c>
      <c r="AZ14" s="128">
        <f t="shared" si="12"/>
        <v>8.1052690848368608E-2</v>
      </c>
      <c r="BA14" s="128">
        <f t="shared" si="12"/>
        <v>5.9361090997411166E-2</v>
      </c>
      <c r="BB14" s="128">
        <f t="shared" si="12"/>
        <v>4.306087197542726E-2</v>
      </c>
      <c r="BC14" s="128">
        <f t="shared" si="12"/>
        <v>3.0940329310970526E-2</v>
      </c>
      <c r="BD14" s="128">
        <f t="shared" si="12"/>
        <v>2.2021241214485416E-2</v>
      </c>
      <c r="BE14" s="128">
        <f t="shared" si="12"/>
        <v>1.5525515203247754E-2</v>
      </c>
    </row>
    <row r="15" spans="1:57" x14ac:dyDescent="0.35">
      <c r="A15" s="131">
        <f t="shared" si="2"/>
        <v>131.76624922770435</v>
      </c>
      <c r="B15" s="81"/>
      <c r="C15" s="132">
        <v>131.76900000000001</v>
      </c>
      <c r="D15" s="126">
        <v>2</v>
      </c>
      <c r="E15" s="126">
        <v>15</v>
      </c>
      <c r="F15" s="124">
        <v>1989</v>
      </c>
      <c r="G15" s="128"/>
      <c r="H15" s="128"/>
      <c r="I15" s="128"/>
      <c r="J15" s="128"/>
      <c r="K15" s="128"/>
      <c r="L15" s="128"/>
      <c r="M15" s="128"/>
      <c r="N15" s="128"/>
      <c r="O15" s="128"/>
      <c r="P15" s="128">
        <f t="shared" ref="P15:BE15" si="13">WEIBULL(P$5-$F15+0.5,$D15,$E15,FALSE)*$C15</f>
        <v>0.58498965026120775</v>
      </c>
      <c r="Q15" s="128">
        <f t="shared" si="13"/>
        <v>1.7394383539105882</v>
      </c>
      <c r="R15" s="128">
        <f t="shared" si="13"/>
        <v>2.8479804298920914</v>
      </c>
      <c r="S15" s="128">
        <f t="shared" si="13"/>
        <v>3.8822531426316025</v>
      </c>
      <c r="T15" s="128">
        <f t="shared" si="13"/>
        <v>4.8171119340801791</v>
      </c>
      <c r="U15" s="128">
        <f t="shared" si="13"/>
        <v>5.6316406720736163</v>
      </c>
      <c r="V15" s="128">
        <f t="shared" si="13"/>
        <v>6.3099109695176514</v>
      </c>
      <c r="W15" s="128">
        <f t="shared" si="13"/>
        <v>6.841453358969062</v>
      </c>
      <c r="X15" s="128">
        <f t="shared" si="13"/>
        <v>7.2214244109992709</v>
      </c>
      <c r="Y15" s="128">
        <f t="shared" si="13"/>
        <v>7.4504754965758417</v>
      </c>
      <c r="Z15" s="128">
        <f t="shared" si="13"/>
        <v>7.5343489512933903</v>
      </c>
      <c r="AA15" s="128">
        <f t="shared" si="13"/>
        <v>7.4832442820046694</v>
      </c>
      <c r="AB15" s="128">
        <f t="shared" si="13"/>
        <v>7.3110095368820041</v>
      </c>
      <c r="AC15" s="128">
        <f t="shared" si="13"/>
        <v>7.0342203033756867</v>
      </c>
      <c r="AD15" s="128">
        <f t="shared" si="13"/>
        <v>6.6712108013122098</v>
      </c>
      <c r="AE15" s="128">
        <f t="shared" si="13"/>
        <v>6.2411185058485001</v>
      </c>
      <c r="AF15" s="128">
        <f t="shared" si="13"/>
        <v>5.7629964059355343</v>
      </c>
      <c r="AG15" s="128">
        <f t="shared" si="13"/>
        <v>5.2550364351040688</v>
      </c>
      <c r="AH15" s="128">
        <f t="shared" si="13"/>
        <v>4.7339350394773598</v>
      </c>
      <c r="AI15" s="128">
        <f t="shared" si="13"/>
        <v>4.2144185472189148</v>
      </c>
      <c r="AJ15" s="128">
        <f t="shared" si="13"/>
        <v>3.7089331561224168</v>
      </c>
      <c r="AK15" s="128">
        <f t="shared" si="13"/>
        <v>3.227492947447705</v>
      </c>
      <c r="AL15" s="128">
        <f t="shared" si="13"/>
        <v>2.7776700842584598</v>
      </c>
      <c r="AM15" s="128">
        <f t="shared" si="13"/>
        <v>2.3647046835419498</v>
      </c>
      <c r="AN15" s="128">
        <f t="shared" si="13"/>
        <v>1.9917078916586499</v>
      </c>
      <c r="AO15" s="128">
        <f t="shared" si="13"/>
        <v>1.6599303108432366</v>
      </c>
      <c r="AP15" s="128">
        <f t="shared" si="13"/>
        <v>1.3690687850491539</v>
      </c>
      <c r="AQ15" s="128">
        <f t="shared" si="13"/>
        <v>1.1175871839998308</v>
      </c>
      <c r="AR15" s="128">
        <f t="shared" si="13"/>
        <v>0.90303068513213958</v>
      </c>
      <c r="AS15" s="128">
        <f t="shared" si="13"/>
        <v>0.72231760078487761</v>
      </c>
      <c r="AT15" s="128">
        <f t="shared" si="13"/>
        <v>0.57199753735903047</v>
      </c>
      <c r="AU15" s="128">
        <f t="shared" si="13"/>
        <v>0.44846919413927699</v>
      </c>
      <c r="AV15" s="128">
        <f t="shared" si="13"/>
        <v>0.34815510753301865</v>
      </c>
      <c r="AW15" s="128">
        <f t="shared" si="13"/>
        <v>0.26763392839421457</v>
      </c>
      <c r="AX15" s="128">
        <f t="shared" si="13"/>
        <v>0.20373329701549456</v>
      </c>
      <c r="AY15" s="128">
        <f t="shared" si="13"/>
        <v>0.15358805215754603</v>
      </c>
      <c r="AZ15" s="128">
        <f t="shared" si="13"/>
        <v>0.11466944480502116</v>
      </c>
      <c r="BA15" s="128">
        <f t="shared" si="13"/>
        <v>8.4791337025529601E-2</v>
      </c>
      <c r="BB15" s="128">
        <f t="shared" si="13"/>
        <v>6.2099187828085899E-2</v>
      </c>
      <c r="BC15" s="128">
        <f t="shared" si="13"/>
        <v>4.504710294087818E-2</v>
      </c>
      <c r="BD15" s="128">
        <f t="shared" si="13"/>
        <v>3.2367486666115768E-2</v>
      </c>
      <c r="BE15" s="128">
        <f t="shared" si="13"/>
        <v>2.303699563819599E-2</v>
      </c>
    </row>
    <row r="16" spans="1:57" x14ac:dyDescent="0.35">
      <c r="A16" s="131">
        <f t="shared" si="2"/>
        <v>138.17395346161658</v>
      </c>
      <c r="B16" s="81"/>
      <c r="C16" s="132">
        <v>138.20099999999999</v>
      </c>
      <c r="D16" s="126">
        <v>2</v>
      </c>
      <c r="E16" s="126">
        <v>15</v>
      </c>
      <c r="F16" s="124">
        <v>1990</v>
      </c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>
        <f t="shared" ref="Q16:BE16" si="14">WEIBULL(Q$5-$F16+0.5,$D16,$E16,FALSE)*$C16</f>
        <v>0.61354457160446807</v>
      </c>
      <c r="R16" s="128">
        <f t="shared" si="14"/>
        <v>1.8243450276529167</v>
      </c>
      <c r="S16" s="128">
        <f t="shared" si="14"/>
        <v>2.9869980298212546</v>
      </c>
      <c r="T16" s="128">
        <f t="shared" si="14"/>
        <v>4.0717563809760264</v>
      </c>
      <c r="U16" s="128">
        <f t="shared" si="14"/>
        <v>5.0522481494267595</v>
      </c>
      <c r="V16" s="128">
        <f t="shared" si="14"/>
        <v>5.9065362302305235</v>
      </c>
      <c r="W16" s="128">
        <f t="shared" si="14"/>
        <v>6.6179147287928792</v>
      </c>
      <c r="X16" s="128">
        <f t="shared" si="14"/>
        <v>7.1754031347500797</v>
      </c>
      <c r="Y16" s="128">
        <f t="shared" si="14"/>
        <v>7.5739215978303713</v>
      </c>
      <c r="Z16" s="128">
        <f t="shared" si="14"/>
        <v>7.814153284173651</v>
      </c>
      <c r="AA16" s="128">
        <f t="shared" si="14"/>
        <v>7.9021208282501787</v>
      </c>
      <c r="AB16" s="128">
        <f t="shared" si="14"/>
        <v>7.8485216023292823</v>
      </c>
      <c r="AC16" s="128">
        <f t="shared" si="14"/>
        <v>7.6678796151342867</v>
      </c>
      <c r="AD16" s="128">
        <f t="shared" si="14"/>
        <v>7.377579553209201</v>
      </c>
      <c r="AE16" s="128">
        <f t="shared" si="14"/>
        <v>6.9968505790599353</v>
      </c>
      <c r="AF16" s="128">
        <f t="shared" si="14"/>
        <v>6.5457643195802389</v>
      </c>
      <c r="AG16" s="128">
        <f t="shared" si="14"/>
        <v>6.0443037914585123</v>
      </c>
      <c r="AH16" s="128">
        <f t="shared" si="14"/>
        <v>5.5115489255273795</v>
      </c>
      <c r="AI16" s="128">
        <f t="shared" si="14"/>
        <v>4.9650111664413528</v>
      </c>
      <c r="AJ16" s="128">
        <f t="shared" si="14"/>
        <v>4.4201356741282183</v>
      </c>
      <c r="AK16" s="128">
        <f t="shared" si="14"/>
        <v>3.8899761788377698</v>
      </c>
      <c r="AL16" s="128">
        <f t="shared" si="14"/>
        <v>3.3850355761235207</v>
      </c>
      <c r="AM16" s="128">
        <f t="shared" si="14"/>
        <v>2.9132556467348416</v>
      </c>
      <c r="AN16" s="128">
        <f t="shared" si="14"/>
        <v>2.4801322918909681</v>
      </c>
      <c r="AO16" s="128">
        <f t="shared" si="14"/>
        <v>2.088928521390593</v>
      </c>
      <c r="AP16" s="128">
        <f t="shared" si="14"/>
        <v>1.7409559827337697</v>
      </c>
      <c r="AQ16" s="128">
        <f t="shared" si="14"/>
        <v>1.4358967220103218</v>
      </c>
      <c r="AR16" s="128">
        <f t="shared" si="14"/>
        <v>1.1721396262850945</v>
      </c>
      <c r="AS16" s="128">
        <f t="shared" si="14"/>
        <v>0.94711004649004549</v>
      </c>
      <c r="AT16" s="128">
        <f t="shared" si="14"/>
        <v>0.75757586948425548</v>
      </c>
      <c r="AU16" s="128">
        <f t="shared" si="14"/>
        <v>0.59991827865852632</v>
      </c>
      <c r="AV16" s="128">
        <f t="shared" si="14"/>
        <v>0.47036018410432057</v>
      </c>
      <c r="AW16" s="128">
        <f t="shared" si="14"/>
        <v>0.36514949659002272</v>
      </c>
      <c r="AX16" s="128">
        <f t="shared" si="14"/>
        <v>0.28069786169743144</v>
      </c>
      <c r="AY16" s="128">
        <f t="shared" si="14"/>
        <v>0.21367806829252983</v>
      </c>
      <c r="AZ16" s="128">
        <f t="shared" si="14"/>
        <v>0.16108509889446695</v>
      </c>
      <c r="BA16" s="128">
        <f t="shared" si="14"/>
        <v>0.12026676943362041</v>
      </c>
      <c r="BB16" s="128">
        <f t="shared" si="14"/>
        <v>8.89302306936018E-2</v>
      </c>
      <c r="BC16" s="128">
        <f t="shared" si="14"/>
        <v>6.5130416539772626E-2</v>
      </c>
      <c r="BD16" s="128">
        <f t="shared" si="14"/>
        <v>4.724597343481627E-2</v>
      </c>
      <c r="BE16" s="128">
        <f t="shared" si="14"/>
        <v>3.3947430918834204E-2</v>
      </c>
    </row>
    <row r="17" spans="1:57" x14ac:dyDescent="0.35">
      <c r="A17" s="131">
        <f t="shared" si="2"/>
        <v>145.53773965515197</v>
      </c>
      <c r="B17" s="81"/>
      <c r="C17" s="132">
        <v>145.602</v>
      </c>
      <c r="D17" s="126">
        <v>2</v>
      </c>
      <c r="E17" s="126">
        <v>15</v>
      </c>
      <c r="F17" s="124">
        <v>1991</v>
      </c>
      <c r="G17" s="128"/>
      <c r="H17" s="128"/>
      <c r="I17" s="128"/>
      <c r="J17" s="128"/>
      <c r="K17" s="128"/>
      <c r="L17" s="128"/>
      <c r="M17" s="128"/>
      <c r="N17" s="128"/>
      <c r="O17" s="128"/>
      <c r="P17" s="128"/>
      <c r="Q17" s="128"/>
      <c r="R17" s="128">
        <f t="shared" ref="R17:BE17" si="15">WEIBULL(R$5-$F17+0.5,$D17,$E17,FALSE)*$C17</f>
        <v>0.64640137708666201</v>
      </c>
      <c r="S17" s="128">
        <f t="shared" si="15"/>
        <v>1.9220431452472848</v>
      </c>
      <c r="T17" s="128">
        <f t="shared" si="15"/>
        <v>3.1469590461576566</v>
      </c>
      <c r="U17" s="128">
        <f t="shared" si="15"/>
        <v>4.2898088478583478</v>
      </c>
      <c r="V17" s="128">
        <f t="shared" si="15"/>
        <v>5.3228083375144548</v>
      </c>
      <c r="W17" s="128">
        <f t="shared" si="15"/>
        <v>6.2228456248075243</v>
      </c>
      <c r="X17" s="128">
        <f t="shared" si="15"/>
        <v>6.9723201738171277</v>
      </c>
      <c r="Y17" s="128">
        <f t="shared" si="15"/>
        <v>7.5596634411175119</v>
      </c>
      <c r="Z17" s="128">
        <f t="shared" si="15"/>
        <v>7.9795235380879861</v>
      </c>
      <c r="AA17" s="128">
        <f t="shared" si="15"/>
        <v>8.2326202160784074</v>
      </c>
      <c r="AB17" s="128">
        <f t="shared" si="15"/>
        <v>8.3252986362970063</v>
      </c>
      <c r="AC17" s="128">
        <f t="shared" si="15"/>
        <v>8.2688290413408598</v>
      </c>
      <c r="AD17" s="128">
        <f t="shared" si="15"/>
        <v>8.0785132359590914</v>
      </c>
      <c r="AE17" s="128">
        <f t="shared" si="15"/>
        <v>7.77266689898312</v>
      </c>
      <c r="AF17" s="128">
        <f t="shared" si="15"/>
        <v>7.371548961384395</v>
      </c>
      <c r="AG17" s="128">
        <f t="shared" si="15"/>
        <v>6.8963059345411537</v>
      </c>
      <c r="AH17" s="128">
        <f t="shared" si="15"/>
        <v>6.3679909743340666</v>
      </c>
      <c r="AI17" s="128">
        <f t="shared" si="15"/>
        <v>5.8067057883418904</v>
      </c>
      <c r="AJ17" s="128">
        <f t="shared" si="15"/>
        <v>5.2308996017119549</v>
      </c>
      <c r="AK17" s="128">
        <f t="shared" si="15"/>
        <v>4.656844700287385</v>
      </c>
      <c r="AL17" s="128">
        <f t="shared" si="15"/>
        <v>4.0982938733521248</v>
      </c>
      <c r="AM17" s="128">
        <f t="shared" si="15"/>
        <v>3.5663124720858526</v>
      </c>
      <c r="AN17" s="128">
        <f t="shared" si="15"/>
        <v>3.0692675789313135</v>
      </c>
      <c r="AO17" s="128">
        <f t="shared" si="15"/>
        <v>2.6129494139977916</v>
      </c>
      <c r="AP17" s="128">
        <f t="shared" si="15"/>
        <v>2.2007957292024889</v>
      </c>
      <c r="AQ17" s="128">
        <f t="shared" si="15"/>
        <v>1.8341884139622895</v>
      </c>
      <c r="AR17" s="128">
        <f t="shared" si="15"/>
        <v>1.512792487161069</v>
      </c>
      <c r="AS17" s="128">
        <f t="shared" si="15"/>
        <v>1.2349105568437446</v>
      </c>
      <c r="AT17" s="128">
        <f t="shared" si="15"/>
        <v>0.99783009521670329</v>
      </c>
      <c r="AU17" s="128">
        <f t="shared" si="15"/>
        <v>0.79814590161175814</v>
      </c>
      <c r="AV17" s="128">
        <f t="shared" si="15"/>
        <v>0.63204536298028779</v>
      </c>
      <c r="AW17" s="128">
        <f t="shared" si="15"/>
        <v>0.4955491170538367</v>
      </c>
      <c r="AX17" s="128">
        <f t="shared" si="15"/>
        <v>0.38470414108798412</v>
      </c>
      <c r="AY17" s="128">
        <f t="shared" si="15"/>
        <v>0.29572991554959382</v>
      </c>
      <c r="AZ17" s="128">
        <f t="shared" si="15"/>
        <v>0.22512104904833488</v>
      </c>
      <c r="BA17" s="128">
        <f t="shared" si="15"/>
        <v>0.16971159810154907</v>
      </c>
      <c r="BB17" s="128">
        <f t="shared" si="15"/>
        <v>0.12670734772594988</v>
      </c>
      <c r="BC17" s="128">
        <f t="shared" si="15"/>
        <v>9.3692661047675568E-2</v>
      </c>
      <c r="BD17" s="128">
        <f t="shared" si="15"/>
        <v>6.8618308905318878E-2</v>
      </c>
      <c r="BE17" s="128">
        <f t="shared" si="15"/>
        <v>4.9776110332458656E-2</v>
      </c>
    </row>
    <row r="18" spans="1:57" x14ac:dyDescent="0.35">
      <c r="A18" s="131">
        <f t="shared" si="2"/>
        <v>153.38577307942924</v>
      </c>
      <c r="B18" s="81"/>
      <c r="C18" s="132">
        <v>153.506</v>
      </c>
      <c r="D18" s="126">
        <v>2</v>
      </c>
      <c r="E18" s="126">
        <v>15</v>
      </c>
      <c r="F18" s="124">
        <v>1992</v>
      </c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>
        <f t="shared" ref="S18:BE18" si="16">WEIBULL(S$5-$F18+0.5,$D18,$E18,FALSE)*$C18</f>
        <v>0.68149125555325563</v>
      </c>
      <c r="T18" s="128">
        <f t="shared" si="16"/>
        <v>2.026381197059997</v>
      </c>
      <c r="U18" s="128">
        <f t="shared" si="16"/>
        <v>3.3177916192049373</v>
      </c>
      <c r="V18" s="128">
        <f t="shared" si="16"/>
        <v>4.5226809865204016</v>
      </c>
      <c r="W18" s="128">
        <f t="shared" si="16"/>
        <v>5.6117568210498057</v>
      </c>
      <c r="X18" s="128">
        <f t="shared" si="16"/>
        <v>6.5606526042341713</v>
      </c>
      <c r="Y18" s="128">
        <f t="shared" si="16"/>
        <v>7.350812355613054</v>
      </c>
      <c r="Z18" s="128">
        <f t="shared" si="16"/>
        <v>7.9700395337439369</v>
      </c>
      <c r="AA18" s="128">
        <f t="shared" si="16"/>
        <v>8.412691722900334</v>
      </c>
      <c r="AB18" s="128">
        <f t="shared" si="16"/>
        <v>8.6795277461115372</v>
      </c>
      <c r="AC18" s="128">
        <f t="shared" si="16"/>
        <v>8.7772372114628112</v>
      </c>
      <c r="AD18" s="128">
        <f t="shared" si="16"/>
        <v>8.7177021663168777</v>
      </c>
      <c r="AE18" s="128">
        <f t="shared" si="16"/>
        <v>8.5170550734133901</v>
      </c>
      <c r="AF18" s="128">
        <f t="shared" si="16"/>
        <v>8.1946058776342561</v>
      </c>
      <c r="AG18" s="128">
        <f t="shared" si="16"/>
        <v>7.7717132653828438</v>
      </c>
      <c r="AH18" s="128">
        <f t="shared" si="16"/>
        <v>7.2706716857438378</v>
      </c>
      <c r="AI18" s="128">
        <f t="shared" si="16"/>
        <v>6.7136771645040954</v>
      </c>
      <c r="AJ18" s="128">
        <f t="shared" si="16"/>
        <v>6.1219226298073535</v>
      </c>
      <c r="AK18" s="128">
        <f t="shared" si="16"/>
        <v>5.5148588224090007</v>
      </c>
      <c r="AL18" s="128">
        <f t="shared" si="16"/>
        <v>4.9096413686784199</v>
      </c>
      <c r="AM18" s="128">
        <f t="shared" si="16"/>
        <v>4.3207696276341752</v>
      </c>
      <c r="AN18" s="128">
        <f t="shared" si="16"/>
        <v>3.7599096326974277</v>
      </c>
      <c r="AO18" s="128">
        <f t="shared" si="16"/>
        <v>3.2358826731187085</v>
      </c>
      <c r="AP18" s="128">
        <f t="shared" si="16"/>
        <v>2.754793290924197</v>
      </c>
      <c r="AQ18" s="128">
        <f t="shared" si="16"/>
        <v>2.3202658562860208</v>
      </c>
      <c r="AR18" s="128">
        <f t="shared" si="16"/>
        <v>1.9337572744446863</v>
      </c>
      <c r="AS18" s="128">
        <f t="shared" si="16"/>
        <v>1.5949143798446934</v>
      </c>
      <c r="AT18" s="128">
        <f t="shared" si="16"/>
        <v>1.3019476376619541</v>
      </c>
      <c r="AU18" s="128">
        <f t="shared" si="16"/>
        <v>1.0519972706167171</v>
      </c>
      <c r="AV18" s="128">
        <f t="shared" si="16"/>
        <v>0.84147322682940162</v>
      </c>
      <c r="AW18" s="128">
        <f t="shared" si="16"/>
        <v>0.6663559256717082</v>
      </c>
      <c r="AX18" s="128">
        <f t="shared" si="16"/>
        <v>0.52244998531933806</v>
      </c>
      <c r="AY18" s="128">
        <f t="shared" si="16"/>
        <v>0.4055877933122628</v>
      </c>
      <c r="AZ18" s="128">
        <f t="shared" si="16"/>
        <v>0.31178360473314892</v>
      </c>
      <c r="BA18" s="128">
        <f t="shared" si="16"/>
        <v>0.23734173813006479</v>
      </c>
      <c r="BB18" s="128">
        <f t="shared" si="16"/>
        <v>0.17892438687776532</v>
      </c>
      <c r="BC18" s="128">
        <f t="shared" si="16"/>
        <v>0.13358565212029822</v>
      </c>
      <c r="BD18" s="128">
        <f t="shared" si="16"/>
        <v>9.8778764211923498E-2</v>
      </c>
      <c r="BE18" s="128">
        <f t="shared" si="16"/>
        <v>7.234325165052595E-2</v>
      </c>
    </row>
    <row r="19" spans="1:57" x14ac:dyDescent="0.35">
      <c r="A19" s="131">
        <f t="shared" si="2"/>
        <v>160.82699237643732</v>
      </c>
      <c r="B19" s="81"/>
      <c r="C19" s="132">
        <v>161.029</v>
      </c>
      <c r="D19" s="126">
        <v>2</v>
      </c>
      <c r="E19" s="126">
        <v>15</v>
      </c>
      <c r="F19" s="124">
        <v>1993</v>
      </c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>
        <f t="shared" ref="T19:BE19" si="17">WEIBULL(T$5-$F19+0.5,$D19,$E19,FALSE)*$C19</f>
        <v>0.71488968112311702</v>
      </c>
      <c r="U19" s="128">
        <f t="shared" si="17"/>
        <v>2.1256897957172636</v>
      </c>
      <c r="V19" s="128">
        <f t="shared" si="17"/>
        <v>3.4803894743459658</v>
      </c>
      <c r="W19" s="128">
        <f t="shared" si="17"/>
        <v>4.7443278867170902</v>
      </c>
      <c r="X19" s="128">
        <f t="shared" si="17"/>
        <v>5.8867769933216243</v>
      </c>
      <c r="Y19" s="128">
        <f t="shared" si="17"/>
        <v>6.8821761247588</v>
      </c>
      <c r="Z19" s="128">
        <f t="shared" si="17"/>
        <v>7.7110599117429581</v>
      </c>
      <c r="AA19" s="128">
        <f t="shared" si="17"/>
        <v>8.3606340864803492</v>
      </c>
      <c r="AB19" s="128">
        <f t="shared" si="17"/>
        <v>8.8249797105449801</v>
      </c>
      <c r="AC19" s="128">
        <f t="shared" si="17"/>
        <v>9.1048927952561769</v>
      </c>
      <c r="AD19" s="128">
        <f t="shared" si="17"/>
        <v>9.2073907920514184</v>
      </c>
      <c r="AE19" s="128">
        <f t="shared" si="17"/>
        <v>9.1449380619639662</v>
      </c>
      <c r="AF19" s="128">
        <f t="shared" si="17"/>
        <v>8.934457685150317</v>
      </c>
      <c r="AG19" s="128">
        <f t="shared" si="17"/>
        <v>8.5962059454976778</v>
      </c>
      <c r="AH19" s="128">
        <f t="shared" si="17"/>
        <v>8.1525882728449304</v>
      </c>
      <c r="AI19" s="128">
        <f t="shared" si="17"/>
        <v>7.6269917194353605</v>
      </c>
      <c r="AJ19" s="128">
        <f t="shared" si="17"/>
        <v>7.0427000906995811</v>
      </c>
      <c r="AK19" s="128">
        <f t="shared" si="17"/>
        <v>6.4219449347598676</v>
      </c>
      <c r="AL19" s="128">
        <f t="shared" si="17"/>
        <v>5.7851302314808475</v>
      </c>
      <c r="AM19" s="128">
        <f t="shared" si="17"/>
        <v>5.1502523677049581</v>
      </c>
      <c r="AN19" s="128">
        <f t="shared" si="17"/>
        <v>4.5325212849550089</v>
      </c>
      <c r="AO19" s="128">
        <f t="shared" si="17"/>
        <v>3.9441747439424786</v>
      </c>
      <c r="AP19" s="128">
        <f t="shared" si="17"/>
        <v>3.3944663463944895</v>
      </c>
      <c r="AQ19" s="128">
        <f t="shared" si="17"/>
        <v>2.889799804856048</v>
      </c>
      <c r="AR19" s="128">
        <f t="shared" si="17"/>
        <v>2.4339771121121108</v>
      </c>
      <c r="AS19" s="128">
        <f t="shared" si="17"/>
        <v>2.0285265732059554</v>
      </c>
      <c r="AT19" s="128">
        <f t="shared" si="17"/>
        <v>1.6730777146952636</v>
      </c>
      <c r="AU19" s="128">
        <f t="shared" si="17"/>
        <v>1.3657533004903184</v>
      </c>
      <c r="AV19" s="128">
        <f t="shared" si="17"/>
        <v>1.1035534017571909</v>
      </c>
      <c r="AW19" s="128">
        <f t="shared" si="17"/>
        <v>0.88271202586942343</v>
      </c>
      <c r="AX19" s="128">
        <f t="shared" si="17"/>
        <v>0.69901260116861563</v>
      </c>
      <c r="AY19" s="128">
        <f t="shared" si="17"/>
        <v>0.54805413916060397</v>
      </c>
      <c r="AZ19" s="128">
        <f t="shared" si="17"/>
        <v>0.42546478163251183</v>
      </c>
      <c r="BA19" s="128">
        <f t="shared" si="17"/>
        <v>0.32706345085256755</v>
      </c>
      <c r="BB19" s="128">
        <f t="shared" si="17"/>
        <v>0.2489733479430524</v>
      </c>
      <c r="BC19" s="128">
        <f t="shared" si="17"/>
        <v>0.187693087531039</v>
      </c>
      <c r="BD19" s="128">
        <f t="shared" si="17"/>
        <v>0.14013239857256068</v>
      </c>
      <c r="BE19" s="128">
        <f t="shared" si="17"/>
        <v>0.10361969970087051</v>
      </c>
    </row>
    <row r="20" spans="1:57" x14ac:dyDescent="0.35">
      <c r="A20" s="131">
        <f t="shared" si="2"/>
        <v>167.97857637288564</v>
      </c>
      <c r="B20" s="81"/>
      <c r="C20" s="132">
        <v>168.298</v>
      </c>
      <c r="D20" s="126">
        <v>2</v>
      </c>
      <c r="E20" s="126">
        <v>15</v>
      </c>
      <c r="F20" s="124">
        <v>1994</v>
      </c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>
        <f t="shared" ref="U20:BE20" si="18">WEIBULL(U$5-$F20+0.5,$D20,$E20,FALSE)*$C20</f>
        <v>0.74716047142849029</v>
      </c>
      <c r="V20" s="128">
        <f t="shared" si="18"/>
        <v>2.2216454256042328</v>
      </c>
      <c r="W20" s="128">
        <f t="shared" si="18"/>
        <v>3.6374975175494932</v>
      </c>
      <c r="X20" s="128">
        <f t="shared" si="18"/>
        <v>4.9584912946035367</v>
      </c>
      <c r="Y20" s="128">
        <f t="shared" si="18"/>
        <v>6.152511624751086</v>
      </c>
      <c r="Z20" s="128">
        <f t="shared" si="18"/>
        <v>7.1928440060154175</v>
      </c>
      <c r="AA20" s="128">
        <f t="shared" si="18"/>
        <v>8.0591443840955126</v>
      </c>
      <c r="AB20" s="128">
        <f t="shared" si="18"/>
        <v>8.738040945956751</v>
      </c>
      <c r="AC20" s="128">
        <f t="shared" si="18"/>
        <v>9.2233475667444953</v>
      </c>
      <c r="AD20" s="128">
        <f t="shared" si="18"/>
        <v>9.5158961904751571</v>
      </c>
      <c r="AE20" s="128">
        <f t="shared" si="18"/>
        <v>9.6230210429218932</v>
      </c>
      <c r="AF20" s="128">
        <f t="shared" si="18"/>
        <v>9.5577491380584334</v>
      </c>
      <c r="AG20" s="128">
        <f t="shared" si="18"/>
        <v>9.3377674797423325</v>
      </c>
      <c r="AH20" s="128">
        <f t="shared" si="18"/>
        <v>8.9842467395026251</v>
      </c>
      <c r="AI20" s="128">
        <f t="shared" si="18"/>
        <v>8.5206037492827775</v>
      </c>
      <c r="AJ20" s="128">
        <f t="shared" si="18"/>
        <v>7.9712812747861088</v>
      </c>
      <c r="AK20" s="128">
        <f t="shared" si="18"/>
        <v>7.3606141742453728</v>
      </c>
      <c r="AL20" s="128">
        <f t="shared" si="18"/>
        <v>6.71183754870375</v>
      </c>
      <c r="AM20" s="128">
        <f t="shared" si="18"/>
        <v>6.0462764328025616</v>
      </c>
      <c r="AN20" s="128">
        <f t="shared" si="18"/>
        <v>5.3827395871551644</v>
      </c>
      <c r="AO20" s="128">
        <f t="shared" si="18"/>
        <v>4.7371235443016984</v>
      </c>
      <c r="AP20" s="128">
        <f t="shared" si="18"/>
        <v>4.1222184889431794</v>
      </c>
      <c r="AQ20" s="128">
        <f t="shared" si="18"/>
        <v>3.5476957390625281</v>
      </c>
      <c r="AR20" s="128">
        <f t="shared" si="18"/>
        <v>3.0202480767915296</v>
      </c>
      <c r="AS20" s="128">
        <f t="shared" si="18"/>
        <v>2.5438491204332387</v>
      </c>
      <c r="AT20" s="128">
        <f t="shared" si="18"/>
        <v>2.1200961641531393</v>
      </c>
      <c r="AU20" s="128">
        <f t="shared" si="18"/>
        <v>1.7486020109904643</v>
      </c>
      <c r="AV20" s="128">
        <f t="shared" si="18"/>
        <v>1.4274046846587858</v>
      </c>
      <c r="AW20" s="128">
        <f t="shared" si="18"/>
        <v>1.153368836724638</v>
      </c>
      <c r="AX20" s="128">
        <f t="shared" si="18"/>
        <v>0.92255847412436409</v>
      </c>
      <c r="AY20" s="128">
        <f t="shared" si="18"/>
        <v>0.73056668520251422</v>
      </c>
      <c r="AZ20" s="128">
        <f t="shared" si="18"/>
        <v>0.5727938167190465</v>
      </c>
      <c r="BA20" s="128">
        <f t="shared" si="18"/>
        <v>0.44467066068340788</v>
      </c>
      <c r="BB20" s="128">
        <f t="shared" si="18"/>
        <v>0.34182740159589525</v>
      </c>
      <c r="BC20" s="128">
        <f t="shared" si="18"/>
        <v>0.26021223824354517</v>
      </c>
      <c r="BD20" s="128">
        <f t="shared" si="18"/>
        <v>0.19616572943568428</v>
      </c>
      <c r="BE20" s="128">
        <f t="shared" si="18"/>
        <v>0.14645810639676593</v>
      </c>
    </row>
    <row r="21" spans="1:57" x14ac:dyDescent="0.35">
      <c r="A21" s="131">
        <f t="shared" si="2"/>
        <v>152.69912563024857</v>
      </c>
      <c r="B21" s="81"/>
      <c r="C21" s="132">
        <v>153.12299999999999</v>
      </c>
      <c r="D21" s="126">
        <v>2</v>
      </c>
      <c r="E21" s="126">
        <v>15</v>
      </c>
      <c r="F21" s="124">
        <v>1995</v>
      </c>
      <c r="G21" s="128"/>
      <c r="H21" s="128"/>
      <c r="I21" s="128"/>
      <c r="J21" s="128"/>
      <c r="K21" s="128"/>
      <c r="L21" s="128"/>
      <c r="M21" s="128"/>
      <c r="N21" s="128"/>
      <c r="O21" s="128"/>
      <c r="P21" s="128"/>
      <c r="Q21" s="128"/>
      <c r="R21" s="128"/>
      <c r="S21" s="128"/>
      <c r="T21" s="128"/>
      <c r="U21" s="128"/>
      <c r="V21" s="128">
        <f t="shared" ref="V21:BE21" si="19">WEIBULL(V$5-$F21+0.5,$D21,$E21,FALSE)*$C21</f>
        <v>0.67979092363869265</v>
      </c>
      <c r="W21" s="128">
        <f t="shared" si="19"/>
        <v>2.021325342575651</v>
      </c>
      <c r="X21" s="128">
        <f t="shared" si="19"/>
        <v>3.3095136744330356</v>
      </c>
      <c r="Y21" s="128">
        <f t="shared" si="19"/>
        <v>4.5113968229187353</v>
      </c>
      <c r="Z21" s="128">
        <f t="shared" si="19"/>
        <v>5.5977553952914505</v>
      </c>
      <c r="AA21" s="128">
        <f t="shared" si="19"/>
        <v>6.5442836678576013</v>
      </c>
      <c r="AB21" s="128">
        <f t="shared" si="19"/>
        <v>7.3324719576338229</v>
      </c>
      <c r="AC21" s="128">
        <f t="shared" si="19"/>
        <v>7.9501541537495131</v>
      </c>
      <c r="AD21" s="128">
        <f t="shared" si="19"/>
        <v>8.3917019183984198</v>
      </c>
      <c r="AE21" s="128">
        <f t="shared" si="19"/>
        <v>8.6578721813338682</v>
      </c>
      <c r="AF21" s="128">
        <f t="shared" si="19"/>
        <v>8.7553378599586988</v>
      </c>
      <c r="AG21" s="128">
        <f t="shared" si="19"/>
        <v>8.6959513557316281</v>
      </c>
      <c r="AH21" s="128">
        <f t="shared" si="19"/>
        <v>8.4958048806318853</v>
      </c>
      <c r="AI21" s="128">
        <f t="shared" si="19"/>
        <v>8.1741602009106487</v>
      </c>
      <c r="AJ21" s="128">
        <f t="shared" si="19"/>
        <v>7.7523227126966843</v>
      </c>
      <c r="AK21" s="128">
        <f t="shared" si="19"/>
        <v>7.2525312400567641</v>
      </c>
      <c r="AL21" s="128">
        <f t="shared" si="19"/>
        <v>6.6969264293275863</v>
      </c>
      <c r="AM21" s="128">
        <f t="shared" si="19"/>
        <v>6.1066483319478797</v>
      </c>
      <c r="AN21" s="128">
        <f t="shared" si="19"/>
        <v>5.5010991587542728</v>
      </c>
      <c r="AO21" s="128">
        <f t="shared" si="19"/>
        <v>4.8973917325456044</v>
      </c>
      <c r="AP21" s="128">
        <f t="shared" si="19"/>
        <v>4.3099892362007211</v>
      </c>
      <c r="AQ21" s="128">
        <f t="shared" si="19"/>
        <v>3.7505285961951209</v>
      </c>
      <c r="AR21" s="128">
        <f t="shared" si="19"/>
        <v>3.2278090925172696</v>
      </c>
      <c r="AS21" s="128">
        <f t="shared" si="19"/>
        <v>2.7479200362603797</v>
      </c>
      <c r="AT21" s="128">
        <f t="shared" si="19"/>
        <v>2.3144767547332634</v>
      </c>
      <c r="AU21" s="128">
        <f t="shared" si="19"/>
        <v>1.9289325181738413</v>
      </c>
      <c r="AV21" s="128">
        <f t="shared" si="19"/>
        <v>1.5909350421804944</v>
      </c>
      <c r="AW21" s="128">
        <f t="shared" si="19"/>
        <v>1.2986992568480149</v>
      </c>
      <c r="AX21" s="128">
        <f t="shared" si="19"/>
        <v>1.0493725200880981</v>
      </c>
      <c r="AY21" s="128">
        <f t="shared" si="19"/>
        <v>0.83937373725977127</v>
      </c>
      <c r="AZ21" s="128">
        <f t="shared" si="19"/>
        <v>0.66469335665465179</v>
      </c>
      <c r="BA21" s="128">
        <f t="shared" si="19"/>
        <v>0.5211464639952379</v>
      </c>
      <c r="BB21" s="128">
        <f t="shared" si="19"/>
        <v>0.4045758450832776</v>
      </c>
      <c r="BC21" s="128">
        <f t="shared" si="19"/>
        <v>0.31100569950069679</v>
      </c>
      <c r="BD21" s="128">
        <f t="shared" si="19"/>
        <v>0.23674956658169655</v>
      </c>
      <c r="BE21" s="128">
        <f t="shared" si="19"/>
        <v>0.17847796758357368</v>
      </c>
    </row>
    <row r="22" spans="1:57" x14ac:dyDescent="0.35">
      <c r="A22" s="131">
        <f t="shared" si="2"/>
        <v>138.98012348062659</v>
      </c>
      <c r="B22" s="81"/>
      <c r="C22" s="132">
        <v>139.529</v>
      </c>
      <c r="D22" s="126">
        <v>2</v>
      </c>
      <c r="E22" s="126">
        <v>15</v>
      </c>
      <c r="F22" s="124">
        <v>1996</v>
      </c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128"/>
      <c r="U22" s="128"/>
      <c r="V22" s="128"/>
      <c r="W22" s="128">
        <f t="shared" ref="W22:BE22" si="20">WEIBULL(W$5-$F22+0.5,$D22,$E22,FALSE)*$C22</f>
        <v>0.61944023944399706</v>
      </c>
      <c r="X22" s="128">
        <f t="shared" si="20"/>
        <v>1.8418755100425022</v>
      </c>
      <c r="Y22" s="128">
        <f t="shared" si="20"/>
        <v>3.0157006686125993</v>
      </c>
      <c r="Z22" s="128">
        <f t="shared" si="20"/>
        <v>4.1108826714799749</v>
      </c>
      <c r="AA22" s="128">
        <f t="shared" si="20"/>
        <v>5.1007961739883676</v>
      </c>
      <c r="AB22" s="128">
        <f t="shared" si="20"/>
        <v>5.9632932733325719</v>
      </c>
      <c r="AC22" s="128">
        <f t="shared" si="20"/>
        <v>6.6815075447626402</v>
      </c>
      <c r="AD22" s="128">
        <f t="shared" si="20"/>
        <v>7.2443529640780016</v>
      </c>
      <c r="AE22" s="128">
        <f t="shared" si="20"/>
        <v>7.646700867748236</v>
      </c>
      <c r="AF22" s="128">
        <f t="shared" si="20"/>
        <v>7.8892409865881241</v>
      </c>
      <c r="AG22" s="128">
        <f t="shared" si="20"/>
        <v>7.9780538277213564</v>
      </c>
      <c r="AH22" s="128">
        <f t="shared" si="20"/>
        <v>7.9239395565256583</v>
      </c>
      <c r="AI22" s="128">
        <f t="shared" si="20"/>
        <v>7.7415617457187134</v>
      </c>
      <c r="AJ22" s="128">
        <f t="shared" si="20"/>
        <v>7.4484721346424889</v>
      </c>
      <c r="AK22" s="128">
        <f t="shared" si="20"/>
        <v>7.0640846625252616</v>
      </c>
      <c r="AL22" s="128">
        <f t="shared" si="20"/>
        <v>6.6086638283855486</v>
      </c>
      <c r="AM22" s="128">
        <f t="shared" si="20"/>
        <v>6.1023846695640032</v>
      </c>
      <c r="AN22" s="128">
        <f t="shared" si="20"/>
        <v>5.564510459619755</v>
      </c>
      <c r="AO22" s="128">
        <f t="shared" si="20"/>
        <v>5.0127209140483462</v>
      </c>
      <c r="AP22" s="128">
        <f t="shared" si="20"/>
        <v>4.4626096082910847</v>
      </c>
      <c r="AQ22" s="128">
        <f t="shared" si="20"/>
        <v>3.9273557084033777</v>
      </c>
      <c r="AR22" s="128">
        <f t="shared" si="20"/>
        <v>3.4175630342829555</v>
      </c>
      <c r="AS22" s="128">
        <f t="shared" si="20"/>
        <v>2.9412496807784732</v>
      </c>
      <c r="AT22" s="128">
        <f t="shared" si="20"/>
        <v>2.503964360281437</v>
      </c>
      <c r="AU22" s="128">
        <f t="shared" si="20"/>
        <v>2.1090014374795265</v>
      </c>
      <c r="AV22" s="128">
        <f t="shared" si="20"/>
        <v>1.7576851637459945</v>
      </c>
      <c r="AW22" s="128">
        <f t="shared" si="20"/>
        <v>1.4496945298903641</v>
      </c>
      <c r="AX22" s="128">
        <f t="shared" si="20"/>
        <v>1.1834029414832958</v>
      </c>
      <c r="AY22" s="128">
        <f t="shared" si="20"/>
        <v>0.95621100915846891</v>
      </c>
      <c r="AZ22" s="128">
        <f t="shared" si="20"/>
        <v>0.76485556177790814</v>
      </c>
      <c r="BA22" s="128">
        <f t="shared" si="20"/>
        <v>0.60568300882732773</v>
      </c>
      <c r="BB22" s="128">
        <f t="shared" si="20"/>
        <v>0.47487996561451612</v>
      </c>
      <c r="BC22" s="128">
        <f t="shared" si="20"/>
        <v>0.36865828836049869</v>
      </c>
      <c r="BD22" s="128">
        <f t="shared" si="20"/>
        <v>0.28339514145904093</v>
      </c>
      <c r="BE22" s="128">
        <f t="shared" si="20"/>
        <v>0.2157313419641565</v>
      </c>
    </row>
    <row r="23" spans="1:57" x14ac:dyDescent="0.35">
      <c r="A23" s="131">
        <f t="shared" si="2"/>
        <v>130.49694671979825</v>
      </c>
      <c r="B23" s="81"/>
      <c r="C23" s="132">
        <v>131.21600000000001</v>
      </c>
      <c r="D23" s="126">
        <v>2</v>
      </c>
      <c r="E23" s="126">
        <v>15</v>
      </c>
      <c r="F23" s="124">
        <v>1997</v>
      </c>
      <c r="G23" s="128"/>
      <c r="H23" s="128"/>
      <c r="I23" s="128"/>
      <c r="J23" s="128"/>
      <c r="K23" s="128"/>
      <c r="L23" s="128"/>
      <c r="M23" s="128"/>
      <c r="N23" s="128"/>
      <c r="O23" s="128"/>
      <c r="P23" s="128"/>
      <c r="Q23" s="128"/>
      <c r="R23" s="128"/>
      <c r="S23" s="128"/>
      <c r="T23" s="128"/>
      <c r="U23" s="128"/>
      <c r="V23" s="128"/>
      <c r="W23" s="128"/>
      <c r="X23" s="128">
        <f t="shared" ref="X23:BE23" si="21">WEIBULL(X$5-$F23+0.5,$D23,$E23,FALSE)*$C23</f>
        <v>0.58253460183104244</v>
      </c>
      <c r="Y23" s="128">
        <f t="shared" si="21"/>
        <v>1.7321383864697444</v>
      </c>
      <c r="Z23" s="128">
        <f t="shared" si="21"/>
        <v>2.8360282015399729</v>
      </c>
      <c r="AA23" s="128">
        <f t="shared" si="21"/>
        <v>3.8659603424443412</v>
      </c>
      <c r="AB23" s="128">
        <f t="shared" si="21"/>
        <v>4.7968957762619793</v>
      </c>
      <c r="AC23" s="128">
        <f t="shared" si="21"/>
        <v>5.6080061503601888</v>
      </c>
      <c r="AD23" s="128">
        <f t="shared" si="21"/>
        <v>6.2834299249157857</v>
      </c>
      <c r="AE23" s="128">
        <f t="shared" si="21"/>
        <v>6.8127415700998295</v>
      </c>
      <c r="AF23" s="128">
        <f t="shared" si="21"/>
        <v>7.1911179830891969</v>
      </c>
      <c r="AG23" s="128">
        <f t="shared" si="21"/>
        <v>7.4192078012180076</v>
      </c>
      <c r="AH23" s="128">
        <f t="shared" si="21"/>
        <v>7.5027292610015524</v>
      </c>
      <c r="AI23" s="128">
        <f t="shared" si="21"/>
        <v>7.4518390646322334</v>
      </c>
      <c r="AJ23" s="128">
        <f t="shared" si="21"/>
        <v>7.2803271436491821</v>
      </c>
      <c r="AK23" s="128">
        <f t="shared" si="21"/>
        <v>7.0046995221011326</v>
      </c>
      <c r="AL23" s="128">
        <f t="shared" si="21"/>
        <v>6.6432134758932895</v>
      </c>
      <c r="AM23" s="128">
        <f t="shared" si="21"/>
        <v>6.21492616520894</v>
      </c>
      <c r="AN23" s="128">
        <f t="shared" si="21"/>
        <v>5.7388106185919074</v>
      </c>
      <c r="AO23" s="128">
        <f t="shared" si="21"/>
        <v>5.2329824227899993</v>
      </c>
      <c r="AP23" s="128">
        <f t="shared" si="21"/>
        <v>4.7140679533127008</v>
      </c>
      <c r="AQ23" s="128">
        <f t="shared" si="21"/>
        <v>4.1967317357791067</v>
      </c>
      <c r="AR23" s="128">
        <f t="shared" si="21"/>
        <v>3.6933677345487865</v>
      </c>
      <c r="AS23" s="128">
        <f t="shared" si="21"/>
        <v>3.2139480044039042</v>
      </c>
      <c r="AT23" s="128">
        <f t="shared" si="21"/>
        <v>2.7660129300219176</v>
      </c>
      <c r="AU23" s="128">
        <f t="shared" si="21"/>
        <v>2.3547806369907982</v>
      </c>
      <c r="AV23" s="128">
        <f t="shared" si="21"/>
        <v>1.9833492150041467</v>
      </c>
      <c r="AW23" s="128">
        <f t="shared" si="21"/>
        <v>1.6529640178464293</v>
      </c>
      <c r="AX23" s="128">
        <f t="shared" si="21"/>
        <v>1.3633231617376604</v>
      </c>
      <c r="AY23" s="128">
        <f t="shared" si="21"/>
        <v>1.1128969631379293</v>
      </c>
      <c r="AZ23" s="128">
        <f t="shared" si="21"/>
        <v>0.89924090173180971</v>
      </c>
      <c r="BA23" s="128">
        <f t="shared" si="21"/>
        <v>0.71928622289452382</v>
      </c>
      <c r="BB23" s="128">
        <f t="shared" si="21"/>
        <v>0.56959701342578706</v>
      </c>
      <c r="BC23" s="128">
        <f t="shared" si="21"/>
        <v>0.44658708632667299</v>
      </c>
      <c r="BD23" s="128">
        <f t="shared" si="21"/>
        <v>0.3466939916828129</v>
      </c>
      <c r="BE23" s="128">
        <f t="shared" si="21"/>
        <v>0.26651073885492993</v>
      </c>
    </row>
    <row r="24" spans="1:57" x14ac:dyDescent="0.35">
      <c r="A24" s="131">
        <f t="shared" si="2"/>
        <v>121.91437069100668</v>
      </c>
      <c r="B24" s="81"/>
      <c r="C24" s="132">
        <v>122.837</v>
      </c>
      <c r="D24" s="126">
        <v>2</v>
      </c>
      <c r="E24" s="126">
        <v>15</v>
      </c>
      <c r="F24" s="124">
        <v>1998</v>
      </c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>
        <f t="shared" ref="Y24:BE24" si="22">WEIBULL(Y$5-$F24+0.5,$D24,$E24,FALSE)*$C24</f>
        <v>0.54533595662967749</v>
      </c>
      <c r="Z24" s="128">
        <f t="shared" si="22"/>
        <v>1.6215300190432873</v>
      </c>
      <c r="AA24" s="128">
        <f t="shared" si="22"/>
        <v>2.6549292479009088</v>
      </c>
      <c r="AB24" s="128">
        <f t="shared" si="22"/>
        <v>3.6190934839107691</v>
      </c>
      <c r="AC24" s="128">
        <f t="shared" si="22"/>
        <v>4.4905826002064746</v>
      </c>
      <c r="AD24" s="128">
        <f t="shared" si="22"/>
        <v>5.2498982707276127</v>
      </c>
      <c r="AE24" s="128">
        <f t="shared" si="22"/>
        <v>5.8821918187330837</v>
      </c>
      <c r="AF24" s="128">
        <f t="shared" si="22"/>
        <v>6.3777034526761431</v>
      </c>
      <c r="AG24" s="128">
        <f t="shared" si="22"/>
        <v>6.7319180564011072</v>
      </c>
      <c r="AH24" s="128">
        <f t="shared" si="22"/>
        <v>6.945442847505003</v>
      </c>
      <c r="AI24" s="128">
        <f t="shared" si="22"/>
        <v>7.0236309156935715</v>
      </c>
      <c r="AJ24" s="128">
        <f t="shared" si="22"/>
        <v>6.9759903912802521</v>
      </c>
      <c r="AK24" s="128">
        <f t="shared" si="22"/>
        <v>6.8154306284632558</v>
      </c>
      <c r="AL24" s="128">
        <f t="shared" si="22"/>
        <v>6.5574036336752899</v>
      </c>
      <c r="AM24" s="128">
        <f t="shared" si="22"/>
        <v>6.2190008363180098</v>
      </c>
      <c r="AN24" s="128">
        <f t="shared" si="22"/>
        <v>5.8180624722272478</v>
      </c>
      <c r="AO24" s="128">
        <f t="shared" si="22"/>
        <v>5.3723500179549299</v>
      </c>
      <c r="AP24" s="128">
        <f t="shared" si="22"/>
        <v>4.8988222615249297</v>
      </c>
      <c r="AQ24" s="128">
        <f t="shared" si="22"/>
        <v>4.4130438756026109</v>
      </c>
      <c r="AR24" s="128">
        <f t="shared" si="22"/>
        <v>3.9287429599126487</v>
      </c>
      <c r="AS24" s="128">
        <f t="shared" si="22"/>
        <v>3.4575220431103619</v>
      </c>
      <c r="AT24" s="128">
        <f t="shared" si="22"/>
        <v>3.0087163990440371</v>
      </c>
      <c r="AU24" s="128">
        <f t="shared" si="22"/>
        <v>2.5893849095011454</v>
      </c>
      <c r="AV24" s="128">
        <f t="shared" si="22"/>
        <v>2.204412488614488</v>
      </c>
      <c r="AW24" s="128">
        <f t="shared" si="22"/>
        <v>1.8566993927833828</v>
      </c>
      <c r="AX24" s="128">
        <f t="shared" si="22"/>
        <v>1.5474114518061961</v>
      </c>
      <c r="AY24" s="128">
        <f t="shared" si="22"/>
        <v>1.2762660591571835</v>
      </c>
      <c r="AZ24" s="128">
        <f t="shared" si="22"/>
        <v>1.0418312115974715</v>
      </c>
      <c r="BA24" s="128">
        <f t="shared" si="22"/>
        <v>0.84181848742554488</v>
      </c>
      <c r="BB24" s="128">
        <f t="shared" si="22"/>
        <v>0.67335509207485833</v>
      </c>
      <c r="BC24" s="128">
        <f t="shared" si="22"/>
        <v>0.533224517880315</v>
      </c>
      <c r="BD24" s="128">
        <f t="shared" si="22"/>
        <v>0.41806957934329292</v>
      </c>
      <c r="BE24" s="128">
        <f t="shared" si="22"/>
        <v>0.3245553122815944</v>
      </c>
    </row>
    <row r="25" spans="1:57" x14ac:dyDescent="0.35">
      <c r="A25" s="131">
        <f t="shared" si="2"/>
        <v>102.96782691661716</v>
      </c>
      <c r="B25" s="81"/>
      <c r="C25" s="132">
        <v>104.024</v>
      </c>
      <c r="D25" s="126">
        <v>2</v>
      </c>
      <c r="E25" s="126">
        <v>15</v>
      </c>
      <c r="F25" s="124">
        <v>1999</v>
      </c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>
        <f t="shared" ref="Z25:BE25" si="23">WEIBULL(Z$5-$F25+0.5,$D25,$E25,FALSE)*$C25</f>
        <v>0.46181547540598977</v>
      </c>
      <c r="AA25" s="128">
        <f t="shared" si="23"/>
        <v>1.3731859187456461</v>
      </c>
      <c r="AB25" s="128">
        <f t="shared" si="23"/>
        <v>2.2483157361678003</v>
      </c>
      <c r="AC25" s="128">
        <f t="shared" si="23"/>
        <v>3.0648141892942178</v>
      </c>
      <c r="AD25" s="128">
        <f t="shared" si="23"/>
        <v>3.8028311046661694</v>
      </c>
      <c r="AE25" s="128">
        <f t="shared" si="23"/>
        <v>4.4458544063610246</v>
      </c>
      <c r="AF25" s="128">
        <f t="shared" si="23"/>
        <v>4.9813095545470043</v>
      </c>
      <c r="AG25" s="128">
        <f t="shared" si="23"/>
        <v>5.4009315105479869</v>
      </c>
      <c r="AH25" s="128">
        <f t="shared" si="23"/>
        <v>5.7008966671204018</v>
      </c>
      <c r="AI25" s="128">
        <f t="shared" si="23"/>
        <v>5.8817192439481616</v>
      </c>
      <c r="AJ25" s="128">
        <f t="shared" si="23"/>
        <v>5.9479324826730391</v>
      </c>
      <c r="AK25" s="128">
        <f t="shared" si="23"/>
        <v>5.9075883037076524</v>
      </c>
      <c r="AL25" s="128">
        <f t="shared" si="23"/>
        <v>5.7716189396945685</v>
      </c>
      <c r="AM25" s="128">
        <f t="shared" si="23"/>
        <v>5.5531098576930269</v>
      </c>
      <c r="AN25" s="128">
        <f t="shared" si="23"/>
        <v>5.2665348632508504</v>
      </c>
      <c r="AO25" s="128">
        <f t="shared" si="23"/>
        <v>4.9270018855146835</v>
      </c>
      <c r="AP25" s="128">
        <f t="shared" si="23"/>
        <v>4.5495521566608081</v>
      </c>
      <c r="AQ25" s="128">
        <f t="shared" si="23"/>
        <v>4.1485471554407001</v>
      </c>
      <c r="AR25" s="128">
        <f t="shared" si="23"/>
        <v>3.7371677598417907</v>
      </c>
      <c r="AS25" s="128">
        <f t="shared" si="23"/>
        <v>3.3270395537334303</v>
      </c>
      <c r="AT25" s="128">
        <f t="shared" si="23"/>
        <v>2.9279880900096247</v>
      </c>
      <c r="AU25" s="128">
        <f t="shared" si="23"/>
        <v>2.5479189063080092</v>
      </c>
      <c r="AV25" s="128">
        <f t="shared" si="23"/>
        <v>2.1928097871646748</v>
      </c>
      <c r="AW25" s="128">
        <f t="shared" si="23"/>
        <v>1.8667975016943879</v>
      </c>
      <c r="AX25" s="128">
        <f t="shared" si="23"/>
        <v>1.5723381199060431</v>
      </c>
      <c r="AY25" s="128">
        <f t="shared" si="23"/>
        <v>1.310418919891301</v>
      </c>
      <c r="AZ25" s="128">
        <f t="shared" si="23"/>
        <v>1.0808005774951102</v>
      </c>
      <c r="BA25" s="128">
        <f t="shared" si="23"/>
        <v>0.88227040676030333</v>
      </c>
      <c r="BB25" s="128">
        <f t="shared" si="23"/>
        <v>0.71289046733439343</v>
      </c>
      <c r="BC25" s="128">
        <f t="shared" si="23"/>
        <v>0.57022794514678043</v>
      </c>
      <c r="BD25" s="128">
        <f t="shared" si="23"/>
        <v>0.45155895412605224</v>
      </c>
      <c r="BE25" s="128">
        <f t="shared" si="23"/>
        <v>0.35404047576549985</v>
      </c>
    </row>
    <row r="26" spans="1:57" x14ac:dyDescent="0.35">
      <c r="A26" s="131">
        <f t="shared" si="2"/>
        <v>96.246294405593474</v>
      </c>
      <c r="B26" s="81"/>
      <c r="C26" s="132">
        <v>97.569000000000003</v>
      </c>
      <c r="D26" s="126">
        <v>2</v>
      </c>
      <c r="E26" s="126">
        <v>15</v>
      </c>
      <c r="F26" s="124">
        <v>2000</v>
      </c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>
        <f t="shared" ref="AA26:BE26" si="24">WEIBULL(AA$5-$F26+0.5,$D26,$E26,FALSE)*$C26</f>
        <v>0.43315844535767722</v>
      </c>
      <c r="AB26" s="128">
        <f t="shared" si="24"/>
        <v>1.2879756297209677</v>
      </c>
      <c r="AC26" s="128">
        <f t="shared" si="24"/>
        <v>2.1088010272836666</v>
      </c>
      <c r="AD26" s="128">
        <f t="shared" si="24"/>
        <v>2.8746333118823304</v>
      </c>
      <c r="AE26" s="128">
        <f t="shared" si="24"/>
        <v>3.5668540726291385</v>
      </c>
      <c r="AF26" s="128">
        <f t="shared" si="24"/>
        <v>4.1699758572467784</v>
      </c>
      <c r="AG26" s="128">
        <f t="shared" si="24"/>
        <v>4.6722044136698901</v>
      </c>
      <c r="AH26" s="128">
        <f t="shared" si="24"/>
        <v>5.0657875735662596</v>
      </c>
      <c r="AI26" s="128">
        <f t="shared" si="24"/>
        <v>5.3471389959458442</v>
      </c>
      <c r="AJ26" s="128">
        <f t="shared" si="24"/>
        <v>5.5167409916248005</v>
      </c>
      <c r="AK26" s="128">
        <f t="shared" si="24"/>
        <v>5.5788455010567342</v>
      </c>
      <c r="AL26" s="128">
        <f t="shared" si="24"/>
        <v>5.5410047989353606</v>
      </c>
      <c r="AM26" s="128">
        <f t="shared" si="24"/>
        <v>5.413472740204754</v>
      </c>
      <c r="AN26" s="128">
        <f t="shared" si="24"/>
        <v>5.2085227995967367</v>
      </c>
      <c r="AO26" s="128">
        <f t="shared" si="24"/>
        <v>4.9397306397804561</v>
      </c>
      <c r="AP26" s="128">
        <f t="shared" si="24"/>
        <v>4.6212666977599612</v>
      </c>
      <c r="AQ26" s="128">
        <f t="shared" si="24"/>
        <v>4.2672388523152192</v>
      </c>
      <c r="AR26" s="128">
        <f t="shared" si="24"/>
        <v>3.8911174095323546</v>
      </c>
      <c r="AS26" s="128">
        <f t="shared" si="24"/>
        <v>3.505265334538219</v>
      </c>
      <c r="AT26" s="128">
        <f t="shared" si="24"/>
        <v>3.1205868089884743</v>
      </c>
      <c r="AU26" s="128">
        <f t="shared" si="24"/>
        <v>2.7462976808635422</v>
      </c>
      <c r="AV26" s="128">
        <f t="shared" si="24"/>
        <v>2.3898129255706966</v>
      </c>
      <c r="AW26" s="128">
        <f t="shared" si="24"/>
        <v>2.0567393882553078</v>
      </c>
      <c r="AX26" s="128">
        <f t="shared" si="24"/>
        <v>1.7509571391488477</v>
      </c>
      <c r="AY26" s="128">
        <f t="shared" si="24"/>
        <v>1.4747698417779813</v>
      </c>
      <c r="AZ26" s="128">
        <f t="shared" si="24"/>
        <v>1.2291035106790198</v>
      </c>
      <c r="BA26" s="128">
        <f t="shared" si="24"/>
        <v>1.0137336724757788</v>
      </c>
      <c r="BB26" s="128">
        <f t="shared" si="24"/>
        <v>0.82752289199796236</v>
      </c>
      <c r="BC26" s="128">
        <f t="shared" si="24"/>
        <v>0.66865348388207946</v>
      </c>
      <c r="BD26" s="128">
        <f t="shared" si="24"/>
        <v>0.53484359743930454</v>
      </c>
      <c r="BE26" s="128">
        <f t="shared" si="24"/>
        <v>0.42353837186730747</v>
      </c>
    </row>
    <row r="27" spans="1:57" x14ac:dyDescent="0.35">
      <c r="A27" s="131">
        <f t="shared" si="2"/>
        <v>94.988951035492775</v>
      </c>
      <c r="B27" s="81"/>
      <c r="C27" s="132">
        <v>96.72</v>
      </c>
      <c r="D27" s="126">
        <v>2</v>
      </c>
      <c r="E27" s="126">
        <v>15</v>
      </c>
      <c r="F27" s="124">
        <v>2001</v>
      </c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>
        <f t="shared" ref="AB27:BE27" si="25">WEIBULL(AB$5-$F27+0.5,$D27,$E27,FALSE)*$C27</f>
        <v>0.4293893022885808</v>
      </c>
      <c r="AC27" s="128">
        <f t="shared" si="25"/>
        <v>1.2767682656029271</v>
      </c>
      <c r="AD27" s="128">
        <f t="shared" si="25"/>
        <v>2.0904512228154046</v>
      </c>
      <c r="AE27" s="128">
        <f t="shared" si="25"/>
        <v>2.8496195915225022</v>
      </c>
      <c r="AF27" s="128">
        <f t="shared" si="25"/>
        <v>3.5358169695773274</v>
      </c>
      <c r="AG27" s="128">
        <f t="shared" si="25"/>
        <v>4.133690669299761</v>
      </c>
      <c r="AH27" s="128">
        <f t="shared" si="25"/>
        <v>4.6315490667133181</v>
      </c>
      <c r="AI27" s="128">
        <f t="shared" si="25"/>
        <v>5.0217074492444178</v>
      </c>
      <c r="AJ27" s="128">
        <f t="shared" si="25"/>
        <v>5.3006106825721488</v>
      </c>
      <c r="AK27" s="128">
        <f t="shared" si="25"/>
        <v>5.4687368806685592</v>
      </c>
      <c r="AL27" s="128">
        <f t="shared" si="25"/>
        <v>5.5303009855815608</v>
      </c>
      <c r="AM27" s="128">
        <f t="shared" si="25"/>
        <v>5.4927895556275876</v>
      </c>
      <c r="AN27" s="128">
        <f t="shared" si="25"/>
        <v>5.366367221480222</v>
      </c>
      <c r="AO27" s="128">
        <f t="shared" si="25"/>
        <v>5.1632006598099434</v>
      </c>
      <c r="AP27" s="128">
        <f t="shared" si="25"/>
        <v>4.8967474041915535</v>
      </c>
      <c r="AQ27" s="128">
        <f t="shared" si="25"/>
        <v>4.5810545870854824</v>
      </c>
      <c r="AR27" s="128">
        <f t="shared" si="25"/>
        <v>4.23010732708061</v>
      </c>
      <c r="AS27" s="128">
        <f t="shared" si="25"/>
        <v>3.8572587179326359</v>
      </c>
      <c r="AT27" s="128">
        <f t="shared" si="25"/>
        <v>3.474764148003326</v>
      </c>
      <c r="AU27" s="128">
        <f t="shared" si="25"/>
        <v>3.0934329158376661</v>
      </c>
      <c r="AV27" s="128">
        <f t="shared" si="25"/>
        <v>2.7224006773987823</v>
      </c>
      <c r="AW27" s="128">
        <f t="shared" si="25"/>
        <v>2.3690178864311182</v>
      </c>
      <c r="AX27" s="128">
        <f t="shared" si="25"/>
        <v>2.0388425999247031</v>
      </c>
      <c r="AY27" s="128">
        <f t="shared" si="25"/>
        <v>1.7357211255468084</v>
      </c>
      <c r="AZ27" s="128">
        <f t="shared" si="25"/>
        <v>1.4619370814169084</v>
      </c>
      <c r="BA27" s="128">
        <f t="shared" si="25"/>
        <v>1.2184084243240658</v>
      </c>
      <c r="BB27" s="128">
        <f t="shared" si="25"/>
        <v>1.0049126341548784</v>
      </c>
      <c r="BC27" s="128">
        <f t="shared" si="25"/>
        <v>0.82032217317019662</v>
      </c>
      <c r="BD27" s="128">
        <f t="shared" si="25"/>
        <v>0.6628351726580648</v>
      </c>
      <c r="BE27" s="128">
        <f t="shared" si="25"/>
        <v>0.53018963753169079</v>
      </c>
    </row>
    <row r="28" spans="1:57" x14ac:dyDescent="0.35">
      <c r="A28" s="131">
        <f t="shared" si="2"/>
        <v>93.846420171776984</v>
      </c>
      <c r="B28" s="81"/>
      <c r="C28" s="132">
        <v>96.093000000000004</v>
      </c>
      <c r="D28" s="126">
        <v>2</v>
      </c>
      <c r="E28" s="126">
        <v>15</v>
      </c>
      <c r="F28" s="124">
        <v>2002</v>
      </c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>
        <f t="shared" ref="AC28:BE28" si="26">WEIBULL(AC$5-$F28+0.5,$D28,$E28,FALSE)*$C28</f>
        <v>0.42660573019868275</v>
      </c>
      <c r="AD28" s="128">
        <f t="shared" si="26"/>
        <v>1.2684914489927841</v>
      </c>
      <c r="AE28" s="128">
        <f t="shared" si="26"/>
        <v>2.0768996004342504</v>
      </c>
      <c r="AF28" s="128">
        <f t="shared" si="26"/>
        <v>2.831146561292099</v>
      </c>
      <c r="AG28" s="128">
        <f t="shared" si="26"/>
        <v>3.5128955754507252</v>
      </c>
      <c r="AH28" s="128">
        <f t="shared" si="26"/>
        <v>4.1068934810279352</v>
      </c>
      <c r="AI28" s="128">
        <f t="shared" si="26"/>
        <v>4.6015244465227765</v>
      </c>
      <c r="AJ28" s="128">
        <f t="shared" si="26"/>
        <v>4.9891535765120327</v>
      </c>
      <c r="AK28" s="128">
        <f t="shared" si="26"/>
        <v>5.2662487832961693</v>
      </c>
      <c r="AL28" s="128">
        <f t="shared" si="26"/>
        <v>5.4332850814111238</v>
      </c>
      <c r="AM28" s="128">
        <f t="shared" si="26"/>
        <v>5.4944500889938892</v>
      </c>
      <c r="AN28" s="128">
        <f t="shared" si="26"/>
        <v>5.457181831771317</v>
      </c>
      <c r="AO28" s="128">
        <f t="shared" si="26"/>
        <v>5.3315790468744728</v>
      </c>
      <c r="AP28" s="128">
        <f t="shared" si="26"/>
        <v>5.1297295389073296</v>
      </c>
      <c r="AQ28" s="128">
        <f t="shared" si="26"/>
        <v>4.8650036012301383</v>
      </c>
      <c r="AR28" s="128">
        <f t="shared" si="26"/>
        <v>4.5513573039371922</v>
      </c>
      <c r="AS28" s="128">
        <f t="shared" si="26"/>
        <v>4.2026851052642371</v>
      </c>
      <c r="AT28" s="128">
        <f t="shared" si="26"/>
        <v>3.8322535357971543</v>
      </c>
      <c r="AU28" s="128">
        <f t="shared" si="26"/>
        <v>3.4522385367461084</v>
      </c>
      <c r="AV28" s="128">
        <f t="shared" si="26"/>
        <v>3.0733793339701081</v>
      </c>
      <c r="AW28" s="128">
        <f t="shared" si="26"/>
        <v>2.7047523603523698</v>
      </c>
      <c r="AX28" s="128">
        <f t="shared" si="26"/>
        <v>2.353660419363373</v>
      </c>
      <c r="AY28" s="128">
        <f t="shared" si="26"/>
        <v>2.0256255371646454</v>
      </c>
      <c r="AZ28" s="128">
        <f t="shared" si="26"/>
        <v>1.7244690872329349</v>
      </c>
      <c r="BA28" s="128">
        <f t="shared" si="26"/>
        <v>1.452459883835763</v>
      </c>
      <c r="BB28" s="128">
        <f t="shared" si="26"/>
        <v>1.210509932987722</v>
      </c>
      <c r="BC28" s="128">
        <f t="shared" si="26"/>
        <v>0.99839815709103319</v>
      </c>
      <c r="BD28" s="128">
        <f t="shared" si="26"/>
        <v>0.81500432781682908</v>
      </c>
      <c r="BE28" s="128">
        <f t="shared" si="26"/>
        <v>0.6585382573018137</v>
      </c>
    </row>
    <row r="29" spans="1:57" x14ac:dyDescent="0.35">
      <c r="A29" s="131">
        <f t="shared" si="2"/>
        <v>104.27814465550667</v>
      </c>
      <c r="B29" s="81"/>
      <c r="C29" s="132">
        <v>107.529</v>
      </c>
      <c r="D29" s="126">
        <v>2</v>
      </c>
      <c r="E29" s="126">
        <v>15</v>
      </c>
      <c r="F29" s="124">
        <v>2003</v>
      </c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>
        <f t="shared" ref="AD29:BE29" si="27">WEIBULL(AD$5-$F29+0.5,$D29,$E29,FALSE)*$C29</f>
        <v>0.47737595415414397</v>
      </c>
      <c r="AE29" s="128">
        <f t="shared" si="27"/>
        <v>1.4194542476428571</v>
      </c>
      <c r="AF29" s="128">
        <f t="shared" si="27"/>
        <v>2.3240708182187517</v>
      </c>
      <c r="AG29" s="128">
        <f t="shared" si="27"/>
        <v>3.1680804906619429</v>
      </c>
      <c r="AH29" s="128">
        <f t="shared" si="27"/>
        <v>3.9309642568411958</v>
      </c>
      <c r="AI29" s="128">
        <f t="shared" si="27"/>
        <v>4.5956536805121377</v>
      </c>
      <c r="AJ29" s="128">
        <f t="shared" si="27"/>
        <v>5.1491505334430974</v>
      </c>
      <c r="AK29" s="128">
        <f t="shared" si="27"/>
        <v>5.5829112935256715</v>
      </c>
      <c r="AL29" s="128">
        <f t="shared" si="27"/>
        <v>5.8929835203298238</v>
      </c>
      <c r="AM29" s="128">
        <f t="shared" si="27"/>
        <v>6.0798987597333491</v>
      </c>
      <c r="AN29" s="128">
        <f t="shared" si="27"/>
        <v>6.148342997090567</v>
      </c>
      <c r="AO29" s="128">
        <f t="shared" si="27"/>
        <v>6.1066394554081764</v>
      </c>
      <c r="AP29" s="128">
        <f t="shared" si="27"/>
        <v>5.9660887195879528</v>
      </c>
      <c r="AQ29" s="128">
        <f t="shared" si="27"/>
        <v>5.7402171603463952</v>
      </c>
      <c r="AR29" s="128">
        <f t="shared" si="27"/>
        <v>5.4439862657704055</v>
      </c>
      <c r="AS29" s="128">
        <f t="shared" si="27"/>
        <v>5.0930130137997809</v>
      </c>
      <c r="AT29" s="128">
        <f t="shared" si="27"/>
        <v>4.7028454381063982</v>
      </c>
      <c r="AU29" s="128">
        <f t="shared" si="27"/>
        <v>4.2883289152251693</v>
      </c>
      <c r="AV29" s="128">
        <f t="shared" si="27"/>
        <v>3.8630884415906701</v>
      </c>
      <c r="AW29" s="128">
        <f t="shared" si="27"/>
        <v>3.4391413152099708</v>
      </c>
      <c r="AX29" s="128">
        <f t="shared" si="27"/>
        <v>3.0266441526056003</v>
      </c>
      <c r="AY29" s="128">
        <f t="shared" si="27"/>
        <v>2.6337688617664567</v>
      </c>
      <c r="AZ29" s="128">
        <f t="shared" si="27"/>
        <v>2.2666946435825412</v>
      </c>
      <c r="BA29" s="128">
        <f t="shared" si="27"/>
        <v>1.929697652077365</v>
      </c>
      <c r="BB29" s="128">
        <f t="shared" si="27"/>
        <v>1.6253167124449828</v>
      </c>
      <c r="BC29" s="128">
        <f t="shared" si="27"/>
        <v>1.3545723682707038</v>
      </c>
      <c r="BD29" s="128">
        <f t="shared" si="27"/>
        <v>1.1172172315760951</v>
      </c>
      <c r="BE29" s="128">
        <f t="shared" si="27"/>
        <v>0.91199775598447141</v>
      </c>
    </row>
    <row r="30" spans="1:57" x14ac:dyDescent="0.35">
      <c r="A30" s="131">
        <f t="shared" si="2"/>
        <v>90.954980399138776</v>
      </c>
      <c r="B30" s="81"/>
      <c r="C30" s="132">
        <v>94.617999999999995</v>
      </c>
      <c r="D30" s="126">
        <v>2</v>
      </c>
      <c r="E30" s="126">
        <v>15</v>
      </c>
      <c r="F30" s="124">
        <v>2004</v>
      </c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>
        <f t="shared" ref="AE30:BE30" si="28">WEIBULL(AE$5-$F30+0.5,$D30,$E30,FALSE)*$C30</f>
        <v>0.4200574545486036</v>
      </c>
      <c r="AF30" s="128">
        <f t="shared" si="28"/>
        <v>1.2490204689290503</v>
      </c>
      <c r="AG30" s="128">
        <f t="shared" si="28"/>
        <v>2.045019787017659</v>
      </c>
      <c r="AH30" s="128">
        <f t="shared" si="28"/>
        <v>2.7876892732700176</v>
      </c>
      <c r="AI30" s="128">
        <f t="shared" si="28"/>
        <v>3.4589736355197225</v>
      </c>
      <c r="AJ30" s="128">
        <f t="shared" si="28"/>
        <v>4.0438538435463682</v>
      </c>
      <c r="AK30" s="128">
        <f t="shared" si="28"/>
        <v>4.5308923655322655</v>
      </c>
      <c r="AL30" s="128">
        <f t="shared" si="28"/>
        <v>4.9125714995100109</v>
      </c>
      <c r="AM30" s="128">
        <f t="shared" si="28"/>
        <v>5.1854133743136019</v>
      </c>
      <c r="AN30" s="128">
        <f t="shared" si="28"/>
        <v>5.3498857131420356</v>
      </c>
      <c r="AO30" s="128">
        <f t="shared" si="28"/>
        <v>5.4101118553945007</v>
      </c>
      <c r="AP30" s="128">
        <f t="shared" si="28"/>
        <v>5.3734156552354326</v>
      </c>
      <c r="AQ30" s="128">
        <f t="shared" si="28"/>
        <v>5.2497408370762582</v>
      </c>
      <c r="AR30" s="128">
        <f t="shared" si="28"/>
        <v>5.0509896611858682</v>
      </c>
      <c r="AS30" s="128">
        <f t="shared" si="28"/>
        <v>4.7903271907547191</v>
      </c>
      <c r="AT30" s="128">
        <f t="shared" si="28"/>
        <v>4.4814952742023797</v>
      </c>
      <c r="AU30" s="128">
        <f t="shared" si="28"/>
        <v>4.1381750938142376</v>
      </c>
      <c r="AV30" s="128">
        <f t="shared" si="28"/>
        <v>3.773429542735216</v>
      </c>
      <c r="AW30" s="128">
        <f t="shared" si="28"/>
        <v>3.3992476649687622</v>
      </c>
      <c r="AX30" s="128">
        <f t="shared" si="28"/>
        <v>3.0262038423359003</v>
      </c>
      <c r="AY30" s="128">
        <f t="shared" si="28"/>
        <v>2.6632351870773157</v>
      </c>
      <c r="AZ30" s="128">
        <f t="shared" si="28"/>
        <v>2.3175324067239407</v>
      </c>
      <c r="BA30" s="128">
        <f t="shared" si="28"/>
        <v>1.9945327659188954</v>
      </c>
      <c r="BB30" s="128">
        <f t="shared" si="28"/>
        <v>1.6979989811516532</v>
      </c>
      <c r="BC30" s="128">
        <f t="shared" si="28"/>
        <v>1.4301650410412017</v>
      </c>
      <c r="BD30" s="128">
        <f t="shared" si="28"/>
        <v>1.1919289525712826</v>
      </c>
      <c r="BE30" s="128">
        <f t="shared" si="28"/>
        <v>0.98307303162185966</v>
      </c>
    </row>
    <row r="31" spans="1:57" x14ac:dyDescent="0.35">
      <c r="A31" s="131">
        <f t="shared" si="2"/>
        <v>57.701339184597998</v>
      </c>
      <c r="B31" s="81"/>
      <c r="C31" s="132">
        <v>60.680999999999997</v>
      </c>
      <c r="D31" s="126">
        <v>2</v>
      </c>
      <c r="E31" s="126">
        <v>15</v>
      </c>
      <c r="F31" s="124">
        <v>2005</v>
      </c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>
        <f t="shared" ref="AF31:BE31" si="29">WEIBULL(AF$5-$F31+0.5,$D31,$E31,FALSE)*$C31</f>
        <v>0.26939384048979914</v>
      </c>
      <c r="AG31" s="128">
        <f t="shared" si="29"/>
        <v>0.80102951948977674</v>
      </c>
      <c r="AH31" s="128">
        <f t="shared" si="29"/>
        <v>1.3115247172421585</v>
      </c>
      <c r="AI31" s="128">
        <f t="shared" si="29"/>
        <v>1.7878180979443439</v>
      </c>
      <c r="AJ31" s="128">
        <f t="shared" si="29"/>
        <v>2.2183303301377357</v>
      </c>
      <c r="AK31" s="128">
        <f t="shared" si="29"/>
        <v>2.5934293166230229</v>
      </c>
      <c r="AL31" s="128">
        <f t="shared" si="29"/>
        <v>2.9057798688712868</v>
      </c>
      <c r="AM31" s="128">
        <f t="shared" si="29"/>
        <v>3.1505606878370607</v>
      </c>
      <c r="AN31" s="128">
        <f t="shared" si="29"/>
        <v>3.3255413237092695</v>
      </c>
      <c r="AO31" s="128">
        <f t="shared" si="29"/>
        <v>3.4310217396179574</v>
      </c>
      <c r="AP31" s="128">
        <f t="shared" si="29"/>
        <v>3.4696463410470915</v>
      </c>
      <c r="AQ31" s="128">
        <f t="shared" si="29"/>
        <v>3.4461121073721839</v>
      </c>
      <c r="AR31" s="128">
        <f t="shared" si="29"/>
        <v>3.3667962093325201</v>
      </c>
      <c r="AS31" s="128">
        <f t="shared" si="29"/>
        <v>3.2393318779769142</v>
      </c>
      <c r="AT31" s="128">
        <f t="shared" si="29"/>
        <v>3.0721622129212953</v>
      </c>
      <c r="AU31" s="128">
        <f t="shared" si="29"/>
        <v>2.8741002212462172</v>
      </c>
      <c r="AV31" s="128">
        <f t="shared" si="29"/>
        <v>2.6539200032524657</v>
      </c>
      <c r="AW31" s="128">
        <f t="shared" si="29"/>
        <v>2.4199991342314955</v>
      </c>
      <c r="AX31" s="128">
        <f t="shared" si="29"/>
        <v>2.1800265019126326</v>
      </c>
      <c r="AY31" s="128">
        <f t="shared" si="29"/>
        <v>1.9407837341392205</v>
      </c>
      <c r="AZ31" s="128">
        <f t="shared" si="29"/>
        <v>1.7080024349176539</v>
      </c>
      <c r="BA31" s="128">
        <f t="shared" si="29"/>
        <v>1.4862941932023022</v>
      </c>
      <c r="BB31" s="128">
        <f t="shared" si="29"/>
        <v>1.2791460691276975</v>
      </c>
      <c r="BC31" s="128">
        <f t="shared" si="29"/>
        <v>1.0889711912666034</v>
      </c>
      <c r="BD31" s="128">
        <f t="shared" si="29"/>
        <v>0.91720227499441087</v>
      </c>
      <c r="BE31" s="128">
        <f t="shared" si="29"/>
        <v>0.76441523569487835</v>
      </c>
    </row>
    <row r="32" spans="1:57" x14ac:dyDescent="0.35">
      <c r="A32" s="131">
        <f t="shared" si="2"/>
        <v>62.356539194677971</v>
      </c>
      <c r="B32" s="81"/>
      <c r="C32" s="132">
        <v>66.456999999999994</v>
      </c>
      <c r="D32" s="126">
        <v>2</v>
      </c>
      <c r="E32" s="126">
        <v>15</v>
      </c>
      <c r="F32" s="124">
        <v>2006</v>
      </c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>
        <f t="shared" ref="AG32:BE32" si="30">WEIBULL(AG$5-$F32+0.5,$D32,$E32,FALSE)*$C32</f>
        <v>0.29503644398461759</v>
      </c>
      <c r="AH32" s="128">
        <f t="shared" si="30"/>
        <v>0.87727655735291266</v>
      </c>
      <c r="AI32" s="128">
        <f t="shared" si="30"/>
        <v>1.436363905238248</v>
      </c>
      <c r="AJ32" s="128">
        <f t="shared" si="30"/>
        <v>1.9579938915819985</v>
      </c>
      <c r="AK32" s="128">
        <f t="shared" si="30"/>
        <v>2.4294849911828003</v>
      </c>
      <c r="AL32" s="128">
        <f t="shared" si="30"/>
        <v>2.8402882631271109</v>
      </c>
      <c r="AM32" s="128">
        <f t="shared" si="30"/>
        <v>3.182370309414464</v>
      </c>
      <c r="AN32" s="128">
        <f t="shared" si="30"/>
        <v>3.4504509093717557</v>
      </c>
      <c r="AO32" s="128">
        <f t="shared" si="30"/>
        <v>3.6420873049182929</v>
      </c>
      <c r="AP32" s="128">
        <f t="shared" si="30"/>
        <v>3.7576080115652442</v>
      </c>
      <c r="AQ32" s="128">
        <f t="shared" si="30"/>
        <v>3.7999091459759486</v>
      </c>
      <c r="AR32" s="128">
        <f t="shared" si="30"/>
        <v>3.7741347756238892</v>
      </c>
      <c r="AS32" s="128">
        <f t="shared" si="30"/>
        <v>3.6872690905491221</v>
      </c>
      <c r="AT32" s="128">
        <f t="shared" si="30"/>
        <v>3.5476719008373592</v>
      </c>
      <c r="AU32" s="128">
        <f t="shared" si="30"/>
        <v>3.3645899735355465</v>
      </c>
      <c r="AV32" s="128">
        <f t="shared" si="30"/>
        <v>3.147675193278948</v>
      </c>
      <c r="AW32" s="128">
        <f t="shared" si="30"/>
        <v>2.9065368345305629</v>
      </c>
      <c r="AX32" s="128">
        <f t="shared" si="30"/>
        <v>2.6503499029947184</v>
      </c>
      <c r="AY32" s="128">
        <f t="shared" si="30"/>
        <v>2.3875351631912429</v>
      </c>
      <c r="AZ32" s="128">
        <f t="shared" si="30"/>
        <v>2.1255197610403616</v>
      </c>
      <c r="BA32" s="128">
        <f t="shared" si="30"/>
        <v>1.8705808707391527</v>
      </c>
      <c r="BB32" s="128">
        <f t="shared" si="30"/>
        <v>1.6277690413415302</v>
      </c>
      <c r="BC32" s="128">
        <f t="shared" si="30"/>
        <v>1.4009032533415631</v>
      </c>
      <c r="BD32" s="128">
        <f t="shared" si="30"/>
        <v>1.1926263320974382</v>
      </c>
      <c r="BE32" s="128">
        <f t="shared" si="30"/>
        <v>1.004507367863146</v>
      </c>
    </row>
    <row r="33" spans="1:57" x14ac:dyDescent="0.35">
      <c r="A33" s="131">
        <f t="shared" si="2"/>
        <v>67.419196356748884</v>
      </c>
      <c r="B33" s="81"/>
      <c r="C33" s="132">
        <v>73.028999999999996</v>
      </c>
      <c r="D33" s="126">
        <v>2</v>
      </c>
      <c r="E33" s="126">
        <v>15</v>
      </c>
      <c r="F33" s="124">
        <v>2007</v>
      </c>
      <c r="G33" s="128"/>
      <c r="H33" s="128"/>
      <c r="I33" s="128"/>
      <c r="J33" s="128"/>
      <c r="K33" s="128"/>
      <c r="L33" s="128"/>
      <c r="M33" s="128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>
        <f t="shared" ref="AH33:BE33" si="31">WEIBULL(AH$5-$F33+0.5,$D33,$E33,FALSE)*$C33</f>
        <v>0.32421289657602115</v>
      </c>
      <c r="AI33" s="128">
        <f t="shared" si="31"/>
        <v>0.96403132411823977</v>
      </c>
      <c r="AJ33" s="128">
        <f t="shared" si="31"/>
        <v>1.5784073857628844</v>
      </c>
      <c r="AK33" s="128">
        <f t="shared" si="31"/>
        <v>2.1516218894675019</v>
      </c>
      <c r="AL33" s="128">
        <f t="shared" si="31"/>
        <v>2.6697392211669007</v>
      </c>
      <c r="AM33" s="128">
        <f t="shared" si="31"/>
        <v>3.1211672445026077</v>
      </c>
      <c r="AN33" s="128">
        <f t="shared" si="31"/>
        <v>3.4970781306142151</v>
      </c>
      <c r="AO33" s="128">
        <f t="shared" si="31"/>
        <v>3.7916694924614407</v>
      </c>
      <c r="AP33" s="128">
        <f t="shared" si="31"/>
        <v>4.0022570051443491</v>
      </c>
      <c r="AQ33" s="128">
        <f t="shared" si="31"/>
        <v>4.1292016714055437</v>
      </c>
      <c r="AR33" s="128">
        <f t="shared" si="31"/>
        <v>4.175686007816747</v>
      </c>
      <c r="AS33" s="128">
        <f t="shared" si="31"/>
        <v>4.147362783890892</v>
      </c>
      <c r="AT33" s="128">
        <f t="shared" si="31"/>
        <v>4.0519068632907276</v>
      </c>
      <c r="AU33" s="128">
        <f t="shared" si="31"/>
        <v>3.8985047661834193</v>
      </c>
      <c r="AV33" s="128">
        <f t="shared" si="31"/>
        <v>3.6973176817690754</v>
      </c>
      <c r="AW33" s="128">
        <f t="shared" si="31"/>
        <v>3.4589519793245</v>
      </c>
      <c r="AX33" s="128">
        <f t="shared" si="31"/>
        <v>3.1939672041911686</v>
      </c>
      <c r="AY33" s="128">
        <f t="shared" si="31"/>
        <v>2.9124456876747566</v>
      </c>
      <c r="AZ33" s="128">
        <f t="shared" si="31"/>
        <v>2.623640932222238</v>
      </c>
      <c r="BA33" s="128">
        <f t="shared" si="31"/>
        <v>2.3357145617318951</v>
      </c>
      <c r="BB33" s="128">
        <f t="shared" si="31"/>
        <v>2.0555645065111214</v>
      </c>
      <c r="BC33" s="128">
        <f t="shared" si="31"/>
        <v>1.7887407695221063</v>
      </c>
      <c r="BD33" s="128">
        <f t="shared" si="31"/>
        <v>1.5394399941056776</v>
      </c>
      <c r="BE33" s="128">
        <f t="shared" si="31"/>
        <v>1.3105663572948496</v>
      </c>
    </row>
    <row r="34" spans="1:57" x14ac:dyDescent="0.35">
      <c r="A34" s="131">
        <f t="shared" si="2"/>
        <v>72.074148789200578</v>
      </c>
      <c r="B34" s="81"/>
      <c r="C34" s="132">
        <v>79.619</v>
      </c>
      <c r="D34" s="126">
        <v>2</v>
      </c>
      <c r="E34" s="126">
        <v>15</v>
      </c>
      <c r="F34" s="124">
        <v>2008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>
        <f t="shared" ref="AI34:BE34" si="32">WEIBULL(AI$5-$F34+0.5,$D34,$E34,FALSE)*$C34</f>
        <v>0.35346926032790027</v>
      </c>
      <c r="AJ34" s="128">
        <f t="shared" si="32"/>
        <v>1.0510237028436666</v>
      </c>
      <c r="AK34" s="128">
        <f t="shared" si="32"/>
        <v>1.7208399080783676</v>
      </c>
      <c r="AL34" s="128">
        <f t="shared" si="32"/>
        <v>2.3457802135797157</v>
      </c>
      <c r="AM34" s="128">
        <f t="shared" si="32"/>
        <v>2.9106514816043965</v>
      </c>
      <c r="AN34" s="128">
        <f t="shared" si="32"/>
        <v>3.4028155231490658</v>
      </c>
      <c r="AO34" s="128">
        <f t="shared" si="32"/>
        <v>3.8126479026328339</v>
      </c>
      <c r="AP34" s="128">
        <f t="shared" si="32"/>
        <v>4.1338226364908115</v>
      </c>
      <c r="AQ34" s="128">
        <f t="shared" si="32"/>
        <v>4.3634131713783288</v>
      </c>
      <c r="AR34" s="128">
        <f t="shared" si="32"/>
        <v>4.5018130862484496</v>
      </c>
      <c r="AS34" s="128">
        <f t="shared" si="32"/>
        <v>4.5524920819997758</v>
      </c>
      <c r="AT34" s="128">
        <f t="shared" si="32"/>
        <v>4.5216130234647736</v>
      </c>
      <c r="AU34" s="128">
        <f t="shared" si="32"/>
        <v>4.4175433396095309</v>
      </c>
      <c r="AV34" s="128">
        <f t="shared" si="32"/>
        <v>4.2502985249525214</v>
      </c>
      <c r="AW34" s="128">
        <f t="shared" si="32"/>
        <v>4.0309566953507785</v>
      </c>
      <c r="AX34" s="128">
        <f t="shared" si="32"/>
        <v>3.7710813189532568</v>
      </c>
      <c r="AY34" s="128">
        <f t="shared" si="32"/>
        <v>3.4821848146694689</v>
      </c>
      <c r="AZ34" s="128">
        <f t="shared" si="32"/>
        <v>3.1752593244735166</v>
      </c>
      <c r="BA34" s="128">
        <f t="shared" si="32"/>
        <v>2.8603933695189911</v>
      </c>
      <c r="BB34" s="128">
        <f t="shared" si="32"/>
        <v>2.5464850633382872</v>
      </c>
      <c r="BC34" s="128">
        <f t="shared" si="32"/>
        <v>2.2410547925332263</v>
      </c>
      <c r="BD34" s="128">
        <f t="shared" si="32"/>
        <v>1.9501533819247228</v>
      </c>
      <c r="BE34" s="128">
        <f t="shared" si="32"/>
        <v>1.678356172078215</v>
      </c>
    </row>
    <row r="35" spans="1:57" x14ac:dyDescent="0.35">
      <c r="A35" s="131">
        <f t="shared" si="2"/>
        <v>50.552629883276474</v>
      </c>
      <c r="B35" s="81"/>
      <c r="C35" s="132">
        <v>57.176000000000002</v>
      </c>
      <c r="D35" s="126">
        <v>2</v>
      </c>
      <c r="E35" s="126">
        <v>15</v>
      </c>
      <c r="F35" s="124">
        <v>2009</v>
      </c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>
        <f t="shared" ref="AJ35:BE35" si="33">WEIBULL(AJ$5-$F35+0.5,$D35,$E35,FALSE)*$C35</f>
        <v>0.25383336174164495</v>
      </c>
      <c r="AK35" s="128">
        <f t="shared" si="33"/>
        <v>0.75476119059256574</v>
      </c>
      <c r="AL35" s="128">
        <f t="shared" si="33"/>
        <v>1.2357696351912075</v>
      </c>
      <c r="AM35" s="128">
        <f t="shared" si="33"/>
        <v>1.684551796576619</v>
      </c>
      <c r="AN35" s="128">
        <f t="shared" si="33"/>
        <v>2.0901971779627098</v>
      </c>
      <c r="AO35" s="128">
        <f t="shared" si="33"/>
        <v>2.4436300424719102</v>
      </c>
      <c r="AP35" s="128">
        <f t="shared" si="33"/>
        <v>2.7379388899751933</v>
      </c>
      <c r="AQ35" s="128">
        <f t="shared" si="33"/>
        <v>2.9685809048593756</v>
      </c>
      <c r="AR35" s="128">
        <f t="shared" si="33"/>
        <v>3.133454470499847</v>
      </c>
      <c r="AS35" s="128">
        <f t="shared" si="33"/>
        <v>3.2328422238327703</v>
      </c>
      <c r="AT35" s="128">
        <f t="shared" si="33"/>
        <v>3.2692358266295631</v>
      </c>
      <c r="AU35" s="128">
        <f t="shared" si="33"/>
        <v>3.2470609556716599</v>
      </c>
      <c r="AV35" s="128">
        <f t="shared" si="33"/>
        <v>3.1723264294391358</v>
      </c>
      <c r="AW35" s="128">
        <f t="shared" si="33"/>
        <v>3.0522245753235455</v>
      </c>
      <c r="AX35" s="128">
        <f t="shared" si="33"/>
        <v>2.8947108104017403</v>
      </c>
      <c r="AY35" s="128">
        <f t="shared" si="33"/>
        <v>2.7080890929611199</v>
      </c>
      <c r="AZ35" s="128">
        <f t="shared" si="33"/>
        <v>2.5006267218068747</v>
      </c>
      <c r="BA35" s="128">
        <f t="shared" si="33"/>
        <v>2.2802173744470262</v>
      </c>
      <c r="BB35" s="128">
        <f t="shared" si="33"/>
        <v>2.0541058201637528</v>
      </c>
      <c r="BC35" s="128">
        <f t="shared" si="33"/>
        <v>1.82868197266268</v>
      </c>
      <c r="BD35" s="128">
        <f t="shared" si="33"/>
        <v>1.6093463723216788</v>
      </c>
      <c r="BE35" s="128">
        <f t="shared" si="33"/>
        <v>1.4004442377438546</v>
      </c>
    </row>
    <row r="36" spans="1:57" x14ac:dyDescent="0.35">
      <c r="A36" s="131">
        <f t="shared" si="2"/>
        <v>43.764667325948309</v>
      </c>
      <c r="B36" s="81"/>
      <c r="C36" s="132">
        <v>50.908999999999999</v>
      </c>
      <c r="D36" s="126">
        <v>2</v>
      </c>
      <c r="E36" s="126">
        <v>15</v>
      </c>
      <c r="F36" s="124">
        <v>2010</v>
      </c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>
        <f t="shared" ref="AK36:BE36" si="34">WEIBULL(AK$5-$F36+0.5,$D36,$E36,FALSE)*$C36</f>
        <v>0.22601095936941026</v>
      </c>
      <c r="AL36" s="128">
        <f t="shared" si="34"/>
        <v>0.67203262648448525</v>
      </c>
      <c r="AM36" s="128">
        <f t="shared" si="34"/>
        <v>1.1003182516781373</v>
      </c>
      <c r="AN36" s="128">
        <f t="shared" si="34"/>
        <v>1.4999098819770373</v>
      </c>
      <c r="AO36" s="128">
        <f t="shared" si="34"/>
        <v>1.8610929084389181</v>
      </c>
      <c r="AP36" s="128">
        <f t="shared" si="34"/>
        <v>2.1757863759654832</v>
      </c>
      <c r="AQ36" s="128">
        <f t="shared" si="34"/>
        <v>2.4378363465395814</v>
      </c>
      <c r="AR36" s="128">
        <f t="shared" si="34"/>
        <v>2.6431979376921428</v>
      </c>
      <c r="AS36" s="128">
        <f t="shared" si="34"/>
        <v>2.7899998887413724</v>
      </c>
      <c r="AT36" s="128">
        <f t="shared" si="34"/>
        <v>2.8784938570921805</v>
      </c>
      <c r="AU36" s="128">
        <f t="shared" si="34"/>
        <v>2.9108983961432142</v>
      </c>
      <c r="AV36" s="128">
        <f t="shared" si="34"/>
        <v>2.8911540889934333</v>
      </c>
      <c r="AW36" s="128">
        <f t="shared" si="34"/>
        <v>2.8246111339778395</v>
      </c>
      <c r="AX36" s="128">
        <f t="shared" si="34"/>
        <v>2.7176735152012448</v>
      </c>
      <c r="AY36" s="128">
        <f t="shared" si="34"/>
        <v>2.577424665012281</v>
      </c>
      <c r="AZ36" s="128">
        <f t="shared" si="34"/>
        <v>2.4112583537420886</v>
      </c>
      <c r="BA36" s="128">
        <f t="shared" si="34"/>
        <v>2.2265357104460994</v>
      </c>
      <c r="BB36" s="128">
        <f t="shared" si="34"/>
        <v>2.0302851951119991</v>
      </c>
      <c r="BC36" s="128">
        <f t="shared" si="34"/>
        <v>1.8289574856358697</v>
      </c>
      <c r="BD36" s="128">
        <f t="shared" si="34"/>
        <v>1.6282421041395754</v>
      </c>
      <c r="BE36" s="128">
        <f t="shared" si="34"/>
        <v>1.4329476435659079</v>
      </c>
    </row>
    <row r="37" spans="1:57" x14ac:dyDescent="0.35">
      <c r="A37" s="131">
        <f t="shared" si="2"/>
        <v>72.990598002701418</v>
      </c>
      <c r="B37" s="81"/>
      <c r="C37" s="132">
        <v>87.78</v>
      </c>
      <c r="D37" s="126">
        <v>2</v>
      </c>
      <c r="E37" s="126">
        <v>15</v>
      </c>
      <c r="F37" s="124">
        <v>2011</v>
      </c>
      <c r="G37" s="128"/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>
        <f t="shared" ref="AL37:BE37" si="35">WEIBULL(AL$5-$F37+0.5,$D37,$E37,FALSE)*$C37</f>
        <v>0.38970009258572813</v>
      </c>
      <c r="AM37" s="128">
        <f t="shared" si="35"/>
        <v>1.1587543254200263</v>
      </c>
      <c r="AN37" s="128">
        <f t="shared" si="35"/>
        <v>1.8972271333616235</v>
      </c>
      <c r="AO37" s="128">
        <f t="shared" si="35"/>
        <v>2.5862242322564644</v>
      </c>
      <c r="AP37" s="128">
        <f t="shared" si="35"/>
        <v>3.2089951777243364</v>
      </c>
      <c r="AQ37" s="128">
        <f t="shared" si="35"/>
        <v>3.7516063580555521</v>
      </c>
      <c r="AR37" s="128">
        <f t="shared" si="35"/>
        <v>4.2034468266759211</v>
      </c>
      <c r="AS37" s="128">
        <f t="shared" si="35"/>
        <v>4.5575421825338607</v>
      </c>
      <c r="AT37" s="128">
        <f t="shared" si="35"/>
        <v>4.8106658986371302</v>
      </c>
      <c r="AU37" s="128">
        <f t="shared" si="35"/>
        <v>4.9632518960410064</v>
      </c>
      <c r="AV37" s="128">
        <f t="shared" si="35"/>
        <v>5.0191255222740843</v>
      </c>
      <c r="AW37" s="128">
        <f t="shared" si="35"/>
        <v>4.9850813398778913</v>
      </c>
      <c r="AX37" s="128">
        <f t="shared" si="35"/>
        <v>4.8703444448049416</v>
      </c>
      <c r="AY37" s="128">
        <f t="shared" si="35"/>
        <v>4.6859569263659724</v>
      </c>
      <c r="AZ37" s="128">
        <f t="shared" si="35"/>
        <v>4.4441324145981662</v>
      </c>
      <c r="BA37" s="128">
        <f t="shared" si="35"/>
        <v>4.1576196407605837</v>
      </c>
      <c r="BB37" s="128">
        <f t="shared" si="35"/>
        <v>3.8391110542921414</v>
      </c>
      <c r="BC37" s="128">
        <f t="shared" si="35"/>
        <v>3.5007254989673986</v>
      </c>
      <c r="BD37" s="128">
        <f t="shared" si="35"/>
        <v>3.1535855760104625</v>
      </c>
      <c r="BE37" s="128">
        <f t="shared" si="35"/>
        <v>2.8075014614581297</v>
      </c>
    </row>
    <row r="38" spans="1:57" x14ac:dyDescent="0.35">
      <c r="A38" s="131">
        <f t="shared" si="2"/>
        <v>99.870594350230618</v>
      </c>
      <c r="B38" s="81"/>
      <c r="C38" s="132">
        <v>124.911</v>
      </c>
      <c r="D38" s="126">
        <v>2</v>
      </c>
      <c r="E38" s="126">
        <v>15</v>
      </c>
      <c r="F38" s="124">
        <v>2012</v>
      </c>
      <c r="G38" s="128"/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>
        <f t="shared" ref="AM38:BE38" si="36">WEIBULL(AM$5-$F38+0.5,$D38,$E38,FALSE)*$C38</f>
        <v>0.55454349812002601</v>
      </c>
      <c r="AN38" s="128">
        <f t="shared" si="36"/>
        <v>1.6489081971125643</v>
      </c>
      <c r="AO38" s="128">
        <f t="shared" si="36"/>
        <v>2.6997555075795598</v>
      </c>
      <c r="AP38" s="128">
        <f t="shared" si="36"/>
        <v>3.6801988502550378</v>
      </c>
      <c r="AQ38" s="128">
        <f t="shared" si="36"/>
        <v>4.5664023313365751</v>
      </c>
      <c r="AR38" s="128">
        <f t="shared" si="36"/>
        <v>5.3385384118372876</v>
      </c>
      <c r="AS38" s="128">
        <f t="shared" si="36"/>
        <v>5.9815077075292313</v>
      </c>
      <c r="AT38" s="128">
        <f t="shared" si="36"/>
        <v>6.4853856409488158</v>
      </c>
      <c r="AU38" s="128">
        <f t="shared" si="36"/>
        <v>6.8455808619806628</v>
      </c>
      <c r="AV38" s="128">
        <f t="shared" si="36"/>
        <v>7.0627108405830272</v>
      </c>
      <c r="AW38" s="128">
        <f t="shared" si="36"/>
        <v>7.1422190489038293</v>
      </c>
      <c r="AX38" s="128">
        <f t="shared" si="36"/>
        <v>7.0937741540839285</v>
      </c>
      <c r="AY38" s="128">
        <f t="shared" si="36"/>
        <v>6.9305034739693552</v>
      </c>
      <c r="AZ38" s="128">
        <f t="shared" si="36"/>
        <v>6.6681199091968555</v>
      </c>
      <c r="BA38" s="128">
        <f t="shared" si="36"/>
        <v>6.3240034636576841</v>
      </c>
      <c r="BB38" s="128">
        <f t="shared" si="36"/>
        <v>5.9162955906475876</v>
      </c>
      <c r="BC38" s="128">
        <f t="shared" si="36"/>
        <v>5.4630576543937766</v>
      </c>
      <c r="BD38" s="128">
        <f t="shared" si="36"/>
        <v>4.981534777871004</v>
      </c>
      <c r="BE38" s="128">
        <f t="shared" si="36"/>
        <v>4.4875544302237742</v>
      </c>
    </row>
    <row r="39" spans="1:57" x14ac:dyDescent="0.35">
      <c r="A39" s="131">
        <f t="shared" si="2"/>
        <v>124.01834022982945</v>
      </c>
      <c r="B39" s="81"/>
      <c r="C39" s="132">
        <v>162.411</v>
      </c>
      <c r="D39" s="126">
        <v>2</v>
      </c>
      <c r="E39" s="126">
        <v>15</v>
      </c>
      <c r="F39" s="124">
        <v>2013</v>
      </c>
      <c r="G39" s="128"/>
      <c r="H39" s="128"/>
      <c r="I39" s="128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>
        <f t="shared" ref="AN39:BE39" si="37">WEIBULL(AN$5-$F39+0.5,$D39,$E39,FALSE)*$C39</f>
        <v>0.7210250824440726</v>
      </c>
      <c r="AO39" s="128">
        <f t="shared" si="37"/>
        <v>2.1439331139871483</v>
      </c>
      <c r="AP39" s="128">
        <f t="shared" si="37"/>
        <v>3.5102592385098501</v>
      </c>
      <c r="AQ39" s="128">
        <f t="shared" si="37"/>
        <v>4.7850451559011695</v>
      </c>
      <c r="AR39" s="128">
        <f t="shared" si="37"/>
        <v>5.9372991092434173</v>
      </c>
      <c r="AS39" s="128">
        <f t="shared" si="37"/>
        <v>6.9412410596737333</v>
      </c>
      <c r="AT39" s="128">
        <f t="shared" si="37"/>
        <v>7.7772385801693211</v>
      </c>
      <c r="AU39" s="128">
        <f t="shared" si="37"/>
        <v>8.4323875986273276</v>
      </c>
      <c r="AV39" s="128">
        <f t="shared" si="37"/>
        <v>8.900718378486614</v>
      </c>
      <c r="AW39" s="128">
        <f t="shared" si="37"/>
        <v>9.1830337626784679</v>
      </c>
      <c r="AX39" s="128">
        <f t="shared" si="37"/>
        <v>9.286411428549286</v>
      </c>
      <c r="AY39" s="128">
        <f t="shared" si="37"/>
        <v>9.2234227100809782</v>
      </c>
      <c r="AZ39" s="128">
        <f t="shared" si="37"/>
        <v>9.0111359264663395</v>
      </c>
      <c r="BA39" s="128">
        <f t="shared" si="37"/>
        <v>8.6699812072000899</v>
      </c>
      <c r="BB39" s="128">
        <f t="shared" si="37"/>
        <v>8.2225562723547814</v>
      </c>
      <c r="BC39" s="128">
        <f t="shared" si="37"/>
        <v>7.6924488889902838</v>
      </c>
      <c r="BD39" s="128">
        <f t="shared" si="37"/>
        <v>7.1031426912581566</v>
      </c>
      <c r="BE39" s="128">
        <f t="shared" si="37"/>
        <v>6.4770600252084094</v>
      </c>
    </row>
    <row r="40" spans="1:57" x14ac:dyDescent="0.35">
      <c r="A40" s="131">
        <f t="shared" si="2"/>
        <v>145.15654412620103</v>
      </c>
      <c r="B40" s="81"/>
      <c r="C40" s="132">
        <v>200.56800000000001</v>
      </c>
      <c r="D40" s="126">
        <v>2</v>
      </c>
      <c r="E40" s="126">
        <v>15</v>
      </c>
      <c r="F40" s="124">
        <v>2014</v>
      </c>
      <c r="G40" s="128"/>
      <c r="H40" s="128"/>
      <c r="I40" s="128"/>
      <c r="J40" s="128"/>
      <c r="K40" s="128"/>
      <c r="L40" s="128"/>
      <c r="M40" s="128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28"/>
      <c r="AO40" s="128">
        <f t="shared" ref="AO40:BE40" si="38">WEIBULL(AO$5-$F40+0.5,$D40,$E40,FALSE)*$C40</f>
        <v>0.89042342412547648</v>
      </c>
      <c r="AP40" s="128">
        <f t="shared" si="38"/>
        <v>2.647630867405375</v>
      </c>
      <c r="AQ40" s="128">
        <f t="shared" si="38"/>
        <v>4.3349629948060393</v>
      </c>
      <c r="AR40" s="128">
        <f t="shared" si="38"/>
        <v>5.9092483688222215</v>
      </c>
      <c r="AS40" s="128">
        <f t="shared" si="38"/>
        <v>7.3322139986991877</v>
      </c>
      <c r="AT40" s="128">
        <f t="shared" si="38"/>
        <v>8.5720230579002745</v>
      </c>
      <c r="AU40" s="128">
        <f t="shared" si="38"/>
        <v>9.6044306576980656</v>
      </c>
      <c r="AV40" s="128">
        <f t="shared" si="38"/>
        <v>10.413501030604367</v>
      </c>
      <c r="AW40" s="128">
        <f t="shared" si="38"/>
        <v>10.99186190428175</v>
      </c>
      <c r="AX40" s="128">
        <f t="shared" si="38"/>
        <v>11.340504742369021</v>
      </c>
      <c r="AY40" s="128">
        <f t="shared" si="38"/>
        <v>11.46817005868613</v>
      </c>
      <c r="AZ40" s="128">
        <f t="shared" si="38"/>
        <v>11.390382708779095</v>
      </c>
      <c r="BA40" s="128">
        <f t="shared" si="38"/>
        <v>11.128221059531072</v>
      </c>
      <c r="BB40" s="128">
        <f t="shared" si="38"/>
        <v>10.706915115144342</v>
      </c>
      <c r="BC40" s="128">
        <f t="shared" si="38"/>
        <v>10.154371726260253</v>
      </c>
      <c r="BD40" s="128">
        <f t="shared" si="38"/>
        <v>9.4997203931199437</v>
      </c>
      <c r="BE40" s="128">
        <f t="shared" si="38"/>
        <v>8.7719620179684004</v>
      </c>
    </row>
    <row r="41" spans="1:57" x14ac:dyDescent="0.35">
      <c r="A41" s="131">
        <f t="shared" si="2"/>
        <v>149.83481860708008</v>
      </c>
      <c r="B41" s="81"/>
      <c r="C41" s="132">
        <v>220.34800000000001</v>
      </c>
      <c r="D41" s="126">
        <v>2</v>
      </c>
      <c r="E41" s="126">
        <v>15</v>
      </c>
      <c r="F41" s="124">
        <v>2015</v>
      </c>
      <c r="G41" s="128"/>
      <c r="H41" s="128"/>
      <c r="I41" s="128"/>
      <c r="J41" s="128"/>
      <c r="K41" s="128"/>
      <c r="L41" s="128"/>
      <c r="M41" s="128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  <c r="AO41" s="128"/>
      <c r="AP41" s="128">
        <f t="shared" ref="AP41:BE41" si="39">WEIBULL(AP$5-$F41+0.5,$D41,$E41,FALSE)*$C41</f>
        <v>0.97823691047026684</v>
      </c>
      <c r="AQ41" s="128">
        <f t="shared" si="39"/>
        <v>2.9087400102261558</v>
      </c>
      <c r="AR41" s="128">
        <f t="shared" si="39"/>
        <v>4.7624766960807365</v>
      </c>
      <c r="AS41" s="128">
        <f t="shared" si="39"/>
        <v>6.4920179668403675</v>
      </c>
      <c r="AT41" s="128">
        <f t="shared" si="39"/>
        <v>8.055316352485784</v>
      </c>
      <c r="AU41" s="128">
        <f t="shared" si="39"/>
        <v>9.4173952812124035</v>
      </c>
      <c r="AV41" s="128">
        <f t="shared" si="39"/>
        <v>10.551618835319958</v>
      </c>
      <c r="AW41" s="128">
        <f t="shared" si="39"/>
        <v>11.440479663214527</v>
      </c>
      <c r="AX41" s="128">
        <f t="shared" si="39"/>
        <v>12.075878439654755</v>
      </c>
      <c r="AY41" s="128">
        <f t="shared" si="39"/>
        <v>12.458904406343629</v>
      </c>
      <c r="AZ41" s="128">
        <f t="shared" si="39"/>
        <v>12.599160065869787</v>
      </c>
      <c r="BA41" s="128">
        <f t="shared" si="39"/>
        <v>12.513701333782338</v>
      </c>
      <c r="BB41" s="128">
        <f t="shared" si="39"/>
        <v>12.225685323808149</v>
      </c>
      <c r="BC41" s="128">
        <f t="shared" si="39"/>
        <v>11.762830221131114</v>
      </c>
      <c r="BD41" s="128">
        <f t="shared" si="39"/>
        <v>11.155795047754349</v>
      </c>
      <c r="BE41" s="128">
        <f t="shared" si="39"/>
        <v>10.436582052885772</v>
      </c>
    </row>
    <row r="42" spans="1:57" x14ac:dyDescent="0.35">
      <c r="A42" s="131">
        <f t="shared" si="2"/>
        <v>152.39304103192822</v>
      </c>
      <c r="B42" s="81"/>
      <c r="C42" s="132">
        <v>240.88900000000001</v>
      </c>
      <c r="D42" s="126">
        <v>2</v>
      </c>
      <c r="E42" s="126">
        <v>15</v>
      </c>
      <c r="F42" s="124">
        <v>2016</v>
      </c>
      <c r="G42" s="128"/>
      <c r="H42" s="128"/>
      <c r="I42" s="128"/>
      <c r="J42" s="128"/>
      <c r="K42" s="128"/>
      <c r="L42" s="128"/>
      <c r="M42" s="128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8"/>
      <c r="AO42" s="128"/>
      <c r="AP42" s="128"/>
      <c r="AQ42" s="128">
        <f t="shared" ref="AQ42:BE42" si="40">WEIBULL(AQ$5-$F42+0.5,$D42,$E42,FALSE)*$C42</f>
        <v>1.0694288630996065</v>
      </c>
      <c r="AR42" s="128">
        <f t="shared" si="40"/>
        <v>3.1798948586933777</v>
      </c>
      <c r="AS42" s="128">
        <f t="shared" si="40"/>
        <v>5.2064382197351122</v>
      </c>
      <c r="AT42" s="128">
        <f t="shared" si="40"/>
        <v>7.0972085792210926</v>
      </c>
      <c r="AU42" s="128">
        <f t="shared" si="40"/>
        <v>8.8062387715520352</v>
      </c>
      <c r="AV42" s="128">
        <f t="shared" si="40"/>
        <v>10.295291683591296</v>
      </c>
      <c r="AW42" s="128">
        <f t="shared" si="40"/>
        <v>11.535248378117293</v>
      </c>
      <c r="AX42" s="128">
        <f t="shared" si="40"/>
        <v>12.506969455552507</v>
      </c>
      <c r="AY42" s="128">
        <f t="shared" si="40"/>
        <v>13.201600565696054</v>
      </c>
      <c r="AZ42" s="128">
        <f t="shared" si="40"/>
        <v>13.620332490150627</v>
      </c>
      <c r="BA42" s="128">
        <f t="shared" si="40"/>
        <v>13.773662883744382</v>
      </c>
      <c r="BB42" s="128">
        <f t="shared" si="40"/>
        <v>13.680237626815281</v>
      </c>
      <c r="BC42" s="128">
        <f t="shared" si="40"/>
        <v>13.365372555987896</v>
      </c>
      <c r="BD42" s="128">
        <f t="shared" si="40"/>
        <v>12.859369765725367</v>
      </c>
      <c r="BE42" s="128">
        <f t="shared" si="40"/>
        <v>12.195746334246271</v>
      </c>
    </row>
    <row r="43" spans="1:57" x14ac:dyDescent="0.35">
      <c r="A43" s="131">
        <f t="shared" si="2"/>
        <v>152.67187350597169</v>
      </c>
      <c r="B43" s="81"/>
      <c r="C43" s="132">
        <v>262.32299999999998</v>
      </c>
      <c r="D43" s="126">
        <v>2</v>
      </c>
      <c r="E43" s="126">
        <v>15</v>
      </c>
      <c r="F43" s="124">
        <v>2017</v>
      </c>
      <c r="G43" s="128"/>
      <c r="H43" s="128"/>
      <c r="I43" s="128"/>
      <c r="J43" s="128"/>
      <c r="K43" s="128"/>
      <c r="L43" s="128"/>
      <c r="M43" s="128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>
        <f t="shared" ref="AR43:BE43" si="41">WEIBULL(AR$5-$F43+0.5,$D43,$E43,FALSE)*$C43</f>
        <v>1.1645852971903161</v>
      </c>
      <c r="AS43" s="128">
        <f t="shared" si="41"/>
        <v>3.4628379005144394</v>
      </c>
      <c r="AT43" s="128">
        <f t="shared" si="41"/>
        <v>5.669700538902041</v>
      </c>
      <c r="AU43" s="128">
        <f t="shared" si="41"/>
        <v>7.7287092649602691</v>
      </c>
      <c r="AV43" s="128">
        <f t="shared" si="41"/>
        <v>9.5898068125561746</v>
      </c>
      <c r="AW43" s="128">
        <f t="shared" si="41"/>
        <v>11.211353778357331</v>
      </c>
      <c r="AX43" s="128">
        <f t="shared" si="41"/>
        <v>12.561640258761763</v>
      </c>
      <c r="AY43" s="128">
        <f t="shared" si="41"/>
        <v>13.619823854509338</v>
      </c>
      <c r="AZ43" s="128">
        <f t="shared" si="41"/>
        <v>14.376262366463749</v>
      </c>
      <c r="BA43" s="128">
        <f t="shared" si="41"/>
        <v>14.83225253047579</v>
      </c>
      <c r="BB43" s="128">
        <f t="shared" si="41"/>
        <v>14.999226069486268</v>
      </c>
      <c r="BC43" s="128">
        <f t="shared" si="41"/>
        <v>14.897487950795032</v>
      </c>
      <c r="BD43" s="128">
        <f t="shared" si="41"/>
        <v>14.554606582303105</v>
      </c>
      <c r="BE43" s="128">
        <f t="shared" si="41"/>
        <v>14.003580300696068</v>
      </c>
    </row>
    <row r="44" spans="1:57" x14ac:dyDescent="0.35">
      <c r="A44" s="131">
        <f t="shared" si="2"/>
        <v>149.86122116175866</v>
      </c>
      <c r="B44" s="81"/>
      <c r="C44" s="132">
        <v>283.49700000000001</v>
      </c>
      <c r="D44" s="126">
        <v>2</v>
      </c>
      <c r="E44" s="126">
        <v>15</v>
      </c>
      <c r="F44" s="124">
        <v>2018</v>
      </c>
      <c r="G44" s="128"/>
      <c r="H44" s="128"/>
      <c r="I44" s="128"/>
      <c r="J44" s="128"/>
      <c r="K44" s="128"/>
      <c r="L44" s="128"/>
      <c r="M44" s="128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  <c r="AJ44" s="128"/>
      <c r="AK44" s="128"/>
      <c r="AL44" s="128"/>
      <c r="AM44" s="128"/>
      <c r="AN44" s="128"/>
      <c r="AO44" s="128"/>
      <c r="AP44" s="128"/>
      <c r="AQ44" s="128"/>
      <c r="AR44" s="128"/>
      <c r="AS44" s="128">
        <f t="shared" ref="AS44:BE44" si="42">WEIBULL(AS$5-$F44+0.5,$D44,$E44,FALSE)*$C44</f>
        <v>1.2585874589630459</v>
      </c>
      <c r="AT44" s="128">
        <f t="shared" si="42"/>
        <v>3.7423487695785052</v>
      </c>
      <c r="AU44" s="128">
        <f t="shared" si="42"/>
        <v>6.1273433655345206</v>
      </c>
      <c r="AV44" s="128">
        <f t="shared" si="42"/>
        <v>8.3525496829803014</v>
      </c>
      <c r="AW44" s="128">
        <f t="shared" si="42"/>
        <v>10.363869969233495</v>
      </c>
      <c r="AX44" s="128">
        <f t="shared" si="42"/>
        <v>12.116303801431703</v>
      </c>
      <c r="AY44" s="128">
        <f t="shared" si="42"/>
        <v>13.575581738689264</v>
      </c>
      <c r="AZ44" s="128">
        <f t="shared" si="42"/>
        <v>14.719179039892936</v>
      </c>
      <c r="BA44" s="128">
        <f t="shared" si="42"/>
        <v>15.536675213783671</v>
      </c>
      <c r="BB44" s="128">
        <f t="shared" si="42"/>
        <v>16.029471665207762</v>
      </c>
      <c r="BC44" s="128">
        <f t="shared" si="42"/>
        <v>16.209922854729278</v>
      </c>
      <c r="BD44" s="128">
        <f t="shared" si="42"/>
        <v>16.099972711453209</v>
      </c>
      <c r="BE44" s="128">
        <f t="shared" si="42"/>
        <v>15.729414890281003</v>
      </c>
    </row>
    <row r="45" spans="1:57" x14ac:dyDescent="0.35">
      <c r="A45" s="131">
        <f t="shared" si="2"/>
        <v>124.78837438243075</v>
      </c>
      <c r="B45" s="81"/>
      <c r="C45" s="132">
        <v>263.74900000000002</v>
      </c>
      <c r="D45" s="126">
        <v>2</v>
      </c>
      <c r="E45" s="126">
        <v>15</v>
      </c>
      <c r="F45" s="124">
        <v>2019</v>
      </c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  <c r="AL45" s="128"/>
      <c r="AM45" s="128"/>
      <c r="AN45" s="128"/>
      <c r="AO45" s="128"/>
      <c r="AP45" s="128"/>
      <c r="AQ45" s="128"/>
      <c r="AR45" s="128"/>
      <c r="AS45" s="128"/>
      <c r="AT45" s="128">
        <f t="shared" ref="AT45:BE45" si="43">WEIBULL(AT$5-$F45+0.5,$D45,$E45,FALSE)*$C45</f>
        <v>1.1709160369035454</v>
      </c>
      <c r="AU45" s="128">
        <f t="shared" si="43"/>
        <v>3.4816620480201244</v>
      </c>
      <c r="AV45" s="128">
        <f t="shared" si="43"/>
        <v>5.7005212941102172</v>
      </c>
      <c r="AW45" s="128">
        <f t="shared" si="43"/>
        <v>7.7707228871429743</v>
      </c>
      <c r="AX45" s="128">
        <f t="shared" si="43"/>
        <v>9.6419374473640467</v>
      </c>
      <c r="AY45" s="128">
        <f t="shared" si="43"/>
        <v>11.272299217712394</v>
      </c>
      <c r="AZ45" s="128">
        <f t="shared" si="43"/>
        <v>12.629925918078692</v>
      </c>
      <c r="BA45" s="128">
        <f t="shared" si="43"/>
        <v>13.693861848953329</v>
      </c>
      <c r="BB45" s="128">
        <f t="shared" si="43"/>
        <v>14.454412395758084</v>
      </c>
      <c r="BC45" s="128">
        <f t="shared" si="43"/>
        <v>14.912881343460008</v>
      </c>
      <c r="BD45" s="128">
        <f t="shared" si="43"/>
        <v>15.080762558376254</v>
      </c>
      <c r="BE45" s="128">
        <f t="shared" si="43"/>
        <v>14.978471386551083</v>
      </c>
    </row>
    <row r="46" spans="1:57" x14ac:dyDescent="0.35">
      <c r="A46" s="131">
        <f t="shared" si="2"/>
        <v>111.15801982627772</v>
      </c>
      <c r="B46" s="81"/>
      <c r="C46" s="81">
        <v>266.98700000000002</v>
      </c>
      <c r="D46" s="126">
        <v>2</v>
      </c>
      <c r="E46" s="126">
        <v>15</v>
      </c>
      <c r="F46" s="124">
        <v>2020</v>
      </c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  <c r="AS46" s="129"/>
      <c r="AT46" s="129"/>
      <c r="AU46" s="130">
        <f t="shared" ref="AU46:BE46" si="44">WEIBULL(AU$5-$F46+0.5,$D46,$E46,FALSE)*$C46</f>
        <v>1.1852911667713124</v>
      </c>
      <c r="AV46" s="130">
        <f t="shared" si="44"/>
        <v>3.5244057995091884</v>
      </c>
      <c r="AW46" s="130">
        <f t="shared" si="44"/>
        <v>5.7705055895969446</v>
      </c>
      <c r="AX46" s="130">
        <f t="shared" si="44"/>
        <v>7.866122682814499</v>
      </c>
      <c r="AY46" s="130">
        <f t="shared" si="44"/>
        <v>9.7603098144803759</v>
      </c>
      <c r="AZ46" s="130">
        <f t="shared" si="44"/>
        <v>11.410687249010911</v>
      </c>
      <c r="BA46" s="130">
        <f t="shared" si="44"/>
        <v>12.784981293161588</v>
      </c>
      <c r="BB46" s="130">
        <f t="shared" si="44"/>
        <v>13.861978977992344</v>
      </c>
      <c r="BC46" s="130">
        <f t="shared" si="44"/>
        <v>14.631866669849984</v>
      </c>
      <c r="BD46" s="130">
        <f t="shared" si="44"/>
        <v>15.095964160039875</v>
      </c>
      <c r="BE46" s="130">
        <f t="shared" si="44"/>
        <v>15.265906423050707</v>
      </c>
    </row>
    <row r="47" spans="1:57" x14ac:dyDescent="0.35">
      <c r="A47" s="131">
        <f t="shared" si="2"/>
        <v>96.700950685132383</v>
      </c>
      <c r="B47" s="81"/>
      <c r="C47" s="81">
        <v>269.23899999999998</v>
      </c>
      <c r="D47" s="126">
        <v>2</v>
      </c>
      <c r="E47" s="126">
        <v>15</v>
      </c>
      <c r="F47" s="124">
        <v>2021</v>
      </c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  <c r="AS47" s="129"/>
      <c r="AT47" s="129"/>
      <c r="AU47" s="130"/>
      <c r="AV47" s="130">
        <f t="shared" ref="AV47:BE47" si="45">WEIBULL(AV$5-$F47+0.5,$D47,$E47,FALSE)*$C47</f>
        <v>1.1952889408485856</v>
      </c>
      <c r="AW47" s="130">
        <f t="shared" si="45"/>
        <v>3.5541336958505627</v>
      </c>
      <c r="AX47" s="130">
        <f t="shared" si="45"/>
        <v>5.8191790403184109</v>
      </c>
      <c r="AY47" s="130">
        <f t="shared" si="45"/>
        <v>7.9324723862895663</v>
      </c>
      <c r="AZ47" s="130">
        <f t="shared" si="45"/>
        <v>9.8426367356496076</v>
      </c>
      <c r="BA47" s="130">
        <f t="shared" si="45"/>
        <v>11.506934885355648</v>
      </c>
      <c r="BB47" s="130">
        <f t="shared" si="45"/>
        <v>12.892820917833198</v>
      </c>
      <c r="BC47" s="130">
        <f t="shared" si="45"/>
        <v>13.978902935557461</v>
      </c>
      <c r="BD47" s="130">
        <f t="shared" si="45"/>
        <v>14.755284528174553</v>
      </c>
      <c r="BE47" s="130">
        <f t="shared" si="45"/>
        <v>15.223296619254779</v>
      </c>
    </row>
    <row r="48" spans="1:57" x14ac:dyDescent="0.35">
      <c r="A48" s="131">
        <f t="shared" si="2"/>
        <v>83.197455090455705</v>
      </c>
      <c r="B48" s="81"/>
      <c r="C48" s="81">
        <v>274.92200000000003</v>
      </c>
      <c r="D48" s="126">
        <v>2</v>
      </c>
      <c r="E48" s="126">
        <v>15</v>
      </c>
      <c r="F48" s="124">
        <v>2022</v>
      </c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  <c r="AS48" s="129"/>
      <c r="AT48" s="129"/>
      <c r="AU48" s="130"/>
      <c r="AV48" s="127"/>
      <c r="AW48" s="130">
        <f t="shared" ref="AW48:BE48" si="46">WEIBULL(AW$5-$F48+0.5,$D48,$E48,FALSE)*$C48</f>
        <v>1.2205186700142807</v>
      </c>
      <c r="AX48" s="130">
        <f t="shared" si="46"/>
        <v>3.6291530719198506</v>
      </c>
      <c r="AY48" s="130">
        <f t="shared" si="46"/>
        <v>5.9420081790617942</v>
      </c>
      <c r="AZ48" s="130">
        <f t="shared" si="46"/>
        <v>8.0999081610892212</v>
      </c>
      <c r="BA48" s="130">
        <f t="shared" si="46"/>
        <v>10.050391572685465</v>
      </c>
      <c r="BB48" s="130">
        <f t="shared" si="46"/>
        <v>11.749819129293103</v>
      </c>
      <c r="BC48" s="130">
        <f t="shared" si="46"/>
        <v>13.164957945812231</v>
      </c>
      <c r="BD48" s="130">
        <f t="shared" si="46"/>
        <v>14.273964592237116</v>
      </c>
      <c r="BE48" s="130">
        <f t="shared" si="46"/>
        <v>15.066733768342644</v>
      </c>
    </row>
    <row r="49" spans="1:57" x14ac:dyDescent="0.35">
      <c r="A49" s="131">
        <f t="shared" si="2"/>
        <v>0</v>
      </c>
      <c r="B49" s="81"/>
      <c r="C49" s="81"/>
      <c r="D49" s="126">
        <v>2</v>
      </c>
      <c r="E49" s="126">
        <v>15</v>
      </c>
      <c r="F49" s="124">
        <v>2023</v>
      </c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  <c r="AS49" s="129"/>
      <c r="AT49" s="129"/>
      <c r="AU49" s="130"/>
      <c r="AV49" s="127"/>
      <c r="AW49" s="127"/>
      <c r="AX49" s="130">
        <f t="shared" ref="AX49:BE49" si="47">WEIBULL(AX$5-$F49+0.5,$D49,$E49,FALSE)*$C49</f>
        <v>0</v>
      </c>
      <c r="AY49" s="130">
        <f t="shared" si="47"/>
        <v>0</v>
      </c>
      <c r="AZ49" s="130">
        <f t="shared" si="47"/>
        <v>0</v>
      </c>
      <c r="BA49" s="130">
        <f t="shared" si="47"/>
        <v>0</v>
      </c>
      <c r="BB49" s="130">
        <f t="shared" si="47"/>
        <v>0</v>
      </c>
      <c r="BC49" s="130">
        <f t="shared" si="47"/>
        <v>0</v>
      </c>
      <c r="BD49" s="130">
        <f t="shared" si="47"/>
        <v>0</v>
      </c>
      <c r="BE49" s="130">
        <f t="shared" si="47"/>
        <v>0</v>
      </c>
    </row>
    <row r="50" spans="1:57" x14ac:dyDescent="0.35">
      <c r="A50" s="131">
        <f t="shared" si="2"/>
        <v>0</v>
      </c>
      <c r="B50" s="81"/>
      <c r="C50" s="81"/>
      <c r="D50" s="126">
        <v>2</v>
      </c>
      <c r="E50" s="126">
        <v>15</v>
      </c>
      <c r="F50" s="124">
        <v>2024</v>
      </c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  <c r="AS50" s="129"/>
      <c r="AT50" s="129"/>
      <c r="AU50" s="130"/>
      <c r="AV50" s="127"/>
      <c r="AW50" s="127"/>
      <c r="AX50" s="127"/>
      <c r="AY50" s="130">
        <f t="shared" ref="AY50:BE50" si="48">WEIBULL(AY$5-$F50+0.5,$D50,$E50,FALSE)*$C50</f>
        <v>0</v>
      </c>
      <c r="AZ50" s="130">
        <f t="shared" si="48"/>
        <v>0</v>
      </c>
      <c r="BA50" s="130">
        <f t="shared" si="48"/>
        <v>0</v>
      </c>
      <c r="BB50" s="130">
        <f t="shared" si="48"/>
        <v>0</v>
      </c>
      <c r="BC50" s="130">
        <f t="shared" si="48"/>
        <v>0</v>
      </c>
      <c r="BD50" s="130">
        <f t="shared" si="48"/>
        <v>0</v>
      </c>
      <c r="BE50" s="130">
        <f t="shared" si="48"/>
        <v>0</v>
      </c>
    </row>
    <row r="51" spans="1:57" x14ac:dyDescent="0.35">
      <c r="A51" s="131">
        <f t="shared" si="2"/>
        <v>0</v>
      </c>
      <c r="B51" s="81"/>
      <c r="C51" s="81"/>
      <c r="D51" s="126">
        <v>2</v>
      </c>
      <c r="E51" s="126">
        <v>15</v>
      </c>
      <c r="F51" s="124">
        <v>2025</v>
      </c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  <c r="AS51" s="129"/>
      <c r="AT51" s="129"/>
      <c r="AU51" s="130"/>
      <c r="AV51" s="127"/>
      <c r="AW51" s="127"/>
      <c r="AX51" s="127"/>
      <c r="AY51" s="127"/>
      <c r="AZ51" s="130">
        <f t="shared" ref="AZ51:BE51" si="49">WEIBULL(AZ$5-$F51+0.5,$D51,$E51,FALSE)*$C51</f>
        <v>0</v>
      </c>
      <c r="BA51" s="130">
        <f t="shared" si="49"/>
        <v>0</v>
      </c>
      <c r="BB51" s="130">
        <f t="shared" si="49"/>
        <v>0</v>
      </c>
      <c r="BC51" s="130">
        <f t="shared" si="49"/>
        <v>0</v>
      </c>
      <c r="BD51" s="130">
        <f t="shared" si="49"/>
        <v>0</v>
      </c>
      <c r="BE51" s="130">
        <f t="shared" si="49"/>
        <v>0</v>
      </c>
    </row>
    <row r="52" spans="1:57" x14ac:dyDescent="0.35">
      <c r="A52" s="131">
        <f t="shared" si="2"/>
        <v>0</v>
      </c>
      <c r="B52" s="81"/>
      <c r="C52" s="81"/>
      <c r="D52" s="126">
        <v>2</v>
      </c>
      <c r="E52" s="126">
        <v>15</v>
      </c>
      <c r="F52" s="124">
        <v>2026</v>
      </c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  <c r="AS52" s="129"/>
      <c r="AT52" s="129"/>
      <c r="AU52" s="130"/>
      <c r="AV52" s="127"/>
      <c r="AW52" s="127"/>
      <c r="AX52" s="127"/>
      <c r="AY52" s="127"/>
      <c r="AZ52" s="127"/>
      <c r="BA52" s="130">
        <f>WEIBULL(BA$5-$F52+0.5,$D52,$E52,FALSE)*$C52</f>
        <v>0</v>
      </c>
      <c r="BB52" s="130">
        <f>WEIBULL(BB$5-$F52+0.5,$D52,$E52,FALSE)*$C52</f>
        <v>0</v>
      </c>
      <c r="BC52" s="130">
        <f>WEIBULL(BC$5-$F52+0.5,$D52,$E52,FALSE)*$C52</f>
        <v>0</v>
      </c>
      <c r="BD52" s="130">
        <f>WEIBULL(BD$5-$F52+0.5,$D52,$E52,FALSE)*$C52</f>
        <v>0</v>
      </c>
      <c r="BE52" s="130">
        <f>WEIBULL(BE$5-$F52+0.5,$D52,$E52,FALSE)*$C52</f>
        <v>0</v>
      </c>
    </row>
    <row r="53" spans="1:57" x14ac:dyDescent="0.35">
      <c r="A53" s="131">
        <f t="shared" si="2"/>
        <v>0</v>
      </c>
      <c r="B53" s="81"/>
      <c r="C53" s="81"/>
      <c r="D53" s="126">
        <v>2</v>
      </c>
      <c r="E53" s="126">
        <v>15</v>
      </c>
      <c r="F53" s="124">
        <v>2027</v>
      </c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30"/>
      <c r="AV53" s="127"/>
      <c r="AW53" s="127"/>
      <c r="AX53" s="127"/>
      <c r="AY53" s="127"/>
      <c r="AZ53" s="127"/>
      <c r="BA53" s="127"/>
      <c r="BB53" s="130">
        <f>WEIBULL(BB$5-$F53+0.5,$D53,$E53,FALSE)*$C53</f>
        <v>0</v>
      </c>
      <c r="BC53" s="130">
        <f>WEIBULL(BC$5-$F53+0.5,$D53,$E53,FALSE)*$C53</f>
        <v>0</v>
      </c>
      <c r="BD53" s="130">
        <f>WEIBULL(BD$5-$F53+0.5,$D53,$E53,FALSE)*$C53</f>
        <v>0</v>
      </c>
      <c r="BE53" s="130">
        <f>WEIBULL(BE$5-$F53+0.5,$D53,$E53,FALSE)*$C53</f>
        <v>0</v>
      </c>
    </row>
    <row r="54" spans="1:57" x14ac:dyDescent="0.35">
      <c r="A54" s="131">
        <f t="shared" si="2"/>
        <v>0</v>
      </c>
      <c r="B54" s="81"/>
      <c r="C54" s="81"/>
      <c r="D54" s="126">
        <v>2</v>
      </c>
      <c r="E54" s="126">
        <v>15</v>
      </c>
      <c r="F54" s="124">
        <v>2028</v>
      </c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  <c r="AS54" s="129"/>
      <c r="AT54" s="129"/>
      <c r="AU54" s="130"/>
      <c r="AV54" s="127"/>
      <c r="AW54" s="127"/>
      <c r="AX54" s="127"/>
      <c r="AY54" s="127"/>
      <c r="AZ54" s="127"/>
      <c r="BA54" s="127"/>
      <c r="BB54" s="127"/>
      <c r="BC54" s="130">
        <f>WEIBULL(BC$5-$F54+0.5,$D54,$E54,FALSE)*$C54</f>
        <v>0</v>
      </c>
      <c r="BD54" s="130">
        <f>WEIBULL(BD$5-$F54+0.5,$D54,$E54,FALSE)*$C54</f>
        <v>0</v>
      </c>
      <c r="BE54" s="130">
        <f>WEIBULL(BE$5-$F54+0.5,$D54,$E54,FALSE)*$C54</f>
        <v>0</v>
      </c>
    </row>
    <row r="55" spans="1:57" x14ac:dyDescent="0.35">
      <c r="A55" s="131">
        <f t="shared" si="2"/>
        <v>0</v>
      </c>
      <c r="B55" s="81"/>
      <c r="C55" s="81"/>
      <c r="D55" s="126">
        <v>2</v>
      </c>
      <c r="E55" s="126">
        <v>15</v>
      </c>
      <c r="F55" s="124">
        <v>2029</v>
      </c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  <c r="AS55" s="129"/>
      <c r="AT55" s="129"/>
      <c r="AU55" s="130"/>
      <c r="AV55" s="127"/>
      <c r="AW55" s="127"/>
      <c r="AX55" s="127"/>
      <c r="AY55" s="127"/>
      <c r="AZ55" s="127"/>
      <c r="BA55" s="127"/>
      <c r="BB55" s="127"/>
      <c r="BC55" s="127"/>
      <c r="BD55" s="130">
        <f>WEIBULL(BD$5-$F55+0.5,$D55,$E55,FALSE)*$C55</f>
        <v>0</v>
      </c>
      <c r="BE55" s="130">
        <f>WEIBULL(BE$5-$F55+0.5,$D55,$E55,FALSE)*$C55</f>
        <v>0</v>
      </c>
    </row>
    <row r="56" spans="1:57" x14ac:dyDescent="0.35">
      <c r="A56" s="131">
        <f t="shared" si="2"/>
        <v>0</v>
      </c>
      <c r="B56" s="81"/>
      <c r="C56" s="81"/>
      <c r="D56" s="126">
        <v>2</v>
      </c>
      <c r="E56" s="126">
        <v>15</v>
      </c>
      <c r="F56" s="124">
        <v>2030</v>
      </c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  <c r="AS56" s="129"/>
      <c r="AT56" s="129"/>
      <c r="AU56" s="130"/>
      <c r="AV56" s="127"/>
      <c r="AW56" s="127"/>
      <c r="AX56" s="127"/>
      <c r="AY56" s="127"/>
      <c r="AZ56" s="127"/>
      <c r="BA56" s="127"/>
      <c r="BB56" s="127"/>
      <c r="BC56" s="127"/>
      <c r="BD56" s="127"/>
      <c r="BE56" s="130">
        <f>WEIBULL(BE$5-$F56+0.5,$D56,$E56,FALSE)*$C56</f>
        <v>0</v>
      </c>
    </row>
    <row r="58" spans="1:57" x14ac:dyDescent="0.35">
      <c r="A58" s="21" t="s">
        <v>61</v>
      </c>
      <c r="G58" s="81">
        <f>SUM(G6:G56)</f>
        <v>0.31182666670231213</v>
      </c>
      <c r="H58" s="81">
        <f t="shared" ref="H58:BE58" si="50">SUM(H6:H56)</f>
        <v>1.2716452090058503</v>
      </c>
      <c r="I58" s="81">
        <f t="shared" si="50"/>
        <v>2.9193090758132039</v>
      </c>
      <c r="J58" s="81">
        <f t="shared" si="50"/>
        <v>5.2762754377305514</v>
      </c>
      <c r="K58" s="81">
        <f t="shared" si="50"/>
        <v>8.3462167034177686</v>
      </c>
      <c r="L58" s="81">
        <f t="shared" si="50"/>
        <v>12.115130686370938</v>
      </c>
      <c r="M58" s="81">
        <f t="shared" si="50"/>
        <v>16.551113219019822</v>
      </c>
      <c r="N58" s="81">
        <f t="shared" si="50"/>
        <v>21.608832200008813</v>
      </c>
      <c r="O58" s="81">
        <f t="shared" si="50"/>
        <v>27.230224907898346</v>
      </c>
      <c r="P58" s="81">
        <f t="shared" si="50"/>
        <v>33.345037307764557</v>
      </c>
      <c r="Q58" s="81">
        <f t="shared" si="50"/>
        <v>39.879807937075398</v>
      </c>
      <c r="R58" s="81">
        <f t="shared" si="50"/>
        <v>46.766471297966106</v>
      </c>
      <c r="S58" s="81">
        <f t="shared" si="50"/>
        <v>53.944317553979332</v>
      </c>
      <c r="T58" s="81">
        <f t="shared" si="50"/>
        <v>61.355988563889774</v>
      </c>
      <c r="U58" s="81">
        <f t="shared" si="50"/>
        <v>68.945702793938366</v>
      </c>
      <c r="V58" s="81">
        <f t="shared" si="50"/>
        <v>76.562545142219619</v>
      </c>
      <c r="W58" s="81">
        <f t="shared" si="50"/>
        <v>83.972099690857291</v>
      </c>
      <c r="X58" s="81">
        <f t="shared" si="50"/>
        <v>90.984955001448455</v>
      </c>
      <c r="Y58" s="81">
        <f t="shared" si="50"/>
        <v>97.453300655086423</v>
      </c>
      <c r="Z58" s="81">
        <f t="shared" si="50"/>
        <v>103.20364578923311</v>
      </c>
      <c r="AA58" s="81">
        <f t="shared" si="50"/>
        <v>108.09485115432727</v>
      </c>
      <c r="AB58" s="81">
        <f t="shared" si="50"/>
        <v>112.09108568136357</v>
      </c>
      <c r="AC58" s="81">
        <f t="shared" si="50"/>
        <v>115.20667152921715</v>
      </c>
      <c r="AD58" s="81">
        <f t="shared" si="50"/>
        <v>117.53200635510902</v>
      </c>
      <c r="AE58" s="81">
        <f t="shared" si="50"/>
        <v>119.11970386044857</v>
      </c>
      <c r="AF58" s="81">
        <f t="shared" si="50"/>
        <v>119.83403021819873</v>
      </c>
      <c r="AG58" s="81">
        <f t="shared" si="50"/>
        <v>119.6368567408539</v>
      </c>
      <c r="AH58" s="81">
        <f t="shared" si="50"/>
        <v>118.68372239802041</v>
      </c>
      <c r="AI58" s="81">
        <f t="shared" si="50"/>
        <v>117.14188781288863</v>
      </c>
      <c r="AJ58" s="81">
        <f t="shared" si="50"/>
        <v>115.05220992365054</v>
      </c>
      <c r="AK58" s="81">
        <f t="shared" si="50"/>
        <v>112.39894119270868</v>
      </c>
      <c r="AL58" s="81">
        <f t="shared" si="50"/>
        <v>109.43010566446515</v>
      </c>
      <c r="AM58" s="81">
        <f t="shared" si="50"/>
        <v>106.58016101322137</v>
      </c>
      <c r="AN58" s="81">
        <f t="shared" si="50"/>
        <v>104.26890476578713</v>
      </c>
      <c r="AO58" s="81">
        <f t="shared" si="50"/>
        <v>102.89294040997432</v>
      </c>
      <c r="AP58" s="81">
        <f t="shared" si="50"/>
        <v>102.73340678783387</v>
      </c>
      <c r="AQ58" s="81">
        <f t="shared" si="50"/>
        <v>103.95115176437638</v>
      </c>
      <c r="AR58" s="81">
        <f t="shared" si="50"/>
        <v>106.67085999851585</v>
      </c>
      <c r="AS58" s="81">
        <f t="shared" si="50"/>
        <v>110.9766288678456</v>
      </c>
      <c r="AT58" s="81">
        <f t="shared" si="50"/>
        <v>116.7279495000072</v>
      </c>
      <c r="AU58" s="81">
        <f t="shared" si="50"/>
        <v>123.67075851333031</v>
      </c>
      <c r="AV58" s="81">
        <f t="shared" si="50"/>
        <v>131.62560295828777</v>
      </c>
      <c r="AW58" s="81">
        <f t="shared" si="50"/>
        <v>140.40941746111966</v>
      </c>
      <c r="AX58" s="81">
        <f t="shared" si="50"/>
        <v>148.60231705203341</v>
      </c>
      <c r="AY58" s="81">
        <f t="shared" si="50"/>
        <v>154.79317894730491</v>
      </c>
      <c r="AZ58" s="81">
        <f t="shared" si="50"/>
        <v>158.8640471869638</v>
      </c>
      <c r="BA58" s="81">
        <f t="shared" si="50"/>
        <v>160.77192870722772</v>
      </c>
      <c r="BB58" s="81">
        <f t="shared" si="50"/>
        <v>160.54723165135792</v>
      </c>
      <c r="BC58" s="81">
        <f t="shared" si="50"/>
        <v>158.28863456684451</v>
      </c>
      <c r="BD58" s="81">
        <f t="shared" si="50"/>
        <v>154.15490336035012</v>
      </c>
      <c r="BE58" s="81">
        <f t="shared" si="50"/>
        <v>148.35433250194058</v>
      </c>
    </row>
  </sheetData>
  <pageMargins left="0.7" right="0.7" top="0.75" bottom="0.75" header="0.3" footer="0.3"/>
  <pageSetup paperSize="9"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notEqual" id="{0152AA0D-0A37-403E-8C5C-6B3C862FB0A9}">
            <xm:f>Shape_copy!D6</xm:f>
            <x14:dxf>
              <font>
                <color rgb="FFFF0000"/>
              </font>
            </x14:dxf>
          </x14:cfRule>
          <xm:sqref>D6:D56</xm:sqref>
        </x14:conditionalFormatting>
        <x14:conditionalFormatting xmlns:xm="http://schemas.microsoft.com/office/excel/2006/main">
          <x14:cfRule type="cellIs" priority="1" operator="notEqual" id="{A25720B6-952F-4D81-9315-665B394170F0}">
            <xm:f>Scale_copy!E6</xm:f>
            <x14:dxf>
              <font>
                <color rgb="FFFF0000"/>
              </font>
            </x14:dxf>
          </x14:cfRule>
          <xm:sqref>E6:E56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BE59"/>
  <sheetViews>
    <sheetView workbookViewId="0">
      <selection activeCell="G6" sqref="G6:BE59"/>
    </sheetView>
  </sheetViews>
  <sheetFormatPr defaultColWidth="8.81640625" defaultRowHeight="14.5" x14ac:dyDescent="0.35"/>
  <cols>
    <col min="1" max="6" width="8.81640625" style="18"/>
    <col min="7" max="57" width="12.453125" style="18" customWidth="1"/>
    <col min="58" max="16384" width="8.81640625" style="18"/>
  </cols>
  <sheetData>
    <row r="1" spans="1:57" ht="21" x14ac:dyDescent="0.5">
      <c r="A1" s="20" t="s">
        <v>89</v>
      </c>
    </row>
    <row r="2" spans="1:57" ht="15.5" x14ac:dyDescent="0.35">
      <c r="A2" s="134" t="s">
        <v>90</v>
      </c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</row>
    <row r="4" spans="1:57" x14ac:dyDescent="0.35">
      <c r="B4" s="80" t="s">
        <v>72</v>
      </c>
      <c r="C4" s="80"/>
      <c r="D4" s="76"/>
      <c r="E4" s="76"/>
      <c r="G4" s="21" t="s">
        <v>58</v>
      </c>
    </row>
    <row r="5" spans="1:57" x14ac:dyDescent="0.35">
      <c r="A5" s="21" t="s">
        <v>57</v>
      </c>
      <c r="B5" s="108" t="s">
        <v>69</v>
      </c>
      <c r="C5" s="108" t="s">
        <v>117</v>
      </c>
      <c r="D5" s="108" t="s">
        <v>70</v>
      </c>
      <c r="E5" s="108" t="s">
        <v>118</v>
      </c>
      <c r="G5" s="109">
        <v>1980</v>
      </c>
      <c r="H5" s="109">
        <v>1981</v>
      </c>
      <c r="I5" s="109">
        <v>1982</v>
      </c>
      <c r="J5" s="109">
        <v>1983</v>
      </c>
      <c r="K5" s="109">
        <v>1984</v>
      </c>
      <c r="L5" s="109">
        <v>1985</v>
      </c>
      <c r="M5" s="109">
        <v>1986</v>
      </c>
      <c r="N5" s="109">
        <v>1987</v>
      </c>
      <c r="O5" s="109">
        <v>1988</v>
      </c>
      <c r="P5" s="109">
        <v>1989</v>
      </c>
      <c r="Q5" s="109">
        <v>1990</v>
      </c>
      <c r="R5" s="109">
        <v>1991</v>
      </c>
      <c r="S5" s="109">
        <v>1992</v>
      </c>
      <c r="T5" s="109">
        <v>1993</v>
      </c>
      <c r="U5" s="109">
        <v>1994</v>
      </c>
      <c r="V5" s="109">
        <v>1995</v>
      </c>
      <c r="W5" s="109">
        <v>1996</v>
      </c>
      <c r="X5" s="109">
        <v>1997</v>
      </c>
      <c r="Y5" s="109">
        <v>1998</v>
      </c>
      <c r="Z5" s="109">
        <v>1999</v>
      </c>
      <c r="AA5" s="109">
        <v>2000</v>
      </c>
      <c r="AB5" s="109">
        <v>2001</v>
      </c>
      <c r="AC5" s="109">
        <v>2002</v>
      </c>
      <c r="AD5" s="109">
        <v>2003</v>
      </c>
      <c r="AE5" s="109">
        <v>2004</v>
      </c>
      <c r="AF5" s="109">
        <v>2005</v>
      </c>
      <c r="AG5" s="109">
        <v>2006</v>
      </c>
      <c r="AH5" s="109">
        <v>2007</v>
      </c>
      <c r="AI5" s="109">
        <v>2008</v>
      </c>
      <c r="AJ5" s="109">
        <v>2009</v>
      </c>
      <c r="AK5" s="109">
        <v>2010</v>
      </c>
      <c r="AL5" s="109">
        <v>2011</v>
      </c>
      <c r="AM5" s="109">
        <v>2012</v>
      </c>
      <c r="AN5" s="109">
        <v>2013</v>
      </c>
      <c r="AO5" s="109">
        <v>2014</v>
      </c>
      <c r="AP5" s="109">
        <v>2015</v>
      </c>
      <c r="AQ5" s="109">
        <v>2016</v>
      </c>
      <c r="AR5" s="109">
        <v>2017</v>
      </c>
      <c r="AS5" s="109">
        <v>2018</v>
      </c>
      <c r="AT5" s="109">
        <v>2019</v>
      </c>
      <c r="AU5" s="109">
        <v>2020</v>
      </c>
      <c r="AV5" s="109">
        <v>2021</v>
      </c>
      <c r="AW5" s="109">
        <v>2022</v>
      </c>
      <c r="AX5" s="109">
        <v>2023</v>
      </c>
      <c r="AY5" s="109">
        <v>2024</v>
      </c>
      <c r="AZ5" s="109">
        <v>2025</v>
      </c>
      <c r="BA5" s="109">
        <v>2026</v>
      </c>
      <c r="BB5" s="109">
        <v>2027</v>
      </c>
      <c r="BC5" s="109">
        <v>2028</v>
      </c>
      <c r="BD5" s="109">
        <v>2029</v>
      </c>
      <c r="BE5" s="109">
        <v>2030</v>
      </c>
    </row>
    <row r="6" spans="1:57" x14ac:dyDescent="0.35">
      <c r="A6" s="127" t="s">
        <v>2</v>
      </c>
      <c r="B6" s="135">
        <v>4</v>
      </c>
      <c r="C6" s="135" t="s">
        <v>120</v>
      </c>
      <c r="D6" s="135">
        <v>1</v>
      </c>
      <c r="E6" s="135">
        <v>1</v>
      </c>
      <c r="G6" s="106">
        <v>1346.7349999999999</v>
      </c>
      <c r="H6" s="106">
        <v>1428.567</v>
      </c>
      <c r="I6" s="106">
        <v>1508.9970000000001</v>
      </c>
      <c r="J6" s="106">
        <v>1585.8330000000001</v>
      </c>
      <c r="K6" s="106">
        <v>1663.606</v>
      </c>
      <c r="L6" s="106">
        <v>1735.502</v>
      </c>
      <c r="M6" s="106">
        <v>1802.252</v>
      </c>
      <c r="N6" s="106">
        <v>1872.146</v>
      </c>
      <c r="O6" s="106">
        <v>1930.8679999999999</v>
      </c>
      <c r="P6" s="106">
        <v>1985.0989999999999</v>
      </c>
      <c r="Q6" s="106">
        <v>2048.9479999999999</v>
      </c>
      <c r="R6" s="106">
        <v>2127.02</v>
      </c>
      <c r="S6" s="106">
        <v>2212.0149999999999</v>
      </c>
      <c r="T6" s="106">
        <v>2291.1350000000002</v>
      </c>
      <c r="U6" s="106">
        <v>2366.3809999999999</v>
      </c>
      <c r="V6" s="106">
        <v>2142.3000000000002</v>
      </c>
      <c r="W6" s="106">
        <v>2542.6759999999999</v>
      </c>
      <c r="X6" s="106">
        <v>2643.1410000000001</v>
      </c>
      <c r="Y6" s="106">
        <v>2909.0650000000001</v>
      </c>
      <c r="Z6" s="106">
        <v>3725.7809999999999</v>
      </c>
      <c r="AA6" s="106">
        <v>3830.864</v>
      </c>
      <c r="AB6" s="106">
        <v>4795.7139999999999</v>
      </c>
      <c r="AC6" s="106">
        <v>4034.8820000000001</v>
      </c>
      <c r="AD6" s="106">
        <v>3786.5079999999998</v>
      </c>
      <c r="AE6" s="106">
        <v>3378.6579999999999</v>
      </c>
      <c r="AF6" s="106">
        <v>2968.848</v>
      </c>
      <c r="AG6" s="106">
        <v>2868.95</v>
      </c>
      <c r="AH6" s="106">
        <v>2517.4899999999998</v>
      </c>
      <c r="AI6" s="106">
        <v>1922.9349999999999</v>
      </c>
      <c r="AJ6" s="106">
        <v>1721.1120000000001</v>
      </c>
      <c r="AK6" s="106">
        <v>1501.146</v>
      </c>
      <c r="AL6" s="106">
        <v>1276.473</v>
      </c>
      <c r="AM6" s="106">
        <v>2087.4940000000001</v>
      </c>
      <c r="AN6" s="106">
        <v>2906.2939999999999</v>
      </c>
      <c r="AO6" s="106">
        <v>3738.402</v>
      </c>
      <c r="AP6" s="106">
        <v>4399.3549999999996</v>
      </c>
      <c r="AQ6" s="106">
        <v>4533.5720000000001</v>
      </c>
      <c r="AR6" s="106">
        <v>4532.4719999999998</v>
      </c>
      <c r="AS6" s="106">
        <v>4473.7550000000001</v>
      </c>
      <c r="AT6" s="106">
        <v>4404.2280000000001</v>
      </c>
      <c r="AU6" s="106">
        <v>3001.8629999999998</v>
      </c>
      <c r="AV6" s="106">
        <v>3027.1889999999999</v>
      </c>
      <c r="AW6" s="106">
        <v>3091.0880000000002</v>
      </c>
      <c r="AX6" s="81"/>
      <c r="AY6" s="81"/>
      <c r="AZ6" s="81"/>
      <c r="BA6" s="81"/>
      <c r="BB6" s="81"/>
      <c r="BC6" s="81"/>
      <c r="BD6" s="81"/>
      <c r="BE6" s="81"/>
    </row>
    <row r="7" spans="1:57" x14ac:dyDescent="0.35">
      <c r="A7" s="127" t="s">
        <v>3</v>
      </c>
      <c r="B7" s="135">
        <v>4</v>
      </c>
      <c r="C7" s="135" t="s">
        <v>121</v>
      </c>
      <c r="D7" s="135">
        <v>4</v>
      </c>
      <c r="E7" s="135" t="s">
        <v>121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57.381</v>
      </c>
      <c r="AK7" s="106">
        <v>6.992</v>
      </c>
      <c r="AL7" s="106">
        <v>8.5440000000000005</v>
      </c>
      <c r="AM7" s="106">
        <v>12.986000000000001</v>
      </c>
      <c r="AN7" s="106">
        <v>6.391</v>
      </c>
      <c r="AO7" s="106">
        <v>47.124000000000002</v>
      </c>
      <c r="AP7" s="106">
        <v>51.332999999999998</v>
      </c>
      <c r="AQ7" s="106">
        <v>232.375</v>
      </c>
      <c r="AR7" s="106">
        <v>707.59</v>
      </c>
      <c r="AS7" s="106">
        <v>959.27</v>
      </c>
      <c r="AT7" s="106">
        <v>1738.0350000000001</v>
      </c>
      <c r="AU7" s="106">
        <v>2241.1999999999998</v>
      </c>
      <c r="AV7" s="106">
        <v>122.069</v>
      </c>
      <c r="AW7" s="106">
        <v>122.069</v>
      </c>
      <c r="AX7" s="81"/>
      <c r="AY7" s="81"/>
      <c r="AZ7" s="81"/>
      <c r="BA7" s="81"/>
      <c r="BB7" s="81"/>
      <c r="BC7" s="81"/>
      <c r="BD7" s="81"/>
      <c r="BE7" s="81"/>
    </row>
    <row r="8" spans="1:57" x14ac:dyDescent="0.35">
      <c r="A8" s="127" t="s">
        <v>4</v>
      </c>
      <c r="B8" s="135">
        <v>4</v>
      </c>
      <c r="C8" s="135" t="s">
        <v>120</v>
      </c>
      <c r="D8" s="135">
        <v>1</v>
      </c>
      <c r="E8" s="135">
        <v>1</v>
      </c>
      <c r="G8" s="106">
        <v>189.31299999999999</v>
      </c>
      <c r="H8" s="106">
        <v>200.816</v>
      </c>
      <c r="I8" s="106">
        <v>212.12200000000001</v>
      </c>
      <c r="J8" s="106">
        <v>222.923</v>
      </c>
      <c r="K8" s="106">
        <v>233.85599999999999</v>
      </c>
      <c r="L8" s="106">
        <v>243.96199999999999</v>
      </c>
      <c r="M8" s="106">
        <v>253.345</v>
      </c>
      <c r="N8" s="106">
        <v>263.17</v>
      </c>
      <c r="O8" s="106">
        <v>271.42500000000001</v>
      </c>
      <c r="P8" s="106">
        <v>279.048</v>
      </c>
      <c r="Q8" s="106">
        <v>288.024</v>
      </c>
      <c r="R8" s="106">
        <v>298.99900000000002</v>
      </c>
      <c r="S8" s="106">
        <v>310.947</v>
      </c>
      <c r="T8" s="106">
        <v>322.06799999999998</v>
      </c>
      <c r="U8" s="106">
        <v>332.64600000000002</v>
      </c>
      <c r="V8" s="106">
        <v>350.18900000000002</v>
      </c>
      <c r="W8" s="106">
        <v>342.81900000000002</v>
      </c>
      <c r="X8" s="106">
        <v>336.476</v>
      </c>
      <c r="Y8" s="106">
        <v>394.37400000000002</v>
      </c>
      <c r="Z8" s="106">
        <v>453.42500000000001</v>
      </c>
      <c r="AA8" s="106">
        <v>537.47299999999996</v>
      </c>
      <c r="AB8" s="106">
        <v>518.077</v>
      </c>
      <c r="AC8" s="106">
        <v>471.24900000000002</v>
      </c>
      <c r="AD8" s="106">
        <v>422.245</v>
      </c>
      <c r="AE8" s="106">
        <v>371.40899999999999</v>
      </c>
      <c r="AF8" s="106">
        <v>320.13400000000001</v>
      </c>
      <c r="AG8" s="106">
        <v>356.14100000000002</v>
      </c>
      <c r="AH8" s="106">
        <v>396.69799999999998</v>
      </c>
      <c r="AI8" s="106">
        <v>268.61500000000001</v>
      </c>
      <c r="AJ8" s="106">
        <v>168.41</v>
      </c>
      <c r="AK8" s="106">
        <v>185.572</v>
      </c>
      <c r="AL8" s="106">
        <v>169.31200000000001</v>
      </c>
      <c r="AM8" s="106">
        <v>152.79</v>
      </c>
      <c r="AN8" s="106">
        <v>136.19200000000001</v>
      </c>
      <c r="AO8" s="106">
        <v>172.41200000000001</v>
      </c>
      <c r="AP8" s="106">
        <v>209.584</v>
      </c>
      <c r="AQ8" s="106">
        <v>247.83</v>
      </c>
      <c r="AR8" s="106">
        <v>449.03100000000001</v>
      </c>
      <c r="AS8" s="106">
        <v>553.37900000000002</v>
      </c>
      <c r="AT8" s="106">
        <v>663.399</v>
      </c>
      <c r="AU8" s="106">
        <v>671.54200000000003</v>
      </c>
      <c r="AV8" s="106">
        <v>677.20799999999997</v>
      </c>
      <c r="AW8" s="106">
        <v>691.50300000000004</v>
      </c>
      <c r="AX8" s="81"/>
      <c r="AY8" s="81"/>
      <c r="AZ8" s="81"/>
      <c r="BA8" s="81"/>
      <c r="BB8" s="81"/>
      <c r="BC8" s="81"/>
      <c r="BD8" s="81"/>
      <c r="BE8" s="81"/>
    </row>
    <row r="9" spans="1:57" x14ac:dyDescent="0.35">
      <c r="A9" s="127" t="s">
        <v>5</v>
      </c>
      <c r="B9" s="135">
        <v>4</v>
      </c>
      <c r="C9" s="135" t="s">
        <v>120</v>
      </c>
      <c r="D9" s="135">
        <v>1</v>
      </c>
      <c r="E9" s="135">
        <v>1</v>
      </c>
      <c r="G9" s="106">
        <v>1316.0730000000001</v>
      </c>
      <c r="H9" s="106">
        <v>1453.73</v>
      </c>
      <c r="I9" s="106">
        <v>1591.213</v>
      </c>
      <c r="J9" s="106">
        <v>1725.8330000000001</v>
      </c>
      <c r="K9" s="106">
        <v>1862.1990000000001</v>
      </c>
      <c r="L9" s="106">
        <v>1992.49</v>
      </c>
      <c r="M9" s="106">
        <v>2117.0210000000002</v>
      </c>
      <c r="N9" s="106">
        <v>2245.3220000000001</v>
      </c>
      <c r="O9" s="106">
        <v>2360.1120000000001</v>
      </c>
      <c r="P9" s="106">
        <v>2468.9670000000001</v>
      </c>
      <c r="Q9" s="106">
        <v>2589.4830000000002</v>
      </c>
      <c r="R9" s="106">
        <v>2728.1529999999998</v>
      </c>
      <c r="S9" s="106">
        <v>2876.2489999999998</v>
      </c>
      <c r="T9" s="106">
        <v>3017.223</v>
      </c>
      <c r="U9" s="106">
        <v>3153.4140000000002</v>
      </c>
      <c r="V9" s="106">
        <v>2800.14</v>
      </c>
      <c r="W9" s="106">
        <v>2475.643</v>
      </c>
      <c r="X9" s="106">
        <v>2400.5889999999999</v>
      </c>
      <c r="Y9" s="106">
        <v>2325.8760000000002</v>
      </c>
      <c r="Z9" s="106">
        <v>3439.9960000000001</v>
      </c>
      <c r="AA9" s="106">
        <v>3470.069</v>
      </c>
      <c r="AB9" s="106">
        <v>3980.482</v>
      </c>
      <c r="AC9" s="106">
        <v>4318.7179999999998</v>
      </c>
      <c r="AD9" s="106">
        <v>4801.4189999999999</v>
      </c>
      <c r="AE9" s="106">
        <v>5297.7250000000004</v>
      </c>
      <c r="AF9" s="106">
        <v>4270.9430000000002</v>
      </c>
      <c r="AG9" s="106">
        <v>5155.84</v>
      </c>
      <c r="AH9" s="106">
        <v>4524.4780000000001</v>
      </c>
      <c r="AI9" s="106">
        <v>4384.0619999999999</v>
      </c>
      <c r="AJ9" s="106">
        <v>4179.7569999999996</v>
      </c>
      <c r="AK9" s="106">
        <v>4266.652</v>
      </c>
      <c r="AL9" s="106">
        <v>4255.9139999999998</v>
      </c>
      <c r="AM9" s="106">
        <v>4486.1120000000001</v>
      </c>
      <c r="AN9" s="106">
        <v>4720.1549999999997</v>
      </c>
      <c r="AO9" s="106">
        <v>4964.2150000000001</v>
      </c>
      <c r="AP9" s="106">
        <v>4526.192</v>
      </c>
      <c r="AQ9" s="106">
        <v>4679.3879999999999</v>
      </c>
      <c r="AR9" s="106">
        <v>4983.0510000000004</v>
      </c>
      <c r="AS9" s="106">
        <v>5573.7060000000001</v>
      </c>
      <c r="AT9" s="106">
        <v>5555.78</v>
      </c>
      <c r="AU9" s="106">
        <v>5822.0309999999999</v>
      </c>
      <c r="AV9" s="106">
        <v>5871.1509999999998</v>
      </c>
      <c r="AW9" s="106">
        <v>5995.0820000000003</v>
      </c>
      <c r="AX9" s="81"/>
      <c r="AY9" s="81"/>
      <c r="AZ9" s="81"/>
      <c r="BA9" s="81"/>
      <c r="BB9" s="81"/>
      <c r="BC9" s="81"/>
      <c r="BD9" s="81"/>
      <c r="BE9" s="81"/>
    </row>
    <row r="10" spans="1:57" x14ac:dyDescent="0.35">
      <c r="A10" s="127" t="s">
        <v>6</v>
      </c>
      <c r="B10" s="135">
        <v>4</v>
      </c>
      <c r="C10" s="135" t="s">
        <v>120</v>
      </c>
      <c r="D10" s="135">
        <v>1</v>
      </c>
      <c r="E10" s="135">
        <v>1</v>
      </c>
      <c r="G10" s="106">
        <v>1019.244</v>
      </c>
      <c r="H10" s="106">
        <v>1081.1769999999999</v>
      </c>
      <c r="I10" s="106">
        <v>1142.049</v>
      </c>
      <c r="J10" s="106">
        <v>1200.2</v>
      </c>
      <c r="K10" s="106">
        <v>1259.0609999999999</v>
      </c>
      <c r="L10" s="106">
        <v>1313.473</v>
      </c>
      <c r="M10" s="106">
        <v>1363.992</v>
      </c>
      <c r="N10" s="106">
        <v>1416.8889999999999</v>
      </c>
      <c r="O10" s="106">
        <v>1461.3320000000001</v>
      </c>
      <c r="P10" s="106">
        <v>1502.375</v>
      </c>
      <c r="Q10" s="106">
        <v>1550.6980000000001</v>
      </c>
      <c r="R10" s="106">
        <v>1609.7850000000001</v>
      </c>
      <c r="S10" s="106">
        <v>1674.1110000000001</v>
      </c>
      <c r="T10" s="106">
        <v>1733.991</v>
      </c>
      <c r="U10" s="106">
        <v>1790.9390000000001</v>
      </c>
      <c r="V10" s="106">
        <v>1996.085</v>
      </c>
      <c r="W10" s="106">
        <v>1707.0440000000001</v>
      </c>
      <c r="X10" s="106">
        <v>1839.105</v>
      </c>
      <c r="Y10" s="106">
        <v>1975.2660000000001</v>
      </c>
      <c r="Z10" s="106">
        <v>3023.453</v>
      </c>
      <c r="AA10" s="106">
        <v>3188.9229999999998</v>
      </c>
      <c r="AB10" s="106">
        <v>3905.6480000000001</v>
      </c>
      <c r="AC10" s="106">
        <v>4203.68</v>
      </c>
      <c r="AD10" s="106">
        <v>4729.3819999999996</v>
      </c>
      <c r="AE10" s="106">
        <v>5270.1490000000003</v>
      </c>
      <c r="AF10" s="106">
        <v>4982.8720000000003</v>
      </c>
      <c r="AG10" s="106">
        <v>4694.8999999999996</v>
      </c>
      <c r="AH10" s="106">
        <v>4424.53</v>
      </c>
      <c r="AI10" s="106">
        <v>4115.549</v>
      </c>
      <c r="AJ10" s="106">
        <v>4222.2179999999998</v>
      </c>
      <c r="AK10" s="106">
        <v>4296.7529999999997</v>
      </c>
      <c r="AL10" s="106">
        <v>5402.0590000000002</v>
      </c>
      <c r="AM10" s="106">
        <v>4707.799</v>
      </c>
      <c r="AN10" s="106">
        <v>5142.63</v>
      </c>
      <c r="AO10" s="106">
        <v>5590.2780000000002</v>
      </c>
      <c r="AP10" s="106">
        <v>4946.3980000000001</v>
      </c>
      <c r="AQ10" s="106">
        <v>5238.4740000000002</v>
      </c>
      <c r="AR10" s="106">
        <v>5677.6610000000001</v>
      </c>
      <c r="AS10" s="106">
        <v>5986.4229999999998</v>
      </c>
      <c r="AT10" s="106">
        <v>6161.8909999999996</v>
      </c>
      <c r="AU10" s="106">
        <v>6089.0630000000001</v>
      </c>
      <c r="AV10" s="106">
        <v>6140.4350000000004</v>
      </c>
      <c r="AW10" s="106">
        <v>6270.0510000000004</v>
      </c>
      <c r="AX10" s="81"/>
      <c r="AY10" s="81"/>
      <c r="AZ10" s="81"/>
      <c r="BA10" s="81"/>
      <c r="BB10" s="81"/>
      <c r="BC10" s="81"/>
      <c r="BD10" s="81"/>
      <c r="BE10" s="81"/>
    </row>
    <row r="11" spans="1:57" x14ac:dyDescent="0.35">
      <c r="A11" s="127" t="s">
        <v>7</v>
      </c>
      <c r="B11" s="135">
        <v>4</v>
      </c>
      <c r="C11" s="135" t="s">
        <v>120</v>
      </c>
      <c r="D11" s="135">
        <v>1</v>
      </c>
      <c r="E11" s="135">
        <v>1</v>
      </c>
      <c r="G11" s="106">
        <v>2670.4560000000001</v>
      </c>
      <c r="H11" s="106">
        <v>2832.7240000000002</v>
      </c>
      <c r="I11" s="106">
        <v>2992.2080000000001</v>
      </c>
      <c r="J11" s="106">
        <v>3144.5680000000002</v>
      </c>
      <c r="K11" s="106">
        <v>3298.7840000000001</v>
      </c>
      <c r="L11" s="106">
        <v>3441.3470000000002</v>
      </c>
      <c r="M11" s="106">
        <v>3573.7069999999999</v>
      </c>
      <c r="N11" s="106">
        <v>3712.3</v>
      </c>
      <c r="O11" s="106">
        <v>3828.741</v>
      </c>
      <c r="P11" s="106">
        <v>3936.2759999999998</v>
      </c>
      <c r="Q11" s="106">
        <v>4062.884</v>
      </c>
      <c r="R11" s="106">
        <v>4217.6930000000002</v>
      </c>
      <c r="S11" s="106">
        <v>4386.232</v>
      </c>
      <c r="T11" s="106">
        <v>4543.1189999999997</v>
      </c>
      <c r="U11" s="106">
        <v>4692.3249999999998</v>
      </c>
      <c r="V11" s="106">
        <v>5911.692</v>
      </c>
      <c r="W11" s="106">
        <v>4763.9219999999996</v>
      </c>
      <c r="X11" s="106">
        <v>3831.5619999999999</v>
      </c>
      <c r="Y11" s="106">
        <v>4271.2550000000001</v>
      </c>
      <c r="Z11" s="106">
        <v>8646.6479999999992</v>
      </c>
      <c r="AA11" s="106">
        <v>10234.423000000001</v>
      </c>
      <c r="AB11" s="106">
        <v>9508.5370000000003</v>
      </c>
      <c r="AC11" s="106">
        <v>10984.513000000001</v>
      </c>
      <c r="AD11" s="106">
        <v>10001.169</v>
      </c>
      <c r="AE11" s="106">
        <v>9069.0480000000007</v>
      </c>
      <c r="AF11" s="106">
        <v>11401.204</v>
      </c>
      <c r="AG11" s="106">
        <v>12758.197</v>
      </c>
      <c r="AH11" s="106">
        <v>11361.828</v>
      </c>
      <c r="AI11" s="106">
        <v>12975.522999999999</v>
      </c>
      <c r="AJ11" s="106">
        <v>14484.85</v>
      </c>
      <c r="AK11" s="106">
        <v>12991.334000000001</v>
      </c>
      <c r="AL11" s="106">
        <v>14103.662</v>
      </c>
      <c r="AM11" s="106">
        <v>14628.415999999999</v>
      </c>
      <c r="AN11" s="106">
        <v>15481.075999999999</v>
      </c>
      <c r="AO11" s="106">
        <v>16367.49</v>
      </c>
      <c r="AP11" s="106">
        <v>14515.544</v>
      </c>
      <c r="AQ11" s="106">
        <v>16226.763000000001</v>
      </c>
      <c r="AR11" s="106">
        <v>16289.582</v>
      </c>
      <c r="AS11" s="106">
        <v>19103.263999999999</v>
      </c>
      <c r="AT11" s="106">
        <v>19684.164000000001</v>
      </c>
      <c r="AU11" s="106">
        <v>16039.682000000001</v>
      </c>
      <c r="AV11" s="106">
        <v>16175.005999999999</v>
      </c>
      <c r="AW11" s="106">
        <v>16516.436000000002</v>
      </c>
      <c r="AX11" s="81"/>
      <c r="AY11" s="81"/>
      <c r="AZ11" s="81"/>
      <c r="BA11" s="81"/>
      <c r="BB11" s="81"/>
      <c r="BC11" s="81"/>
      <c r="BD11" s="81"/>
      <c r="BE11" s="81"/>
    </row>
    <row r="12" spans="1:57" x14ac:dyDescent="0.35">
      <c r="A12" s="127" t="s">
        <v>8</v>
      </c>
      <c r="B12" s="135">
        <v>4</v>
      </c>
      <c r="C12" s="135" t="s">
        <v>120</v>
      </c>
      <c r="D12" s="135">
        <v>1</v>
      </c>
      <c r="E12" s="135">
        <v>1</v>
      </c>
      <c r="G12" s="106">
        <v>260.44499999999999</v>
      </c>
      <c r="H12" s="106">
        <v>351.61700000000002</v>
      </c>
      <c r="I12" s="106">
        <v>444.08199999999999</v>
      </c>
      <c r="J12" s="106">
        <v>536.69799999999998</v>
      </c>
      <c r="K12" s="106">
        <v>630.58100000000002</v>
      </c>
      <c r="L12" s="106">
        <v>722.89300000000003</v>
      </c>
      <c r="M12" s="106">
        <v>813.255</v>
      </c>
      <c r="N12" s="106">
        <v>905.13599999999997</v>
      </c>
      <c r="O12" s="106">
        <v>991.47</v>
      </c>
      <c r="P12" s="106">
        <v>1074.9159999999999</v>
      </c>
      <c r="Q12" s="106">
        <v>1163.175</v>
      </c>
      <c r="R12" s="106">
        <v>1259.7429999999999</v>
      </c>
      <c r="S12" s="106">
        <v>1361.124</v>
      </c>
      <c r="T12" s="106">
        <v>1459.567</v>
      </c>
      <c r="U12" s="106">
        <v>1555.9580000000001</v>
      </c>
      <c r="V12" s="106">
        <v>1350.0809999999999</v>
      </c>
      <c r="W12" s="106">
        <v>1729.1969999999999</v>
      </c>
      <c r="X12" s="106">
        <v>1882.386</v>
      </c>
      <c r="Y12" s="106">
        <v>2126.335</v>
      </c>
      <c r="Z12" s="106">
        <v>2508.2570000000001</v>
      </c>
      <c r="AA12" s="106">
        <v>2902.9560000000001</v>
      </c>
      <c r="AB12" s="106">
        <v>2616.973</v>
      </c>
      <c r="AC12" s="106">
        <v>2878.4059999999999</v>
      </c>
      <c r="AD12" s="106">
        <v>3145.3150000000001</v>
      </c>
      <c r="AE12" s="106">
        <v>3440.2890000000002</v>
      </c>
      <c r="AF12" s="106">
        <v>4096.5190000000002</v>
      </c>
      <c r="AG12" s="106">
        <v>4351.03</v>
      </c>
      <c r="AH12" s="106">
        <v>4622.4229999999998</v>
      </c>
      <c r="AI12" s="106">
        <v>3889.3710000000001</v>
      </c>
      <c r="AJ12" s="106">
        <v>3253.7069999999999</v>
      </c>
      <c r="AK12" s="106">
        <v>3015.5050000000001</v>
      </c>
      <c r="AL12" s="106">
        <v>3007.9169999999999</v>
      </c>
      <c r="AM12" s="106">
        <v>2882.181</v>
      </c>
      <c r="AN12" s="106">
        <v>2951.194</v>
      </c>
      <c r="AO12" s="106">
        <v>3025.6509999999998</v>
      </c>
      <c r="AP12" s="106">
        <v>2687.92</v>
      </c>
      <c r="AQ12" s="106">
        <v>3187.2339999999999</v>
      </c>
      <c r="AR12" s="106">
        <v>3024.8690000000001</v>
      </c>
      <c r="AS12" s="106">
        <v>3024.8429999999998</v>
      </c>
      <c r="AT12" s="106">
        <v>3166.6660000000002</v>
      </c>
      <c r="AU12" s="106">
        <v>3455.6129999999998</v>
      </c>
      <c r="AV12" s="106">
        <v>3484.7669999999998</v>
      </c>
      <c r="AW12" s="106">
        <v>3558.3249999999998</v>
      </c>
      <c r="AX12" s="81"/>
      <c r="AY12" s="81"/>
      <c r="AZ12" s="81"/>
      <c r="BA12" s="81"/>
      <c r="BB12" s="81"/>
      <c r="BC12" s="81"/>
      <c r="BD12" s="81"/>
      <c r="BE12" s="81"/>
    </row>
    <row r="13" spans="1:57" x14ac:dyDescent="0.35">
      <c r="A13" s="127" t="s">
        <v>9</v>
      </c>
      <c r="B13" s="135">
        <v>4</v>
      </c>
      <c r="C13" s="135" t="s">
        <v>120</v>
      </c>
      <c r="D13" s="135">
        <v>1</v>
      </c>
      <c r="E13" s="135">
        <v>1</v>
      </c>
      <c r="G13" s="106">
        <v>644.60900000000004</v>
      </c>
      <c r="H13" s="106">
        <v>712.03300000000002</v>
      </c>
      <c r="I13" s="106">
        <v>779.37199999999996</v>
      </c>
      <c r="J13" s="106">
        <v>845.30899999999997</v>
      </c>
      <c r="K13" s="106">
        <v>912.1</v>
      </c>
      <c r="L13" s="106">
        <v>975.91600000000005</v>
      </c>
      <c r="M13" s="106">
        <v>1036.9110000000001</v>
      </c>
      <c r="N13" s="106">
        <v>1099.7529999999999</v>
      </c>
      <c r="O13" s="106">
        <v>1155.9770000000001</v>
      </c>
      <c r="P13" s="106">
        <v>1209.2940000000001</v>
      </c>
      <c r="Q13" s="106">
        <v>1268.3219999999999</v>
      </c>
      <c r="R13" s="106">
        <v>1336.242</v>
      </c>
      <c r="S13" s="106">
        <v>1408.779</v>
      </c>
      <c r="T13" s="106">
        <v>1477.828</v>
      </c>
      <c r="U13" s="106">
        <v>1544.5340000000001</v>
      </c>
      <c r="V13" s="106">
        <v>1593.3150000000001</v>
      </c>
      <c r="W13" s="106">
        <v>1609.4570000000001</v>
      </c>
      <c r="X13" s="106">
        <v>1631.2280000000001</v>
      </c>
      <c r="Y13" s="106">
        <v>1973.213</v>
      </c>
      <c r="Z13" s="106">
        <v>2189.509</v>
      </c>
      <c r="AA13" s="106">
        <v>2416.3009999999999</v>
      </c>
      <c r="AB13" s="106">
        <v>2480.3200000000002</v>
      </c>
      <c r="AC13" s="106">
        <v>3234.8939999999998</v>
      </c>
      <c r="AD13" s="106">
        <v>4186.2510000000002</v>
      </c>
      <c r="AE13" s="106">
        <v>4636.7449999999999</v>
      </c>
      <c r="AF13" s="106">
        <v>5214.3599999999997</v>
      </c>
      <c r="AG13" s="106">
        <v>5353.0379999999996</v>
      </c>
      <c r="AH13" s="106">
        <v>6230.0870000000004</v>
      </c>
      <c r="AI13" s="106">
        <v>7127.3739999999998</v>
      </c>
      <c r="AJ13" s="106">
        <v>7967.7870000000003</v>
      </c>
      <c r="AK13" s="106">
        <v>8975.152</v>
      </c>
      <c r="AL13" s="106">
        <v>9276.268</v>
      </c>
      <c r="AM13" s="106">
        <v>9573.4560000000001</v>
      </c>
      <c r="AN13" s="106">
        <v>9215.8719999999994</v>
      </c>
      <c r="AO13" s="106">
        <v>8869.2270000000008</v>
      </c>
      <c r="AP13" s="106">
        <v>8539.0669999999991</v>
      </c>
      <c r="AQ13" s="106">
        <v>8217.4459999999999</v>
      </c>
      <c r="AR13" s="106">
        <v>7902.9629999999997</v>
      </c>
      <c r="AS13" s="106">
        <v>6428.0029999999997</v>
      </c>
      <c r="AT13" s="106">
        <v>5261.2479999999996</v>
      </c>
      <c r="AU13" s="106">
        <v>4045.2750000000001</v>
      </c>
      <c r="AV13" s="106">
        <v>2788.0450000000001</v>
      </c>
      <c r="AW13" s="106">
        <v>1528.278</v>
      </c>
      <c r="AX13" s="81"/>
      <c r="AY13" s="81"/>
      <c r="AZ13" s="81"/>
      <c r="BA13" s="81"/>
      <c r="BB13" s="81"/>
      <c r="BC13" s="81"/>
      <c r="BD13" s="81"/>
      <c r="BE13" s="81"/>
    </row>
    <row r="14" spans="1:57" x14ac:dyDescent="0.35">
      <c r="A14" s="127" t="s">
        <v>10</v>
      </c>
      <c r="B14" s="135">
        <v>1</v>
      </c>
      <c r="C14" s="135">
        <v>1</v>
      </c>
      <c r="D14" s="135">
        <v>1</v>
      </c>
      <c r="E14" s="135">
        <v>1</v>
      </c>
      <c r="G14" s="106">
        <v>1789.7159999999999</v>
      </c>
      <c r="H14" s="106">
        <v>1898.4659999999999</v>
      </c>
      <c r="I14" s="106">
        <v>2005.3510000000001</v>
      </c>
      <c r="J14" s="106">
        <v>2107.4609999999998</v>
      </c>
      <c r="K14" s="106">
        <v>2210.8150000000001</v>
      </c>
      <c r="L14" s="106">
        <v>2306.36</v>
      </c>
      <c r="M14" s="106">
        <v>2395.0659999999998</v>
      </c>
      <c r="N14" s="106">
        <v>2487.9499999999998</v>
      </c>
      <c r="O14" s="106">
        <v>2565.9879999999998</v>
      </c>
      <c r="P14" s="106">
        <v>2638.0569999999998</v>
      </c>
      <c r="Q14" s="106">
        <v>2722.9079999999999</v>
      </c>
      <c r="R14" s="106">
        <v>2826.66</v>
      </c>
      <c r="S14" s="106">
        <v>2939.6129999999998</v>
      </c>
      <c r="T14" s="106">
        <v>3044.7570000000001</v>
      </c>
      <c r="U14" s="106">
        <v>3144.7539999999999</v>
      </c>
      <c r="V14" s="106">
        <v>2940.5619999999999</v>
      </c>
      <c r="W14" s="106">
        <v>2766.9169999999999</v>
      </c>
      <c r="X14" s="106">
        <v>3057.0770000000002</v>
      </c>
      <c r="Y14" s="106">
        <v>3355.4839999999999</v>
      </c>
      <c r="Z14" s="106">
        <v>5167.0309999999999</v>
      </c>
      <c r="AA14" s="106">
        <v>6078.62</v>
      </c>
      <c r="AB14" s="106">
        <v>7671.5690000000004</v>
      </c>
      <c r="AC14" s="106">
        <v>6809.2030000000004</v>
      </c>
      <c r="AD14" s="106">
        <v>8304.0969999999998</v>
      </c>
      <c r="AE14" s="106">
        <v>8116.2960000000003</v>
      </c>
      <c r="AF14" s="106">
        <v>8879.0769999999993</v>
      </c>
      <c r="AG14" s="106">
        <v>9552.6769999999997</v>
      </c>
      <c r="AH14" s="106">
        <v>9660.9169999999995</v>
      </c>
      <c r="AI14" s="106">
        <v>9726.2900000000009</v>
      </c>
      <c r="AJ14" s="106">
        <v>7843.4279999999999</v>
      </c>
      <c r="AK14" s="106">
        <v>8554.3160000000007</v>
      </c>
      <c r="AL14" s="106">
        <v>7118.9560000000001</v>
      </c>
      <c r="AM14" s="106">
        <v>7060.6270000000004</v>
      </c>
      <c r="AN14" s="106">
        <v>7396.82</v>
      </c>
      <c r="AO14" s="106">
        <v>7748.3869999999997</v>
      </c>
      <c r="AP14" s="106">
        <v>7436.18</v>
      </c>
      <c r="AQ14" s="106">
        <v>7987.9870000000001</v>
      </c>
      <c r="AR14" s="106">
        <v>8629.2060000000001</v>
      </c>
      <c r="AS14" s="106">
        <v>8572.3449999999993</v>
      </c>
      <c r="AT14" s="106">
        <v>9975.4390000000003</v>
      </c>
      <c r="AU14" s="106">
        <v>9074.0210000000006</v>
      </c>
      <c r="AV14" s="106">
        <v>9150.5769999999993</v>
      </c>
      <c r="AW14" s="106">
        <v>9343.732</v>
      </c>
      <c r="AX14" s="81"/>
      <c r="AY14" s="81"/>
      <c r="AZ14" s="81"/>
      <c r="BA14" s="81"/>
      <c r="BB14" s="81"/>
      <c r="BC14" s="81"/>
      <c r="BD14" s="81"/>
      <c r="BE14" s="81"/>
    </row>
    <row r="15" spans="1:57" x14ac:dyDescent="0.35">
      <c r="A15" s="127" t="s">
        <v>11</v>
      </c>
      <c r="B15" s="135">
        <v>1</v>
      </c>
      <c r="C15" s="135">
        <v>1</v>
      </c>
      <c r="D15" s="135">
        <v>1</v>
      </c>
      <c r="E15" s="135">
        <v>1</v>
      </c>
      <c r="G15" s="106">
        <v>367.27800000000002</v>
      </c>
      <c r="H15" s="106">
        <v>425.01299999999998</v>
      </c>
      <c r="I15" s="106">
        <v>483.1</v>
      </c>
      <c r="J15" s="106">
        <v>540.60500000000002</v>
      </c>
      <c r="K15" s="106">
        <v>598.87599999999998</v>
      </c>
      <c r="L15" s="106">
        <v>655.34</v>
      </c>
      <c r="M15" s="106">
        <v>709.952</v>
      </c>
      <c r="N15" s="106">
        <v>765.84900000000005</v>
      </c>
      <c r="O15" s="106">
        <v>817.10799999999995</v>
      </c>
      <c r="P15" s="106">
        <v>866.19299999999998</v>
      </c>
      <c r="Q15" s="106">
        <v>919.28899999999999</v>
      </c>
      <c r="R15" s="106">
        <v>978.87599999999998</v>
      </c>
      <c r="S15" s="106">
        <v>1041.9849999999999</v>
      </c>
      <c r="T15" s="106">
        <v>1102.644</v>
      </c>
      <c r="U15" s="106">
        <v>1161.635</v>
      </c>
      <c r="V15" s="106">
        <v>1071.576</v>
      </c>
      <c r="W15" s="106">
        <v>1150.078</v>
      </c>
      <c r="X15" s="106">
        <v>1443.43</v>
      </c>
      <c r="Y15" s="106">
        <v>2028.075</v>
      </c>
      <c r="Z15" s="106">
        <v>1772.8440000000001</v>
      </c>
      <c r="AA15" s="106">
        <v>1514.674</v>
      </c>
      <c r="AB15" s="106">
        <v>1465.8889999999999</v>
      </c>
      <c r="AC15" s="106">
        <v>1627.7429999999999</v>
      </c>
      <c r="AD15" s="106">
        <v>1841.0530000000001</v>
      </c>
      <c r="AE15" s="106">
        <v>2503.0129999999999</v>
      </c>
      <c r="AF15" s="106">
        <v>2864.7489999999998</v>
      </c>
      <c r="AG15" s="106">
        <v>2691.6889999999999</v>
      </c>
      <c r="AH15" s="106">
        <v>2528.2779999999998</v>
      </c>
      <c r="AI15" s="106">
        <v>1717.8420000000001</v>
      </c>
      <c r="AJ15" s="106">
        <v>2169.2860000000001</v>
      </c>
      <c r="AK15" s="106">
        <v>2025.759</v>
      </c>
      <c r="AL15" s="106">
        <v>1782.03</v>
      </c>
      <c r="AM15" s="106">
        <v>1327.462</v>
      </c>
      <c r="AN15" s="106">
        <v>1062.4970000000001</v>
      </c>
      <c r="AO15" s="106">
        <v>926.94799999999998</v>
      </c>
      <c r="AP15" s="106">
        <v>1094.049</v>
      </c>
      <c r="AQ15" s="106">
        <v>1192.8109999999999</v>
      </c>
      <c r="AR15" s="106">
        <v>1447.96</v>
      </c>
      <c r="AS15" s="106">
        <v>2061.0749999999998</v>
      </c>
      <c r="AT15" s="106">
        <v>2578.6350000000002</v>
      </c>
      <c r="AU15" s="106">
        <v>3102.3049999999998</v>
      </c>
      <c r="AV15" s="106">
        <v>3128.4780000000001</v>
      </c>
      <c r="AW15" s="106">
        <v>3194.5160000000001</v>
      </c>
      <c r="AX15" s="81"/>
      <c r="AY15" s="81"/>
      <c r="AZ15" s="81"/>
      <c r="BA15" s="81"/>
      <c r="BB15" s="81"/>
      <c r="BC15" s="81"/>
      <c r="BD15" s="81"/>
      <c r="BE15" s="81"/>
    </row>
    <row r="16" spans="1:57" x14ac:dyDescent="0.35">
      <c r="A16" s="127" t="s">
        <v>12</v>
      </c>
      <c r="B16" s="135">
        <v>1</v>
      </c>
      <c r="C16" s="135">
        <v>1</v>
      </c>
      <c r="D16" s="135">
        <v>1</v>
      </c>
      <c r="E16" s="135">
        <v>1</v>
      </c>
      <c r="G16" s="106">
        <v>3.948</v>
      </c>
      <c r="H16" s="106">
        <v>7.9939999999999998</v>
      </c>
      <c r="I16" s="106">
        <v>12.116</v>
      </c>
      <c r="J16" s="106">
        <v>16.268999999999998</v>
      </c>
      <c r="K16" s="106">
        <v>20.481000000000002</v>
      </c>
      <c r="L16" s="106">
        <v>24.652999999999999</v>
      </c>
      <c r="M16" s="106">
        <v>28.762</v>
      </c>
      <c r="N16" s="106">
        <v>32.926000000000002</v>
      </c>
      <c r="O16" s="106">
        <v>36.886000000000003</v>
      </c>
      <c r="P16" s="106">
        <v>40.731000000000002</v>
      </c>
      <c r="Q16" s="106">
        <v>44.753999999999998</v>
      </c>
      <c r="R16" s="106">
        <v>49.098999999999997</v>
      </c>
      <c r="S16" s="106">
        <v>53.64</v>
      </c>
      <c r="T16" s="106">
        <v>58.072000000000003</v>
      </c>
      <c r="U16" s="106">
        <v>62.427</v>
      </c>
      <c r="V16" s="106">
        <v>76.099999999999994</v>
      </c>
      <c r="W16" s="106">
        <v>59.78</v>
      </c>
      <c r="X16" s="106">
        <v>64.418000000000006</v>
      </c>
      <c r="Y16" s="106">
        <v>69.2</v>
      </c>
      <c r="Z16" s="106">
        <v>157.5</v>
      </c>
      <c r="AA16" s="106">
        <v>1141.2449999999999</v>
      </c>
      <c r="AB16" s="106">
        <v>1185.213</v>
      </c>
      <c r="AC16" s="106">
        <v>1233.6690000000001</v>
      </c>
      <c r="AD16" s="106">
        <v>1149.373</v>
      </c>
      <c r="AE16" s="106">
        <v>1175.309</v>
      </c>
      <c r="AF16" s="106">
        <v>1596.663</v>
      </c>
      <c r="AG16" s="106">
        <v>2306.9180000000001</v>
      </c>
      <c r="AH16" s="106">
        <v>2112.1350000000002</v>
      </c>
      <c r="AI16" s="106">
        <v>1895.0229999999999</v>
      </c>
      <c r="AJ16" s="106">
        <v>903.51900000000001</v>
      </c>
      <c r="AK16" s="106">
        <v>645.08000000000004</v>
      </c>
      <c r="AL16" s="106">
        <v>496.11799999999999</v>
      </c>
      <c r="AM16" s="106">
        <v>411.07400000000001</v>
      </c>
      <c r="AN16" s="106">
        <v>417.67399999999998</v>
      </c>
      <c r="AO16" s="106">
        <v>425.01100000000002</v>
      </c>
      <c r="AP16" s="106">
        <v>836.00599999999997</v>
      </c>
      <c r="AQ16" s="106">
        <v>1004.614</v>
      </c>
      <c r="AR16" s="106">
        <v>1178.8409999999999</v>
      </c>
      <c r="AS16" s="106">
        <v>1195.8030000000001</v>
      </c>
      <c r="AT16" s="106">
        <v>1390.211</v>
      </c>
      <c r="AU16" s="106">
        <v>1585.5650000000001</v>
      </c>
      <c r="AV16" s="106">
        <v>1598.942</v>
      </c>
      <c r="AW16" s="106">
        <v>1632.693</v>
      </c>
      <c r="AX16" s="81"/>
      <c r="AY16" s="81"/>
      <c r="AZ16" s="81"/>
      <c r="BA16" s="81"/>
      <c r="BB16" s="81"/>
      <c r="BC16" s="81"/>
      <c r="BD16" s="81"/>
      <c r="BE16" s="81"/>
    </row>
    <row r="17" spans="1:57" x14ac:dyDescent="0.35">
      <c r="A17" s="127" t="s">
        <v>13</v>
      </c>
      <c r="B17" s="135">
        <v>1</v>
      </c>
      <c r="C17" s="135">
        <v>1</v>
      </c>
      <c r="D17" s="135">
        <v>1</v>
      </c>
      <c r="E17" s="135">
        <v>1</v>
      </c>
      <c r="G17" s="106">
        <v>11.164999999999999</v>
      </c>
      <c r="H17" s="106">
        <v>14.132</v>
      </c>
      <c r="I17" s="106">
        <v>17.134</v>
      </c>
      <c r="J17" s="106">
        <v>20.132000000000001</v>
      </c>
      <c r="K17" s="106">
        <v>23.170999999999999</v>
      </c>
      <c r="L17" s="106">
        <v>26.148</v>
      </c>
      <c r="M17" s="106">
        <v>29.053999999999998</v>
      </c>
      <c r="N17" s="106">
        <v>32.012999999999998</v>
      </c>
      <c r="O17" s="106">
        <v>34.777000000000001</v>
      </c>
      <c r="P17" s="106">
        <v>37.442</v>
      </c>
      <c r="Q17" s="106">
        <v>40.276000000000003</v>
      </c>
      <c r="R17" s="106">
        <v>43.396999999999998</v>
      </c>
      <c r="S17" s="106">
        <v>46.682000000000002</v>
      </c>
      <c r="T17" s="106">
        <v>49.862000000000002</v>
      </c>
      <c r="U17" s="106">
        <v>52.970999999999997</v>
      </c>
      <c r="V17" s="106">
        <v>2.9</v>
      </c>
      <c r="W17" s="106">
        <v>83.284999999999997</v>
      </c>
      <c r="X17" s="106">
        <v>165.22900000000001</v>
      </c>
      <c r="Y17" s="106">
        <v>332.40300000000002</v>
      </c>
      <c r="Z17" s="106">
        <v>338.20800000000003</v>
      </c>
      <c r="AA17" s="106">
        <v>366.43400000000003</v>
      </c>
      <c r="AB17" s="106">
        <v>574.14400000000001</v>
      </c>
      <c r="AC17" s="106">
        <v>765.75</v>
      </c>
      <c r="AD17" s="106">
        <v>703.43100000000004</v>
      </c>
      <c r="AE17" s="106">
        <v>602.09100000000001</v>
      </c>
      <c r="AF17" s="106">
        <v>835.00099999999998</v>
      </c>
      <c r="AG17" s="106">
        <v>625.31500000000005</v>
      </c>
      <c r="AH17" s="106">
        <v>1128.473</v>
      </c>
      <c r="AI17" s="106">
        <v>1048.56</v>
      </c>
      <c r="AJ17" s="106">
        <v>1222.4770000000001</v>
      </c>
      <c r="AK17" s="106">
        <v>1239.7529999999999</v>
      </c>
      <c r="AL17" s="106">
        <v>1416.1130000000001</v>
      </c>
      <c r="AM17" s="106">
        <v>1044.0450000000001</v>
      </c>
      <c r="AN17" s="106">
        <v>1112.231</v>
      </c>
      <c r="AO17" s="106">
        <v>1182.9159999999999</v>
      </c>
      <c r="AP17" s="106">
        <v>1528.8979999999999</v>
      </c>
      <c r="AQ17" s="106">
        <v>1892.566</v>
      </c>
      <c r="AR17" s="106">
        <v>2310.0430000000001</v>
      </c>
      <c r="AS17" s="106">
        <v>2101.982</v>
      </c>
      <c r="AT17" s="106">
        <v>2537.585</v>
      </c>
      <c r="AU17" s="106">
        <v>1715.86</v>
      </c>
      <c r="AV17" s="106">
        <v>1730.336</v>
      </c>
      <c r="AW17" s="106">
        <v>1766.8610000000001</v>
      </c>
      <c r="AX17" s="81"/>
      <c r="AY17" s="81"/>
      <c r="AZ17" s="81"/>
      <c r="BA17" s="81"/>
      <c r="BB17" s="81"/>
      <c r="BC17" s="81"/>
      <c r="BD17" s="81"/>
      <c r="BE17" s="81"/>
    </row>
    <row r="18" spans="1:57" x14ac:dyDescent="0.35">
      <c r="A18" s="127" t="s">
        <v>14</v>
      </c>
      <c r="B18" s="135">
        <v>1</v>
      </c>
      <c r="C18" s="135">
        <v>1</v>
      </c>
      <c r="D18" s="135">
        <v>1</v>
      </c>
      <c r="E18" s="135">
        <v>1</v>
      </c>
      <c r="G18" s="106">
        <v>256.55799999999999</v>
      </c>
      <c r="H18" s="106">
        <v>272.14800000000002</v>
      </c>
      <c r="I18" s="106">
        <v>287.47000000000003</v>
      </c>
      <c r="J18" s="106">
        <v>302.108</v>
      </c>
      <c r="K18" s="106">
        <v>316.92399999999998</v>
      </c>
      <c r="L18" s="106">
        <v>330.62</v>
      </c>
      <c r="M18" s="106">
        <v>343.33600000000001</v>
      </c>
      <c r="N18" s="106">
        <v>356.65100000000001</v>
      </c>
      <c r="O18" s="106">
        <v>367.83800000000002</v>
      </c>
      <c r="P18" s="106">
        <v>378.16899999999998</v>
      </c>
      <c r="Q18" s="106">
        <v>390.33300000000003</v>
      </c>
      <c r="R18" s="106">
        <v>405.20600000000002</v>
      </c>
      <c r="S18" s="106">
        <v>421.39800000000002</v>
      </c>
      <c r="T18" s="106">
        <v>436.47</v>
      </c>
      <c r="U18" s="106">
        <v>450.80500000000001</v>
      </c>
      <c r="V18" s="106">
        <v>395.41</v>
      </c>
      <c r="W18" s="106">
        <v>344.06799999999998</v>
      </c>
      <c r="X18" s="106">
        <v>810.20299999999997</v>
      </c>
      <c r="Y18" s="106">
        <v>1286.4069999999999</v>
      </c>
      <c r="Z18" s="106">
        <v>1772.434</v>
      </c>
      <c r="AA18" s="106">
        <v>1699.4010000000001</v>
      </c>
      <c r="AB18" s="106">
        <v>1628.1880000000001</v>
      </c>
      <c r="AC18" s="106">
        <v>1518.3889999999999</v>
      </c>
      <c r="AD18" s="106">
        <v>1305.3810000000001</v>
      </c>
      <c r="AE18" s="106">
        <v>1340.213</v>
      </c>
      <c r="AF18" s="106">
        <v>1383.511</v>
      </c>
      <c r="AG18" s="106">
        <v>3966.6889999999999</v>
      </c>
      <c r="AH18" s="106">
        <v>4974.2640000000001</v>
      </c>
      <c r="AI18" s="106">
        <v>4550.2520000000004</v>
      </c>
      <c r="AJ18" s="106">
        <v>4517.68</v>
      </c>
      <c r="AK18" s="106">
        <v>4344.6750000000002</v>
      </c>
      <c r="AL18" s="106">
        <v>5825.0240000000003</v>
      </c>
      <c r="AM18" s="106">
        <v>5698.3860000000004</v>
      </c>
      <c r="AN18" s="106">
        <v>3928.9830000000002</v>
      </c>
      <c r="AO18" s="106">
        <v>2147.1320000000001</v>
      </c>
      <c r="AP18" s="106">
        <v>2025.511</v>
      </c>
      <c r="AQ18" s="106">
        <v>2111.3560000000002</v>
      </c>
      <c r="AR18" s="106">
        <v>3307.8209999999999</v>
      </c>
      <c r="AS18" s="106">
        <v>3885.799</v>
      </c>
      <c r="AT18" s="106">
        <v>2312.2269999999999</v>
      </c>
      <c r="AU18" s="106">
        <v>687.58500000000004</v>
      </c>
      <c r="AV18" s="106">
        <v>693.38599999999997</v>
      </c>
      <c r="AW18" s="106">
        <v>708.02200000000005</v>
      </c>
      <c r="AX18" s="81"/>
      <c r="AY18" s="81"/>
      <c r="AZ18" s="81"/>
      <c r="BA18" s="81"/>
      <c r="BB18" s="81"/>
      <c r="BC18" s="81"/>
      <c r="BD18" s="81"/>
      <c r="BE18" s="81"/>
    </row>
    <row r="19" spans="1:57" x14ac:dyDescent="0.35">
      <c r="A19" s="127" t="s">
        <v>15</v>
      </c>
      <c r="B19" s="135">
        <v>5</v>
      </c>
      <c r="C19" s="135">
        <v>5</v>
      </c>
      <c r="D19" s="135">
        <v>1</v>
      </c>
      <c r="E19" s="135">
        <v>1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155.745</v>
      </c>
      <c r="M19" s="106">
        <v>311.49</v>
      </c>
      <c r="N19" s="106">
        <v>468.02100000000002</v>
      </c>
      <c r="O19" s="106">
        <v>621.40899999999999</v>
      </c>
      <c r="P19" s="106">
        <v>771.95799999999997</v>
      </c>
      <c r="Q19" s="106">
        <v>925.30200000000002</v>
      </c>
      <c r="R19" s="106">
        <v>1085.6320000000001</v>
      </c>
      <c r="S19" s="106">
        <v>1251.201</v>
      </c>
      <c r="T19" s="106">
        <v>1415.067</v>
      </c>
      <c r="U19" s="106">
        <v>1577.5360000000001</v>
      </c>
      <c r="V19" s="106">
        <v>1759.181</v>
      </c>
      <c r="W19" s="106">
        <v>1601.0419999999999</v>
      </c>
      <c r="X19" s="106">
        <v>1862.6310000000001</v>
      </c>
      <c r="Y19" s="106">
        <v>2130.9630000000002</v>
      </c>
      <c r="Z19" s="106">
        <v>1982.1790000000001</v>
      </c>
      <c r="AA19" s="106">
        <v>1927.4559999999999</v>
      </c>
      <c r="AB19" s="106">
        <v>2147.6210000000001</v>
      </c>
      <c r="AC19" s="106">
        <v>2301.6010000000001</v>
      </c>
      <c r="AD19" s="106">
        <v>2458.0720000000001</v>
      </c>
      <c r="AE19" s="106">
        <v>2324.34</v>
      </c>
      <c r="AF19" s="106">
        <v>2644.3739999999998</v>
      </c>
      <c r="AG19" s="106">
        <v>2834.2159999999999</v>
      </c>
      <c r="AH19" s="106">
        <v>3054.8890000000001</v>
      </c>
      <c r="AI19" s="106">
        <v>3360.3409999999999</v>
      </c>
      <c r="AJ19" s="106">
        <v>3529.0639999999999</v>
      </c>
      <c r="AK19" s="106">
        <v>3672.5650000000001</v>
      </c>
      <c r="AL19" s="106">
        <v>3483.6170000000002</v>
      </c>
      <c r="AM19" s="106">
        <v>3645.9549999999999</v>
      </c>
      <c r="AN19" s="106">
        <v>3738.6129999999998</v>
      </c>
      <c r="AO19" s="106">
        <v>3838.223</v>
      </c>
      <c r="AP19" s="106">
        <v>4077.2530000000002</v>
      </c>
      <c r="AQ19" s="106">
        <v>3991.6990000000001</v>
      </c>
      <c r="AR19" s="106">
        <v>4124.2439999999997</v>
      </c>
      <c r="AS19" s="106">
        <v>4684.4579999999996</v>
      </c>
      <c r="AT19" s="106">
        <v>5284.5870000000004</v>
      </c>
      <c r="AU19" s="106">
        <v>5581.692</v>
      </c>
      <c r="AV19" s="106">
        <v>5628.7830000000004</v>
      </c>
      <c r="AW19" s="106">
        <v>5747.5990000000002</v>
      </c>
      <c r="AX19" s="81"/>
      <c r="AY19" s="81"/>
      <c r="AZ19" s="81"/>
      <c r="BA19" s="81"/>
      <c r="BB19" s="81"/>
      <c r="BC19" s="81"/>
      <c r="BD19" s="81"/>
      <c r="BE19" s="81"/>
    </row>
    <row r="20" spans="1:57" x14ac:dyDescent="0.35">
      <c r="A20" s="127" t="s">
        <v>16</v>
      </c>
      <c r="B20" s="135">
        <v>5</v>
      </c>
      <c r="C20" s="135">
        <v>5</v>
      </c>
      <c r="D20" s="135">
        <v>2</v>
      </c>
      <c r="E20" s="135">
        <v>2</v>
      </c>
      <c r="G20" s="106">
        <v>1227.0909999999999</v>
      </c>
      <c r="H20" s="106">
        <v>1301.654</v>
      </c>
      <c r="I20" s="106">
        <v>1374.9380000000001</v>
      </c>
      <c r="J20" s="106">
        <v>1444.9490000000001</v>
      </c>
      <c r="K20" s="106">
        <v>1515.8109999999999</v>
      </c>
      <c r="L20" s="106">
        <v>1581.32</v>
      </c>
      <c r="M20" s="106">
        <v>1642.14</v>
      </c>
      <c r="N20" s="106">
        <v>1705.825</v>
      </c>
      <c r="O20" s="106">
        <v>1759.33</v>
      </c>
      <c r="P20" s="106">
        <v>1808.7429999999999</v>
      </c>
      <c r="Q20" s="106">
        <v>1866.92</v>
      </c>
      <c r="R20" s="106">
        <v>1938.056</v>
      </c>
      <c r="S20" s="106">
        <v>2015.501</v>
      </c>
      <c r="T20" s="106">
        <v>2087.5909999999999</v>
      </c>
      <c r="U20" s="106">
        <v>2156.152</v>
      </c>
      <c r="V20" s="106">
        <v>1888.799</v>
      </c>
      <c r="W20" s="106">
        <v>1640.8009999999999</v>
      </c>
      <c r="X20" s="106">
        <v>1916.52</v>
      </c>
      <c r="Y20" s="106">
        <v>4189.5519999999997</v>
      </c>
      <c r="Z20" s="106">
        <v>3867.6149999999998</v>
      </c>
      <c r="AA20" s="106">
        <v>3417.3449999999998</v>
      </c>
      <c r="AB20" s="106">
        <v>2962.5410000000002</v>
      </c>
      <c r="AC20" s="106">
        <v>2640.748</v>
      </c>
      <c r="AD20" s="106">
        <v>3516.1509999999998</v>
      </c>
      <c r="AE20" s="106">
        <v>3402.1770000000001</v>
      </c>
      <c r="AF20" s="106">
        <v>3297.2660000000001</v>
      </c>
      <c r="AG20" s="106">
        <v>3564.797</v>
      </c>
      <c r="AH20" s="106">
        <v>3552.2739999999999</v>
      </c>
      <c r="AI20" s="106">
        <v>3516.3429999999998</v>
      </c>
      <c r="AJ20" s="106">
        <v>2454.85</v>
      </c>
      <c r="AK20" s="106">
        <v>3405.6280000000002</v>
      </c>
      <c r="AL20" s="106">
        <v>3006.8310000000001</v>
      </c>
      <c r="AM20" s="106">
        <v>2202.5720000000001</v>
      </c>
      <c r="AN20" s="106">
        <v>2624.1289999999999</v>
      </c>
      <c r="AO20" s="106">
        <v>3054.3389999999999</v>
      </c>
      <c r="AP20" s="106">
        <v>3526.6759999999999</v>
      </c>
      <c r="AQ20" s="106">
        <v>2700.9180000000001</v>
      </c>
      <c r="AR20" s="106">
        <v>4385.9709999999995</v>
      </c>
      <c r="AS20" s="106">
        <v>3716.3780000000002</v>
      </c>
      <c r="AT20" s="106">
        <v>2525.9409999999998</v>
      </c>
      <c r="AU20" s="106">
        <v>2372.7370000000001</v>
      </c>
      <c r="AV20" s="106">
        <v>3701.114</v>
      </c>
      <c r="AW20" s="106">
        <v>3828.4879999999998</v>
      </c>
      <c r="AX20" s="81"/>
      <c r="AY20" s="81"/>
      <c r="AZ20" s="81"/>
      <c r="BA20" s="81"/>
      <c r="BB20" s="81"/>
      <c r="BC20" s="81"/>
      <c r="BD20" s="81"/>
      <c r="BE20" s="81"/>
    </row>
    <row r="21" spans="1:57" x14ac:dyDescent="0.35">
      <c r="A21" s="127" t="s">
        <v>17</v>
      </c>
      <c r="B21" s="135">
        <v>5</v>
      </c>
      <c r="C21" s="135">
        <v>5</v>
      </c>
      <c r="D21" s="135">
        <v>2</v>
      </c>
      <c r="E21" s="135">
        <v>2</v>
      </c>
      <c r="G21" s="106">
        <v>749.26199999999994</v>
      </c>
      <c r="H21" s="106">
        <v>827.63300000000004</v>
      </c>
      <c r="I21" s="106">
        <v>905.904</v>
      </c>
      <c r="J21" s="106">
        <v>982.54600000000005</v>
      </c>
      <c r="K21" s="106">
        <v>1060.181</v>
      </c>
      <c r="L21" s="106">
        <v>1134.3579999999999</v>
      </c>
      <c r="M21" s="106">
        <v>1205.2550000000001</v>
      </c>
      <c r="N21" s="106">
        <v>1278.299</v>
      </c>
      <c r="O21" s="106">
        <v>1343.6510000000001</v>
      </c>
      <c r="P21" s="106">
        <v>1405.625</v>
      </c>
      <c r="Q21" s="106">
        <v>1474.2360000000001</v>
      </c>
      <c r="R21" s="106">
        <v>1553.183</v>
      </c>
      <c r="S21" s="106">
        <v>1637.4970000000001</v>
      </c>
      <c r="T21" s="106">
        <v>1717.7560000000001</v>
      </c>
      <c r="U21" s="106">
        <v>1795.2919999999999</v>
      </c>
      <c r="V21" s="106">
        <v>2051.9169999999999</v>
      </c>
      <c r="W21" s="106">
        <v>1607.289</v>
      </c>
      <c r="X21" s="106">
        <v>1445.4670000000001</v>
      </c>
      <c r="Y21" s="106">
        <v>1281.49</v>
      </c>
      <c r="Z21" s="106">
        <v>589.52800000000002</v>
      </c>
      <c r="AA21" s="106">
        <v>695.38499999999999</v>
      </c>
      <c r="AB21" s="106">
        <v>1192.5530000000001</v>
      </c>
      <c r="AC21" s="106">
        <v>1247.768</v>
      </c>
      <c r="AD21" s="106">
        <v>1660.7919999999999</v>
      </c>
      <c r="AE21" s="106">
        <v>2086.6709999999998</v>
      </c>
      <c r="AF21" s="106">
        <v>2913.9740000000002</v>
      </c>
      <c r="AG21" s="106">
        <v>4134.0969999999998</v>
      </c>
      <c r="AH21" s="106">
        <v>4731.8540000000003</v>
      </c>
      <c r="AI21" s="106">
        <v>3932.8719999999998</v>
      </c>
      <c r="AJ21" s="106">
        <v>4319.9120000000003</v>
      </c>
      <c r="AK21" s="106">
        <v>3513.8440000000001</v>
      </c>
      <c r="AL21" s="106">
        <v>2693.5630000000001</v>
      </c>
      <c r="AM21" s="106">
        <v>2584.0610000000001</v>
      </c>
      <c r="AN21" s="106">
        <v>2431.991</v>
      </c>
      <c r="AO21" s="106">
        <v>2282.1959999999999</v>
      </c>
      <c r="AP21" s="106">
        <v>3163.65</v>
      </c>
      <c r="AQ21" s="106">
        <v>2609.6170000000002</v>
      </c>
      <c r="AR21" s="106">
        <v>2047.538</v>
      </c>
      <c r="AS21" s="106">
        <v>1980.761</v>
      </c>
      <c r="AT21" s="106">
        <v>2279.1950000000002</v>
      </c>
      <c r="AU21" s="106">
        <v>3140.4670000000001</v>
      </c>
      <c r="AV21" s="106">
        <v>3166.9630000000002</v>
      </c>
      <c r="AW21" s="106">
        <v>3233.8130000000001</v>
      </c>
      <c r="AX21" s="81"/>
      <c r="AY21" s="81"/>
      <c r="AZ21" s="81"/>
      <c r="BA21" s="81"/>
      <c r="BB21" s="81"/>
      <c r="BC21" s="81"/>
      <c r="BD21" s="81"/>
      <c r="BE21" s="81"/>
    </row>
    <row r="22" spans="1:57" x14ac:dyDescent="0.35">
      <c r="A22" s="127" t="s">
        <v>18</v>
      </c>
      <c r="B22" s="135">
        <v>5</v>
      </c>
      <c r="C22" s="135">
        <v>5</v>
      </c>
      <c r="D22" s="135">
        <v>2</v>
      </c>
      <c r="E22" s="135">
        <v>2</v>
      </c>
      <c r="G22" s="106">
        <v>173.43299999999999</v>
      </c>
      <c r="H22" s="106">
        <v>191.57400000000001</v>
      </c>
      <c r="I22" s="106">
        <v>209.69200000000001</v>
      </c>
      <c r="J22" s="106">
        <v>227.43199999999999</v>
      </c>
      <c r="K22" s="106">
        <v>245.40199999999999</v>
      </c>
      <c r="L22" s="106">
        <v>262.572</v>
      </c>
      <c r="M22" s="106">
        <v>278.983</v>
      </c>
      <c r="N22" s="106">
        <v>295.89100000000002</v>
      </c>
      <c r="O22" s="106">
        <v>311.01799999999997</v>
      </c>
      <c r="P22" s="106">
        <v>325.363</v>
      </c>
      <c r="Q22" s="106">
        <v>341.245</v>
      </c>
      <c r="R22" s="106">
        <v>359.51900000000001</v>
      </c>
      <c r="S22" s="106">
        <v>379.03500000000003</v>
      </c>
      <c r="T22" s="106">
        <v>397.613</v>
      </c>
      <c r="U22" s="106">
        <v>415.56</v>
      </c>
      <c r="V22" s="106">
        <v>413.58600000000001</v>
      </c>
      <c r="W22" s="106">
        <v>424.83499999999998</v>
      </c>
      <c r="X22" s="106">
        <v>462.49599999999998</v>
      </c>
      <c r="Y22" s="106">
        <v>501.279</v>
      </c>
      <c r="Z22" s="106">
        <v>562.95699999999999</v>
      </c>
      <c r="AA22" s="106">
        <v>626.95500000000004</v>
      </c>
      <c r="AB22" s="106">
        <v>778.75800000000004</v>
      </c>
      <c r="AC22" s="106">
        <v>685.98800000000006</v>
      </c>
      <c r="AD22" s="106">
        <v>904.26400000000001</v>
      </c>
      <c r="AE22" s="106">
        <v>1123.5150000000001</v>
      </c>
      <c r="AF22" s="106">
        <v>1071.7729999999999</v>
      </c>
      <c r="AG22" s="106">
        <v>1020.329</v>
      </c>
      <c r="AH22" s="106">
        <v>973.32899999999995</v>
      </c>
      <c r="AI22" s="106">
        <v>918.57500000000005</v>
      </c>
      <c r="AJ22" s="106">
        <v>805.55899999999997</v>
      </c>
      <c r="AK22" s="106">
        <v>777.26</v>
      </c>
      <c r="AL22" s="106">
        <v>747.46100000000001</v>
      </c>
      <c r="AM22" s="106">
        <v>917.471</v>
      </c>
      <c r="AN22" s="106">
        <v>976.28399999999999</v>
      </c>
      <c r="AO22" s="106">
        <v>1094.1379999999999</v>
      </c>
      <c r="AP22" s="106">
        <v>1272.742</v>
      </c>
      <c r="AQ22" s="106">
        <v>1456.963</v>
      </c>
      <c r="AR22" s="106">
        <v>1376.2059999999999</v>
      </c>
      <c r="AS22" s="106">
        <v>1416.2249999999999</v>
      </c>
      <c r="AT22" s="106">
        <v>1452.931</v>
      </c>
      <c r="AU22" s="106">
        <v>1486.0039999999999</v>
      </c>
      <c r="AV22" s="106">
        <v>1687.912</v>
      </c>
      <c r="AW22" s="106">
        <v>1741.44</v>
      </c>
      <c r="AX22" s="81"/>
      <c r="AY22" s="81"/>
      <c r="AZ22" s="81"/>
      <c r="BA22" s="81"/>
      <c r="BB22" s="81"/>
      <c r="BC22" s="81"/>
      <c r="BD22" s="81"/>
      <c r="BE22" s="81"/>
    </row>
    <row r="23" spans="1:57" x14ac:dyDescent="0.35">
      <c r="A23" s="127" t="s">
        <v>19</v>
      </c>
      <c r="B23" s="135">
        <v>5</v>
      </c>
      <c r="C23" s="135">
        <v>5</v>
      </c>
      <c r="D23" s="135">
        <v>2</v>
      </c>
      <c r="E23" s="135">
        <v>2</v>
      </c>
      <c r="G23" s="106">
        <v>334.57600000000002</v>
      </c>
      <c r="H23" s="106">
        <v>354.90600000000001</v>
      </c>
      <c r="I23" s="106">
        <v>374.88799999999998</v>
      </c>
      <c r="J23" s="106">
        <v>393.97699999999998</v>
      </c>
      <c r="K23" s="106">
        <v>413.298</v>
      </c>
      <c r="L23" s="106">
        <v>431.15899999999999</v>
      </c>
      <c r="M23" s="106">
        <v>447.74200000000002</v>
      </c>
      <c r="N23" s="106">
        <v>465.10700000000003</v>
      </c>
      <c r="O23" s="106">
        <v>479.69499999999999</v>
      </c>
      <c r="P23" s="106">
        <v>493.16800000000001</v>
      </c>
      <c r="Q23" s="106">
        <v>509.03100000000001</v>
      </c>
      <c r="R23" s="106">
        <v>528.42600000000004</v>
      </c>
      <c r="S23" s="106">
        <v>549.54200000000003</v>
      </c>
      <c r="T23" s="106">
        <v>569.19799999999998</v>
      </c>
      <c r="U23" s="106">
        <v>587.89200000000005</v>
      </c>
      <c r="V23" s="106">
        <v>606.02700000000004</v>
      </c>
      <c r="W23" s="106">
        <v>630.57600000000002</v>
      </c>
      <c r="X23" s="106">
        <v>794.07899999999995</v>
      </c>
      <c r="Y23" s="106">
        <v>1113.5509999999999</v>
      </c>
      <c r="Z23" s="106">
        <v>1380.479</v>
      </c>
      <c r="AA23" s="106">
        <v>1328.6479999999999</v>
      </c>
      <c r="AB23" s="106">
        <v>1662.585</v>
      </c>
      <c r="AC23" s="106">
        <v>1944.604</v>
      </c>
      <c r="AD23" s="106">
        <v>2233.9360000000001</v>
      </c>
      <c r="AE23" s="106">
        <v>3141.7950000000001</v>
      </c>
      <c r="AF23" s="106">
        <v>3056.904</v>
      </c>
      <c r="AG23" s="106">
        <v>3497.4949999999999</v>
      </c>
      <c r="AH23" s="106">
        <v>2501.7939999999999</v>
      </c>
      <c r="AI23" s="106">
        <v>2161.4079999999999</v>
      </c>
      <c r="AJ23" s="106">
        <v>1882.2619999999999</v>
      </c>
      <c r="AK23" s="106">
        <v>2247.7829999999999</v>
      </c>
      <c r="AL23" s="106">
        <v>2535.4250000000002</v>
      </c>
      <c r="AM23" s="106">
        <v>2823.7939999999999</v>
      </c>
      <c r="AN23" s="106">
        <v>2833.0450000000001</v>
      </c>
      <c r="AO23" s="106">
        <v>2846.92</v>
      </c>
      <c r="AP23" s="106">
        <v>3466.6950000000002</v>
      </c>
      <c r="AQ23" s="106">
        <v>2550.779</v>
      </c>
      <c r="AR23" s="106">
        <v>2611.7370000000001</v>
      </c>
      <c r="AS23" s="106">
        <v>3019.0329999999999</v>
      </c>
      <c r="AT23" s="106">
        <v>3384.4749999999999</v>
      </c>
      <c r="AU23" s="106">
        <v>3749.2260000000001</v>
      </c>
      <c r="AV23" s="106">
        <v>3780.857</v>
      </c>
      <c r="AW23" s="106">
        <v>3860.665</v>
      </c>
      <c r="AX23" s="81"/>
      <c r="AY23" s="81"/>
      <c r="AZ23" s="81"/>
      <c r="BA23" s="81"/>
      <c r="BB23" s="81"/>
      <c r="BC23" s="81"/>
      <c r="BD23" s="81"/>
      <c r="BE23" s="81"/>
    </row>
    <row r="24" spans="1:57" x14ac:dyDescent="0.35">
      <c r="A24" s="127" t="s">
        <v>20</v>
      </c>
      <c r="B24" s="135">
        <v>5</v>
      </c>
      <c r="C24" s="135">
        <v>5</v>
      </c>
      <c r="D24" s="135">
        <v>2</v>
      </c>
      <c r="E24" s="135">
        <v>2</v>
      </c>
      <c r="G24" s="106">
        <v>186.345</v>
      </c>
      <c r="H24" s="106">
        <v>197.66800000000001</v>
      </c>
      <c r="I24" s="106">
        <v>208.797</v>
      </c>
      <c r="J24" s="106">
        <v>219.429</v>
      </c>
      <c r="K24" s="106">
        <v>230.19</v>
      </c>
      <c r="L24" s="106">
        <v>240.13800000000001</v>
      </c>
      <c r="M24" s="106">
        <v>249.375</v>
      </c>
      <c r="N24" s="106">
        <v>259.04599999999999</v>
      </c>
      <c r="O24" s="106">
        <v>267.17099999999999</v>
      </c>
      <c r="P24" s="106">
        <v>274.67500000000001</v>
      </c>
      <c r="Q24" s="106">
        <v>283.50900000000001</v>
      </c>
      <c r="R24" s="106">
        <v>294.31200000000001</v>
      </c>
      <c r="S24" s="106">
        <v>306.07299999999998</v>
      </c>
      <c r="T24" s="106">
        <v>317.02</v>
      </c>
      <c r="U24" s="106">
        <v>327.43200000000002</v>
      </c>
      <c r="V24" s="106">
        <v>430.55500000000001</v>
      </c>
      <c r="W24" s="106">
        <v>337.44600000000003</v>
      </c>
      <c r="X24" s="106">
        <v>243.97900000000001</v>
      </c>
      <c r="Y24" s="106">
        <v>307.154</v>
      </c>
      <c r="Z24" s="106">
        <v>290.20400000000001</v>
      </c>
      <c r="AA24" s="106">
        <v>303.76600000000002</v>
      </c>
      <c r="AB24" s="106">
        <v>420.03699999999998</v>
      </c>
      <c r="AC24" s="106">
        <v>541.154</v>
      </c>
      <c r="AD24" s="106">
        <v>665.76700000000005</v>
      </c>
      <c r="AE24" s="106">
        <v>919.36500000000001</v>
      </c>
      <c r="AF24" s="106">
        <v>971.93700000000001</v>
      </c>
      <c r="AG24" s="106">
        <v>1029.2070000000001</v>
      </c>
      <c r="AH24" s="106">
        <v>1097.0250000000001</v>
      </c>
      <c r="AI24" s="106">
        <v>1163.269</v>
      </c>
      <c r="AJ24" s="106">
        <v>1216.8820000000001</v>
      </c>
      <c r="AK24" s="106">
        <v>1215.5239999999999</v>
      </c>
      <c r="AL24" s="106">
        <v>1137.2190000000001</v>
      </c>
      <c r="AM24" s="106">
        <v>1003.986</v>
      </c>
      <c r="AN24" s="106">
        <v>870.04200000000003</v>
      </c>
      <c r="AO24" s="106">
        <v>736.07</v>
      </c>
      <c r="AP24" s="106">
        <v>742.38199999999995</v>
      </c>
      <c r="AQ24" s="106">
        <v>756.38699999999994</v>
      </c>
      <c r="AR24" s="106">
        <v>806.15</v>
      </c>
      <c r="AS24" s="106">
        <v>766.62800000000004</v>
      </c>
      <c r="AT24" s="106">
        <v>778.34799999999996</v>
      </c>
      <c r="AU24" s="106">
        <v>787.90200000000004</v>
      </c>
      <c r="AV24" s="106">
        <v>794.55</v>
      </c>
      <c r="AW24" s="106">
        <v>811.32100000000003</v>
      </c>
      <c r="AX24" s="81"/>
      <c r="AY24" s="81"/>
      <c r="AZ24" s="81"/>
      <c r="BA24" s="81"/>
      <c r="BB24" s="81"/>
      <c r="BC24" s="81"/>
      <c r="BD24" s="81"/>
      <c r="BE24" s="81"/>
    </row>
    <row r="25" spans="1:57" x14ac:dyDescent="0.35">
      <c r="A25" s="127" t="s">
        <v>21</v>
      </c>
      <c r="B25" s="135">
        <v>6</v>
      </c>
      <c r="C25" s="135">
        <v>6</v>
      </c>
      <c r="D25" s="135">
        <v>3</v>
      </c>
      <c r="E25" s="135">
        <v>3</v>
      </c>
      <c r="G25" s="106">
        <v>36.128</v>
      </c>
      <c r="H25" s="106">
        <v>73.162999999999997</v>
      </c>
      <c r="I25" s="106">
        <v>110.883</v>
      </c>
      <c r="J25" s="106">
        <v>148.898</v>
      </c>
      <c r="K25" s="106">
        <v>187.44</v>
      </c>
      <c r="L25" s="106">
        <v>225.624</v>
      </c>
      <c r="M25" s="106">
        <v>263.22800000000001</v>
      </c>
      <c r="N25" s="106">
        <v>301.33800000000002</v>
      </c>
      <c r="O25" s="106">
        <v>337.58199999999999</v>
      </c>
      <c r="P25" s="106">
        <v>372.77199999999999</v>
      </c>
      <c r="Q25" s="106">
        <v>409.58499999999998</v>
      </c>
      <c r="R25" s="106">
        <v>449.35</v>
      </c>
      <c r="S25" s="106">
        <v>490.90800000000002</v>
      </c>
      <c r="T25" s="106">
        <v>531.47400000000005</v>
      </c>
      <c r="U25" s="106">
        <v>571.33399999999995</v>
      </c>
      <c r="V25" s="106">
        <v>586.76</v>
      </c>
      <c r="W25" s="106">
        <v>608.39200000000005</v>
      </c>
      <c r="X25" s="106">
        <v>930.84799999999996</v>
      </c>
      <c r="Y25" s="106">
        <v>1365.135</v>
      </c>
      <c r="Z25" s="106">
        <v>1369.5920000000001</v>
      </c>
      <c r="AA25" s="106">
        <v>1232.163</v>
      </c>
      <c r="AB25" s="106">
        <v>1103.7139999999999</v>
      </c>
      <c r="AC25" s="106">
        <v>973.96600000000001</v>
      </c>
      <c r="AD25" s="106">
        <v>1212.259</v>
      </c>
      <c r="AE25" s="106">
        <v>1327.261</v>
      </c>
      <c r="AF25" s="106">
        <v>1120.904</v>
      </c>
      <c r="AG25" s="106">
        <v>1022.603</v>
      </c>
      <c r="AH25" s="106">
        <v>487.82499999999999</v>
      </c>
      <c r="AI25" s="106">
        <v>451.97699999999998</v>
      </c>
      <c r="AJ25" s="106">
        <v>357.56599999999997</v>
      </c>
      <c r="AK25" s="106">
        <v>406.79399999999998</v>
      </c>
      <c r="AL25" s="106">
        <v>1630.7260000000001</v>
      </c>
      <c r="AM25" s="106">
        <v>1525.4749999999999</v>
      </c>
      <c r="AN25" s="106">
        <v>1497.5260000000001</v>
      </c>
      <c r="AO25" s="106">
        <v>1471.672</v>
      </c>
      <c r="AP25" s="106">
        <v>1295.627</v>
      </c>
      <c r="AQ25" s="106">
        <v>1363.3109999999999</v>
      </c>
      <c r="AR25" s="106">
        <v>1401.2550000000001</v>
      </c>
      <c r="AS25" s="106">
        <v>1347.0619999999999</v>
      </c>
      <c r="AT25" s="106">
        <v>1478.0260000000001</v>
      </c>
      <c r="AU25" s="106">
        <v>1245.3510000000001</v>
      </c>
      <c r="AV25" s="106">
        <v>1255.857</v>
      </c>
      <c r="AW25" s="106">
        <v>1282.367</v>
      </c>
      <c r="AX25" s="81"/>
      <c r="AY25" s="81"/>
      <c r="AZ25" s="81"/>
      <c r="BA25" s="81"/>
      <c r="BB25" s="81"/>
      <c r="BC25" s="81"/>
      <c r="BD25" s="81"/>
      <c r="BE25" s="81"/>
    </row>
    <row r="26" spans="1:57" x14ac:dyDescent="0.35">
      <c r="A26" s="127" t="s">
        <v>22</v>
      </c>
      <c r="B26" s="135">
        <v>6</v>
      </c>
      <c r="C26" s="135">
        <v>6</v>
      </c>
      <c r="D26" s="135">
        <v>3</v>
      </c>
      <c r="E26" s="135">
        <v>3</v>
      </c>
      <c r="G26" s="106">
        <v>0</v>
      </c>
      <c r="H26" s="106">
        <v>0</v>
      </c>
      <c r="I26" s="106">
        <v>0</v>
      </c>
      <c r="J26" s="106">
        <v>59.015000000000001</v>
      </c>
      <c r="K26" s="106">
        <v>118.866</v>
      </c>
      <c r="L26" s="106">
        <v>178.851</v>
      </c>
      <c r="M26" s="106">
        <v>238.46700000000001</v>
      </c>
      <c r="N26" s="106">
        <v>298.58600000000001</v>
      </c>
      <c r="O26" s="106">
        <v>356.79899999999998</v>
      </c>
      <c r="P26" s="106">
        <v>413.69099999999997</v>
      </c>
      <c r="Q26" s="106">
        <v>472.255</v>
      </c>
      <c r="R26" s="106">
        <v>534.29499999999996</v>
      </c>
      <c r="S26" s="106">
        <v>598.67600000000004</v>
      </c>
      <c r="T26" s="106">
        <v>662.03599999999994</v>
      </c>
      <c r="U26" s="106">
        <v>724.62800000000004</v>
      </c>
      <c r="V26" s="106">
        <v>641.70399999999995</v>
      </c>
      <c r="W26" s="106">
        <v>786.44200000000001</v>
      </c>
      <c r="X26" s="106">
        <v>936.43600000000004</v>
      </c>
      <c r="Y26" s="106">
        <v>771.80399999999997</v>
      </c>
      <c r="Z26" s="106">
        <v>1071.2239999999999</v>
      </c>
      <c r="AA26" s="106">
        <v>1379.9929999999999</v>
      </c>
      <c r="AB26" s="106">
        <v>1255.7660000000001</v>
      </c>
      <c r="AC26" s="106">
        <v>1130.9970000000001</v>
      </c>
      <c r="AD26" s="106">
        <v>1178.6469999999999</v>
      </c>
      <c r="AE26" s="106">
        <v>6536.5290000000005</v>
      </c>
      <c r="AF26" s="106">
        <v>6562.2889999999998</v>
      </c>
      <c r="AG26" s="106">
        <v>5137.9399999999996</v>
      </c>
      <c r="AH26" s="106">
        <v>3161.8020000000001</v>
      </c>
      <c r="AI26" s="106">
        <v>3104.0230000000001</v>
      </c>
      <c r="AJ26" s="106">
        <v>2471.9070000000002</v>
      </c>
      <c r="AK26" s="106">
        <v>3095.4050000000002</v>
      </c>
      <c r="AL26" s="106">
        <v>3621.223</v>
      </c>
      <c r="AM26" s="106">
        <v>3581.848</v>
      </c>
      <c r="AN26" s="106">
        <v>3978.777</v>
      </c>
      <c r="AO26" s="106">
        <v>3250.0659999999998</v>
      </c>
      <c r="AP26" s="106">
        <v>1732.414</v>
      </c>
      <c r="AQ26" s="106">
        <v>3312.038</v>
      </c>
      <c r="AR26" s="106">
        <v>3352.75</v>
      </c>
      <c r="AS26" s="106">
        <v>3384.9920000000002</v>
      </c>
      <c r="AT26" s="106">
        <v>3436.7429999999999</v>
      </c>
      <c r="AU26" s="106">
        <v>3478.9290000000001</v>
      </c>
      <c r="AV26" s="106">
        <v>3508.28</v>
      </c>
      <c r="AW26" s="106">
        <v>3582.335</v>
      </c>
      <c r="AX26" s="81"/>
      <c r="AY26" s="81"/>
      <c r="AZ26" s="81"/>
      <c r="BA26" s="81"/>
      <c r="BB26" s="81"/>
      <c r="BC26" s="81"/>
      <c r="BD26" s="81"/>
      <c r="BE26" s="81"/>
    </row>
    <row r="27" spans="1:57" x14ac:dyDescent="0.35">
      <c r="A27" s="127" t="s">
        <v>23</v>
      </c>
      <c r="B27" s="135">
        <v>2</v>
      </c>
      <c r="C27" s="135">
        <v>2</v>
      </c>
      <c r="D27" s="135">
        <v>3</v>
      </c>
      <c r="E27" s="135">
        <v>3</v>
      </c>
      <c r="G27" s="106">
        <v>0</v>
      </c>
      <c r="H27" s="106">
        <v>4.7910000000000004</v>
      </c>
      <c r="I27" s="106">
        <v>9.6809999999999992</v>
      </c>
      <c r="J27" s="106">
        <v>14.625</v>
      </c>
      <c r="K27" s="106">
        <v>19.637</v>
      </c>
      <c r="L27" s="106">
        <v>24.623000000000001</v>
      </c>
      <c r="M27" s="106">
        <v>29.547000000000001</v>
      </c>
      <c r="N27" s="106">
        <v>34.53</v>
      </c>
      <c r="O27" s="106">
        <v>39.296999999999997</v>
      </c>
      <c r="P27" s="106">
        <v>43.936</v>
      </c>
      <c r="Q27" s="106">
        <v>48.762</v>
      </c>
      <c r="R27" s="106">
        <v>53.942</v>
      </c>
      <c r="S27" s="106">
        <v>59.343000000000004</v>
      </c>
      <c r="T27" s="106">
        <v>64.629000000000005</v>
      </c>
      <c r="U27" s="106">
        <v>69.832999999999998</v>
      </c>
      <c r="V27" s="106">
        <v>61.906999999999996</v>
      </c>
      <c r="W27" s="106">
        <v>74.966999999999999</v>
      </c>
      <c r="X27" s="106">
        <v>88.484999999999999</v>
      </c>
      <c r="Y27" s="106">
        <v>107.444</v>
      </c>
      <c r="Z27" s="106">
        <v>189.839</v>
      </c>
      <c r="AA27" s="106">
        <v>238.9</v>
      </c>
      <c r="AB27" s="106">
        <v>237.72900000000001</v>
      </c>
      <c r="AC27" s="106">
        <v>310.358</v>
      </c>
      <c r="AD27" s="106">
        <v>428.60199999999998</v>
      </c>
      <c r="AE27" s="106">
        <v>625.98199999999997</v>
      </c>
      <c r="AF27" s="106">
        <v>761.26800000000003</v>
      </c>
      <c r="AG27" s="106">
        <v>840.39800000000002</v>
      </c>
      <c r="AH27" s="106">
        <v>937.69</v>
      </c>
      <c r="AI27" s="106">
        <v>1149.127</v>
      </c>
      <c r="AJ27" s="106">
        <v>860.75300000000004</v>
      </c>
      <c r="AK27" s="106">
        <v>820.44</v>
      </c>
      <c r="AL27" s="106">
        <v>842.49699999999996</v>
      </c>
      <c r="AM27" s="106">
        <v>813.65200000000004</v>
      </c>
      <c r="AN27" s="106">
        <v>784.90200000000004</v>
      </c>
      <c r="AO27" s="106">
        <v>757.10299999999995</v>
      </c>
      <c r="AP27" s="106">
        <v>745.57299999999998</v>
      </c>
      <c r="AQ27" s="106">
        <v>685.18200000000002</v>
      </c>
      <c r="AR27" s="106">
        <v>828.04100000000005</v>
      </c>
      <c r="AS27" s="106">
        <v>802.76400000000001</v>
      </c>
      <c r="AT27" s="106">
        <v>822.93499999999995</v>
      </c>
      <c r="AU27" s="106">
        <v>813.06399999999996</v>
      </c>
      <c r="AV27" s="106">
        <v>799.78099999999995</v>
      </c>
      <c r="AW27" s="106">
        <v>830.86099999999999</v>
      </c>
      <c r="AX27" s="81"/>
      <c r="AY27" s="81"/>
      <c r="AZ27" s="81"/>
      <c r="BA27" s="81"/>
      <c r="BB27" s="81"/>
      <c r="BC27" s="81"/>
      <c r="BD27" s="81"/>
      <c r="BE27" s="81"/>
    </row>
    <row r="28" spans="1:57" x14ac:dyDescent="0.35">
      <c r="A28" s="127" t="s">
        <v>24</v>
      </c>
      <c r="B28" s="135">
        <v>6</v>
      </c>
      <c r="C28" s="135">
        <v>6</v>
      </c>
      <c r="D28" s="135">
        <v>3</v>
      </c>
      <c r="E28" s="135">
        <v>3</v>
      </c>
      <c r="G28" s="106">
        <v>315.97699999999998</v>
      </c>
      <c r="H28" s="106">
        <v>349.02800000000002</v>
      </c>
      <c r="I28" s="106">
        <v>382.036</v>
      </c>
      <c r="J28" s="106">
        <v>414.35700000000003</v>
      </c>
      <c r="K28" s="106">
        <v>447.09800000000001</v>
      </c>
      <c r="L28" s="106">
        <v>478.37900000000002</v>
      </c>
      <c r="M28" s="106">
        <v>508.27800000000002</v>
      </c>
      <c r="N28" s="106">
        <v>539.08199999999999</v>
      </c>
      <c r="O28" s="106">
        <v>566.64200000000005</v>
      </c>
      <c r="P28" s="106">
        <v>592.77700000000004</v>
      </c>
      <c r="Q28" s="106">
        <v>621.71199999999999</v>
      </c>
      <c r="R28" s="106">
        <v>655.005</v>
      </c>
      <c r="S28" s="106">
        <v>690.56200000000001</v>
      </c>
      <c r="T28" s="106">
        <v>724.40899999999999</v>
      </c>
      <c r="U28" s="106">
        <v>757.10699999999997</v>
      </c>
      <c r="V28" s="106">
        <v>768.96100000000001</v>
      </c>
      <c r="W28" s="106">
        <v>788.93100000000004</v>
      </c>
      <c r="X28" s="106">
        <v>1213.4169999999999</v>
      </c>
      <c r="Y28" s="106">
        <v>1211.5239999999999</v>
      </c>
      <c r="Z28" s="106">
        <v>2882.43</v>
      </c>
      <c r="AA28" s="106">
        <v>3333.4609999999998</v>
      </c>
      <c r="AB28" s="106">
        <v>3297.902</v>
      </c>
      <c r="AC28" s="106">
        <v>3423.9929999999999</v>
      </c>
      <c r="AD28" s="106">
        <v>1940.557</v>
      </c>
      <c r="AE28" s="106">
        <v>2179.404</v>
      </c>
      <c r="AF28" s="106">
        <v>2270.3679999999999</v>
      </c>
      <c r="AG28" s="106">
        <v>2402.694</v>
      </c>
      <c r="AH28" s="106">
        <v>2559.5680000000002</v>
      </c>
      <c r="AI28" s="106">
        <v>1719.758</v>
      </c>
      <c r="AJ28" s="106">
        <v>1726.4169999999999</v>
      </c>
      <c r="AK28" s="106">
        <v>1719.1780000000001</v>
      </c>
      <c r="AL28" s="106">
        <v>1979.933</v>
      </c>
      <c r="AM28" s="106">
        <v>1729.2090000000001</v>
      </c>
      <c r="AN28" s="106">
        <v>2562.732</v>
      </c>
      <c r="AO28" s="106">
        <v>3409.17</v>
      </c>
      <c r="AP28" s="106">
        <v>3420.35</v>
      </c>
      <c r="AQ28" s="106">
        <v>3160.0050000000001</v>
      </c>
      <c r="AR28" s="106">
        <v>3112.11</v>
      </c>
      <c r="AS28" s="106">
        <v>2781.973</v>
      </c>
      <c r="AT28" s="106">
        <v>2458.9360000000001</v>
      </c>
      <c r="AU28" s="106">
        <v>2893.1709999999998</v>
      </c>
      <c r="AV28" s="106">
        <v>2917.58</v>
      </c>
      <c r="AW28" s="106">
        <v>2979.1660000000002</v>
      </c>
      <c r="AX28" s="81"/>
      <c r="AY28" s="81"/>
      <c r="AZ28" s="81"/>
      <c r="BA28" s="81"/>
      <c r="BB28" s="81"/>
      <c r="BC28" s="81"/>
      <c r="BD28" s="81"/>
      <c r="BE28" s="81"/>
    </row>
    <row r="29" spans="1:57" x14ac:dyDescent="0.35">
      <c r="A29" s="127" t="s">
        <v>25</v>
      </c>
      <c r="B29" s="135">
        <v>6</v>
      </c>
      <c r="C29" s="135">
        <v>6</v>
      </c>
      <c r="D29" s="135">
        <v>3</v>
      </c>
      <c r="E29" s="135">
        <v>3</v>
      </c>
      <c r="G29" s="106">
        <v>678.447</v>
      </c>
      <c r="H29" s="106">
        <v>719.67200000000003</v>
      </c>
      <c r="I29" s="106">
        <v>760.19100000000003</v>
      </c>
      <c r="J29" s="106">
        <v>798.899</v>
      </c>
      <c r="K29" s="106">
        <v>838.07799999999997</v>
      </c>
      <c r="L29" s="106">
        <v>874.29700000000003</v>
      </c>
      <c r="M29" s="106">
        <v>907.92399999999998</v>
      </c>
      <c r="N29" s="106">
        <v>943.13499999999999</v>
      </c>
      <c r="O29" s="106">
        <v>972.71699999999998</v>
      </c>
      <c r="P29" s="106">
        <v>1000.037</v>
      </c>
      <c r="Q29" s="106">
        <v>1032.203</v>
      </c>
      <c r="R29" s="106">
        <v>1071.5329999999999</v>
      </c>
      <c r="S29" s="106">
        <v>1114.3520000000001</v>
      </c>
      <c r="T29" s="106">
        <v>1154.21</v>
      </c>
      <c r="U29" s="106">
        <v>1192.117</v>
      </c>
      <c r="V29" s="106">
        <v>993.173</v>
      </c>
      <c r="W29" s="106">
        <v>804.29300000000001</v>
      </c>
      <c r="X29" s="106">
        <v>841.45100000000002</v>
      </c>
      <c r="Y29" s="106">
        <v>773.49699999999996</v>
      </c>
      <c r="Z29" s="106">
        <v>919.24099999999999</v>
      </c>
      <c r="AA29" s="106">
        <v>1482.25</v>
      </c>
      <c r="AB29" s="106">
        <v>1386.201</v>
      </c>
      <c r="AC29" s="106">
        <v>1290.633</v>
      </c>
      <c r="AD29" s="106">
        <v>1470.2170000000001</v>
      </c>
      <c r="AE29" s="106">
        <v>1655.02</v>
      </c>
      <c r="AF29" s="106">
        <v>1578.9970000000001</v>
      </c>
      <c r="AG29" s="106">
        <v>1503.422</v>
      </c>
      <c r="AH29" s="106">
        <v>1434.4079999999999</v>
      </c>
      <c r="AI29" s="106">
        <v>1353.982</v>
      </c>
      <c r="AJ29" s="106">
        <v>1169.248</v>
      </c>
      <c r="AK29" s="106">
        <v>971.20899999999995</v>
      </c>
      <c r="AL29" s="106">
        <v>769.51300000000003</v>
      </c>
      <c r="AM29" s="106">
        <v>1316.8779999999999</v>
      </c>
      <c r="AN29" s="106">
        <v>1477.905</v>
      </c>
      <c r="AO29" s="106">
        <v>1486.9059999999999</v>
      </c>
      <c r="AP29" s="106">
        <v>1499.6579999999999</v>
      </c>
      <c r="AQ29" s="106">
        <v>1515.258</v>
      </c>
      <c r="AR29" s="106">
        <v>1533.884</v>
      </c>
      <c r="AS29" s="106">
        <v>1548.634</v>
      </c>
      <c r="AT29" s="106">
        <v>1572.31</v>
      </c>
      <c r="AU29" s="106">
        <v>1591.61</v>
      </c>
      <c r="AV29" s="106">
        <v>1605.039</v>
      </c>
      <c r="AW29" s="106">
        <v>1638.9190000000001</v>
      </c>
      <c r="AX29" s="81"/>
      <c r="AY29" s="81"/>
      <c r="AZ29" s="81"/>
      <c r="BA29" s="81"/>
      <c r="BB29" s="81"/>
      <c r="BC29" s="81"/>
      <c r="BD29" s="81"/>
      <c r="BE29" s="81"/>
    </row>
    <row r="30" spans="1:57" x14ac:dyDescent="0.35">
      <c r="A30" s="127" t="s">
        <v>26</v>
      </c>
      <c r="B30" s="135">
        <v>6</v>
      </c>
      <c r="C30" s="135">
        <v>6</v>
      </c>
      <c r="D30" s="135">
        <v>3</v>
      </c>
      <c r="E30" s="135">
        <v>3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2.8839999999999999</v>
      </c>
      <c r="M30" s="106">
        <v>5.7679999999999998</v>
      </c>
      <c r="N30" s="106">
        <v>8.6669999999999998</v>
      </c>
      <c r="O30" s="106">
        <v>11.507</v>
      </c>
      <c r="P30" s="106">
        <v>14.295</v>
      </c>
      <c r="Q30" s="106">
        <v>17.134</v>
      </c>
      <c r="R30" s="106">
        <v>20.103000000000002</v>
      </c>
      <c r="S30" s="106">
        <v>23.169</v>
      </c>
      <c r="T30" s="106">
        <v>26.202999999999999</v>
      </c>
      <c r="U30" s="106">
        <v>29.212</v>
      </c>
      <c r="V30" s="106">
        <v>33.737000000000002</v>
      </c>
      <c r="W30" s="106">
        <v>38.625999999999998</v>
      </c>
      <c r="X30" s="106">
        <v>55.372</v>
      </c>
      <c r="Y30" s="106">
        <v>61.86</v>
      </c>
      <c r="Z30" s="106">
        <v>76.162000000000006</v>
      </c>
      <c r="AA30" s="106">
        <v>107.373</v>
      </c>
      <c r="AB30" s="106">
        <v>139.666</v>
      </c>
      <c r="AC30" s="106">
        <v>164.505</v>
      </c>
      <c r="AD30" s="106">
        <v>189.995</v>
      </c>
      <c r="AE30" s="106">
        <v>216.23599999999999</v>
      </c>
      <c r="AF30" s="106">
        <v>244.298</v>
      </c>
      <c r="AG30" s="106">
        <v>257.76499999999999</v>
      </c>
      <c r="AH30" s="106">
        <v>243.93299999999999</v>
      </c>
      <c r="AI30" s="106">
        <v>228.03700000000001</v>
      </c>
      <c r="AJ30" s="106">
        <v>208.458</v>
      </c>
      <c r="AK30" s="106">
        <v>183.779</v>
      </c>
      <c r="AL30" s="106">
        <v>141.45699999999999</v>
      </c>
      <c r="AM30" s="106">
        <v>115.729</v>
      </c>
      <c r="AN30" s="106">
        <v>114.084</v>
      </c>
      <c r="AO30" s="106">
        <v>112.605</v>
      </c>
      <c r="AP30" s="106">
        <v>167.26499999999999</v>
      </c>
      <c r="AQ30" s="106">
        <v>151.614</v>
      </c>
      <c r="AR30" s="106">
        <v>112.35899999999999</v>
      </c>
      <c r="AS30" s="106">
        <v>129.99199999999999</v>
      </c>
      <c r="AT30" s="106">
        <v>110.48699999999999</v>
      </c>
      <c r="AU30" s="106">
        <v>110.89100000000001</v>
      </c>
      <c r="AV30" s="106">
        <v>111.827</v>
      </c>
      <c r="AW30" s="106">
        <v>114.187</v>
      </c>
      <c r="AX30" s="81"/>
      <c r="AY30" s="81"/>
      <c r="AZ30" s="81"/>
      <c r="BA30" s="81"/>
      <c r="BB30" s="81"/>
      <c r="BC30" s="81"/>
      <c r="BD30" s="81"/>
      <c r="BE30" s="81"/>
    </row>
    <row r="31" spans="1:57" x14ac:dyDescent="0.35">
      <c r="A31" s="127" t="s">
        <v>27</v>
      </c>
      <c r="B31" s="135">
        <v>4</v>
      </c>
      <c r="C31" s="135" t="s">
        <v>120</v>
      </c>
      <c r="D31" s="135">
        <v>3</v>
      </c>
      <c r="E31" s="135">
        <v>3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149.83799999999999</v>
      </c>
      <c r="R31" s="106">
        <v>301.37200000000001</v>
      </c>
      <c r="S31" s="106">
        <v>455.87700000000001</v>
      </c>
      <c r="T31" s="106">
        <v>611.05899999999997</v>
      </c>
      <c r="U31" s="106">
        <v>766.37</v>
      </c>
      <c r="V31" s="106">
        <v>845.31700000000001</v>
      </c>
      <c r="W31" s="106">
        <v>921.44200000000001</v>
      </c>
      <c r="X31" s="106">
        <v>1001.856</v>
      </c>
      <c r="Y31" s="106">
        <v>898.81899999999996</v>
      </c>
      <c r="Z31" s="106">
        <v>793.45799999999997</v>
      </c>
      <c r="AA31" s="106">
        <v>1018.49</v>
      </c>
      <c r="AB31" s="106">
        <v>1280.4860000000001</v>
      </c>
      <c r="AC31" s="106">
        <v>1056.2139999999999</v>
      </c>
      <c r="AD31" s="106">
        <v>1017.1849999999999</v>
      </c>
      <c r="AE31" s="106">
        <v>976.36</v>
      </c>
      <c r="AF31" s="106">
        <v>1299.72</v>
      </c>
      <c r="AG31" s="106">
        <v>993.74400000000003</v>
      </c>
      <c r="AH31" s="106">
        <v>677.88</v>
      </c>
      <c r="AI31" s="106">
        <v>820.24300000000005</v>
      </c>
      <c r="AJ31" s="106">
        <v>957.69299999999998</v>
      </c>
      <c r="AK31" s="106">
        <v>1090.184</v>
      </c>
      <c r="AL31" s="106">
        <v>1203.0329999999999</v>
      </c>
      <c r="AM31" s="106">
        <v>1160.2280000000001</v>
      </c>
      <c r="AN31" s="106">
        <v>1117.547</v>
      </c>
      <c r="AO31" s="106">
        <v>1076.1990000000001</v>
      </c>
      <c r="AP31" s="106">
        <v>1053.633</v>
      </c>
      <c r="AQ31" s="106">
        <v>960.39599999999996</v>
      </c>
      <c r="AR31" s="106">
        <v>1158.7809999999999</v>
      </c>
      <c r="AS31" s="106">
        <v>1626.0450000000001</v>
      </c>
      <c r="AT31" s="106">
        <v>2113.998</v>
      </c>
      <c r="AU31" s="106">
        <v>2608.7249999999999</v>
      </c>
      <c r="AV31" s="106">
        <v>2630.7350000000001</v>
      </c>
      <c r="AW31" s="106">
        <v>2686.2660000000001</v>
      </c>
      <c r="AX31" s="81"/>
      <c r="AY31" s="81"/>
      <c r="AZ31" s="81"/>
      <c r="BA31" s="81"/>
      <c r="BB31" s="81"/>
      <c r="BC31" s="81"/>
      <c r="BD31" s="81"/>
      <c r="BE31" s="81"/>
    </row>
    <row r="32" spans="1:57" x14ac:dyDescent="0.35">
      <c r="A32" s="127" t="s">
        <v>28</v>
      </c>
      <c r="B32" s="135">
        <v>2</v>
      </c>
      <c r="C32" s="135">
        <v>2</v>
      </c>
      <c r="D32" s="135">
        <v>3</v>
      </c>
      <c r="E32" s="135">
        <v>3</v>
      </c>
      <c r="G32" s="106">
        <v>56.238999999999997</v>
      </c>
      <c r="H32" s="106">
        <v>113.89</v>
      </c>
      <c r="I32" s="106">
        <v>172.607</v>
      </c>
      <c r="J32" s="106">
        <v>231.78399999999999</v>
      </c>
      <c r="K32" s="106">
        <v>291.78199999999998</v>
      </c>
      <c r="L32" s="106">
        <v>351.221</v>
      </c>
      <c r="M32" s="106">
        <v>409.75799999999998</v>
      </c>
      <c r="N32" s="106">
        <v>469.08199999999999</v>
      </c>
      <c r="O32" s="106">
        <v>525.50199999999995</v>
      </c>
      <c r="P32" s="106">
        <v>580.28099999999995</v>
      </c>
      <c r="Q32" s="106">
        <v>637.58699999999999</v>
      </c>
      <c r="R32" s="106">
        <v>699.48800000000006</v>
      </c>
      <c r="S32" s="106">
        <v>764.17899999999997</v>
      </c>
      <c r="T32" s="106">
        <v>827.327</v>
      </c>
      <c r="U32" s="106">
        <v>889.37599999999998</v>
      </c>
      <c r="V32" s="106">
        <v>5.9950000000000001</v>
      </c>
      <c r="W32" s="106">
        <v>2.2309999999999999</v>
      </c>
      <c r="X32" s="106">
        <v>2870.7080000000001</v>
      </c>
      <c r="Y32" s="106">
        <v>9.24</v>
      </c>
      <c r="Z32" s="106">
        <v>3373.7979999999998</v>
      </c>
      <c r="AA32" s="106">
        <v>3761.5859999999998</v>
      </c>
      <c r="AB32" s="106">
        <v>3817.0549999999998</v>
      </c>
      <c r="AC32" s="106">
        <v>4351.07</v>
      </c>
      <c r="AD32" s="106">
        <v>4854.6040000000003</v>
      </c>
      <c r="AE32" s="106">
        <v>57.558</v>
      </c>
      <c r="AF32" s="106">
        <v>6682.6970000000001</v>
      </c>
      <c r="AG32" s="106">
        <v>5840.2340000000004</v>
      </c>
      <c r="AH32" s="106">
        <v>3018.6869999999999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81"/>
      <c r="AY32" s="81"/>
      <c r="AZ32" s="81"/>
      <c r="BA32" s="81"/>
      <c r="BB32" s="81"/>
      <c r="BC32" s="81"/>
      <c r="BD32" s="81"/>
      <c r="BE32" s="81"/>
    </row>
    <row r="33" spans="1:57" x14ac:dyDescent="0.35">
      <c r="A33" s="127" t="s">
        <v>29</v>
      </c>
      <c r="B33" s="135">
        <v>2</v>
      </c>
      <c r="C33" s="135">
        <v>2</v>
      </c>
      <c r="D33" s="135">
        <v>3</v>
      </c>
      <c r="E33" s="135">
        <v>3</v>
      </c>
      <c r="G33" s="106">
        <v>0.23699999999999999</v>
      </c>
      <c r="H33" s="106">
        <v>0.48099999999999998</v>
      </c>
      <c r="I33" s="106">
        <v>0.72799999999999998</v>
      </c>
      <c r="J33" s="106">
        <v>0.97799999999999998</v>
      </c>
      <c r="K33" s="106">
        <v>1.2310000000000001</v>
      </c>
      <c r="L33" s="106">
        <v>1.482</v>
      </c>
      <c r="M33" s="106">
        <v>1.7290000000000001</v>
      </c>
      <c r="N33" s="106">
        <v>1.9790000000000001</v>
      </c>
      <c r="O33" s="106">
        <v>2.2170000000000001</v>
      </c>
      <c r="P33" s="106">
        <v>2.448</v>
      </c>
      <c r="Q33" s="106">
        <v>2.69</v>
      </c>
      <c r="R33" s="106">
        <v>2.9510000000000001</v>
      </c>
      <c r="S33" s="106">
        <v>3.2240000000000002</v>
      </c>
      <c r="T33" s="106">
        <v>3.4910000000000001</v>
      </c>
      <c r="U33" s="106">
        <v>3.7519999999999998</v>
      </c>
      <c r="V33" s="106">
        <v>3.9860000000000002</v>
      </c>
      <c r="W33" s="106">
        <v>2.13</v>
      </c>
      <c r="X33" s="106">
        <v>10.756</v>
      </c>
      <c r="Y33" s="106">
        <v>0</v>
      </c>
      <c r="Z33" s="106">
        <v>15.193</v>
      </c>
      <c r="AA33" s="106">
        <v>11.241</v>
      </c>
      <c r="AB33" s="106">
        <v>12.532</v>
      </c>
      <c r="AC33" s="106">
        <v>10.914999999999999</v>
      </c>
      <c r="AD33" s="106">
        <v>11.356</v>
      </c>
      <c r="AE33" s="106">
        <v>86.454999999999998</v>
      </c>
      <c r="AF33" s="106">
        <v>101.69199999999999</v>
      </c>
      <c r="AG33" s="106">
        <v>169.852</v>
      </c>
      <c r="AH33" s="106">
        <v>273.50900000000001</v>
      </c>
      <c r="AI33" s="106">
        <v>381.92</v>
      </c>
      <c r="AJ33" s="106">
        <v>474.37900000000002</v>
      </c>
      <c r="AK33" s="106">
        <v>564.88199999999995</v>
      </c>
      <c r="AL33" s="106">
        <v>702.83399999999995</v>
      </c>
      <c r="AM33" s="106">
        <v>841.49599999999998</v>
      </c>
      <c r="AN33" s="106">
        <v>981.69299999999998</v>
      </c>
      <c r="AO33" s="106">
        <v>1124.941</v>
      </c>
      <c r="AP33" s="106">
        <v>1273.0360000000001</v>
      </c>
      <c r="AQ33" s="106">
        <v>1426.1659999999999</v>
      </c>
      <c r="AR33" s="106">
        <v>1585.3030000000001</v>
      </c>
      <c r="AS33" s="106">
        <v>1743.5170000000001</v>
      </c>
      <c r="AT33" s="106">
        <v>1915.326</v>
      </c>
      <c r="AU33" s="106">
        <v>2085.7730000000001</v>
      </c>
      <c r="AV33" s="106">
        <v>2251.5459999999998</v>
      </c>
      <c r="AW33" s="106">
        <v>2450.377</v>
      </c>
      <c r="AX33" s="81"/>
      <c r="AY33" s="81"/>
      <c r="AZ33" s="81"/>
      <c r="BA33" s="81"/>
      <c r="BB33" s="81"/>
      <c r="BC33" s="81"/>
      <c r="BD33" s="81"/>
      <c r="BE33" s="81"/>
    </row>
    <row r="34" spans="1:57" x14ac:dyDescent="0.35">
      <c r="A34" s="127" t="s">
        <v>30</v>
      </c>
      <c r="B34" s="135">
        <v>5</v>
      </c>
      <c r="C34" s="135">
        <v>5</v>
      </c>
      <c r="D34" s="135">
        <v>4</v>
      </c>
      <c r="E34" s="135" t="s">
        <v>120</v>
      </c>
      <c r="G34" s="106">
        <v>32.694000000000003</v>
      </c>
      <c r="H34" s="106">
        <v>36.113999999999997</v>
      </c>
      <c r="I34" s="106">
        <v>39.529000000000003</v>
      </c>
      <c r="J34" s="106">
        <v>42.874000000000002</v>
      </c>
      <c r="K34" s="106">
        <v>46.261000000000003</v>
      </c>
      <c r="L34" s="106">
        <v>49.497999999999998</v>
      </c>
      <c r="M34" s="106">
        <v>52.591999999999999</v>
      </c>
      <c r="N34" s="106">
        <v>55.779000000000003</v>
      </c>
      <c r="O34" s="106">
        <v>58.63</v>
      </c>
      <c r="P34" s="106">
        <v>61.335000000000001</v>
      </c>
      <c r="Q34" s="106">
        <v>64.328999999999994</v>
      </c>
      <c r="R34" s="106">
        <v>67.772999999999996</v>
      </c>
      <c r="S34" s="106">
        <v>71.451999999999998</v>
      </c>
      <c r="T34" s="106">
        <v>74.954999999999998</v>
      </c>
      <c r="U34" s="106">
        <v>78.337999999999994</v>
      </c>
      <c r="V34" s="106">
        <v>51.872999999999998</v>
      </c>
      <c r="W34" s="106">
        <v>103.92400000000001</v>
      </c>
      <c r="X34" s="106">
        <v>89.628</v>
      </c>
      <c r="Y34" s="106">
        <v>119.76</v>
      </c>
      <c r="Z34" s="106">
        <v>124.255</v>
      </c>
      <c r="AA34" s="106">
        <v>132.423</v>
      </c>
      <c r="AB34" s="106">
        <v>141.10599999999999</v>
      </c>
      <c r="AC34" s="106">
        <v>148.99100000000001</v>
      </c>
      <c r="AD34" s="106">
        <v>80.081000000000003</v>
      </c>
      <c r="AE34" s="106">
        <v>87.012</v>
      </c>
      <c r="AF34" s="106">
        <v>94.542000000000002</v>
      </c>
      <c r="AG34" s="106">
        <v>294.23</v>
      </c>
      <c r="AH34" s="106">
        <v>507.11900000000003</v>
      </c>
      <c r="AI34" s="106">
        <v>624.79999999999995</v>
      </c>
      <c r="AJ34" s="106">
        <v>652.98800000000006</v>
      </c>
      <c r="AK34" s="106">
        <v>676.447</v>
      </c>
      <c r="AL34" s="106">
        <v>1063.6320000000001</v>
      </c>
      <c r="AM34" s="106">
        <v>1079.134</v>
      </c>
      <c r="AN34" s="106">
        <v>1185.6690000000001</v>
      </c>
      <c r="AO34" s="106">
        <v>1295.2260000000001</v>
      </c>
      <c r="AP34" s="106">
        <v>1291.211</v>
      </c>
      <c r="AQ34" s="106">
        <v>1289.3620000000001</v>
      </c>
      <c r="AR34" s="106">
        <v>1289.7429999999999</v>
      </c>
      <c r="AS34" s="106">
        <v>1286.529</v>
      </c>
      <c r="AT34" s="106">
        <v>1135.8530000000001</v>
      </c>
      <c r="AU34" s="106">
        <v>977.36</v>
      </c>
      <c r="AV34" s="106">
        <v>985.60599999999999</v>
      </c>
      <c r="AW34" s="106">
        <v>1006.41</v>
      </c>
      <c r="AX34" s="81"/>
      <c r="AY34" s="81"/>
      <c r="AZ34" s="81"/>
      <c r="BA34" s="81"/>
      <c r="BB34" s="81"/>
      <c r="BC34" s="81"/>
      <c r="BD34" s="81"/>
      <c r="BE34" s="81"/>
    </row>
    <row r="35" spans="1:57" x14ac:dyDescent="0.35">
      <c r="A35" s="127" t="s">
        <v>31</v>
      </c>
      <c r="B35" s="135">
        <v>5</v>
      </c>
      <c r="C35" s="135">
        <v>5</v>
      </c>
      <c r="D35" s="135">
        <v>4</v>
      </c>
      <c r="E35" s="135" t="s">
        <v>120</v>
      </c>
      <c r="G35" s="106">
        <v>91.7</v>
      </c>
      <c r="H35" s="106">
        <v>97.272000000000006</v>
      </c>
      <c r="I35" s="106">
        <v>102.749</v>
      </c>
      <c r="J35" s="106">
        <v>107.98099999999999</v>
      </c>
      <c r="K35" s="106">
        <v>113.276</v>
      </c>
      <c r="L35" s="106">
        <v>118.172</v>
      </c>
      <c r="M35" s="106">
        <v>122.717</v>
      </c>
      <c r="N35" s="106">
        <v>127.476</v>
      </c>
      <c r="O35" s="106">
        <v>131.47399999999999</v>
      </c>
      <c r="P35" s="106">
        <v>135.167</v>
      </c>
      <c r="Q35" s="106">
        <v>139.51400000000001</v>
      </c>
      <c r="R35" s="106">
        <v>144.83000000000001</v>
      </c>
      <c r="S35" s="106">
        <v>150.61799999999999</v>
      </c>
      <c r="T35" s="106">
        <v>156.005</v>
      </c>
      <c r="U35" s="106">
        <v>161.12899999999999</v>
      </c>
      <c r="V35" s="106">
        <v>181.566</v>
      </c>
      <c r="W35" s="106">
        <v>177.49100000000001</v>
      </c>
      <c r="X35" s="106">
        <v>173.94300000000001</v>
      </c>
      <c r="Y35" s="106">
        <v>176.035</v>
      </c>
      <c r="Z35" s="106">
        <v>178.142</v>
      </c>
      <c r="AA35" s="106">
        <v>176.76900000000001</v>
      </c>
      <c r="AB35" s="106">
        <v>175.75299999999999</v>
      </c>
      <c r="AC35" s="106">
        <v>215.262</v>
      </c>
      <c r="AD35" s="106">
        <v>228.572</v>
      </c>
      <c r="AE35" s="106">
        <v>216.452</v>
      </c>
      <c r="AF35" s="106">
        <v>204.727</v>
      </c>
      <c r="AG35" s="106">
        <v>203.84399999999999</v>
      </c>
      <c r="AH35" s="106">
        <v>204.37200000000001</v>
      </c>
      <c r="AI35" s="106">
        <v>173.977</v>
      </c>
      <c r="AJ35" s="106">
        <v>140.012</v>
      </c>
      <c r="AK35" s="106">
        <v>103.221</v>
      </c>
      <c r="AL35" s="106">
        <v>80.828000000000003</v>
      </c>
      <c r="AM35" s="106">
        <v>58.180999999999997</v>
      </c>
      <c r="AN35" s="106">
        <v>50.453000000000003</v>
      </c>
      <c r="AO35" s="106">
        <v>63.136000000000003</v>
      </c>
      <c r="AP35" s="106">
        <v>65.721000000000004</v>
      </c>
      <c r="AQ35" s="106">
        <v>68.47</v>
      </c>
      <c r="AR35" s="106">
        <v>78.090999999999994</v>
      </c>
      <c r="AS35" s="106">
        <v>85.903999999999996</v>
      </c>
      <c r="AT35" s="106">
        <v>75.048000000000002</v>
      </c>
      <c r="AU35" s="106">
        <v>83.364999999999995</v>
      </c>
      <c r="AV35" s="106">
        <v>91.525999999999996</v>
      </c>
      <c r="AW35" s="106">
        <v>97.183000000000007</v>
      </c>
      <c r="AX35" s="81"/>
      <c r="AY35" s="81"/>
      <c r="AZ35" s="81"/>
      <c r="BA35" s="81"/>
      <c r="BB35" s="81"/>
      <c r="BC35" s="81"/>
      <c r="BD35" s="81"/>
      <c r="BE35" s="81"/>
    </row>
    <row r="36" spans="1:57" x14ac:dyDescent="0.35">
      <c r="A36" s="127" t="s">
        <v>32</v>
      </c>
      <c r="B36" s="135">
        <v>5</v>
      </c>
      <c r="C36" s="135">
        <v>5</v>
      </c>
      <c r="D36" s="135">
        <v>4</v>
      </c>
      <c r="E36" s="135" t="s">
        <v>120</v>
      </c>
      <c r="G36" s="106">
        <v>1050.6769999999999</v>
      </c>
      <c r="H36" s="106">
        <v>1114.52</v>
      </c>
      <c r="I36" s="106">
        <v>1177.269</v>
      </c>
      <c r="J36" s="106">
        <v>1237.2139999999999</v>
      </c>
      <c r="K36" s="106">
        <v>1297.8889999999999</v>
      </c>
      <c r="L36" s="106">
        <v>1353.98</v>
      </c>
      <c r="M36" s="106">
        <v>1406.056</v>
      </c>
      <c r="N36" s="106">
        <v>1460.585</v>
      </c>
      <c r="O36" s="106">
        <v>1506.3979999999999</v>
      </c>
      <c r="P36" s="106">
        <v>1548.7070000000001</v>
      </c>
      <c r="Q36" s="106">
        <v>1598.521</v>
      </c>
      <c r="R36" s="106">
        <v>1659.4290000000001</v>
      </c>
      <c r="S36" s="106">
        <v>1725.74</v>
      </c>
      <c r="T36" s="106">
        <v>1787.4659999999999</v>
      </c>
      <c r="U36" s="106">
        <v>1846.171</v>
      </c>
      <c r="V36" s="106">
        <v>1868.9760000000001</v>
      </c>
      <c r="W36" s="106">
        <v>1702.7850000000001</v>
      </c>
      <c r="X36" s="106">
        <v>1539.6289999999999</v>
      </c>
      <c r="Y36" s="106">
        <v>1374.3620000000001</v>
      </c>
      <c r="Z36" s="106">
        <v>1081.807</v>
      </c>
      <c r="AA36" s="106">
        <v>784.34</v>
      </c>
      <c r="AB36" s="106">
        <v>684.96199999999999</v>
      </c>
      <c r="AC36" s="106">
        <v>719.72400000000005</v>
      </c>
      <c r="AD36" s="106">
        <v>754.80700000000002</v>
      </c>
      <c r="AE36" s="106">
        <v>790.67600000000004</v>
      </c>
      <c r="AF36" s="106">
        <v>830.97299999999996</v>
      </c>
      <c r="AG36" s="106">
        <v>875.07899999999995</v>
      </c>
      <c r="AH36" s="106">
        <v>927.89800000000002</v>
      </c>
      <c r="AI36" s="106">
        <v>979.11699999999996</v>
      </c>
      <c r="AJ36" s="106">
        <v>1019.515</v>
      </c>
      <c r="AK36" s="106">
        <v>1035.7639999999999</v>
      </c>
      <c r="AL36" s="106">
        <v>1050.607</v>
      </c>
      <c r="AM36" s="106">
        <v>1154.9939999999999</v>
      </c>
      <c r="AN36" s="106">
        <v>925.87900000000002</v>
      </c>
      <c r="AO36" s="106">
        <v>695.81799999999998</v>
      </c>
      <c r="AP36" s="106">
        <v>602.71600000000001</v>
      </c>
      <c r="AQ36" s="106">
        <v>508.88600000000002</v>
      </c>
      <c r="AR36" s="106">
        <v>659.39300000000003</v>
      </c>
      <c r="AS36" s="106">
        <v>666.24199999999996</v>
      </c>
      <c r="AT36" s="106">
        <v>676.94399999999996</v>
      </c>
      <c r="AU36" s="106">
        <v>685.77599999999995</v>
      </c>
      <c r="AV36" s="106">
        <v>768.91700000000003</v>
      </c>
      <c r="AW36" s="106">
        <v>797.7</v>
      </c>
      <c r="AX36" s="81"/>
      <c r="AY36" s="81"/>
      <c r="AZ36" s="81"/>
      <c r="BA36" s="81"/>
      <c r="BB36" s="81"/>
      <c r="BC36" s="81"/>
      <c r="BD36" s="81"/>
      <c r="BE36" s="81"/>
    </row>
    <row r="37" spans="1:57" x14ac:dyDescent="0.35">
      <c r="A37" s="127" t="s">
        <v>33</v>
      </c>
      <c r="B37" s="135">
        <v>5</v>
      </c>
      <c r="C37" s="135">
        <v>5</v>
      </c>
      <c r="D37" s="135">
        <v>4</v>
      </c>
      <c r="E37" s="135" t="s">
        <v>120</v>
      </c>
      <c r="G37" s="106">
        <v>0</v>
      </c>
      <c r="H37" s="106">
        <v>0</v>
      </c>
      <c r="I37" s="106">
        <v>0</v>
      </c>
      <c r="J37" s="106">
        <v>0</v>
      </c>
      <c r="K37" s="106">
        <v>92.451999999999998</v>
      </c>
      <c r="L37" s="106">
        <v>185.476</v>
      </c>
      <c r="M37" s="106">
        <v>278.214</v>
      </c>
      <c r="N37" s="106">
        <v>371.57600000000002</v>
      </c>
      <c r="O37" s="106">
        <v>462.52100000000002</v>
      </c>
      <c r="P37" s="106">
        <v>551.59299999999996</v>
      </c>
      <c r="Q37" s="106">
        <v>642.79700000000003</v>
      </c>
      <c r="R37" s="106">
        <v>738.78499999999997</v>
      </c>
      <c r="S37" s="106">
        <v>838.15300000000002</v>
      </c>
      <c r="T37" s="106">
        <v>936.221</v>
      </c>
      <c r="U37" s="106">
        <v>1033.2750000000001</v>
      </c>
      <c r="V37" s="106">
        <v>1075.643</v>
      </c>
      <c r="W37" s="106">
        <v>1129.413</v>
      </c>
      <c r="X37" s="106">
        <v>1205.8620000000001</v>
      </c>
      <c r="Y37" s="106">
        <v>1284.7940000000001</v>
      </c>
      <c r="Z37" s="106">
        <v>1365.174</v>
      </c>
      <c r="AA37" s="106">
        <v>1370.9780000000001</v>
      </c>
      <c r="AB37" s="106">
        <v>1379.999</v>
      </c>
      <c r="AC37" s="106">
        <v>1392.8810000000001</v>
      </c>
      <c r="AD37" s="106">
        <v>1404.5170000000001</v>
      </c>
      <c r="AE37" s="106">
        <v>1321.1110000000001</v>
      </c>
      <c r="AF37" s="106">
        <v>1435.098</v>
      </c>
      <c r="AG37" s="106">
        <v>1344.1959999999999</v>
      </c>
      <c r="AH37" s="106">
        <v>1528.808</v>
      </c>
      <c r="AI37" s="106">
        <v>1716.5709999999999</v>
      </c>
      <c r="AJ37" s="106">
        <v>1857.3030000000001</v>
      </c>
      <c r="AK37" s="106">
        <v>1985.829</v>
      </c>
      <c r="AL37" s="106">
        <v>2112.7249999999999</v>
      </c>
      <c r="AM37" s="106">
        <v>2161.4209999999998</v>
      </c>
      <c r="AN37" s="106">
        <v>2211.4389999999999</v>
      </c>
      <c r="AO37" s="106">
        <v>2265.52</v>
      </c>
      <c r="AP37" s="106">
        <v>2387.346</v>
      </c>
      <c r="AQ37" s="106">
        <v>2624.9989999999998</v>
      </c>
      <c r="AR37" s="106">
        <v>2872.7</v>
      </c>
      <c r="AS37" s="106">
        <v>2857.9859999999999</v>
      </c>
      <c r="AT37" s="106">
        <v>2858.692</v>
      </c>
      <c r="AU37" s="106">
        <v>2850.2689999999998</v>
      </c>
      <c r="AV37" s="106">
        <v>2874.3159999999998</v>
      </c>
      <c r="AW37" s="106">
        <v>2934.9879999999998</v>
      </c>
      <c r="AX37" s="81"/>
      <c r="AY37" s="81"/>
      <c r="AZ37" s="81"/>
      <c r="BA37" s="81"/>
      <c r="BB37" s="81"/>
      <c r="BC37" s="81"/>
      <c r="BD37" s="81"/>
      <c r="BE37" s="81"/>
    </row>
    <row r="38" spans="1:57" x14ac:dyDescent="0.35">
      <c r="A38" s="127" t="s">
        <v>34</v>
      </c>
      <c r="B38" s="135">
        <v>5</v>
      </c>
      <c r="C38" s="135">
        <v>5</v>
      </c>
      <c r="D38" s="135">
        <v>4</v>
      </c>
      <c r="E38" s="135" t="s">
        <v>120</v>
      </c>
      <c r="G38" s="106">
        <v>1550.8620000000001</v>
      </c>
      <c r="H38" s="106">
        <v>1645.098</v>
      </c>
      <c r="I38" s="106">
        <v>1737.7180000000001</v>
      </c>
      <c r="J38" s="106">
        <v>1826.201</v>
      </c>
      <c r="K38" s="106">
        <v>1915.761</v>
      </c>
      <c r="L38" s="106">
        <v>1998.5550000000001</v>
      </c>
      <c r="M38" s="106">
        <v>2075.422</v>
      </c>
      <c r="N38" s="106">
        <v>2155.91</v>
      </c>
      <c r="O38" s="106">
        <v>2223.5329999999999</v>
      </c>
      <c r="P38" s="106">
        <v>2285.9839999999999</v>
      </c>
      <c r="Q38" s="106">
        <v>2359.511</v>
      </c>
      <c r="R38" s="106">
        <v>2449.4160000000002</v>
      </c>
      <c r="S38" s="106">
        <v>2547.2939999999999</v>
      </c>
      <c r="T38" s="106">
        <v>2638.4059999999999</v>
      </c>
      <c r="U38" s="106">
        <v>2725.0569999999998</v>
      </c>
      <c r="V38" s="106">
        <v>2594.8229999999999</v>
      </c>
      <c r="W38" s="106">
        <v>2491.6410000000001</v>
      </c>
      <c r="X38" s="106">
        <v>2395.1320000000001</v>
      </c>
      <c r="Y38" s="106">
        <v>2205.886</v>
      </c>
      <c r="Z38" s="106">
        <v>2118.4059999999999</v>
      </c>
      <c r="AA38" s="106">
        <v>2032.3710000000001</v>
      </c>
      <c r="AB38" s="106">
        <v>1948.548</v>
      </c>
      <c r="AC38" s="106">
        <v>1867.0550000000001</v>
      </c>
      <c r="AD38" s="106">
        <v>1817.6020000000001</v>
      </c>
      <c r="AE38" s="106">
        <v>1765.61</v>
      </c>
      <c r="AF38" s="106">
        <v>1718.588</v>
      </c>
      <c r="AG38" s="106">
        <v>1584.5060000000001</v>
      </c>
      <c r="AH38" s="106">
        <v>1681.9269999999999</v>
      </c>
      <c r="AI38" s="106">
        <v>1461.9359999999999</v>
      </c>
      <c r="AJ38" s="106">
        <v>1403.171</v>
      </c>
      <c r="AK38" s="106">
        <v>1331.79</v>
      </c>
      <c r="AL38" s="106">
        <v>1289.806</v>
      </c>
      <c r="AM38" s="106">
        <v>1246.5409999999999</v>
      </c>
      <c r="AN38" s="106">
        <v>1165.2460000000001</v>
      </c>
      <c r="AO38" s="106">
        <v>1012.55</v>
      </c>
      <c r="AP38" s="106">
        <v>1094.2560000000001</v>
      </c>
      <c r="AQ38" s="106">
        <v>1105.6389999999999</v>
      </c>
      <c r="AR38" s="106">
        <v>1119.229</v>
      </c>
      <c r="AS38" s="106">
        <v>1129.992</v>
      </c>
      <c r="AT38" s="106">
        <v>1147.268</v>
      </c>
      <c r="AU38" s="106">
        <v>1206.309</v>
      </c>
      <c r="AV38" s="106">
        <v>1171.1489999999999</v>
      </c>
      <c r="AW38" s="106">
        <v>1195.8699999999999</v>
      </c>
      <c r="AX38" s="81"/>
      <c r="AY38" s="81"/>
      <c r="AZ38" s="81"/>
      <c r="BA38" s="81"/>
      <c r="BB38" s="81"/>
      <c r="BC38" s="81"/>
      <c r="BD38" s="81"/>
      <c r="BE38" s="81"/>
    </row>
    <row r="39" spans="1:57" x14ac:dyDescent="0.35">
      <c r="A39" s="127" t="s">
        <v>35</v>
      </c>
      <c r="B39" s="135">
        <v>5</v>
      </c>
      <c r="C39" s="135">
        <v>5</v>
      </c>
      <c r="D39" s="135">
        <v>4</v>
      </c>
      <c r="E39" s="135" t="s">
        <v>120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2.4729999999999999</v>
      </c>
      <c r="M39" s="106">
        <v>4.9450000000000003</v>
      </c>
      <c r="N39" s="106">
        <v>7.431</v>
      </c>
      <c r="O39" s="106">
        <v>9.8659999999999997</v>
      </c>
      <c r="P39" s="106">
        <v>12.256</v>
      </c>
      <c r="Q39" s="106">
        <v>14.691000000000001</v>
      </c>
      <c r="R39" s="106">
        <v>17.236000000000001</v>
      </c>
      <c r="S39" s="106">
        <v>19.864999999999998</v>
      </c>
      <c r="T39" s="106">
        <v>22.466999999999999</v>
      </c>
      <c r="U39" s="106">
        <v>25.045999999999999</v>
      </c>
      <c r="V39" s="106">
        <v>23.196000000000002</v>
      </c>
      <c r="W39" s="106">
        <v>21.585999999999999</v>
      </c>
      <c r="X39" s="106">
        <v>15.62</v>
      </c>
      <c r="Y39" s="106">
        <v>22.024000000000001</v>
      </c>
      <c r="Z39" s="106">
        <v>23.039000000000001</v>
      </c>
      <c r="AA39" s="106">
        <v>31.957999999999998</v>
      </c>
      <c r="AB39" s="106">
        <v>41.189</v>
      </c>
      <c r="AC39" s="106">
        <v>54.228999999999999</v>
      </c>
      <c r="AD39" s="106">
        <v>67.650999999999996</v>
      </c>
      <c r="AE39" s="106">
        <v>81.483000000000004</v>
      </c>
      <c r="AF39" s="106">
        <v>114.038</v>
      </c>
      <c r="AG39" s="106">
        <v>148.31800000000001</v>
      </c>
      <c r="AH39" s="106">
        <v>185.56399999999999</v>
      </c>
      <c r="AI39" s="106">
        <v>175.14500000000001</v>
      </c>
      <c r="AJ39" s="106">
        <v>151.59100000000001</v>
      </c>
      <c r="AK39" s="106">
        <v>140.60499999999999</v>
      </c>
      <c r="AL39" s="106">
        <v>119.711</v>
      </c>
      <c r="AM39" s="106">
        <v>103.996</v>
      </c>
      <c r="AN39" s="106">
        <v>82.905000000000001</v>
      </c>
      <c r="AO39" s="106">
        <v>61.722999999999999</v>
      </c>
      <c r="AP39" s="106">
        <v>69.241</v>
      </c>
      <c r="AQ39" s="106">
        <v>65.33</v>
      </c>
      <c r="AR39" s="106">
        <v>58.984999999999999</v>
      </c>
      <c r="AS39" s="106">
        <v>31.373999999999999</v>
      </c>
      <c r="AT39" s="106">
        <v>17.925000000000001</v>
      </c>
      <c r="AU39" s="106">
        <v>20.821000000000002</v>
      </c>
      <c r="AV39" s="106">
        <v>23.696000000000002</v>
      </c>
      <c r="AW39" s="106">
        <v>24.715</v>
      </c>
      <c r="AX39" s="81"/>
      <c r="AY39" s="81"/>
      <c r="AZ39" s="81"/>
      <c r="BA39" s="81"/>
      <c r="BB39" s="81"/>
      <c r="BC39" s="81"/>
      <c r="BD39" s="81"/>
      <c r="BE39" s="81"/>
    </row>
    <row r="40" spans="1:57" x14ac:dyDescent="0.35">
      <c r="A40" s="127" t="s">
        <v>36</v>
      </c>
      <c r="B40" s="135">
        <v>2</v>
      </c>
      <c r="C40" s="135">
        <v>2</v>
      </c>
      <c r="D40" s="135">
        <v>4</v>
      </c>
      <c r="E40" s="135" t="s">
        <v>120</v>
      </c>
      <c r="G40" s="106">
        <v>1291.616</v>
      </c>
      <c r="H40" s="106">
        <v>1370.0989999999999</v>
      </c>
      <c r="I40" s="106">
        <v>1447.2370000000001</v>
      </c>
      <c r="J40" s="106">
        <v>1520.9290000000001</v>
      </c>
      <c r="K40" s="106">
        <v>1595.518</v>
      </c>
      <c r="L40" s="106">
        <v>1664.472</v>
      </c>
      <c r="M40" s="106">
        <v>1728.49</v>
      </c>
      <c r="N40" s="106">
        <v>1795.5229999999999</v>
      </c>
      <c r="O40" s="106">
        <v>1851.8420000000001</v>
      </c>
      <c r="P40" s="106">
        <v>1903.8530000000001</v>
      </c>
      <c r="Q40" s="106">
        <v>1965.09</v>
      </c>
      <c r="R40" s="106">
        <v>2039.9659999999999</v>
      </c>
      <c r="S40" s="106">
        <v>2121.4830000000002</v>
      </c>
      <c r="T40" s="106">
        <v>2197.364</v>
      </c>
      <c r="U40" s="106">
        <v>2269.5300000000002</v>
      </c>
      <c r="V40" s="106">
        <v>2324.4349999999999</v>
      </c>
      <c r="W40" s="106">
        <v>2338.9389999999999</v>
      </c>
      <c r="X40" s="106">
        <v>2361.4810000000002</v>
      </c>
      <c r="Y40" s="106">
        <v>2386.3119999999999</v>
      </c>
      <c r="Z40" s="106">
        <v>2411.2640000000001</v>
      </c>
      <c r="AA40" s="106">
        <v>2440.6999999999998</v>
      </c>
      <c r="AB40" s="106">
        <v>2476.377</v>
      </c>
      <c r="AC40" s="106">
        <v>2519.6129999999998</v>
      </c>
      <c r="AD40" s="106">
        <v>2561.2800000000002</v>
      </c>
      <c r="AE40" s="106">
        <v>2231.192</v>
      </c>
      <c r="AF40" s="106">
        <v>1897.548</v>
      </c>
      <c r="AG40" s="106">
        <v>1553.6610000000001</v>
      </c>
      <c r="AH40" s="106">
        <v>1201.7860000000001</v>
      </c>
      <c r="AI40" s="106">
        <v>822.90899999999999</v>
      </c>
      <c r="AJ40" s="106">
        <v>417.32100000000003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81"/>
      <c r="AY40" s="81"/>
      <c r="AZ40" s="81"/>
      <c r="BA40" s="81"/>
      <c r="BB40" s="81"/>
      <c r="BC40" s="81"/>
      <c r="BD40" s="81"/>
      <c r="BE40" s="81"/>
    </row>
    <row r="41" spans="1:57" x14ac:dyDescent="0.35">
      <c r="A41" s="127" t="s">
        <v>37</v>
      </c>
      <c r="B41" s="135">
        <v>2</v>
      </c>
      <c r="C41" s="135">
        <v>2</v>
      </c>
      <c r="D41" s="135">
        <v>4</v>
      </c>
      <c r="E41" s="135" t="s">
        <v>120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8.5380000000000003</v>
      </c>
      <c r="AB41" s="106">
        <v>37.600999999999999</v>
      </c>
      <c r="AC41" s="106">
        <v>0</v>
      </c>
      <c r="AD41" s="106">
        <v>0</v>
      </c>
      <c r="AE41" s="106">
        <v>188.57900000000001</v>
      </c>
      <c r="AF41" s="106">
        <v>1563.3230000000001</v>
      </c>
      <c r="AG41" s="106">
        <v>1675.425</v>
      </c>
      <c r="AH41" s="106">
        <v>1805.7470000000001</v>
      </c>
      <c r="AI41" s="106">
        <v>1934.586</v>
      </c>
      <c r="AJ41" s="106">
        <v>2087.4659999999999</v>
      </c>
      <c r="AK41" s="106">
        <v>2226.5169999999998</v>
      </c>
      <c r="AL41" s="106">
        <v>3077.326</v>
      </c>
      <c r="AM41" s="106">
        <v>2828.9720000000002</v>
      </c>
      <c r="AN41" s="106">
        <v>2579.6950000000002</v>
      </c>
      <c r="AO41" s="106">
        <v>2331.9</v>
      </c>
      <c r="AP41" s="106">
        <v>2086.1350000000002</v>
      </c>
      <c r="AQ41" s="106">
        <v>1959.981</v>
      </c>
      <c r="AR41" s="106">
        <v>2176.1089999999999</v>
      </c>
      <c r="AS41" s="106">
        <v>2818.393</v>
      </c>
      <c r="AT41" s="106">
        <v>3020.261</v>
      </c>
      <c r="AU41" s="106">
        <v>3930.7739999999999</v>
      </c>
      <c r="AV41" s="106">
        <v>3963.9369999999999</v>
      </c>
      <c r="AW41" s="106">
        <v>4047.61</v>
      </c>
      <c r="AX41" s="81"/>
      <c r="AY41" s="81"/>
      <c r="AZ41" s="81"/>
      <c r="BA41" s="81"/>
      <c r="BB41" s="81"/>
      <c r="BC41" s="81"/>
      <c r="BD41" s="81"/>
      <c r="BE41" s="81"/>
    </row>
    <row r="42" spans="1:57" x14ac:dyDescent="0.35">
      <c r="A42" s="127" t="s">
        <v>38</v>
      </c>
      <c r="B42" s="135">
        <v>3</v>
      </c>
      <c r="C42" s="135">
        <v>3</v>
      </c>
      <c r="D42" s="135">
        <v>5</v>
      </c>
      <c r="E42" s="135">
        <v>5</v>
      </c>
      <c r="G42" s="106">
        <v>58.89</v>
      </c>
      <c r="H42" s="106">
        <v>65.05</v>
      </c>
      <c r="I42" s="106">
        <v>71.200999999999993</v>
      </c>
      <c r="J42" s="106">
        <v>77.224999999999994</v>
      </c>
      <c r="K42" s="106">
        <v>83.326999999999998</v>
      </c>
      <c r="L42" s="106">
        <v>89.156999999999996</v>
      </c>
      <c r="M42" s="106">
        <v>94.73</v>
      </c>
      <c r="N42" s="106">
        <v>100.471</v>
      </c>
      <c r="O42" s="106">
        <v>105.607</v>
      </c>
      <c r="P42" s="106">
        <v>110.47799999999999</v>
      </c>
      <c r="Q42" s="106">
        <v>115.871</v>
      </c>
      <c r="R42" s="106">
        <v>122.07599999999999</v>
      </c>
      <c r="S42" s="106">
        <v>128.702</v>
      </c>
      <c r="T42" s="106">
        <v>135.011</v>
      </c>
      <c r="U42" s="106">
        <v>141.10499999999999</v>
      </c>
      <c r="V42" s="106">
        <v>146.124</v>
      </c>
      <c r="W42" s="106">
        <v>147.036</v>
      </c>
      <c r="X42" s="106">
        <v>148.453</v>
      </c>
      <c r="Y42" s="106">
        <v>150.01400000000001</v>
      </c>
      <c r="Z42" s="106">
        <v>209.554</v>
      </c>
      <c r="AA42" s="106">
        <v>253.14699999999999</v>
      </c>
      <c r="AB42" s="106">
        <v>259.40499999999997</v>
      </c>
      <c r="AC42" s="106">
        <v>266.53699999999998</v>
      </c>
      <c r="AD42" s="106">
        <v>377.25200000000001</v>
      </c>
      <c r="AE42" s="106">
        <v>379.601</v>
      </c>
      <c r="AF42" s="106">
        <v>383.52199999999999</v>
      </c>
      <c r="AG42" s="106">
        <v>388.54700000000003</v>
      </c>
      <c r="AH42" s="106">
        <v>328.05099999999999</v>
      </c>
      <c r="AI42" s="106">
        <v>306.7</v>
      </c>
      <c r="AJ42" s="106">
        <v>270.7</v>
      </c>
      <c r="AK42" s="106">
        <v>314.75400000000002</v>
      </c>
      <c r="AL42" s="106">
        <v>279.625</v>
      </c>
      <c r="AM42" s="106">
        <v>243.99100000000001</v>
      </c>
      <c r="AN42" s="106">
        <v>296.89299999999997</v>
      </c>
      <c r="AO42" s="106">
        <v>350.82900000000001</v>
      </c>
      <c r="AP42" s="106">
        <v>406.41300000000001</v>
      </c>
      <c r="AQ42" s="106">
        <v>456.09500000000003</v>
      </c>
      <c r="AR42" s="106">
        <v>456.19900000000001</v>
      </c>
      <c r="AS42" s="106">
        <v>455.03100000000001</v>
      </c>
      <c r="AT42" s="106">
        <v>456.34699999999998</v>
      </c>
      <c r="AU42" s="106">
        <v>456.23899999999998</v>
      </c>
      <c r="AV42" s="106">
        <v>460.08800000000002</v>
      </c>
      <c r="AW42" s="106">
        <v>469.8</v>
      </c>
      <c r="AX42" s="81"/>
      <c r="AY42" s="81"/>
      <c r="AZ42" s="81"/>
      <c r="BA42" s="81"/>
      <c r="BB42" s="81"/>
      <c r="BC42" s="81"/>
      <c r="BD42" s="81"/>
      <c r="BE42" s="81"/>
    </row>
    <row r="43" spans="1:57" x14ac:dyDescent="0.35">
      <c r="A43" s="127" t="s">
        <v>39</v>
      </c>
      <c r="B43" s="135">
        <v>3</v>
      </c>
      <c r="C43" s="135">
        <v>3</v>
      </c>
      <c r="D43" s="135">
        <v>5</v>
      </c>
      <c r="E43" s="135">
        <v>5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6.8019999999999996</v>
      </c>
      <c r="P43" s="106">
        <v>13.521000000000001</v>
      </c>
      <c r="Q43" s="106">
        <v>20.257999999999999</v>
      </c>
      <c r="R43" s="106">
        <v>27.164000000000001</v>
      </c>
      <c r="S43" s="106">
        <v>34.241999999999997</v>
      </c>
      <c r="T43" s="106">
        <v>41.308</v>
      </c>
      <c r="U43" s="106">
        <v>48.353000000000002</v>
      </c>
      <c r="V43" s="106">
        <v>53.113</v>
      </c>
      <c r="W43" s="106">
        <v>56.722999999999999</v>
      </c>
      <c r="X43" s="106">
        <v>56.476999999999997</v>
      </c>
      <c r="Y43" s="106">
        <v>40.67</v>
      </c>
      <c r="Z43" s="106">
        <v>43.082999999999998</v>
      </c>
      <c r="AA43" s="106">
        <v>45.621000000000002</v>
      </c>
      <c r="AB43" s="106">
        <v>53.404000000000003</v>
      </c>
      <c r="AC43" s="106">
        <v>53.430999999999997</v>
      </c>
      <c r="AD43" s="106">
        <v>62.58</v>
      </c>
      <c r="AE43" s="106">
        <v>67.320999999999998</v>
      </c>
      <c r="AF43" s="106">
        <v>72.503</v>
      </c>
      <c r="AG43" s="106">
        <v>78.358000000000004</v>
      </c>
      <c r="AH43" s="106">
        <v>85.099000000000004</v>
      </c>
      <c r="AI43" s="106">
        <v>91.805999999999997</v>
      </c>
      <c r="AJ43" s="106">
        <v>97.578000000000003</v>
      </c>
      <c r="AK43" s="106">
        <v>102.675</v>
      </c>
      <c r="AL43" s="106">
        <v>107.67100000000001</v>
      </c>
      <c r="AM43" s="106">
        <v>112.63500000000001</v>
      </c>
      <c r="AN43" s="106">
        <v>117.688</v>
      </c>
      <c r="AO43" s="106">
        <v>122.983</v>
      </c>
      <c r="AP43" s="106">
        <v>104.834</v>
      </c>
      <c r="AQ43" s="106">
        <v>86.522000000000006</v>
      </c>
      <c r="AR43" s="106">
        <v>67.944000000000003</v>
      </c>
      <c r="AS43" s="106">
        <v>57.923999999999999</v>
      </c>
      <c r="AT43" s="106">
        <v>35.656999999999996</v>
      </c>
      <c r="AU43" s="106">
        <v>19.109000000000002</v>
      </c>
      <c r="AV43" s="106">
        <v>0</v>
      </c>
      <c r="AW43" s="106">
        <v>0</v>
      </c>
      <c r="AX43" s="81"/>
      <c r="AY43" s="81"/>
      <c r="AZ43" s="81"/>
      <c r="BA43" s="81"/>
      <c r="BB43" s="81"/>
      <c r="BC43" s="81"/>
      <c r="BD43" s="81"/>
      <c r="BE43" s="81"/>
    </row>
    <row r="44" spans="1:57" x14ac:dyDescent="0.35">
      <c r="A44" s="127" t="s">
        <v>40</v>
      </c>
      <c r="B44" s="135">
        <v>3</v>
      </c>
      <c r="C44" s="135">
        <v>3</v>
      </c>
      <c r="D44" s="135">
        <v>5</v>
      </c>
      <c r="E44" s="135">
        <v>5</v>
      </c>
      <c r="G44" s="106">
        <v>100.52200000000001</v>
      </c>
      <c r="H44" s="106">
        <v>106.63</v>
      </c>
      <c r="I44" s="106">
        <v>112.634</v>
      </c>
      <c r="J44" s="106">
        <v>118.369</v>
      </c>
      <c r="K44" s="106">
        <v>124.17400000000001</v>
      </c>
      <c r="L44" s="106">
        <v>129.54</v>
      </c>
      <c r="M44" s="106">
        <v>134.523</v>
      </c>
      <c r="N44" s="106">
        <v>139.74</v>
      </c>
      <c r="O44" s="106">
        <v>144.12299999999999</v>
      </c>
      <c r="P44" s="106">
        <v>148.17099999999999</v>
      </c>
      <c r="Q44" s="106">
        <v>152.93700000000001</v>
      </c>
      <c r="R44" s="106">
        <v>158.76400000000001</v>
      </c>
      <c r="S44" s="106">
        <v>165.108</v>
      </c>
      <c r="T44" s="106">
        <v>171.01400000000001</v>
      </c>
      <c r="U44" s="106">
        <v>176.63</v>
      </c>
      <c r="V44" s="106">
        <v>150.56100000000001</v>
      </c>
      <c r="W44" s="106">
        <v>165.62299999999999</v>
      </c>
      <c r="X44" s="106">
        <v>231.18</v>
      </c>
      <c r="Y44" s="106">
        <v>298.24400000000003</v>
      </c>
      <c r="Z44" s="106">
        <v>301.63799999999998</v>
      </c>
      <c r="AA44" s="106">
        <v>305.60000000000002</v>
      </c>
      <c r="AB44" s="106">
        <v>364.89100000000002</v>
      </c>
      <c r="AC44" s="106">
        <v>375.553</v>
      </c>
      <c r="AD44" s="106">
        <v>342.57799999999997</v>
      </c>
      <c r="AE44" s="106">
        <v>362.44900000000001</v>
      </c>
      <c r="AF44" s="106">
        <v>391.40300000000002</v>
      </c>
      <c r="AG44" s="106">
        <v>470.29599999999999</v>
      </c>
      <c r="AH44" s="106">
        <v>556.93899999999996</v>
      </c>
      <c r="AI44" s="106">
        <v>565.01400000000001</v>
      </c>
      <c r="AJ44" s="106">
        <v>565.947</v>
      </c>
      <c r="AK44" s="106">
        <v>582.55600000000004</v>
      </c>
      <c r="AL44" s="106">
        <v>521.07600000000002</v>
      </c>
      <c r="AM44" s="106">
        <v>458.68900000000002</v>
      </c>
      <c r="AN44" s="106">
        <v>395.96300000000002</v>
      </c>
      <c r="AO44" s="106">
        <v>327.81799999999998</v>
      </c>
      <c r="AP44" s="106">
        <v>259.46699999999998</v>
      </c>
      <c r="AQ44" s="106">
        <v>192.16800000000001</v>
      </c>
      <c r="AR44" s="106">
        <v>134.083</v>
      </c>
      <c r="AS44" s="106">
        <v>164.88499999999999</v>
      </c>
      <c r="AT44" s="106">
        <v>141.56899999999999</v>
      </c>
      <c r="AU44" s="106">
        <v>133.76400000000001</v>
      </c>
      <c r="AV44" s="106">
        <v>134.892</v>
      </c>
      <c r="AW44" s="106">
        <v>137.74</v>
      </c>
      <c r="AX44" s="81"/>
      <c r="AY44" s="81"/>
      <c r="AZ44" s="81"/>
      <c r="BA44" s="81"/>
      <c r="BB44" s="81"/>
      <c r="BC44" s="81"/>
      <c r="BD44" s="81"/>
      <c r="BE44" s="81"/>
    </row>
    <row r="45" spans="1:57" x14ac:dyDescent="0.35">
      <c r="A45" s="127" t="s">
        <v>41</v>
      </c>
      <c r="B45" s="135">
        <v>3</v>
      </c>
      <c r="C45" s="135">
        <v>3</v>
      </c>
      <c r="D45" s="135">
        <v>5</v>
      </c>
      <c r="E45" s="135">
        <v>5</v>
      </c>
      <c r="G45" s="106">
        <v>14.82</v>
      </c>
      <c r="H45" s="106">
        <v>15.72</v>
      </c>
      <c r="I45" s="106">
        <v>16.605</v>
      </c>
      <c r="J45" s="106">
        <v>17.451000000000001</v>
      </c>
      <c r="K45" s="106">
        <v>18.306000000000001</v>
      </c>
      <c r="L45" s="106">
        <v>19.097999999999999</v>
      </c>
      <c r="M45" s="106">
        <v>19.832000000000001</v>
      </c>
      <c r="N45" s="106">
        <v>20.600999999999999</v>
      </c>
      <c r="O45" s="106">
        <v>21.247</v>
      </c>
      <c r="P45" s="106">
        <v>21.844000000000001</v>
      </c>
      <c r="Q45" s="106">
        <v>22.547000000000001</v>
      </c>
      <c r="R45" s="106">
        <v>23.405999999999999</v>
      </c>
      <c r="S45" s="106">
        <v>24.341000000000001</v>
      </c>
      <c r="T45" s="106">
        <v>25.212</v>
      </c>
      <c r="U45" s="106">
        <v>26.04</v>
      </c>
      <c r="V45" s="106">
        <v>19.643999999999998</v>
      </c>
      <c r="W45" s="106">
        <v>23.994</v>
      </c>
      <c r="X45" s="106">
        <v>37.101999999999997</v>
      </c>
      <c r="Y45" s="106">
        <v>35.457999999999998</v>
      </c>
      <c r="Z45" s="106">
        <v>44.363</v>
      </c>
      <c r="AA45" s="106">
        <v>37.607999999999997</v>
      </c>
      <c r="AB45" s="106">
        <v>38.503</v>
      </c>
      <c r="AC45" s="106">
        <v>49.045000000000002</v>
      </c>
      <c r="AD45" s="106">
        <v>57.57</v>
      </c>
      <c r="AE45" s="106">
        <v>65.994</v>
      </c>
      <c r="AF45" s="106">
        <v>57.777999999999999</v>
      </c>
      <c r="AG45" s="106">
        <v>49.335000000000001</v>
      </c>
      <c r="AH45" s="106">
        <v>65.932000000000002</v>
      </c>
      <c r="AI45" s="106">
        <v>83.177000000000007</v>
      </c>
      <c r="AJ45" s="106">
        <v>72.757000000000005</v>
      </c>
      <c r="AK45" s="106">
        <v>55.223999999999997</v>
      </c>
      <c r="AL45" s="106">
        <v>68.823999999999998</v>
      </c>
      <c r="AM45" s="106">
        <v>82.494</v>
      </c>
      <c r="AN45" s="106">
        <v>79.155000000000001</v>
      </c>
      <c r="AO45" s="106">
        <v>75.906000000000006</v>
      </c>
      <c r="AP45" s="106">
        <v>72.795000000000002</v>
      </c>
      <c r="AQ45" s="106">
        <v>69.75</v>
      </c>
      <c r="AR45" s="106">
        <v>66.759</v>
      </c>
      <c r="AS45" s="106">
        <v>42.034999999999997</v>
      </c>
      <c r="AT45" s="106">
        <v>41.485999999999997</v>
      </c>
      <c r="AU45" s="106">
        <v>15.606999999999999</v>
      </c>
      <c r="AV45" s="106">
        <v>15.738</v>
      </c>
      <c r="AW45" s="106">
        <v>16.071000000000002</v>
      </c>
      <c r="AX45" s="81"/>
      <c r="AY45" s="81"/>
      <c r="AZ45" s="81"/>
      <c r="BA45" s="81"/>
      <c r="BB45" s="81"/>
      <c r="BC45" s="81"/>
      <c r="BD45" s="81"/>
      <c r="BE45" s="81"/>
    </row>
    <row r="46" spans="1:57" x14ac:dyDescent="0.35">
      <c r="A46" s="127" t="s">
        <v>42</v>
      </c>
      <c r="B46" s="135">
        <v>3</v>
      </c>
      <c r="C46" s="135">
        <v>3</v>
      </c>
      <c r="D46" s="135">
        <v>5</v>
      </c>
      <c r="E46" s="135">
        <v>5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44.25</v>
      </c>
      <c r="AF46" s="106">
        <v>90.32</v>
      </c>
      <c r="AG46" s="106">
        <v>138.65899999999999</v>
      </c>
      <c r="AH46" s="106">
        <v>190.67599999999999</v>
      </c>
      <c r="AI46" s="106">
        <v>195.845</v>
      </c>
      <c r="AJ46" s="106">
        <v>198.637</v>
      </c>
      <c r="AK46" s="106">
        <v>199.87200000000001</v>
      </c>
      <c r="AL46" s="106">
        <v>200.815</v>
      </c>
      <c r="AM46" s="106">
        <v>92.813000000000002</v>
      </c>
      <c r="AN46" s="106">
        <v>78.132000000000005</v>
      </c>
      <c r="AO46" s="106">
        <v>63.42</v>
      </c>
      <c r="AP46" s="106">
        <v>121.271</v>
      </c>
      <c r="AQ46" s="106">
        <v>100.56399999999999</v>
      </c>
      <c r="AR46" s="106">
        <v>224.16499999999999</v>
      </c>
      <c r="AS46" s="106">
        <v>351.80599999999998</v>
      </c>
      <c r="AT46" s="106">
        <v>430.69099999999997</v>
      </c>
      <c r="AU46" s="106">
        <v>516.37699999999995</v>
      </c>
      <c r="AV46" s="106">
        <v>520.73299999999995</v>
      </c>
      <c r="AW46" s="106">
        <v>531.72500000000002</v>
      </c>
      <c r="AX46" s="81"/>
      <c r="AY46" s="81"/>
      <c r="AZ46" s="81"/>
      <c r="BA46" s="81"/>
      <c r="BB46" s="81"/>
      <c r="BC46" s="81"/>
      <c r="BD46" s="81"/>
      <c r="BE46" s="81"/>
    </row>
    <row r="47" spans="1:57" x14ac:dyDescent="0.35">
      <c r="A47" s="127" t="s">
        <v>43</v>
      </c>
      <c r="B47" s="135">
        <v>5</v>
      </c>
      <c r="C47" s="135">
        <v>5</v>
      </c>
      <c r="D47" s="135">
        <v>5</v>
      </c>
      <c r="E47" s="135">
        <v>5</v>
      </c>
      <c r="G47" s="106">
        <v>1339.547</v>
      </c>
      <c r="H47" s="106">
        <v>1420.944</v>
      </c>
      <c r="I47" s="106">
        <v>1500.944</v>
      </c>
      <c r="J47" s="106">
        <v>1577.37</v>
      </c>
      <c r="K47" s="106">
        <v>1654.7270000000001</v>
      </c>
      <c r="L47" s="106">
        <v>1726.24</v>
      </c>
      <c r="M47" s="106">
        <v>1792.634</v>
      </c>
      <c r="N47" s="106">
        <v>1862.155</v>
      </c>
      <c r="O47" s="106">
        <v>1920.5630000000001</v>
      </c>
      <c r="P47" s="106">
        <v>1974.5050000000001</v>
      </c>
      <c r="Q47" s="106">
        <v>2038.0139999999999</v>
      </c>
      <c r="R47" s="106">
        <v>2115.6689999999999</v>
      </c>
      <c r="S47" s="106">
        <v>2200.2109999999998</v>
      </c>
      <c r="T47" s="106">
        <v>2278.9079999999999</v>
      </c>
      <c r="U47" s="106">
        <v>2353.752</v>
      </c>
      <c r="V47" s="106">
        <v>2092.8310000000001</v>
      </c>
      <c r="W47" s="106">
        <v>2187.4279999999999</v>
      </c>
      <c r="X47" s="106">
        <v>3012.65</v>
      </c>
      <c r="Y47" s="106">
        <v>3759.951</v>
      </c>
      <c r="Z47" s="106">
        <v>4280.33</v>
      </c>
      <c r="AA47" s="106">
        <v>4591.17</v>
      </c>
      <c r="AB47" s="106">
        <v>5456.9359999999997</v>
      </c>
      <c r="AC47" s="106">
        <v>4903.799</v>
      </c>
      <c r="AD47" s="106">
        <v>5669.12</v>
      </c>
      <c r="AE47" s="106">
        <v>7603.183</v>
      </c>
      <c r="AF47" s="106">
        <v>7754.4639999999999</v>
      </c>
      <c r="AG47" s="106">
        <v>7988.6769999999997</v>
      </c>
      <c r="AH47" s="106">
        <v>8653.2810000000009</v>
      </c>
      <c r="AI47" s="106">
        <v>7836.5169999999998</v>
      </c>
      <c r="AJ47" s="106">
        <v>4897.5</v>
      </c>
      <c r="AK47" s="106">
        <v>5635.0110000000004</v>
      </c>
      <c r="AL47" s="106">
        <v>7182.9790000000003</v>
      </c>
      <c r="AM47" s="106">
        <v>6718.99</v>
      </c>
      <c r="AN47" s="106">
        <v>7113.9859999999999</v>
      </c>
      <c r="AO47" s="106">
        <v>7524.5259999999998</v>
      </c>
      <c r="AP47" s="106">
        <v>9985.5550000000003</v>
      </c>
      <c r="AQ47" s="106">
        <v>9538.1810000000005</v>
      </c>
      <c r="AR47" s="106">
        <v>12554.544</v>
      </c>
      <c r="AS47" s="106">
        <v>12607.587</v>
      </c>
      <c r="AT47" s="106">
        <v>12731.611999999999</v>
      </c>
      <c r="AU47" s="106">
        <v>12541.566000000001</v>
      </c>
      <c r="AV47" s="106">
        <v>12647.377</v>
      </c>
      <c r="AW47" s="106">
        <v>12914.343999999999</v>
      </c>
      <c r="AX47" s="81"/>
      <c r="AY47" s="81"/>
      <c r="AZ47" s="81"/>
      <c r="BA47" s="81"/>
      <c r="BB47" s="81"/>
      <c r="BC47" s="81"/>
      <c r="BD47" s="81"/>
      <c r="BE47" s="81"/>
    </row>
    <row r="48" spans="1:57" x14ac:dyDescent="0.35">
      <c r="A48" s="127" t="s">
        <v>44</v>
      </c>
      <c r="B48" s="135">
        <v>5</v>
      </c>
      <c r="C48" s="135">
        <v>5</v>
      </c>
      <c r="D48" s="135">
        <v>5</v>
      </c>
      <c r="E48" s="135">
        <v>5</v>
      </c>
      <c r="G48" s="106">
        <v>231.08600000000001</v>
      </c>
      <c r="H48" s="106">
        <v>245.12700000000001</v>
      </c>
      <c r="I48" s="106">
        <v>258.928</v>
      </c>
      <c r="J48" s="106">
        <v>272.11200000000002</v>
      </c>
      <c r="K48" s="106">
        <v>285.45699999999999</v>
      </c>
      <c r="L48" s="106">
        <v>297.79399999999998</v>
      </c>
      <c r="M48" s="106">
        <v>309.24799999999999</v>
      </c>
      <c r="N48" s="106">
        <v>321.24099999999999</v>
      </c>
      <c r="O48" s="106">
        <v>331.31700000000001</v>
      </c>
      <c r="P48" s="106">
        <v>340.62200000000001</v>
      </c>
      <c r="Q48" s="106">
        <v>351.57799999999997</v>
      </c>
      <c r="R48" s="106">
        <v>364.97399999999999</v>
      </c>
      <c r="S48" s="106">
        <v>379.55900000000003</v>
      </c>
      <c r="T48" s="106">
        <v>393.13499999999999</v>
      </c>
      <c r="U48" s="106">
        <v>406.04599999999999</v>
      </c>
      <c r="V48" s="106">
        <v>322.45600000000002</v>
      </c>
      <c r="W48" s="106">
        <v>359.46100000000001</v>
      </c>
      <c r="X48" s="106">
        <v>398.255</v>
      </c>
      <c r="Y48" s="106">
        <v>438.14400000000001</v>
      </c>
      <c r="Z48" s="106">
        <v>478.8</v>
      </c>
      <c r="AA48" s="106">
        <v>537.29999999999995</v>
      </c>
      <c r="AB48" s="106">
        <v>490.9</v>
      </c>
      <c r="AC48" s="106">
        <v>563.4</v>
      </c>
      <c r="AD48" s="106">
        <v>599.79600000000005</v>
      </c>
      <c r="AE48" s="106">
        <v>637.1</v>
      </c>
      <c r="AF48" s="106">
        <v>720.7</v>
      </c>
      <c r="AG48" s="106">
        <v>714.61199999999997</v>
      </c>
      <c r="AH48" s="106">
        <v>713.3</v>
      </c>
      <c r="AI48" s="106">
        <v>573.20000000000005</v>
      </c>
      <c r="AJ48" s="106">
        <v>560.5</v>
      </c>
      <c r="AK48" s="106">
        <v>320.03899999999999</v>
      </c>
      <c r="AL48" s="106">
        <v>259.392</v>
      </c>
      <c r="AM48" s="106">
        <v>150.482</v>
      </c>
      <c r="AN48" s="106">
        <v>173.18199999999999</v>
      </c>
      <c r="AO48" s="106">
        <v>196.4</v>
      </c>
      <c r="AP48" s="106">
        <v>220.43700000000001</v>
      </c>
      <c r="AQ48" s="106">
        <v>236.03299999999999</v>
      </c>
      <c r="AR48" s="106">
        <v>291.61200000000002</v>
      </c>
      <c r="AS48" s="106">
        <v>287.42700000000002</v>
      </c>
      <c r="AT48" s="106">
        <v>333.61399999999998</v>
      </c>
      <c r="AU48" s="106">
        <v>259.80599999999998</v>
      </c>
      <c r="AV48" s="106">
        <v>261.99799999999999</v>
      </c>
      <c r="AW48" s="106">
        <v>267.52800000000002</v>
      </c>
      <c r="AX48" s="81"/>
      <c r="AY48" s="81"/>
      <c r="AZ48" s="81"/>
      <c r="BA48" s="81"/>
      <c r="BB48" s="81"/>
      <c r="BC48" s="81"/>
      <c r="BD48" s="81"/>
      <c r="BE48" s="81"/>
    </row>
    <row r="49" spans="1:57" x14ac:dyDescent="0.35">
      <c r="A49" s="127" t="s">
        <v>45</v>
      </c>
      <c r="B49" s="135">
        <v>5</v>
      </c>
      <c r="C49" s="135">
        <v>5</v>
      </c>
      <c r="D49" s="135">
        <v>6</v>
      </c>
      <c r="E49" s="135">
        <v>6</v>
      </c>
      <c r="G49" s="106">
        <v>289.774</v>
      </c>
      <c r="H49" s="106">
        <v>307.38099999999997</v>
      </c>
      <c r="I49" s="106">
        <v>324.68700000000001</v>
      </c>
      <c r="J49" s="106">
        <v>341.22</v>
      </c>
      <c r="K49" s="106">
        <v>357.95400000000001</v>
      </c>
      <c r="L49" s="106">
        <v>373.42399999999998</v>
      </c>
      <c r="M49" s="106">
        <v>387.786</v>
      </c>
      <c r="N49" s="106">
        <v>402.82499999999999</v>
      </c>
      <c r="O49" s="106">
        <v>415.46</v>
      </c>
      <c r="P49" s="106">
        <v>427.12900000000002</v>
      </c>
      <c r="Q49" s="106">
        <v>440.86700000000002</v>
      </c>
      <c r="R49" s="106">
        <v>457.666</v>
      </c>
      <c r="S49" s="106">
        <v>475.95400000000001</v>
      </c>
      <c r="T49" s="106">
        <v>492.97800000000001</v>
      </c>
      <c r="U49" s="106">
        <v>509.16800000000001</v>
      </c>
      <c r="V49" s="106">
        <v>501.10199999999998</v>
      </c>
      <c r="W49" s="106">
        <v>489.72500000000002</v>
      </c>
      <c r="X49" s="106">
        <v>585.85900000000004</v>
      </c>
      <c r="Y49" s="106">
        <v>917.19</v>
      </c>
      <c r="Z49" s="106">
        <v>1255.3520000000001</v>
      </c>
      <c r="AA49" s="106">
        <v>1908.4780000000001</v>
      </c>
      <c r="AB49" s="106">
        <v>1871.7539999999999</v>
      </c>
      <c r="AC49" s="106">
        <v>1949.569</v>
      </c>
      <c r="AD49" s="106">
        <v>1117.932</v>
      </c>
      <c r="AE49" s="106">
        <v>993.024</v>
      </c>
      <c r="AF49" s="106">
        <v>1929.4839999999999</v>
      </c>
      <c r="AG49" s="106">
        <v>2912.3040000000001</v>
      </c>
      <c r="AH49" s="106">
        <v>3970.5720000000001</v>
      </c>
      <c r="AI49" s="106">
        <v>3882.2260000000001</v>
      </c>
      <c r="AJ49" s="106">
        <v>3155.009</v>
      </c>
      <c r="AK49" s="106">
        <v>4738.7039999999997</v>
      </c>
      <c r="AL49" s="106">
        <v>4349.924</v>
      </c>
      <c r="AM49" s="106">
        <v>4800.1639999999998</v>
      </c>
      <c r="AN49" s="106">
        <v>3306.085</v>
      </c>
      <c r="AO49" s="106">
        <v>3310.1869999999999</v>
      </c>
      <c r="AP49" s="106">
        <v>3322.4070000000002</v>
      </c>
      <c r="AQ49" s="106">
        <v>2891.5309999999999</v>
      </c>
      <c r="AR49" s="106">
        <v>3162.136</v>
      </c>
      <c r="AS49" s="106">
        <v>3429.8679999999999</v>
      </c>
      <c r="AT49" s="106">
        <v>4253.9610000000002</v>
      </c>
      <c r="AU49" s="106">
        <v>4306.1790000000001</v>
      </c>
      <c r="AV49" s="106">
        <v>4342.509</v>
      </c>
      <c r="AW49" s="106">
        <v>4434.1729999999998</v>
      </c>
      <c r="AX49" s="81"/>
      <c r="AY49" s="81"/>
      <c r="AZ49" s="81"/>
      <c r="BA49" s="81"/>
      <c r="BB49" s="81"/>
      <c r="BC49" s="81"/>
      <c r="BD49" s="81"/>
      <c r="BE49" s="81"/>
    </row>
    <row r="50" spans="1:57" x14ac:dyDescent="0.35">
      <c r="A50" s="127" t="s">
        <v>46</v>
      </c>
      <c r="B50" s="135">
        <v>4</v>
      </c>
      <c r="C50" s="135" t="s">
        <v>120</v>
      </c>
      <c r="D50" s="135">
        <v>6</v>
      </c>
      <c r="E50" s="135">
        <v>6</v>
      </c>
      <c r="G50" s="106">
        <v>143.11000000000001</v>
      </c>
      <c r="H50" s="106">
        <v>151.80600000000001</v>
      </c>
      <c r="I50" s="106">
        <v>160.35300000000001</v>
      </c>
      <c r="J50" s="106">
        <v>168.518</v>
      </c>
      <c r="K50" s="106">
        <v>176.78200000000001</v>
      </c>
      <c r="L50" s="106">
        <v>184.423</v>
      </c>
      <c r="M50" s="106">
        <v>191.51599999999999</v>
      </c>
      <c r="N50" s="106">
        <v>198.94300000000001</v>
      </c>
      <c r="O50" s="106">
        <v>205.18299999999999</v>
      </c>
      <c r="P50" s="106">
        <v>210.946</v>
      </c>
      <c r="Q50" s="106">
        <v>217.73099999999999</v>
      </c>
      <c r="R50" s="106">
        <v>226.02699999999999</v>
      </c>
      <c r="S50" s="106">
        <v>235.059</v>
      </c>
      <c r="T50" s="106">
        <v>243.46700000000001</v>
      </c>
      <c r="U50" s="106">
        <v>251.46299999999999</v>
      </c>
      <c r="V50" s="106">
        <v>255.20500000000001</v>
      </c>
      <c r="W50" s="106">
        <v>261.64100000000002</v>
      </c>
      <c r="X50" s="106">
        <v>366.858</v>
      </c>
      <c r="Y50" s="106">
        <v>688.57899999999995</v>
      </c>
      <c r="Z50" s="106">
        <v>2196.7469999999998</v>
      </c>
      <c r="AA50" s="106">
        <v>2224.5070000000001</v>
      </c>
      <c r="AB50" s="106">
        <v>2257.9789999999998</v>
      </c>
      <c r="AC50" s="106">
        <v>2298.375</v>
      </c>
      <c r="AD50" s="106">
        <v>2686.8649999999998</v>
      </c>
      <c r="AE50" s="106">
        <v>3218.3139999999999</v>
      </c>
      <c r="AF50" s="106">
        <v>3513.8670000000002</v>
      </c>
      <c r="AG50" s="106">
        <v>3122.2809999999999</v>
      </c>
      <c r="AH50" s="106">
        <v>1665.604</v>
      </c>
      <c r="AI50" s="106">
        <v>1294.213</v>
      </c>
      <c r="AJ50" s="106">
        <v>890.18499999999995</v>
      </c>
      <c r="AK50" s="106">
        <v>845.02</v>
      </c>
      <c r="AL50" s="106">
        <v>1434.2809999999999</v>
      </c>
      <c r="AM50" s="106">
        <v>1210.8140000000001</v>
      </c>
      <c r="AN50" s="106">
        <v>1488.2950000000001</v>
      </c>
      <c r="AO50" s="106">
        <v>1771.0889999999999</v>
      </c>
      <c r="AP50" s="106">
        <v>2475.2339999999999</v>
      </c>
      <c r="AQ50" s="106">
        <v>2593.5889999999999</v>
      </c>
      <c r="AR50" s="106">
        <v>2527.7339999999999</v>
      </c>
      <c r="AS50" s="106">
        <v>2354.4789999999998</v>
      </c>
      <c r="AT50" s="106">
        <v>2637.5149999999999</v>
      </c>
      <c r="AU50" s="106">
        <v>2313.4760000000001</v>
      </c>
      <c r="AV50" s="106">
        <v>2332.9940000000001</v>
      </c>
      <c r="AW50" s="106">
        <v>2382.2399999999998</v>
      </c>
      <c r="AX50" s="81"/>
      <c r="AY50" s="81"/>
      <c r="AZ50" s="81"/>
      <c r="BA50" s="81"/>
      <c r="BB50" s="81"/>
      <c r="BC50" s="81"/>
      <c r="BD50" s="81"/>
      <c r="BE50" s="81"/>
    </row>
    <row r="51" spans="1:57" x14ac:dyDescent="0.35">
      <c r="A51" s="127" t="s">
        <v>47</v>
      </c>
      <c r="B51" s="135">
        <v>5</v>
      </c>
      <c r="C51" s="135">
        <v>5</v>
      </c>
      <c r="D51" s="135">
        <v>7</v>
      </c>
      <c r="E51" s="135">
        <v>7</v>
      </c>
      <c r="G51" s="106">
        <v>113.071</v>
      </c>
      <c r="H51" s="106">
        <v>119.941</v>
      </c>
      <c r="I51" s="106">
        <v>126.694</v>
      </c>
      <c r="J51" s="106">
        <v>133.14500000000001</v>
      </c>
      <c r="K51" s="106">
        <v>139.67500000000001</v>
      </c>
      <c r="L51" s="106">
        <v>145.71100000000001</v>
      </c>
      <c r="M51" s="106">
        <v>151.316</v>
      </c>
      <c r="N51" s="106">
        <v>157.184</v>
      </c>
      <c r="O51" s="106">
        <v>162.114</v>
      </c>
      <c r="P51" s="106">
        <v>166.667</v>
      </c>
      <c r="Q51" s="106">
        <v>172.02799999999999</v>
      </c>
      <c r="R51" s="106">
        <v>178.583</v>
      </c>
      <c r="S51" s="106">
        <v>185.71899999999999</v>
      </c>
      <c r="T51" s="106">
        <v>192.36199999999999</v>
      </c>
      <c r="U51" s="106">
        <v>198.679</v>
      </c>
      <c r="V51" s="106">
        <v>217.023</v>
      </c>
      <c r="W51" s="106">
        <v>237.68600000000001</v>
      </c>
      <c r="X51" s="106">
        <v>259.47199999999998</v>
      </c>
      <c r="Y51" s="106">
        <v>281.89999999999998</v>
      </c>
      <c r="Z51" s="106">
        <v>313.48599999999999</v>
      </c>
      <c r="AA51" s="106">
        <v>346.3</v>
      </c>
      <c r="AB51" s="106">
        <v>362</v>
      </c>
      <c r="AC51" s="106">
        <v>370.6</v>
      </c>
      <c r="AD51" s="106">
        <v>404.68599999999998</v>
      </c>
      <c r="AE51" s="106">
        <v>439.7</v>
      </c>
      <c r="AF51" s="106">
        <v>465.23899999999998</v>
      </c>
      <c r="AG51" s="106">
        <v>493.04300000000001</v>
      </c>
      <c r="AH51" s="106">
        <v>525.92100000000005</v>
      </c>
      <c r="AI51" s="106">
        <v>552.34299999999996</v>
      </c>
      <c r="AJ51" s="106">
        <v>572.55799999999999</v>
      </c>
      <c r="AK51" s="106">
        <v>588.53300000000002</v>
      </c>
      <c r="AL51" s="106">
        <v>632.33299999999997</v>
      </c>
      <c r="AM51" s="106">
        <v>676.06899999999996</v>
      </c>
      <c r="AN51" s="106">
        <v>720.46100000000001</v>
      </c>
      <c r="AO51" s="106">
        <v>766.47400000000005</v>
      </c>
      <c r="AP51" s="106">
        <v>815.03</v>
      </c>
      <c r="AQ51" s="106">
        <v>868.08500000000004</v>
      </c>
      <c r="AR51" s="106">
        <v>933.899</v>
      </c>
      <c r="AS51" s="106">
        <v>885.00199999999995</v>
      </c>
      <c r="AT51" s="106">
        <v>898.53200000000004</v>
      </c>
      <c r="AU51" s="106">
        <v>909.56100000000004</v>
      </c>
      <c r="AV51" s="106">
        <v>917.23500000000001</v>
      </c>
      <c r="AW51" s="106">
        <v>936.59699999999998</v>
      </c>
      <c r="AX51" s="81"/>
      <c r="AY51" s="81"/>
      <c r="AZ51" s="81"/>
      <c r="BA51" s="81"/>
      <c r="BB51" s="81"/>
      <c r="BC51" s="81"/>
      <c r="BD51" s="81"/>
      <c r="BE51" s="81"/>
    </row>
    <row r="52" spans="1:57" x14ac:dyDescent="0.35">
      <c r="A52" s="127" t="s">
        <v>48</v>
      </c>
      <c r="B52" s="135">
        <v>6</v>
      </c>
      <c r="C52" s="135">
        <v>6</v>
      </c>
      <c r="D52" s="135">
        <v>7</v>
      </c>
      <c r="E52" s="135">
        <v>7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13.085000000000001</v>
      </c>
      <c r="M52" s="106">
        <v>26.169</v>
      </c>
      <c r="N52" s="106">
        <v>39.32</v>
      </c>
      <c r="O52" s="106">
        <v>52.206000000000003</v>
      </c>
      <c r="P52" s="106">
        <v>64.853999999999999</v>
      </c>
      <c r="Q52" s="106">
        <v>77.736999999999995</v>
      </c>
      <c r="R52" s="106">
        <v>91.206999999999994</v>
      </c>
      <c r="S52" s="106">
        <v>105.116</v>
      </c>
      <c r="T52" s="106">
        <v>118.883</v>
      </c>
      <c r="U52" s="106">
        <v>132.53299999999999</v>
      </c>
      <c r="V52" s="106">
        <v>160.84200000000001</v>
      </c>
      <c r="W52" s="106">
        <v>150.52799999999999</v>
      </c>
      <c r="X52" s="106">
        <v>127.05200000000001</v>
      </c>
      <c r="Y52" s="106">
        <v>103.2</v>
      </c>
      <c r="Z52" s="106">
        <v>119.023</v>
      </c>
      <c r="AA52" s="106">
        <v>135.4</v>
      </c>
      <c r="AB52" s="106">
        <v>185.7</v>
      </c>
      <c r="AC52" s="106">
        <v>242.3</v>
      </c>
      <c r="AD52" s="106">
        <v>277.10000000000002</v>
      </c>
      <c r="AE52" s="106">
        <v>442.1</v>
      </c>
      <c r="AF52" s="106">
        <v>488.13299999999998</v>
      </c>
      <c r="AG52" s="106">
        <v>537.4</v>
      </c>
      <c r="AH52" s="106">
        <v>746.98900000000003</v>
      </c>
      <c r="AI52" s="106">
        <v>693.42899999999997</v>
      </c>
      <c r="AJ52" s="106">
        <v>628.45500000000004</v>
      </c>
      <c r="AK52" s="106">
        <v>607.00699999999995</v>
      </c>
      <c r="AL52" s="106">
        <v>383.505</v>
      </c>
      <c r="AM52" s="106">
        <v>340.15800000000002</v>
      </c>
      <c r="AN52" s="106">
        <v>291.87299999999999</v>
      </c>
      <c r="AO52" s="106">
        <v>243.54400000000001</v>
      </c>
      <c r="AP52" s="106">
        <v>276.36500000000001</v>
      </c>
      <c r="AQ52" s="106">
        <v>377.96100000000001</v>
      </c>
      <c r="AR52" s="106">
        <v>482.54199999999997</v>
      </c>
      <c r="AS52" s="106">
        <v>649.34699999999998</v>
      </c>
      <c r="AT52" s="106">
        <v>659.274</v>
      </c>
      <c r="AU52" s="106">
        <v>667.36699999999996</v>
      </c>
      <c r="AV52" s="106">
        <v>617.81399999999996</v>
      </c>
      <c r="AW52" s="106">
        <v>645.71500000000003</v>
      </c>
      <c r="AX52" s="81"/>
      <c r="AY52" s="81"/>
      <c r="AZ52" s="81"/>
      <c r="BA52" s="81"/>
      <c r="BB52" s="81"/>
      <c r="BC52" s="81"/>
      <c r="BD52" s="81"/>
      <c r="BE52" s="81"/>
    </row>
    <row r="53" spans="1:57" x14ac:dyDescent="0.35">
      <c r="A53" s="127" t="s">
        <v>49</v>
      </c>
      <c r="B53" s="135">
        <v>4</v>
      </c>
      <c r="C53" s="135">
        <v>4</v>
      </c>
      <c r="D53" s="135">
        <v>7</v>
      </c>
      <c r="E53" s="135">
        <v>7</v>
      </c>
      <c r="G53" s="106">
        <v>20.094000000000001</v>
      </c>
      <c r="H53" s="106">
        <v>23.738</v>
      </c>
      <c r="I53" s="106">
        <v>27.41</v>
      </c>
      <c r="J53" s="106">
        <v>31.056000000000001</v>
      </c>
      <c r="K53" s="106">
        <v>34.750999999999998</v>
      </c>
      <c r="L53" s="106">
        <v>38.344999999999999</v>
      </c>
      <c r="M53" s="106">
        <v>41.831000000000003</v>
      </c>
      <c r="N53" s="106">
        <v>45.393000000000001</v>
      </c>
      <c r="O53" s="106">
        <v>48.679000000000002</v>
      </c>
      <c r="P53" s="106">
        <v>51.834000000000003</v>
      </c>
      <c r="Q53" s="106">
        <v>55.226999999999997</v>
      </c>
      <c r="R53" s="106">
        <v>59.011000000000003</v>
      </c>
      <c r="S53" s="106">
        <v>63.01</v>
      </c>
      <c r="T53" s="106">
        <v>66.863</v>
      </c>
      <c r="U53" s="106">
        <v>70.617000000000004</v>
      </c>
      <c r="V53" s="106">
        <v>73.831999999999994</v>
      </c>
      <c r="W53" s="106">
        <v>74.293000000000006</v>
      </c>
      <c r="X53" s="106">
        <v>75.009</v>
      </c>
      <c r="Y53" s="106">
        <v>75.796999999999997</v>
      </c>
      <c r="Z53" s="106">
        <v>76.59</v>
      </c>
      <c r="AA53" s="106">
        <v>77.525000000000006</v>
      </c>
      <c r="AB53" s="106">
        <v>78.658000000000001</v>
      </c>
      <c r="AC53" s="106">
        <v>80.031000000000006</v>
      </c>
      <c r="AD53" s="106">
        <v>81.355000000000004</v>
      </c>
      <c r="AE53" s="106">
        <v>82.682000000000002</v>
      </c>
      <c r="AF53" s="106">
        <v>84.382000000000005</v>
      </c>
      <c r="AG53" s="106">
        <v>80.174000000000007</v>
      </c>
      <c r="AH53" s="106">
        <v>76.305000000000007</v>
      </c>
      <c r="AI53" s="106">
        <v>71.819000000000003</v>
      </c>
      <c r="AJ53" s="106">
        <v>52.896999999999998</v>
      </c>
      <c r="AK53" s="106">
        <v>53.061999999999998</v>
      </c>
      <c r="AL53" s="106">
        <v>53.148000000000003</v>
      </c>
      <c r="AM53" s="106">
        <v>53.198</v>
      </c>
      <c r="AN53" s="106">
        <v>53.27</v>
      </c>
      <c r="AO53" s="106">
        <v>53.427999999999997</v>
      </c>
      <c r="AP53" s="106">
        <v>58.109000000000002</v>
      </c>
      <c r="AQ53" s="106">
        <v>69.042000000000002</v>
      </c>
      <c r="AR53" s="106">
        <v>72.564999999999998</v>
      </c>
      <c r="AS53" s="106">
        <v>82.158000000000001</v>
      </c>
      <c r="AT53" s="106">
        <v>92.444999999999993</v>
      </c>
      <c r="AU53" s="106">
        <v>102.72199999999999</v>
      </c>
      <c r="AV53" s="106">
        <v>112.807</v>
      </c>
      <c r="AW53" s="106">
        <v>124.602</v>
      </c>
      <c r="AX53" s="81"/>
      <c r="AY53" s="81"/>
      <c r="AZ53" s="81"/>
      <c r="BA53" s="81"/>
      <c r="BB53" s="81"/>
      <c r="BC53" s="81"/>
      <c r="BD53" s="81"/>
      <c r="BE53" s="81"/>
    </row>
    <row r="54" spans="1:57" x14ac:dyDescent="0.35">
      <c r="A54" s="127" t="s">
        <v>50</v>
      </c>
      <c r="B54" s="135">
        <v>5</v>
      </c>
      <c r="C54" s="135">
        <v>5</v>
      </c>
      <c r="D54" s="135">
        <v>8</v>
      </c>
      <c r="E54" s="135">
        <v>8</v>
      </c>
      <c r="G54" s="106">
        <v>0.46899999999999997</v>
      </c>
      <c r="H54" s="106">
        <v>0.51800000000000002</v>
      </c>
      <c r="I54" s="106">
        <v>0.56699999999999995</v>
      </c>
      <c r="J54" s="106">
        <v>0.61499999999999999</v>
      </c>
      <c r="K54" s="106">
        <v>0.66300000000000003</v>
      </c>
      <c r="L54" s="106">
        <v>0.70899999999999996</v>
      </c>
      <c r="M54" s="106">
        <v>0.754</v>
      </c>
      <c r="N54" s="106">
        <v>0.8</v>
      </c>
      <c r="O54" s="106">
        <v>0.84</v>
      </c>
      <c r="P54" s="106">
        <v>0.879</v>
      </c>
      <c r="Q54" s="106">
        <v>0.92200000000000004</v>
      </c>
      <c r="R54" s="106">
        <v>0.97099999999999997</v>
      </c>
      <c r="S54" s="106">
        <v>1.024</v>
      </c>
      <c r="T54" s="106">
        <v>1.0740000000000001</v>
      </c>
      <c r="U54" s="106">
        <v>1.123</v>
      </c>
      <c r="V54" s="106">
        <v>1.0289999999999999</v>
      </c>
      <c r="W54" s="106">
        <v>1.17</v>
      </c>
      <c r="X54" s="106">
        <v>1.3169999999999999</v>
      </c>
      <c r="Y54" s="106">
        <v>1.5129999999999999</v>
      </c>
      <c r="Z54" s="106">
        <v>1.7130000000000001</v>
      </c>
      <c r="AA54" s="106">
        <v>3.4489999999999998</v>
      </c>
      <c r="AB54" s="106">
        <v>5.3339999999999996</v>
      </c>
      <c r="AC54" s="106">
        <v>7.2939999999999996</v>
      </c>
      <c r="AD54" s="106">
        <v>5.5970000000000004</v>
      </c>
      <c r="AE54" s="106">
        <v>7.6509999999999998</v>
      </c>
      <c r="AF54" s="106">
        <v>8.6809999999999992</v>
      </c>
      <c r="AG54" s="106">
        <v>7.0270000000000001</v>
      </c>
      <c r="AH54" s="106">
        <v>5.3310000000000004</v>
      </c>
      <c r="AI54" s="106">
        <v>4.242</v>
      </c>
      <c r="AJ54" s="106">
        <v>3.641</v>
      </c>
      <c r="AK54" s="106">
        <v>13.445</v>
      </c>
      <c r="AL54" s="106">
        <v>12.148999999999999</v>
      </c>
      <c r="AM54" s="106">
        <v>10.833</v>
      </c>
      <c r="AN54" s="106">
        <v>7.5780000000000003</v>
      </c>
      <c r="AO54" s="106">
        <v>7.6059999999999999</v>
      </c>
      <c r="AP54" s="106">
        <v>7.5170000000000003</v>
      </c>
      <c r="AQ54" s="106">
        <v>6.3419999999999996</v>
      </c>
      <c r="AR54" s="106">
        <v>14.204000000000001</v>
      </c>
      <c r="AS54" s="106">
        <v>14.631</v>
      </c>
      <c r="AT54" s="106">
        <v>15.148999999999999</v>
      </c>
      <c r="AU54" s="106">
        <v>7.8529999999999998</v>
      </c>
      <c r="AV54" s="106">
        <v>7.9189999999999996</v>
      </c>
      <c r="AW54" s="106">
        <v>8.0860000000000003</v>
      </c>
      <c r="AX54" s="81"/>
      <c r="AY54" s="81"/>
      <c r="AZ54" s="81"/>
      <c r="BA54" s="81"/>
      <c r="BB54" s="81"/>
      <c r="BC54" s="81"/>
      <c r="BD54" s="81"/>
      <c r="BE54" s="81"/>
    </row>
    <row r="55" spans="1:57" x14ac:dyDescent="0.35">
      <c r="A55" s="127" t="s">
        <v>51</v>
      </c>
      <c r="B55" s="135">
        <v>4</v>
      </c>
      <c r="C55" s="135" t="s">
        <v>120</v>
      </c>
      <c r="D55" s="135">
        <v>8</v>
      </c>
      <c r="E55" s="135">
        <v>8</v>
      </c>
      <c r="G55" s="106">
        <v>251.85900000000001</v>
      </c>
      <c r="H55" s="106">
        <v>278.20299999999997</v>
      </c>
      <c r="I55" s="106">
        <v>304.51299999999998</v>
      </c>
      <c r="J55" s="106">
        <v>330.27499999999998</v>
      </c>
      <c r="K55" s="106">
        <v>356.37200000000001</v>
      </c>
      <c r="L55" s="106">
        <v>381.30599999999998</v>
      </c>
      <c r="M55" s="106">
        <v>405.137</v>
      </c>
      <c r="N55" s="106">
        <v>429.69099999999997</v>
      </c>
      <c r="O55" s="106">
        <v>451.65800000000002</v>
      </c>
      <c r="P55" s="106">
        <v>472.49</v>
      </c>
      <c r="Q55" s="106">
        <v>495.553</v>
      </c>
      <c r="R55" s="106">
        <v>522.09100000000001</v>
      </c>
      <c r="S55" s="106">
        <v>550.43200000000002</v>
      </c>
      <c r="T55" s="106">
        <v>577.41099999999994</v>
      </c>
      <c r="U55" s="106">
        <v>603.47400000000005</v>
      </c>
      <c r="V55" s="106">
        <v>675.24900000000002</v>
      </c>
      <c r="W55" s="106">
        <v>754.27099999999996</v>
      </c>
      <c r="X55" s="106">
        <v>808.78399999999999</v>
      </c>
      <c r="Y55" s="106">
        <v>937.14400000000001</v>
      </c>
      <c r="Z55" s="106">
        <v>534.38400000000001</v>
      </c>
      <c r="AA55" s="106">
        <v>603.45799999999997</v>
      </c>
      <c r="AB55" s="106">
        <v>675.74400000000003</v>
      </c>
      <c r="AC55" s="106">
        <v>831.09900000000005</v>
      </c>
      <c r="AD55" s="106">
        <v>1401.1369999999999</v>
      </c>
      <c r="AE55" s="106">
        <v>1342.934</v>
      </c>
      <c r="AF55" s="106">
        <v>990.505</v>
      </c>
      <c r="AG55" s="106">
        <v>832.06100000000004</v>
      </c>
      <c r="AH55" s="106">
        <v>936.69899999999996</v>
      </c>
      <c r="AI55" s="106">
        <v>64.3</v>
      </c>
      <c r="AJ55" s="106">
        <v>56.1</v>
      </c>
      <c r="AK55" s="106">
        <v>471.41199999999998</v>
      </c>
      <c r="AL55" s="106">
        <v>890.55399999999997</v>
      </c>
      <c r="AM55" s="106">
        <v>1312.739</v>
      </c>
      <c r="AN55" s="106">
        <v>1197.732</v>
      </c>
      <c r="AO55" s="106">
        <v>1083.422</v>
      </c>
      <c r="AP55" s="106">
        <v>270.19200000000001</v>
      </c>
      <c r="AQ55" s="106">
        <v>294.77199999999999</v>
      </c>
      <c r="AR55" s="106">
        <v>304.70699999999999</v>
      </c>
      <c r="AS55" s="106">
        <v>314.20499999999998</v>
      </c>
      <c r="AT55" s="106">
        <v>282.45999999999998</v>
      </c>
      <c r="AU55" s="106">
        <v>285.92700000000002</v>
      </c>
      <c r="AV55" s="106">
        <v>288.339</v>
      </c>
      <c r="AW55" s="106">
        <v>294.42599999999999</v>
      </c>
      <c r="AX55" s="81"/>
      <c r="AY55" s="81"/>
      <c r="AZ55" s="81"/>
      <c r="BA55" s="81"/>
      <c r="BB55" s="81"/>
      <c r="BC55" s="81"/>
      <c r="BD55" s="81"/>
      <c r="BE55" s="81"/>
    </row>
    <row r="56" spans="1:57" x14ac:dyDescent="0.35">
      <c r="A56" s="127" t="s">
        <v>52</v>
      </c>
      <c r="B56" s="135">
        <v>5</v>
      </c>
      <c r="C56" s="135">
        <v>5</v>
      </c>
      <c r="D56" s="135">
        <v>9</v>
      </c>
      <c r="E56" s="135">
        <v>9</v>
      </c>
      <c r="G56" s="106">
        <v>194.999</v>
      </c>
      <c r="H56" s="106">
        <v>206.84700000000001</v>
      </c>
      <c r="I56" s="106">
        <v>218.49299999999999</v>
      </c>
      <c r="J56" s="106">
        <v>229.619</v>
      </c>
      <c r="K56" s="106">
        <v>240.87899999999999</v>
      </c>
      <c r="L56" s="106">
        <v>251.29</v>
      </c>
      <c r="M56" s="106">
        <v>260.95499999999998</v>
      </c>
      <c r="N56" s="106">
        <v>271.07499999999999</v>
      </c>
      <c r="O56" s="106">
        <v>279.577</v>
      </c>
      <c r="P56" s="106">
        <v>287.43</v>
      </c>
      <c r="Q56" s="106">
        <v>296.67500000000001</v>
      </c>
      <c r="R56" s="106">
        <v>307.97899999999998</v>
      </c>
      <c r="S56" s="106">
        <v>320.286</v>
      </c>
      <c r="T56" s="106">
        <v>331.74200000000002</v>
      </c>
      <c r="U56" s="106">
        <v>342.637</v>
      </c>
      <c r="V56" s="106">
        <v>312.642</v>
      </c>
      <c r="W56" s="106">
        <v>356.09100000000001</v>
      </c>
      <c r="X56" s="106">
        <v>392.40800000000002</v>
      </c>
      <c r="Y56" s="106">
        <v>682.71299999999997</v>
      </c>
      <c r="Z56" s="106">
        <v>1149.836</v>
      </c>
      <c r="AA56" s="106">
        <v>1629.4739999999999</v>
      </c>
      <c r="AB56" s="106">
        <v>1608.921</v>
      </c>
      <c r="AC56" s="106">
        <v>1591.866</v>
      </c>
      <c r="AD56" s="106">
        <v>1174.028</v>
      </c>
      <c r="AE56" s="106">
        <v>741.77</v>
      </c>
      <c r="AF56" s="106">
        <v>837.75400000000002</v>
      </c>
      <c r="AG56" s="106">
        <v>1436.9349999999999</v>
      </c>
      <c r="AH56" s="106">
        <v>1889.2249999999999</v>
      </c>
      <c r="AI56" s="106">
        <v>1948.203</v>
      </c>
      <c r="AJ56" s="106">
        <v>1983.857</v>
      </c>
      <c r="AK56" s="106">
        <v>1290.4169999999999</v>
      </c>
      <c r="AL56" s="106">
        <v>1350.605</v>
      </c>
      <c r="AM56" s="106">
        <v>1410.364</v>
      </c>
      <c r="AN56" s="106">
        <v>1471.2249999999999</v>
      </c>
      <c r="AO56" s="106">
        <v>1535.08</v>
      </c>
      <c r="AP56" s="106">
        <v>1520.115</v>
      </c>
      <c r="AQ56" s="106">
        <v>1392.1279999999999</v>
      </c>
      <c r="AR56" s="106">
        <v>1206.7840000000001</v>
      </c>
      <c r="AS56" s="106">
        <v>1350.835</v>
      </c>
      <c r="AT56" s="106">
        <v>1384.0640000000001</v>
      </c>
      <c r="AU56" s="106">
        <v>878.03499999999997</v>
      </c>
      <c r="AV56" s="106">
        <v>1367.9770000000001</v>
      </c>
      <c r="AW56" s="106">
        <v>1420.048</v>
      </c>
      <c r="AX56" s="81"/>
      <c r="AY56" s="81"/>
      <c r="AZ56" s="81"/>
      <c r="BA56" s="81"/>
      <c r="BB56" s="81"/>
      <c r="BC56" s="81"/>
      <c r="BD56" s="81"/>
      <c r="BE56" s="81"/>
    </row>
    <row r="57" spans="1:57" x14ac:dyDescent="0.35">
      <c r="A57" s="127" t="s">
        <v>53</v>
      </c>
      <c r="B57" s="135">
        <v>4</v>
      </c>
      <c r="C57" s="135" t="s">
        <v>120</v>
      </c>
      <c r="D57" s="135">
        <v>9</v>
      </c>
      <c r="E57" s="135">
        <v>9</v>
      </c>
      <c r="G57" s="106">
        <v>74.387</v>
      </c>
      <c r="H57" s="106">
        <v>82.168000000000006</v>
      </c>
      <c r="I57" s="106">
        <v>89.938999999999993</v>
      </c>
      <c r="J57" s="106">
        <v>97.548000000000002</v>
      </c>
      <c r="K57" s="106">
        <v>105.256</v>
      </c>
      <c r="L57" s="106">
        <v>112.62</v>
      </c>
      <c r="M57" s="106">
        <v>119.65900000000001</v>
      </c>
      <c r="N57" s="106">
        <v>126.911</v>
      </c>
      <c r="O57" s="106">
        <v>133.399</v>
      </c>
      <c r="P57" s="106">
        <v>139.55199999999999</v>
      </c>
      <c r="Q57" s="106">
        <v>146.363</v>
      </c>
      <c r="R57" s="106">
        <v>154.20099999999999</v>
      </c>
      <c r="S57" s="106">
        <v>162.572</v>
      </c>
      <c r="T57" s="106">
        <v>170.54</v>
      </c>
      <c r="U57" s="106">
        <v>178.238</v>
      </c>
      <c r="V57" s="106">
        <v>109.285</v>
      </c>
      <c r="W57" s="106">
        <v>131.22</v>
      </c>
      <c r="X57" s="106">
        <v>319.04899999999998</v>
      </c>
      <c r="Y57" s="106">
        <v>274.65499999999997</v>
      </c>
      <c r="Z57" s="106">
        <v>210.042</v>
      </c>
      <c r="AA57" s="106">
        <v>184.386</v>
      </c>
      <c r="AB57" s="106">
        <v>158.44800000000001</v>
      </c>
      <c r="AC57" s="106">
        <v>139.07400000000001</v>
      </c>
      <c r="AD57" s="106">
        <v>231.709</v>
      </c>
      <c r="AE57" s="106">
        <v>327.298</v>
      </c>
      <c r="AF57" s="106">
        <v>427.72300000000001</v>
      </c>
      <c r="AG57" s="106">
        <v>495.56900000000002</v>
      </c>
      <c r="AH57" s="106">
        <v>421.90699999999998</v>
      </c>
      <c r="AI57" s="106">
        <v>341.72300000000001</v>
      </c>
      <c r="AJ57" s="106">
        <v>489.73099999999999</v>
      </c>
      <c r="AK57" s="106">
        <v>636.80100000000004</v>
      </c>
      <c r="AL57" s="106">
        <v>505.95400000000001</v>
      </c>
      <c r="AM57" s="106">
        <v>505.25099999999998</v>
      </c>
      <c r="AN57" s="106">
        <v>504.755</v>
      </c>
      <c r="AO57" s="106">
        <v>638.10299999999995</v>
      </c>
      <c r="AP57" s="106">
        <v>1197.99</v>
      </c>
      <c r="AQ57" s="106">
        <v>1083.239</v>
      </c>
      <c r="AR57" s="106">
        <v>967.77700000000004</v>
      </c>
      <c r="AS57" s="106">
        <v>1073.078</v>
      </c>
      <c r="AT57" s="106">
        <v>1186.9459999999999</v>
      </c>
      <c r="AU57" s="106">
        <v>1371.7339999999999</v>
      </c>
      <c r="AV57" s="106">
        <v>1383.307</v>
      </c>
      <c r="AW57" s="106">
        <v>1412.5060000000001</v>
      </c>
      <c r="AX57" s="81"/>
      <c r="AY57" s="81"/>
      <c r="AZ57" s="81"/>
      <c r="BA57" s="81"/>
      <c r="BB57" s="81"/>
      <c r="BC57" s="81"/>
      <c r="BD57" s="81"/>
      <c r="BE57" s="81"/>
    </row>
    <row r="58" spans="1:57" x14ac:dyDescent="0.35">
      <c r="A58" s="127" t="s">
        <v>54</v>
      </c>
      <c r="B58" s="135">
        <v>4</v>
      </c>
      <c r="C58" s="135" t="s">
        <v>120</v>
      </c>
      <c r="D58" s="135">
        <v>10</v>
      </c>
      <c r="E58" s="135">
        <v>10</v>
      </c>
      <c r="G58" s="106">
        <v>152.02500000000001</v>
      </c>
      <c r="H58" s="106">
        <v>161.26300000000001</v>
      </c>
      <c r="I58" s="106">
        <v>170.34200000000001</v>
      </c>
      <c r="J58" s="106">
        <v>179.01599999999999</v>
      </c>
      <c r="K58" s="106">
        <v>187.79499999999999</v>
      </c>
      <c r="L58" s="106">
        <v>195.911</v>
      </c>
      <c r="M58" s="106">
        <v>203.446</v>
      </c>
      <c r="N58" s="106">
        <v>211.33600000000001</v>
      </c>
      <c r="O58" s="106">
        <v>217.965</v>
      </c>
      <c r="P58" s="106">
        <v>224.08699999999999</v>
      </c>
      <c r="Q58" s="106">
        <v>231.29499999999999</v>
      </c>
      <c r="R58" s="106">
        <v>240.108</v>
      </c>
      <c r="S58" s="106">
        <v>249.702</v>
      </c>
      <c r="T58" s="106">
        <v>258.63400000000001</v>
      </c>
      <c r="U58" s="106">
        <v>82.042000000000002</v>
      </c>
      <c r="V58" s="106">
        <v>81.691999999999993</v>
      </c>
      <c r="W58" s="106">
        <v>82.201999999999998</v>
      </c>
      <c r="X58" s="106">
        <v>82.994</v>
      </c>
      <c r="Y58" s="106">
        <v>83.867000000000004</v>
      </c>
      <c r="Z58" s="106">
        <v>84.744</v>
      </c>
      <c r="AA58" s="106">
        <v>111.408</v>
      </c>
      <c r="AB58" s="106">
        <v>91.352000000000004</v>
      </c>
      <c r="AC58" s="106">
        <v>70.884</v>
      </c>
      <c r="AD58" s="106">
        <v>67.632999999999996</v>
      </c>
      <c r="AE58" s="106">
        <v>64.239999999999995</v>
      </c>
      <c r="AF58" s="106">
        <v>61.048000000000002</v>
      </c>
      <c r="AG58" s="106">
        <v>57.860999999999997</v>
      </c>
      <c r="AH58" s="106">
        <v>54.911999999999999</v>
      </c>
      <c r="AI58" s="106">
        <v>49.912999999999997</v>
      </c>
      <c r="AJ58" s="106">
        <v>44.043999999999997</v>
      </c>
      <c r="AK58" s="106">
        <v>63.938000000000002</v>
      </c>
      <c r="AL58" s="106">
        <v>63.234000000000002</v>
      </c>
      <c r="AM58" s="106">
        <v>62.478999999999999</v>
      </c>
      <c r="AN58" s="106">
        <v>61.744999999999997</v>
      </c>
      <c r="AO58" s="106">
        <v>76.647999999999996</v>
      </c>
      <c r="AP58" s="106">
        <v>77.713999999999999</v>
      </c>
      <c r="AQ58" s="106">
        <v>78.936000000000007</v>
      </c>
      <c r="AR58" s="106">
        <v>88.567999999999998</v>
      </c>
      <c r="AS58" s="106">
        <v>98.164000000000001</v>
      </c>
      <c r="AT58" s="106">
        <v>90.903999999999996</v>
      </c>
      <c r="AU58" s="106">
        <v>95.460999999999999</v>
      </c>
      <c r="AV58" s="106">
        <v>99.736999999999995</v>
      </c>
      <c r="AW58" s="106">
        <v>104.083</v>
      </c>
      <c r="AX58" s="81"/>
      <c r="AY58" s="81"/>
      <c r="AZ58" s="81"/>
      <c r="BA58" s="81"/>
      <c r="BB58" s="81"/>
      <c r="BC58" s="81"/>
      <c r="BD58" s="81"/>
      <c r="BE58" s="81"/>
    </row>
    <row r="59" spans="1:57" x14ac:dyDescent="0.35">
      <c r="A59" s="127" t="s">
        <v>55</v>
      </c>
      <c r="B59" s="135">
        <v>1</v>
      </c>
      <c r="C59" s="135">
        <v>1</v>
      </c>
      <c r="D59" s="135">
        <v>10</v>
      </c>
      <c r="E59" s="135">
        <v>10</v>
      </c>
      <c r="G59" s="106">
        <v>70.239000000000004</v>
      </c>
      <c r="H59" s="106">
        <v>77.585999999999999</v>
      </c>
      <c r="I59" s="106">
        <v>84.923000000000002</v>
      </c>
      <c r="J59" s="106">
        <v>92.108000000000004</v>
      </c>
      <c r="K59" s="106">
        <v>99.385999999999996</v>
      </c>
      <c r="L59" s="106">
        <v>106.339</v>
      </c>
      <c r="M59" s="106">
        <v>112.986</v>
      </c>
      <c r="N59" s="106">
        <v>119.833</v>
      </c>
      <c r="O59" s="106">
        <v>125.959</v>
      </c>
      <c r="P59" s="106">
        <v>131.76900000000001</v>
      </c>
      <c r="Q59" s="106">
        <v>138.20099999999999</v>
      </c>
      <c r="R59" s="106">
        <v>145.602</v>
      </c>
      <c r="S59" s="106">
        <v>153.506</v>
      </c>
      <c r="T59" s="106">
        <v>161.029</v>
      </c>
      <c r="U59" s="106">
        <v>168.298</v>
      </c>
      <c r="V59" s="106">
        <v>153.12299999999999</v>
      </c>
      <c r="W59" s="106">
        <v>139.529</v>
      </c>
      <c r="X59" s="106">
        <v>131.21600000000001</v>
      </c>
      <c r="Y59" s="106">
        <v>122.837</v>
      </c>
      <c r="Z59" s="106">
        <v>104.024</v>
      </c>
      <c r="AA59" s="106">
        <v>97.569000000000003</v>
      </c>
      <c r="AB59" s="106">
        <v>96.72</v>
      </c>
      <c r="AC59" s="106">
        <v>96.093000000000004</v>
      </c>
      <c r="AD59" s="106">
        <v>107.529</v>
      </c>
      <c r="AE59" s="106">
        <v>94.617999999999995</v>
      </c>
      <c r="AF59" s="106">
        <v>60.680999999999997</v>
      </c>
      <c r="AG59" s="106">
        <v>66.456999999999994</v>
      </c>
      <c r="AH59" s="106">
        <v>73.028999999999996</v>
      </c>
      <c r="AI59" s="106">
        <v>79.619</v>
      </c>
      <c r="AJ59" s="106">
        <v>57.176000000000002</v>
      </c>
      <c r="AK59" s="106">
        <v>50.908999999999999</v>
      </c>
      <c r="AL59" s="106">
        <v>87.78</v>
      </c>
      <c r="AM59" s="106">
        <v>124.911</v>
      </c>
      <c r="AN59" s="106">
        <v>162.411</v>
      </c>
      <c r="AO59" s="106">
        <v>200.56800000000001</v>
      </c>
      <c r="AP59" s="106">
        <v>220.34800000000001</v>
      </c>
      <c r="AQ59" s="106">
        <v>240.88900000000001</v>
      </c>
      <c r="AR59" s="106">
        <v>262.32299999999998</v>
      </c>
      <c r="AS59" s="106">
        <v>283.49700000000001</v>
      </c>
      <c r="AT59" s="106">
        <v>263.74900000000002</v>
      </c>
      <c r="AU59" s="106">
        <v>266.98700000000002</v>
      </c>
      <c r="AV59" s="106">
        <v>269.23899999999998</v>
      </c>
      <c r="AW59" s="106">
        <v>274.92200000000003</v>
      </c>
      <c r="AX59" s="81"/>
      <c r="AY59" s="81"/>
      <c r="AZ59" s="81"/>
      <c r="BA59" s="81"/>
      <c r="BB59" s="81"/>
      <c r="BC59" s="81"/>
      <c r="BD59" s="81"/>
      <c r="BE59" s="81"/>
    </row>
  </sheetData>
  <conditionalFormatting sqref="G6:BE59">
    <cfRule type="cellIs" dxfId="6" priority="1" operator="notEqual">
      <formula>G6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22"/>
  <dimension ref="A1:BE59"/>
  <sheetViews>
    <sheetView workbookViewId="0">
      <selection activeCell="G6" sqref="G6:BE59"/>
    </sheetView>
  </sheetViews>
  <sheetFormatPr defaultColWidth="8.81640625" defaultRowHeight="14.5" x14ac:dyDescent="0.35"/>
  <cols>
    <col min="1" max="16384" width="8.81640625" style="18"/>
  </cols>
  <sheetData>
    <row r="1" spans="1:57" ht="21" x14ac:dyDescent="0.5">
      <c r="A1" s="20" t="s">
        <v>91</v>
      </c>
    </row>
    <row r="2" spans="1:57" ht="15.5" x14ac:dyDescent="0.35">
      <c r="A2" s="134" t="s">
        <v>90</v>
      </c>
    </row>
    <row r="4" spans="1:57" x14ac:dyDescent="0.35">
      <c r="G4" s="21" t="s">
        <v>58</v>
      </c>
    </row>
    <row r="5" spans="1:57" x14ac:dyDescent="0.35">
      <c r="A5" s="21" t="s">
        <v>57</v>
      </c>
      <c r="G5" s="109">
        <v>1980</v>
      </c>
      <c r="H5" s="109">
        <v>1981</v>
      </c>
      <c r="I5" s="109">
        <v>1982</v>
      </c>
      <c r="J5" s="109">
        <v>1983</v>
      </c>
      <c r="K5" s="109">
        <v>1984</v>
      </c>
      <c r="L5" s="109">
        <v>1985</v>
      </c>
      <c r="M5" s="109">
        <v>1986</v>
      </c>
      <c r="N5" s="109">
        <v>1987</v>
      </c>
      <c r="O5" s="109">
        <v>1988</v>
      </c>
      <c r="P5" s="109">
        <v>1989</v>
      </c>
      <c r="Q5" s="109">
        <v>1990</v>
      </c>
      <c r="R5" s="109">
        <v>1991</v>
      </c>
      <c r="S5" s="109">
        <v>1992</v>
      </c>
      <c r="T5" s="109">
        <v>1993</v>
      </c>
      <c r="U5" s="109">
        <v>1994</v>
      </c>
      <c r="V5" s="109">
        <v>1995</v>
      </c>
      <c r="W5" s="109">
        <v>1996</v>
      </c>
      <c r="X5" s="109">
        <v>1997</v>
      </c>
      <c r="Y5" s="109">
        <v>1998</v>
      </c>
      <c r="Z5" s="109">
        <v>1999</v>
      </c>
      <c r="AA5" s="109">
        <v>2000</v>
      </c>
      <c r="AB5" s="109">
        <v>2001</v>
      </c>
      <c r="AC5" s="109">
        <v>2002</v>
      </c>
      <c r="AD5" s="109">
        <v>2003</v>
      </c>
      <c r="AE5" s="109">
        <v>2004</v>
      </c>
      <c r="AF5" s="109">
        <v>2005</v>
      </c>
      <c r="AG5" s="109">
        <v>2006</v>
      </c>
      <c r="AH5" s="109">
        <v>2007</v>
      </c>
      <c r="AI5" s="109">
        <v>2008</v>
      </c>
      <c r="AJ5" s="109">
        <v>2009</v>
      </c>
      <c r="AK5" s="109">
        <v>2010</v>
      </c>
      <c r="AL5" s="109">
        <v>2011</v>
      </c>
      <c r="AM5" s="109">
        <v>2012</v>
      </c>
      <c r="AN5" s="109">
        <v>2013</v>
      </c>
      <c r="AO5" s="109">
        <v>2014</v>
      </c>
      <c r="AP5" s="109">
        <v>2015</v>
      </c>
      <c r="AQ5" s="109">
        <v>2016</v>
      </c>
      <c r="AR5" s="109">
        <v>2017</v>
      </c>
      <c r="AS5" s="109">
        <v>2018</v>
      </c>
      <c r="AT5" s="109">
        <v>2019</v>
      </c>
      <c r="AU5" s="109">
        <v>2020</v>
      </c>
      <c r="AV5" s="109">
        <v>2021</v>
      </c>
      <c r="AW5" s="109">
        <v>2022</v>
      </c>
      <c r="AX5" s="109">
        <v>2023</v>
      </c>
      <c r="AY5" s="109">
        <v>2024</v>
      </c>
      <c r="AZ5" s="109">
        <v>2025</v>
      </c>
      <c r="BA5" s="109">
        <v>2026</v>
      </c>
      <c r="BB5" s="109">
        <v>2027</v>
      </c>
      <c r="BC5" s="109">
        <v>2028</v>
      </c>
      <c r="BD5" s="109">
        <v>2029</v>
      </c>
      <c r="BE5" s="109">
        <v>2030</v>
      </c>
    </row>
    <row r="6" spans="1:57" x14ac:dyDescent="0.35">
      <c r="A6" s="127" t="s">
        <v>2</v>
      </c>
      <c r="G6" s="126">
        <v>2</v>
      </c>
      <c r="H6" s="126">
        <v>2</v>
      </c>
      <c r="I6" s="126">
        <v>2</v>
      </c>
      <c r="J6" s="126">
        <v>2</v>
      </c>
      <c r="K6" s="126">
        <v>2</v>
      </c>
      <c r="L6" s="126">
        <v>2</v>
      </c>
      <c r="M6" s="126">
        <v>2</v>
      </c>
      <c r="N6" s="126">
        <v>2</v>
      </c>
      <c r="O6" s="126">
        <v>2</v>
      </c>
      <c r="P6" s="126">
        <v>2</v>
      </c>
      <c r="Q6" s="126">
        <v>2</v>
      </c>
      <c r="R6" s="126">
        <v>2</v>
      </c>
      <c r="S6" s="126">
        <v>2</v>
      </c>
      <c r="T6" s="126">
        <v>2</v>
      </c>
      <c r="U6" s="126">
        <v>2</v>
      </c>
      <c r="V6" s="126">
        <v>2</v>
      </c>
      <c r="W6" s="126">
        <v>2</v>
      </c>
      <c r="X6" s="126">
        <v>2</v>
      </c>
      <c r="Y6" s="126">
        <v>2</v>
      </c>
      <c r="Z6" s="126">
        <v>2</v>
      </c>
      <c r="AA6" s="126">
        <v>2</v>
      </c>
      <c r="AB6" s="126">
        <v>2</v>
      </c>
      <c r="AC6" s="126">
        <v>2</v>
      </c>
      <c r="AD6" s="126">
        <v>2</v>
      </c>
      <c r="AE6" s="126">
        <v>2</v>
      </c>
      <c r="AF6" s="126">
        <v>2</v>
      </c>
      <c r="AG6" s="126">
        <v>2</v>
      </c>
      <c r="AH6" s="126">
        <v>2</v>
      </c>
      <c r="AI6" s="126">
        <v>2</v>
      </c>
      <c r="AJ6" s="126">
        <v>2</v>
      </c>
      <c r="AK6" s="126">
        <v>2</v>
      </c>
      <c r="AL6" s="126">
        <v>2</v>
      </c>
      <c r="AM6" s="126">
        <v>2</v>
      </c>
      <c r="AN6" s="126">
        <v>2</v>
      </c>
      <c r="AO6" s="126">
        <v>2</v>
      </c>
      <c r="AP6" s="126">
        <v>2</v>
      </c>
      <c r="AQ6" s="126">
        <v>2</v>
      </c>
      <c r="AR6" s="126">
        <v>2</v>
      </c>
      <c r="AS6" s="126">
        <v>2</v>
      </c>
      <c r="AT6" s="126">
        <v>2</v>
      </c>
      <c r="AU6" s="126">
        <v>2</v>
      </c>
      <c r="AV6" s="126">
        <v>2</v>
      </c>
      <c r="AW6" s="126">
        <v>2</v>
      </c>
      <c r="AX6" s="126">
        <v>2</v>
      </c>
      <c r="AY6" s="126">
        <v>2</v>
      </c>
      <c r="AZ6" s="126">
        <v>2</v>
      </c>
      <c r="BA6" s="126">
        <v>2</v>
      </c>
      <c r="BB6" s="126">
        <v>2</v>
      </c>
      <c r="BC6" s="126">
        <v>2</v>
      </c>
      <c r="BD6" s="126">
        <v>2</v>
      </c>
      <c r="BE6" s="126">
        <v>2</v>
      </c>
    </row>
    <row r="7" spans="1:57" x14ac:dyDescent="0.35">
      <c r="A7" s="127" t="s">
        <v>3</v>
      </c>
      <c r="G7" s="126">
        <v>2</v>
      </c>
      <c r="H7" s="126">
        <v>2</v>
      </c>
      <c r="I7" s="126">
        <v>2</v>
      </c>
      <c r="J7" s="126">
        <v>2</v>
      </c>
      <c r="K7" s="126">
        <v>2</v>
      </c>
      <c r="L7" s="126">
        <v>2</v>
      </c>
      <c r="M7" s="126">
        <v>2</v>
      </c>
      <c r="N7" s="126">
        <v>2</v>
      </c>
      <c r="O7" s="126">
        <v>2</v>
      </c>
      <c r="P7" s="126">
        <v>2</v>
      </c>
      <c r="Q7" s="126">
        <v>2</v>
      </c>
      <c r="R7" s="126">
        <v>2</v>
      </c>
      <c r="S7" s="126">
        <v>2</v>
      </c>
      <c r="T7" s="126">
        <v>2</v>
      </c>
      <c r="U7" s="126">
        <v>2</v>
      </c>
      <c r="V7" s="126">
        <v>2</v>
      </c>
      <c r="W7" s="126">
        <v>2</v>
      </c>
      <c r="X7" s="126">
        <v>2</v>
      </c>
      <c r="Y7" s="126">
        <v>2</v>
      </c>
      <c r="Z7" s="126">
        <v>2</v>
      </c>
      <c r="AA7" s="126">
        <v>2</v>
      </c>
      <c r="AB7" s="126">
        <v>2</v>
      </c>
      <c r="AC7" s="126">
        <v>2</v>
      </c>
      <c r="AD7" s="126">
        <v>2</v>
      </c>
      <c r="AE7" s="126">
        <v>2</v>
      </c>
      <c r="AF7" s="126">
        <v>2</v>
      </c>
      <c r="AG7" s="126">
        <v>2</v>
      </c>
      <c r="AH7" s="126">
        <v>2</v>
      </c>
      <c r="AI7" s="126">
        <v>2</v>
      </c>
      <c r="AJ7" s="126">
        <v>2</v>
      </c>
      <c r="AK7" s="126">
        <v>2</v>
      </c>
      <c r="AL7" s="126">
        <v>2</v>
      </c>
      <c r="AM7" s="126">
        <v>2</v>
      </c>
      <c r="AN7" s="126">
        <v>2</v>
      </c>
      <c r="AO7" s="126">
        <v>2</v>
      </c>
      <c r="AP7" s="126">
        <v>2</v>
      </c>
      <c r="AQ7" s="126">
        <v>2</v>
      </c>
      <c r="AR7" s="126">
        <v>2</v>
      </c>
      <c r="AS7" s="126">
        <v>2</v>
      </c>
      <c r="AT7" s="126">
        <v>2</v>
      </c>
      <c r="AU7" s="126">
        <v>2</v>
      </c>
      <c r="AV7" s="126">
        <v>2</v>
      </c>
      <c r="AW7" s="126">
        <v>2</v>
      </c>
      <c r="AX7" s="126">
        <v>2</v>
      </c>
      <c r="AY7" s="126">
        <v>2</v>
      </c>
      <c r="AZ7" s="126">
        <v>2</v>
      </c>
      <c r="BA7" s="126">
        <v>2</v>
      </c>
      <c r="BB7" s="126">
        <v>2</v>
      </c>
      <c r="BC7" s="126">
        <v>2</v>
      </c>
      <c r="BD7" s="126">
        <v>2</v>
      </c>
      <c r="BE7" s="126">
        <v>2</v>
      </c>
    </row>
    <row r="8" spans="1:57" x14ac:dyDescent="0.35">
      <c r="A8" s="127" t="s">
        <v>4</v>
      </c>
      <c r="G8" s="126">
        <v>1</v>
      </c>
      <c r="H8" s="126">
        <v>1</v>
      </c>
      <c r="I8" s="126">
        <v>1</v>
      </c>
      <c r="J8" s="126">
        <v>1</v>
      </c>
      <c r="K8" s="126">
        <v>1</v>
      </c>
      <c r="L8" s="126">
        <v>1</v>
      </c>
      <c r="M8" s="126">
        <v>1</v>
      </c>
      <c r="N8" s="126">
        <v>1</v>
      </c>
      <c r="O8" s="126">
        <v>1</v>
      </c>
      <c r="P8" s="126">
        <v>1</v>
      </c>
      <c r="Q8" s="126">
        <v>1</v>
      </c>
      <c r="R8" s="126">
        <v>1</v>
      </c>
      <c r="S8" s="126">
        <v>1</v>
      </c>
      <c r="T8" s="126">
        <v>1</v>
      </c>
      <c r="U8" s="126">
        <v>1</v>
      </c>
      <c r="V8" s="126">
        <v>1</v>
      </c>
      <c r="W8" s="126">
        <v>1</v>
      </c>
      <c r="X8" s="126">
        <v>1</v>
      </c>
      <c r="Y8" s="126">
        <v>1</v>
      </c>
      <c r="Z8" s="126">
        <v>1</v>
      </c>
      <c r="AA8" s="126">
        <v>1</v>
      </c>
      <c r="AB8" s="126">
        <v>1</v>
      </c>
      <c r="AC8" s="126">
        <v>1</v>
      </c>
      <c r="AD8" s="126">
        <v>1</v>
      </c>
      <c r="AE8" s="126">
        <v>1</v>
      </c>
      <c r="AF8" s="126">
        <v>1</v>
      </c>
      <c r="AG8" s="126">
        <v>1</v>
      </c>
      <c r="AH8" s="126">
        <v>1</v>
      </c>
      <c r="AI8" s="126">
        <v>1</v>
      </c>
      <c r="AJ8" s="126">
        <v>1</v>
      </c>
      <c r="AK8" s="126">
        <v>1</v>
      </c>
      <c r="AL8" s="126">
        <v>1</v>
      </c>
      <c r="AM8" s="126">
        <v>1</v>
      </c>
      <c r="AN8" s="126">
        <v>1</v>
      </c>
      <c r="AO8" s="126">
        <v>1</v>
      </c>
      <c r="AP8" s="126">
        <v>1</v>
      </c>
      <c r="AQ8" s="126">
        <v>1</v>
      </c>
      <c r="AR8" s="126">
        <v>1</v>
      </c>
      <c r="AS8" s="126">
        <v>1</v>
      </c>
      <c r="AT8" s="126">
        <v>1</v>
      </c>
      <c r="AU8" s="126">
        <v>1</v>
      </c>
      <c r="AV8" s="126">
        <v>1</v>
      </c>
      <c r="AW8" s="126">
        <v>1</v>
      </c>
      <c r="AX8" s="126">
        <v>1</v>
      </c>
      <c r="AY8" s="126">
        <v>1</v>
      </c>
      <c r="AZ8" s="126">
        <v>1</v>
      </c>
      <c r="BA8" s="126">
        <v>1</v>
      </c>
      <c r="BB8" s="126">
        <v>1</v>
      </c>
      <c r="BC8" s="126">
        <v>1</v>
      </c>
      <c r="BD8" s="126">
        <v>1</v>
      </c>
      <c r="BE8" s="126">
        <v>1</v>
      </c>
    </row>
    <row r="9" spans="1:57" x14ac:dyDescent="0.35">
      <c r="A9" s="127" t="s">
        <v>5</v>
      </c>
      <c r="G9" s="126">
        <v>1</v>
      </c>
      <c r="H9" s="126">
        <v>1</v>
      </c>
      <c r="I9" s="126">
        <v>1</v>
      </c>
      <c r="J9" s="126">
        <v>1</v>
      </c>
      <c r="K9" s="126">
        <v>1</v>
      </c>
      <c r="L9" s="126">
        <v>1</v>
      </c>
      <c r="M9" s="126">
        <v>1</v>
      </c>
      <c r="N9" s="126">
        <v>1</v>
      </c>
      <c r="O9" s="126">
        <v>1</v>
      </c>
      <c r="P9" s="126">
        <v>1</v>
      </c>
      <c r="Q9" s="126">
        <v>1</v>
      </c>
      <c r="R9" s="126">
        <v>1</v>
      </c>
      <c r="S9" s="126">
        <v>1</v>
      </c>
      <c r="T9" s="126">
        <v>1</v>
      </c>
      <c r="U9" s="126">
        <v>1</v>
      </c>
      <c r="V9" s="126">
        <v>1</v>
      </c>
      <c r="W9" s="126">
        <v>1</v>
      </c>
      <c r="X9" s="126">
        <v>1</v>
      </c>
      <c r="Y9" s="126">
        <v>1</v>
      </c>
      <c r="Z9" s="126">
        <v>1</v>
      </c>
      <c r="AA9" s="126">
        <v>1</v>
      </c>
      <c r="AB9" s="126">
        <v>1</v>
      </c>
      <c r="AC9" s="126">
        <v>1</v>
      </c>
      <c r="AD9" s="126">
        <v>1</v>
      </c>
      <c r="AE9" s="126">
        <v>1</v>
      </c>
      <c r="AF9" s="126">
        <v>1</v>
      </c>
      <c r="AG9" s="126">
        <v>1</v>
      </c>
      <c r="AH9" s="126">
        <v>1</v>
      </c>
      <c r="AI9" s="126">
        <v>1</v>
      </c>
      <c r="AJ9" s="126">
        <v>1</v>
      </c>
      <c r="AK9" s="126">
        <v>1</v>
      </c>
      <c r="AL9" s="126">
        <v>1</v>
      </c>
      <c r="AM9" s="126">
        <v>1</v>
      </c>
      <c r="AN9" s="126">
        <v>1</v>
      </c>
      <c r="AO9" s="126">
        <v>1</v>
      </c>
      <c r="AP9" s="126">
        <v>1</v>
      </c>
      <c r="AQ9" s="126">
        <v>1</v>
      </c>
      <c r="AR9" s="126">
        <v>1</v>
      </c>
      <c r="AS9" s="126">
        <v>1</v>
      </c>
      <c r="AT9" s="126">
        <v>1</v>
      </c>
      <c r="AU9" s="126">
        <v>1</v>
      </c>
      <c r="AV9" s="126">
        <v>1</v>
      </c>
      <c r="AW9" s="126">
        <v>1</v>
      </c>
      <c r="AX9" s="126">
        <v>1</v>
      </c>
      <c r="AY9" s="126">
        <v>1</v>
      </c>
      <c r="AZ9" s="126">
        <v>1</v>
      </c>
      <c r="BA9" s="126">
        <v>1</v>
      </c>
      <c r="BB9" s="126">
        <v>1</v>
      </c>
      <c r="BC9" s="126">
        <v>1</v>
      </c>
      <c r="BD9" s="126">
        <v>1</v>
      </c>
      <c r="BE9" s="126">
        <v>1</v>
      </c>
    </row>
    <row r="10" spans="1:57" x14ac:dyDescent="0.35">
      <c r="A10" s="127" t="s">
        <v>6</v>
      </c>
      <c r="G10" s="126">
        <v>2</v>
      </c>
      <c r="H10" s="126">
        <v>2</v>
      </c>
      <c r="I10" s="126">
        <v>2</v>
      </c>
      <c r="J10" s="126">
        <v>2</v>
      </c>
      <c r="K10" s="126">
        <v>2</v>
      </c>
      <c r="L10" s="126">
        <v>2</v>
      </c>
      <c r="M10" s="126">
        <v>2</v>
      </c>
      <c r="N10" s="126">
        <v>2</v>
      </c>
      <c r="O10" s="126">
        <v>2</v>
      </c>
      <c r="P10" s="126">
        <v>2</v>
      </c>
      <c r="Q10" s="126">
        <v>2</v>
      </c>
      <c r="R10" s="126">
        <v>2</v>
      </c>
      <c r="S10" s="126">
        <v>2</v>
      </c>
      <c r="T10" s="126">
        <v>2</v>
      </c>
      <c r="U10" s="126">
        <v>2</v>
      </c>
      <c r="V10" s="126">
        <v>2</v>
      </c>
      <c r="W10" s="126">
        <v>2</v>
      </c>
      <c r="X10" s="126">
        <v>2</v>
      </c>
      <c r="Y10" s="126">
        <v>2</v>
      </c>
      <c r="Z10" s="126">
        <v>2</v>
      </c>
      <c r="AA10" s="126">
        <v>2</v>
      </c>
      <c r="AB10" s="126">
        <v>2</v>
      </c>
      <c r="AC10" s="126">
        <v>2</v>
      </c>
      <c r="AD10" s="126">
        <v>2</v>
      </c>
      <c r="AE10" s="126">
        <v>2</v>
      </c>
      <c r="AF10" s="126">
        <v>2</v>
      </c>
      <c r="AG10" s="126">
        <v>2</v>
      </c>
      <c r="AH10" s="126">
        <v>2</v>
      </c>
      <c r="AI10" s="126">
        <v>2</v>
      </c>
      <c r="AJ10" s="126">
        <v>2</v>
      </c>
      <c r="AK10" s="126">
        <v>2</v>
      </c>
      <c r="AL10" s="126">
        <v>2</v>
      </c>
      <c r="AM10" s="126">
        <v>2</v>
      </c>
      <c r="AN10" s="126">
        <v>2</v>
      </c>
      <c r="AO10" s="126">
        <v>2</v>
      </c>
      <c r="AP10" s="126">
        <v>2</v>
      </c>
      <c r="AQ10" s="126">
        <v>2</v>
      </c>
      <c r="AR10" s="126">
        <v>2</v>
      </c>
      <c r="AS10" s="126">
        <v>2</v>
      </c>
      <c r="AT10" s="126">
        <v>2</v>
      </c>
      <c r="AU10" s="126">
        <v>2</v>
      </c>
      <c r="AV10" s="126">
        <v>2</v>
      </c>
      <c r="AW10" s="126">
        <v>2</v>
      </c>
      <c r="AX10" s="126">
        <v>2</v>
      </c>
      <c r="AY10" s="126">
        <v>2</v>
      </c>
      <c r="AZ10" s="126">
        <v>2</v>
      </c>
      <c r="BA10" s="126">
        <v>2</v>
      </c>
      <c r="BB10" s="126">
        <v>2</v>
      </c>
      <c r="BC10" s="126">
        <v>2</v>
      </c>
      <c r="BD10" s="126">
        <v>2</v>
      </c>
      <c r="BE10" s="126">
        <v>2</v>
      </c>
    </row>
    <row r="11" spans="1:57" x14ac:dyDescent="0.35">
      <c r="A11" s="127" t="s">
        <v>7</v>
      </c>
      <c r="G11" s="126">
        <v>1</v>
      </c>
      <c r="H11" s="126">
        <v>1</v>
      </c>
      <c r="I11" s="126">
        <v>1</v>
      </c>
      <c r="J11" s="126">
        <v>1</v>
      </c>
      <c r="K11" s="126">
        <v>1</v>
      </c>
      <c r="L11" s="126">
        <v>1</v>
      </c>
      <c r="M11" s="126">
        <v>1</v>
      </c>
      <c r="N11" s="126">
        <v>1</v>
      </c>
      <c r="O11" s="126">
        <v>1</v>
      </c>
      <c r="P11" s="126">
        <v>1</v>
      </c>
      <c r="Q11" s="126">
        <v>1</v>
      </c>
      <c r="R11" s="126">
        <v>1</v>
      </c>
      <c r="S11" s="126">
        <v>1</v>
      </c>
      <c r="T11" s="126">
        <v>1</v>
      </c>
      <c r="U11" s="126">
        <v>1</v>
      </c>
      <c r="V11" s="126">
        <v>1</v>
      </c>
      <c r="W11" s="126">
        <v>1</v>
      </c>
      <c r="X11" s="126">
        <v>1</v>
      </c>
      <c r="Y11" s="126">
        <v>1</v>
      </c>
      <c r="Z11" s="126">
        <v>1</v>
      </c>
      <c r="AA11" s="126">
        <v>1</v>
      </c>
      <c r="AB11" s="126">
        <v>1</v>
      </c>
      <c r="AC11" s="126">
        <v>1</v>
      </c>
      <c r="AD11" s="126">
        <v>1</v>
      </c>
      <c r="AE11" s="126">
        <v>1</v>
      </c>
      <c r="AF11" s="126">
        <v>1</v>
      </c>
      <c r="AG11" s="126">
        <v>1</v>
      </c>
      <c r="AH11" s="126">
        <v>1</v>
      </c>
      <c r="AI11" s="126">
        <v>1</v>
      </c>
      <c r="AJ11" s="126">
        <v>1</v>
      </c>
      <c r="AK11" s="126">
        <v>1</v>
      </c>
      <c r="AL11" s="126">
        <v>1</v>
      </c>
      <c r="AM11" s="126">
        <v>1</v>
      </c>
      <c r="AN11" s="126">
        <v>1</v>
      </c>
      <c r="AO11" s="126">
        <v>1</v>
      </c>
      <c r="AP11" s="126">
        <v>1</v>
      </c>
      <c r="AQ11" s="126">
        <v>1</v>
      </c>
      <c r="AR11" s="126">
        <v>1</v>
      </c>
      <c r="AS11" s="126">
        <v>1</v>
      </c>
      <c r="AT11" s="126">
        <v>1</v>
      </c>
      <c r="AU11" s="126">
        <v>1</v>
      </c>
      <c r="AV11" s="126">
        <v>1</v>
      </c>
      <c r="AW11" s="126">
        <v>1</v>
      </c>
      <c r="AX11" s="126">
        <v>1</v>
      </c>
      <c r="AY11" s="126">
        <v>1</v>
      </c>
      <c r="AZ11" s="126">
        <v>1</v>
      </c>
      <c r="BA11" s="126">
        <v>1</v>
      </c>
      <c r="BB11" s="126">
        <v>1</v>
      </c>
      <c r="BC11" s="126">
        <v>1</v>
      </c>
      <c r="BD11" s="126">
        <v>1</v>
      </c>
      <c r="BE11" s="126">
        <v>1</v>
      </c>
    </row>
    <row r="12" spans="1:57" x14ac:dyDescent="0.35">
      <c r="A12" s="127" t="s">
        <v>8</v>
      </c>
      <c r="G12" s="126">
        <v>2</v>
      </c>
      <c r="H12" s="126">
        <v>2</v>
      </c>
      <c r="I12" s="126">
        <v>2</v>
      </c>
      <c r="J12" s="126">
        <v>2</v>
      </c>
      <c r="K12" s="126">
        <v>2</v>
      </c>
      <c r="L12" s="126">
        <v>2</v>
      </c>
      <c r="M12" s="126">
        <v>2</v>
      </c>
      <c r="N12" s="126">
        <v>2</v>
      </c>
      <c r="O12" s="126">
        <v>2</v>
      </c>
      <c r="P12" s="126">
        <v>2</v>
      </c>
      <c r="Q12" s="126">
        <v>2</v>
      </c>
      <c r="R12" s="126">
        <v>2</v>
      </c>
      <c r="S12" s="126">
        <v>2</v>
      </c>
      <c r="T12" s="126">
        <v>2</v>
      </c>
      <c r="U12" s="126">
        <v>2</v>
      </c>
      <c r="V12" s="126">
        <v>2</v>
      </c>
      <c r="W12" s="126">
        <v>2</v>
      </c>
      <c r="X12" s="126">
        <v>2</v>
      </c>
      <c r="Y12" s="126">
        <v>2</v>
      </c>
      <c r="Z12" s="126">
        <v>2</v>
      </c>
      <c r="AA12" s="126">
        <v>2</v>
      </c>
      <c r="AB12" s="126">
        <v>2</v>
      </c>
      <c r="AC12" s="126">
        <v>2</v>
      </c>
      <c r="AD12" s="126">
        <v>2</v>
      </c>
      <c r="AE12" s="126">
        <v>2</v>
      </c>
      <c r="AF12" s="126">
        <v>2</v>
      </c>
      <c r="AG12" s="126">
        <v>2</v>
      </c>
      <c r="AH12" s="126">
        <v>2</v>
      </c>
      <c r="AI12" s="126">
        <v>2</v>
      </c>
      <c r="AJ12" s="126">
        <v>2</v>
      </c>
      <c r="AK12" s="126">
        <v>2</v>
      </c>
      <c r="AL12" s="126">
        <v>2</v>
      </c>
      <c r="AM12" s="126">
        <v>2</v>
      </c>
      <c r="AN12" s="126">
        <v>2</v>
      </c>
      <c r="AO12" s="126">
        <v>2</v>
      </c>
      <c r="AP12" s="126">
        <v>2</v>
      </c>
      <c r="AQ12" s="126">
        <v>2</v>
      </c>
      <c r="AR12" s="126">
        <v>2</v>
      </c>
      <c r="AS12" s="126">
        <v>2</v>
      </c>
      <c r="AT12" s="126">
        <v>2</v>
      </c>
      <c r="AU12" s="126">
        <v>2</v>
      </c>
      <c r="AV12" s="126">
        <v>2</v>
      </c>
      <c r="AW12" s="126">
        <v>2</v>
      </c>
      <c r="AX12" s="126">
        <v>2</v>
      </c>
      <c r="AY12" s="126">
        <v>2</v>
      </c>
      <c r="AZ12" s="126">
        <v>2</v>
      </c>
      <c r="BA12" s="126">
        <v>2</v>
      </c>
      <c r="BB12" s="126">
        <v>2</v>
      </c>
      <c r="BC12" s="126">
        <v>2</v>
      </c>
      <c r="BD12" s="126">
        <v>2</v>
      </c>
      <c r="BE12" s="126">
        <v>2</v>
      </c>
    </row>
    <row r="13" spans="1:57" x14ac:dyDescent="0.35">
      <c r="A13" s="127" t="s">
        <v>9</v>
      </c>
      <c r="G13" s="126">
        <v>2</v>
      </c>
      <c r="H13" s="126">
        <v>2</v>
      </c>
      <c r="I13" s="126">
        <v>2</v>
      </c>
      <c r="J13" s="126">
        <v>2</v>
      </c>
      <c r="K13" s="126">
        <v>2</v>
      </c>
      <c r="L13" s="126">
        <v>2</v>
      </c>
      <c r="M13" s="126">
        <v>2</v>
      </c>
      <c r="N13" s="126">
        <v>2</v>
      </c>
      <c r="O13" s="126">
        <v>2</v>
      </c>
      <c r="P13" s="126">
        <v>2</v>
      </c>
      <c r="Q13" s="126">
        <v>2</v>
      </c>
      <c r="R13" s="126">
        <v>2</v>
      </c>
      <c r="S13" s="126">
        <v>2</v>
      </c>
      <c r="T13" s="126">
        <v>2</v>
      </c>
      <c r="U13" s="126">
        <v>2</v>
      </c>
      <c r="V13" s="126">
        <v>2</v>
      </c>
      <c r="W13" s="126">
        <v>2</v>
      </c>
      <c r="X13" s="126">
        <v>2</v>
      </c>
      <c r="Y13" s="126">
        <v>2</v>
      </c>
      <c r="Z13" s="126">
        <v>2</v>
      </c>
      <c r="AA13" s="126">
        <v>2</v>
      </c>
      <c r="AB13" s="126">
        <v>2</v>
      </c>
      <c r="AC13" s="126">
        <v>2</v>
      </c>
      <c r="AD13" s="126">
        <v>2</v>
      </c>
      <c r="AE13" s="126">
        <v>2</v>
      </c>
      <c r="AF13" s="126">
        <v>2</v>
      </c>
      <c r="AG13" s="126">
        <v>2</v>
      </c>
      <c r="AH13" s="126">
        <v>2</v>
      </c>
      <c r="AI13" s="126">
        <v>2</v>
      </c>
      <c r="AJ13" s="126">
        <v>2</v>
      </c>
      <c r="AK13" s="126">
        <v>2</v>
      </c>
      <c r="AL13" s="126">
        <v>2</v>
      </c>
      <c r="AM13" s="126">
        <v>2</v>
      </c>
      <c r="AN13" s="126">
        <v>2</v>
      </c>
      <c r="AO13" s="126">
        <v>2</v>
      </c>
      <c r="AP13" s="126">
        <v>2</v>
      </c>
      <c r="AQ13" s="126">
        <v>2</v>
      </c>
      <c r="AR13" s="126">
        <v>2</v>
      </c>
      <c r="AS13" s="126">
        <v>2</v>
      </c>
      <c r="AT13" s="126">
        <v>2</v>
      </c>
      <c r="AU13" s="126">
        <v>2</v>
      </c>
      <c r="AV13" s="126">
        <v>2</v>
      </c>
      <c r="AW13" s="126">
        <v>2</v>
      </c>
      <c r="AX13" s="126">
        <v>2</v>
      </c>
      <c r="AY13" s="126">
        <v>2</v>
      </c>
      <c r="AZ13" s="126">
        <v>2</v>
      </c>
      <c r="BA13" s="126">
        <v>2</v>
      </c>
      <c r="BB13" s="126">
        <v>2</v>
      </c>
      <c r="BC13" s="126">
        <v>2</v>
      </c>
      <c r="BD13" s="126">
        <v>2</v>
      </c>
      <c r="BE13" s="126">
        <v>2</v>
      </c>
    </row>
    <row r="14" spans="1:57" x14ac:dyDescent="0.35">
      <c r="A14" s="127" t="s">
        <v>10</v>
      </c>
      <c r="G14" s="126">
        <v>2</v>
      </c>
      <c r="H14" s="126">
        <v>2</v>
      </c>
      <c r="I14" s="126">
        <v>2</v>
      </c>
      <c r="J14" s="126">
        <v>2</v>
      </c>
      <c r="K14" s="126">
        <v>2</v>
      </c>
      <c r="L14" s="126">
        <v>2</v>
      </c>
      <c r="M14" s="126">
        <v>2</v>
      </c>
      <c r="N14" s="126">
        <v>2</v>
      </c>
      <c r="O14" s="126">
        <v>2</v>
      </c>
      <c r="P14" s="126">
        <v>2</v>
      </c>
      <c r="Q14" s="126">
        <v>2</v>
      </c>
      <c r="R14" s="126">
        <v>2</v>
      </c>
      <c r="S14" s="126">
        <v>2</v>
      </c>
      <c r="T14" s="126">
        <v>2</v>
      </c>
      <c r="U14" s="126">
        <v>2</v>
      </c>
      <c r="V14" s="126">
        <v>2</v>
      </c>
      <c r="W14" s="126">
        <v>2</v>
      </c>
      <c r="X14" s="126">
        <v>2</v>
      </c>
      <c r="Y14" s="126">
        <v>2</v>
      </c>
      <c r="Z14" s="126">
        <v>2</v>
      </c>
      <c r="AA14" s="126">
        <v>2</v>
      </c>
      <c r="AB14" s="126">
        <v>2</v>
      </c>
      <c r="AC14" s="126">
        <v>2</v>
      </c>
      <c r="AD14" s="126">
        <v>2</v>
      </c>
      <c r="AE14" s="126">
        <v>2</v>
      </c>
      <c r="AF14" s="126">
        <v>2</v>
      </c>
      <c r="AG14" s="126">
        <v>2</v>
      </c>
      <c r="AH14" s="126">
        <v>2</v>
      </c>
      <c r="AI14" s="126">
        <v>2</v>
      </c>
      <c r="AJ14" s="126">
        <v>2</v>
      </c>
      <c r="AK14" s="126">
        <v>2</v>
      </c>
      <c r="AL14" s="126">
        <v>2</v>
      </c>
      <c r="AM14" s="126">
        <v>2</v>
      </c>
      <c r="AN14" s="126">
        <v>2</v>
      </c>
      <c r="AO14" s="126">
        <v>2</v>
      </c>
      <c r="AP14" s="126">
        <v>2</v>
      </c>
      <c r="AQ14" s="126">
        <v>2</v>
      </c>
      <c r="AR14" s="126">
        <v>2</v>
      </c>
      <c r="AS14" s="126">
        <v>2</v>
      </c>
      <c r="AT14" s="126">
        <v>2</v>
      </c>
      <c r="AU14" s="126">
        <v>2</v>
      </c>
      <c r="AV14" s="126">
        <v>2</v>
      </c>
      <c r="AW14" s="126">
        <v>2</v>
      </c>
      <c r="AX14" s="126">
        <v>2</v>
      </c>
      <c r="AY14" s="126">
        <v>2</v>
      </c>
      <c r="AZ14" s="126">
        <v>2</v>
      </c>
      <c r="BA14" s="126">
        <v>2</v>
      </c>
      <c r="BB14" s="126">
        <v>2</v>
      </c>
      <c r="BC14" s="126">
        <v>2</v>
      </c>
      <c r="BD14" s="126">
        <v>2</v>
      </c>
      <c r="BE14" s="126">
        <v>2</v>
      </c>
    </row>
    <row r="15" spans="1:57" x14ac:dyDescent="0.35">
      <c r="A15" s="127" t="s">
        <v>11</v>
      </c>
      <c r="G15" s="126">
        <v>1</v>
      </c>
      <c r="H15" s="126">
        <v>1</v>
      </c>
      <c r="I15" s="126">
        <v>1</v>
      </c>
      <c r="J15" s="126">
        <v>1</v>
      </c>
      <c r="K15" s="126">
        <v>1</v>
      </c>
      <c r="L15" s="126">
        <v>1</v>
      </c>
      <c r="M15" s="126">
        <v>1</v>
      </c>
      <c r="N15" s="126">
        <v>1</v>
      </c>
      <c r="O15" s="126">
        <v>1</v>
      </c>
      <c r="P15" s="126">
        <v>1</v>
      </c>
      <c r="Q15" s="126">
        <v>1</v>
      </c>
      <c r="R15" s="126">
        <v>1</v>
      </c>
      <c r="S15" s="126">
        <v>1</v>
      </c>
      <c r="T15" s="126">
        <v>1</v>
      </c>
      <c r="U15" s="126">
        <v>1</v>
      </c>
      <c r="V15" s="126">
        <v>1</v>
      </c>
      <c r="W15" s="126">
        <v>1</v>
      </c>
      <c r="X15" s="126">
        <v>1</v>
      </c>
      <c r="Y15" s="126">
        <v>1</v>
      </c>
      <c r="Z15" s="126">
        <v>1</v>
      </c>
      <c r="AA15" s="126">
        <v>1</v>
      </c>
      <c r="AB15" s="126">
        <v>1</v>
      </c>
      <c r="AC15" s="126">
        <v>1</v>
      </c>
      <c r="AD15" s="126">
        <v>1</v>
      </c>
      <c r="AE15" s="126">
        <v>1</v>
      </c>
      <c r="AF15" s="126">
        <v>1</v>
      </c>
      <c r="AG15" s="126">
        <v>1</v>
      </c>
      <c r="AH15" s="126">
        <v>1</v>
      </c>
      <c r="AI15" s="126">
        <v>1</v>
      </c>
      <c r="AJ15" s="126">
        <v>1</v>
      </c>
      <c r="AK15" s="126">
        <v>1</v>
      </c>
      <c r="AL15" s="126">
        <v>1</v>
      </c>
      <c r="AM15" s="126">
        <v>1</v>
      </c>
      <c r="AN15" s="126">
        <v>1</v>
      </c>
      <c r="AO15" s="126">
        <v>1</v>
      </c>
      <c r="AP15" s="126">
        <v>1</v>
      </c>
      <c r="AQ15" s="126">
        <v>1</v>
      </c>
      <c r="AR15" s="126">
        <v>1</v>
      </c>
      <c r="AS15" s="126">
        <v>1</v>
      </c>
      <c r="AT15" s="126">
        <v>1</v>
      </c>
      <c r="AU15" s="126">
        <v>1</v>
      </c>
      <c r="AV15" s="126">
        <v>1</v>
      </c>
      <c r="AW15" s="126">
        <v>1</v>
      </c>
      <c r="AX15" s="126">
        <v>1</v>
      </c>
      <c r="AY15" s="126">
        <v>1</v>
      </c>
      <c r="AZ15" s="126">
        <v>1</v>
      </c>
      <c r="BA15" s="126">
        <v>1</v>
      </c>
      <c r="BB15" s="126">
        <v>1</v>
      </c>
      <c r="BC15" s="126">
        <v>1</v>
      </c>
      <c r="BD15" s="126">
        <v>1</v>
      </c>
      <c r="BE15" s="126">
        <v>1</v>
      </c>
    </row>
    <row r="16" spans="1:57" x14ac:dyDescent="0.35">
      <c r="A16" s="127" t="s">
        <v>12</v>
      </c>
      <c r="G16" s="126">
        <v>2</v>
      </c>
      <c r="H16" s="126">
        <v>2</v>
      </c>
      <c r="I16" s="126">
        <v>2</v>
      </c>
      <c r="J16" s="126">
        <v>2</v>
      </c>
      <c r="K16" s="126">
        <v>2</v>
      </c>
      <c r="L16" s="126">
        <v>2</v>
      </c>
      <c r="M16" s="126">
        <v>2</v>
      </c>
      <c r="N16" s="126">
        <v>2</v>
      </c>
      <c r="O16" s="126">
        <v>2</v>
      </c>
      <c r="P16" s="126">
        <v>2</v>
      </c>
      <c r="Q16" s="126">
        <v>2</v>
      </c>
      <c r="R16" s="126">
        <v>2</v>
      </c>
      <c r="S16" s="126">
        <v>2</v>
      </c>
      <c r="T16" s="126">
        <v>2</v>
      </c>
      <c r="U16" s="126">
        <v>2</v>
      </c>
      <c r="V16" s="126">
        <v>2</v>
      </c>
      <c r="W16" s="126">
        <v>2</v>
      </c>
      <c r="X16" s="126">
        <v>2</v>
      </c>
      <c r="Y16" s="126">
        <v>2</v>
      </c>
      <c r="Z16" s="126">
        <v>2</v>
      </c>
      <c r="AA16" s="126">
        <v>2</v>
      </c>
      <c r="AB16" s="126">
        <v>2</v>
      </c>
      <c r="AC16" s="126">
        <v>2</v>
      </c>
      <c r="AD16" s="126">
        <v>2</v>
      </c>
      <c r="AE16" s="126">
        <v>2</v>
      </c>
      <c r="AF16" s="126">
        <v>2</v>
      </c>
      <c r="AG16" s="126">
        <v>2</v>
      </c>
      <c r="AH16" s="126">
        <v>2</v>
      </c>
      <c r="AI16" s="126">
        <v>2</v>
      </c>
      <c r="AJ16" s="126">
        <v>2</v>
      </c>
      <c r="AK16" s="126">
        <v>2</v>
      </c>
      <c r="AL16" s="126">
        <v>2</v>
      </c>
      <c r="AM16" s="126">
        <v>2</v>
      </c>
      <c r="AN16" s="126">
        <v>2</v>
      </c>
      <c r="AO16" s="126">
        <v>2</v>
      </c>
      <c r="AP16" s="126">
        <v>2</v>
      </c>
      <c r="AQ16" s="126">
        <v>2</v>
      </c>
      <c r="AR16" s="126">
        <v>2</v>
      </c>
      <c r="AS16" s="126">
        <v>2</v>
      </c>
      <c r="AT16" s="126">
        <v>2</v>
      </c>
      <c r="AU16" s="126">
        <v>2</v>
      </c>
      <c r="AV16" s="126">
        <v>2</v>
      </c>
      <c r="AW16" s="126">
        <v>2</v>
      </c>
      <c r="AX16" s="126">
        <v>2</v>
      </c>
      <c r="AY16" s="126">
        <v>2</v>
      </c>
      <c r="AZ16" s="126">
        <v>2</v>
      </c>
      <c r="BA16" s="126">
        <v>2</v>
      </c>
      <c r="BB16" s="126">
        <v>2</v>
      </c>
      <c r="BC16" s="126">
        <v>2</v>
      </c>
      <c r="BD16" s="126">
        <v>2</v>
      </c>
      <c r="BE16" s="126">
        <v>2</v>
      </c>
    </row>
    <row r="17" spans="1:57" x14ac:dyDescent="0.35">
      <c r="A17" s="127" t="s">
        <v>13</v>
      </c>
      <c r="G17" s="126">
        <v>2</v>
      </c>
      <c r="H17" s="126">
        <v>2</v>
      </c>
      <c r="I17" s="126">
        <v>2</v>
      </c>
      <c r="J17" s="126">
        <v>2</v>
      </c>
      <c r="K17" s="126">
        <v>2</v>
      </c>
      <c r="L17" s="126">
        <v>2</v>
      </c>
      <c r="M17" s="126">
        <v>2</v>
      </c>
      <c r="N17" s="126">
        <v>2</v>
      </c>
      <c r="O17" s="126">
        <v>2</v>
      </c>
      <c r="P17" s="126">
        <v>2</v>
      </c>
      <c r="Q17" s="126">
        <v>2</v>
      </c>
      <c r="R17" s="126">
        <v>2</v>
      </c>
      <c r="S17" s="126">
        <v>2</v>
      </c>
      <c r="T17" s="126">
        <v>2</v>
      </c>
      <c r="U17" s="126">
        <v>2</v>
      </c>
      <c r="V17" s="126">
        <v>2</v>
      </c>
      <c r="W17" s="126">
        <v>2</v>
      </c>
      <c r="X17" s="126">
        <v>2</v>
      </c>
      <c r="Y17" s="126">
        <v>2</v>
      </c>
      <c r="Z17" s="126">
        <v>2</v>
      </c>
      <c r="AA17" s="126">
        <v>2</v>
      </c>
      <c r="AB17" s="126">
        <v>2</v>
      </c>
      <c r="AC17" s="126">
        <v>2</v>
      </c>
      <c r="AD17" s="126">
        <v>2</v>
      </c>
      <c r="AE17" s="126">
        <v>2</v>
      </c>
      <c r="AF17" s="126">
        <v>2</v>
      </c>
      <c r="AG17" s="126">
        <v>2</v>
      </c>
      <c r="AH17" s="126">
        <v>2</v>
      </c>
      <c r="AI17" s="126">
        <v>2</v>
      </c>
      <c r="AJ17" s="126">
        <v>2</v>
      </c>
      <c r="AK17" s="126">
        <v>2</v>
      </c>
      <c r="AL17" s="126">
        <v>2</v>
      </c>
      <c r="AM17" s="126">
        <v>2</v>
      </c>
      <c r="AN17" s="126">
        <v>2</v>
      </c>
      <c r="AO17" s="126">
        <v>2</v>
      </c>
      <c r="AP17" s="126">
        <v>2</v>
      </c>
      <c r="AQ17" s="126">
        <v>2</v>
      </c>
      <c r="AR17" s="126">
        <v>2</v>
      </c>
      <c r="AS17" s="126">
        <v>2</v>
      </c>
      <c r="AT17" s="126">
        <v>2</v>
      </c>
      <c r="AU17" s="126">
        <v>2</v>
      </c>
      <c r="AV17" s="126">
        <v>2</v>
      </c>
      <c r="AW17" s="126">
        <v>2</v>
      </c>
      <c r="AX17" s="126">
        <v>2</v>
      </c>
      <c r="AY17" s="126">
        <v>2</v>
      </c>
      <c r="AZ17" s="126">
        <v>2</v>
      </c>
      <c r="BA17" s="126">
        <v>2</v>
      </c>
      <c r="BB17" s="126">
        <v>2</v>
      </c>
      <c r="BC17" s="126">
        <v>2</v>
      </c>
      <c r="BD17" s="126">
        <v>2</v>
      </c>
      <c r="BE17" s="126">
        <v>2</v>
      </c>
    </row>
    <row r="18" spans="1:57" x14ac:dyDescent="0.35">
      <c r="A18" s="127" t="s">
        <v>14</v>
      </c>
      <c r="G18" s="126">
        <v>1</v>
      </c>
      <c r="H18" s="126">
        <v>1</v>
      </c>
      <c r="I18" s="126">
        <v>1</v>
      </c>
      <c r="J18" s="126">
        <v>1</v>
      </c>
      <c r="K18" s="126">
        <v>1</v>
      </c>
      <c r="L18" s="126">
        <v>1</v>
      </c>
      <c r="M18" s="126">
        <v>1</v>
      </c>
      <c r="N18" s="126">
        <v>1</v>
      </c>
      <c r="O18" s="126">
        <v>1</v>
      </c>
      <c r="P18" s="126">
        <v>1</v>
      </c>
      <c r="Q18" s="126">
        <v>1</v>
      </c>
      <c r="R18" s="126">
        <v>1</v>
      </c>
      <c r="S18" s="126">
        <v>1</v>
      </c>
      <c r="T18" s="126">
        <v>1</v>
      </c>
      <c r="U18" s="126">
        <v>1</v>
      </c>
      <c r="V18" s="126">
        <v>1</v>
      </c>
      <c r="W18" s="126">
        <v>1</v>
      </c>
      <c r="X18" s="126">
        <v>1</v>
      </c>
      <c r="Y18" s="126">
        <v>1</v>
      </c>
      <c r="Z18" s="126">
        <v>1</v>
      </c>
      <c r="AA18" s="126">
        <v>1</v>
      </c>
      <c r="AB18" s="126">
        <v>1</v>
      </c>
      <c r="AC18" s="126">
        <v>1</v>
      </c>
      <c r="AD18" s="126">
        <v>1</v>
      </c>
      <c r="AE18" s="126">
        <v>1</v>
      </c>
      <c r="AF18" s="126">
        <v>1</v>
      </c>
      <c r="AG18" s="126">
        <v>1</v>
      </c>
      <c r="AH18" s="126">
        <v>1</v>
      </c>
      <c r="AI18" s="126">
        <v>1</v>
      </c>
      <c r="AJ18" s="126">
        <v>1</v>
      </c>
      <c r="AK18" s="126">
        <v>1</v>
      </c>
      <c r="AL18" s="126">
        <v>1</v>
      </c>
      <c r="AM18" s="126">
        <v>1</v>
      </c>
      <c r="AN18" s="126">
        <v>1</v>
      </c>
      <c r="AO18" s="126">
        <v>1</v>
      </c>
      <c r="AP18" s="126">
        <v>1</v>
      </c>
      <c r="AQ18" s="126">
        <v>1</v>
      </c>
      <c r="AR18" s="126">
        <v>1</v>
      </c>
      <c r="AS18" s="126">
        <v>1</v>
      </c>
      <c r="AT18" s="126">
        <v>1</v>
      </c>
      <c r="AU18" s="126">
        <v>1</v>
      </c>
      <c r="AV18" s="126">
        <v>1</v>
      </c>
      <c r="AW18" s="126">
        <v>1</v>
      </c>
      <c r="AX18" s="126">
        <v>1</v>
      </c>
      <c r="AY18" s="126">
        <v>1</v>
      </c>
      <c r="AZ18" s="126">
        <v>1</v>
      </c>
      <c r="BA18" s="126">
        <v>1</v>
      </c>
      <c r="BB18" s="126">
        <v>1</v>
      </c>
      <c r="BC18" s="126">
        <v>1</v>
      </c>
      <c r="BD18" s="126">
        <v>1</v>
      </c>
      <c r="BE18" s="126">
        <v>1</v>
      </c>
    </row>
    <row r="19" spans="1:57" x14ac:dyDescent="0.35">
      <c r="A19" s="127" t="s">
        <v>15</v>
      </c>
      <c r="G19" s="126">
        <v>2</v>
      </c>
      <c r="H19" s="126">
        <v>2</v>
      </c>
      <c r="I19" s="126">
        <v>2</v>
      </c>
      <c r="J19" s="126">
        <v>2</v>
      </c>
      <c r="K19" s="126">
        <v>2</v>
      </c>
      <c r="L19" s="126">
        <v>2</v>
      </c>
      <c r="M19" s="126">
        <v>2</v>
      </c>
      <c r="N19" s="126">
        <v>2</v>
      </c>
      <c r="O19" s="126">
        <v>2</v>
      </c>
      <c r="P19" s="126">
        <v>2</v>
      </c>
      <c r="Q19" s="126">
        <v>2</v>
      </c>
      <c r="R19" s="126">
        <v>2</v>
      </c>
      <c r="S19" s="126">
        <v>2</v>
      </c>
      <c r="T19" s="126">
        <v>2</v>
      </c>
      <c r="U19" s="126">
        <v>2</v>
      </c>
      <c r="V19" s="126">
        <v>2</v>
      </c>
      <c r="W19" s="126">
        <v>2</v>
      </c>
      <c r="X19" s="126">
        <v>2</v>
      </c>
      <c r="Y19" s="126">
        <v>2</v>
      </c>
      <c r="Z19" s="126">
        <v>2</v>
      </c>
      <c r="AA19" s="126">
        <v>2</v>
      </c>
      <c r="AB19" s="126">
        <v>2</v>
      </c>
      <c r="AC19" s="126">
        <v>2</v>
      </c>
      <c r="AD19" s="126">
        <v>2</v>
      </c>
      <c r="AE19" s="126">
        <v>2</v>
      </c>
      <c r="AF19" s="126">
        <v>2</v>
      </c>
      <c r="AG19" s="126">
        <v>2</v>
      </c>
      <c r="AH19" s="126">
        <v>2</v>
      </c>
      <c r="AI19" s="126">
        <v>2</v>
      </c>
      <c r="AJ19" s="126">
        <v>2</v>
      </c>
      <c r="AK19" s="126">
        <v>2</v>
      </c>
      <c r="AL19" s="126">
        <v>2</v>
      </c>
      <c r="AM19" s="126">
        <v>2</v>
      </c>
      <c r="AN19" s="126">
        <v>2</v>
      </c>
      <c r="AO19" s="126">
        <v>2</v>
      </c>
      <c r="AP19" s="126">
        <v>2</v>
      </c>
      <c r="AQ19" s="126">
        <v>2</v>
      </c>
      <c r="AR19" s="126">
        <v>2</v>
      </c>
      <c r="AS19" s="126">
        <v>2</v>
      </c>
      <c r="AT19" s="126">
        <v>2</v>
      </c>
      <c r="AU19" s="126">
        <v>2</v>
      </c>
      <c r="AV19" s="126">
        <v>2</v>
      </c>
      <c r="AW19" s="126">
        <v>2</v>
      </c>
      <c r="AX19" s="126">
        <v>2</v>
      </c>
      <c r="AY19" s="126">
        <v>2</v>
      </c>
      <c r="AZ19" s="126">
        <v>2</v>
      </c>
      <c r="BA19" s="126">
        <v>2</v>
      </c>
      <c r="BB19" s="126">
        <v>2</v>
      </c>
      <c r="BC19" s="126">
        <v>2</v>
      </c>
      <c r="BD19" s="126">
        <v>2</v>
      </c>
      <c r="BE19" s="126">
        <v>2</v>
      </c>
    </row>
    <row r="20" spans="1:57" x14ac:dyDescent="0.35">
      <c r="A20" s="127" t="s">
        <v>16</v>
      </c>
      <c r="G20" s="126">
        <v>1</v>
      </c>
      <c r="H20" s="126">
        <v>1</v>
      </c>
      <c r="I20" s="126">
        <v>1</v>
      </c>
      <c r="J20" s="126">
        <v>1</v>
      </c>
      <c r="K20" s="126">
        <v>1</v>
      </c>
      <c r="L20" s="126">
        <v>1</v>
      </c>
      <c r="M20" s="126">
        <v>1</v>
      </c>
      <c r="N20" s="126">
        <v>1</v>
      </c>
      <c r="O20" s="126">
        <v>1</v>
      </c>
      <c r="P20" s="126">
        <v>1</v>
      </c>
      <c r="Q20" s="126">
        <v>1</v>
      </c>
      <c r="R20" s="126">
        <v>1</v>
      </c>
      <c r="S20" s="126">
        <v>1</v>
      </c>
      <c r="T20" s="126">
        <v>1</v>
      </c>
      <c r="U20" s="126">
        <v>1</v>
      </c>
      <c r="V20" s="126">
        <v>1</v>
      </c>
      <c r="W20" s="126">
        <v>1</v>
      </c>
      <c r="X20" s="126">
        <v>1</v>
      </c>
      <c r="Y20" s="126">
        <v>1</v>
      </c>
      <c r="Z20" s="126">
        <v>1</v>
      </c>
      <c r="AA20" s="126">
        <v>1</v>
      </c>
      <c r="AB20" s="126">
        <v>1</v>
      </c>
      <c r="AC20" s="126">
        <v>1</v>
      </c>
      <c r="AD20" s="126">
        <v>1</v>
      </c>
      <c r="AE20" s="126">
        <v>1</v>
      </c>
      <c r="AF20" s="126">
        <v>1</v>
      </c>
      <c r="AG20" s="126">
        <v>1</v>
      </c>
      <c r="AH20" s="126">
        <v>1</v>
      </c>
      <c r="AI20" s="126">
        <v>1</v>
      </c>
      <c r="AJ20" s="126">
        <v>1</v>
      </c>
      <c r="AK20" s="126">
        <v>1</v>
      </c>
      <c r="AL20" s="126">
        <v>1</v>
      </c>
      <c r="AM20" s="126">
        <v>1</v>
      </c>
      <c r="AN20" s="126">
        <v>1</v>
      </c>
      <c r="AO20" s="126">
        <v>1</v>
      </c>
      <c r="AP20" s="126">
        <v>1</v>
      </c>
      <c r="AQ20" s="126">
        <v>1</v>
      </c>
      <c r="AR20" s="126">
        <v>1</v>
      </c>
      <c r="AS20" s="126">
        <v>1</v>
      </c>
      <c r="AT20" s="126">
        <v>1</v>
      </c>
      <c r="AU20" s="126">
        <v>1</v>
      </c>
      <c r="AV20" s="126">
        <v>1</v>
      </c>
      <c r="AW20" s="126">
        <v>1</v>
      </c>
      <c r="AX20" s="126">
        <v>1</v>
      </c>
      <c r="AY20" s="126">
        <v>1</v>
      </c>
      <c r="AZ20" s="126">
        <v>1</v>
      </c>
      <c r="BA20" s="126">
        <v>1</v>
      </c>
      <c r="BB20" s="126">
        <v>1</v>
      </c>
      <c r="BC20" s="126">
        <v>1</v>
      </c>
      <c r="BD20" s="126">
        <v>1</v>
      </c>
      <c r="BE20" s="126">
        <v>1</v>
      </c>
    </row>
    <row r="21" spans="1:57" x14ac:dyDescent="0.35">
      <c r="A21" s="127" t="s">
        <v>17</v>
      </c>
      <c r="G21" s="126">
        <v>2</v>
      </c>
      <c r="H21" s="126">
        <v>2</v>
      </c>
      <c r="I21" s="126">
        <v>2</v>
      </c>
      <c r="J21" s="126">
        <v>2</v>
      </c>
      <c r="K21" s="126">
        <v>2</v>
      </c>
      <c r="L21" s="126">
        <v>2</v>
      </c>
      <c r="M21" s="126">
        <v>2</v>
      </c>
      <c r="N21" s="126">
        <v>2</v>
      </c>
      <c r="O21" s="126">
        <v>2</v>
      </c>
      <c r="P21" s="126">
        <v>2</v>
      </c>
      <c r="Q21" s="126">
        <v>2</v>
      </c>
      <c r="R21" s="126">
        <v>2</v>
      </c>
      <c r="S21" s="126">
        <v>2</v>
      </c>
      <c r="T21" s="126">
        <v>2</v>
      </c>
      <c r="U21" s="126">
        <v>2</v>
      </c>
      <c r="V21" s="126">
        <v>2</v>
      </c>
      <c r="W21" s="126">
        <v>2</v>
      </c>
      <c r="X21" s="126">
        <v>2</v>
      </c>
      <c r="Y21" s="126">
        <v>2</v>
      </c>
      <c r="Z21" s="126">
        <v>2</v>
      </c>
      <c r="AA21" s="126">
        <v>2</v>
      </c>
      <c r="AB21" s="126">
        <v>2</v>
      </c>
      <c r="AC21" s="126">
        <v>2</v>
      </c>
      <c r="AD21" s="126">
        <v>2</v>
      </c>
      <c r="AE21" s="126">
        <v>2</v>
      </c>
      <c r="AF21" s="126">
        <v>2</v>
      </c>
      <c r="AG21" s="126">
        <v>2</v>
      </c>
      <c r="AH21" s="126">
        <v>2</v>
      </c>
      <c r="AI21" s="126">
        <v>2</v>
      </c>
      <c r="AJ21" s="126">
        <v>2</v>
      </c>
      <c r="AK21" s="126">
        <v>2</v>
      </c>
      <c r="AL21" s="126">
        <v>2</v>
      </c>
      <c r="AM21" s="126">
        <v>2</v>
      </c>
      <c r="AN21" s="126">
        <v>2</v>
      </c>
      <c r="AO21" s="126">
        <v>2</v>
      </c>
      <c r="AP21" s="126">
        <v>2</v>
      </c>
      <c r="AQ21" s="126">
        <v>2</v>
      </c>
      <c r="AR21" s="126">
        <v>2</v>
      </c>
      <c r="AS21" s="126">
        <v>2</v>
      </c>
      <c r="AT21" s="126">
        <v>2</v>
      </c>
      <c r="AU21" s="126">
        <v>2</v>
      </c>
      <c r="AV21" s="126">
        <v>2</v>
      </c>
      <c r="AW21" s="126">
        <v>2</v>
      </c>
      <c r="AX21" s="126">
        <v>2</v>
      </c>
      <c r="AY21" s="126">
        <v>2</v>
      </c>
      <c r="AZ21" s="126">
        <v>2</v>
      </c>
      <c r="BA21" s="126">
        <v>2</v>
      </c>
      <c r="BB21" s="126">
        <v>2</v>
      </c>
      <c r="BC21" s="126">
        <v>2</v>
      </c>
      <c r="BD21" s="126">
        <v>2</v>
      </c>
      <c r="BE21" s="126">
        <v>2</v>
      </c>
    </row>
    <row r="22" spans="1:57" x14ac:dyDescent="0.35">
      <c r="A22" s="127" t="s">
        <v>18</v>
      </c>
      <c r="G22" s="126">
        <v>1</v>
      </c>
      <c r="H22" s="126">
        <v>1</v>
      </c>
      <c r="I22" s="126">
        <v>1</v>
      </c>
      <c r="J22" s="126">
        <v>1</v>
      </c>
      <c r="K22" s="126">
        <v>1</v>
      </c>
      <c r="L22" s="126">
        <v>1</v>
      </c>
      <c r="M22" s="126">
        <v>1</v>
      </c>
      <c r="N22" s="126">
        <v>1</v>
      </c>
      <c r="O22" s="126">
        <v>1</v>
      </c>
      <c r="P22" s="126">
        <v>1</v>
      </c>
      <c r="Q22" s="126">
        <v>1</v>
      </c>
      <c r="R22" s="126">
        <v>1</v>
      </c>
      <c r="S22" s="126">
        <v>1</v>
      </c>
      <c r="T22" s="126">
        <v>1</v>
      </c>
      <c r="U22" s="126">
        <v>1</v>
      </c>
      <c r="V22" s="126">
        <v>1</v>
      </c>
      <c r="W22" s="126">
        <v>1</v>
      </c>
      <c r="X22" s="126">
        <v>1</v>
      </c>
      <c r="Y22" s="126">
        <v>1</v>
      </c>
      <c r="Z22" s="126">
        <v>1</v>
      </c>
      <c r="AA22" s="126">
        <v>1</v>
      </c>
      <c r="AB22" s="126">
        <v>1</v>
      </c>
      <c r="AC22" s="126">
        <v>1</v>
      </c>
      <c r="AD22" s="126">
        <v>1</v>
      </c>
      <c r="AE22" s="126">
        <v>1</v>
      </c>
      <c r="AF22" s="126">
        <v>1</v>
      </c>
      <c r="AG22" s="126">
        <v>1</v>
      </c>
      <c r="AH22" s="126">
        <v>1</v>
      </c>
      <c r="AI22" s="126">
        <v>1</v>
      </c>
      <c r="AJ22" s="126">
        <v>1</v>
      </c>
      <c r="AK22" s="126">
        <v>1</v>
      </c>
      <c r="AL22" s="126">
        <v>1</v>
      </c>
      <c r="AM22" s="126">
        <v>1</v>
      </c>
      <c r="AN22" s="126">
        <v>1</v>
      </c>
      <c r="AO22" s="126">
        <v>1</v>
      </c>
      <c r="AP22" s="126">
        <v>1</v>
      </c>
      <c r="AQ22" s="126">
        <v>1</v>
      </c>
      <c r="AR22" s="126">
        <v>1</v>
      </c>
      <c r="AS22" s="126">
        <v>1</v>
      </c>
      <c r="AT22" s="126">
        <v>1</v>
      </c>
      <c r="AU22" s="126">
        <v>1</v>
      </c>
      <c r="AV22" s="126">
        <v>1</v>
      </c>
      <c r="AW22" s="126">
        <v>1</v>
      </c>
      <c r="AX22" s="126">
        <v>1</v>
      </c>
      <c r="AY22" s="126">
        <v>1</v>
      </c>
      <c r="AZ22" s="126">
        <v>1</v>
      </c>
      <c r="BA22" s="126">
        <v>1</v>
      </c>
      <c r="BB22" s="126">
        <v>1</v>
      </c>
      <c r="BC22" s="126">
        <v>1</v>
      </c>
      <c r="BD22" s="126">
        <v>1</v>
      </c>
      <c r="BE22" s="126">
        <v>1</v>
      </c>
    </row>
    <row r="23" spans="1:57" x14ac:dyDescent="0.35">
      <c r="A23" s="127" t="s">
        <v>19</v>
      </c>
      <c r="G23" s="126">
        <v>1</v>
      </c>
      <c r="H23" s="126">
        <v>1</v>
      </c>
      <c r="I23" s="126">
        <v>1</v>
      </c>
      <c r="J23" s="126">
        <v>1</v>
      </c>
      <c r="K23" s="126">
        <v>1</v>
      </c>
      <c r="L23" s="126">
        <v>1</v>
      </c>
      <c r="M23" s="126">
        <v>1</v>
      </c>
      <c r="N23" s="126">
        <v>1</v>
      </c>
      <c r="O23" s="126">
        <v>1</v>
      </c>
      <c r="P23" s="126">
        <v>1</v>
      </c>
      <c r="Q23" s="126">
        <v>1</v>
      </c>
      <c r="R23" s="126">
        <v>1</v>
      </c>
      <c r="S23" s="126">
        <v>1</v>
      </c>
      <c r="T23" s="126">
        <v>1</v>
      </c>
      <c r="U23" s="126">
        <v>1</v>
      </c>
      <c r="V23" s="126">
        <v>1</v>
      </c>
      <c r="W23" s="126">
        <v>1</v>
      </c>
      <c r="X23" s="126">
        <v>1</v>
      </c>
      <c r="Y23" s="126">
        <v>1</v>
      </c>
      <c r="Z23" s="126">
        <v>1</v>
      </c>
      <c r="AA23" s="126">
        <v>1</v>
      </c>
      <c r="AB23" s="126">
        <v>1</v>
      </c>
      <c r="AC23" s="126">
        <v>1</v>
      </c>
      <c r="AD23" s="126">
        <v>1</v>
      </c>
      <c r="AE23" s="126">
        <v>1</v>
      </c>
      <c r="AF23" s="126">
        <v>1</v>
      </c>
      <c r="AG23" s="126">
        <v>1</v>
      </c>
      <c r="AH23" s="126">
        <v>1</v>
      </c>
      <c r="AI23" s="126">
        <v>1</v>
      </c>
      <c r="AJ23" s="126">
        <v>1</v>
      </c>
      <c r="AK23" s="126">
        <v>1</v>
      </c>
      <c r="AL23" s="126">
        <v>1</v>
      </c>
      <c r="AM23" s="126">
        <v>1</v>
      </c>
      <c r="AN23" s="126">
        <v>1</v>
      </c>
      <c r="AO23" s="126">
        <v>1</v>
      </c>
      <c r="AP23" s="126">
        <v>1</v>
      </c>
      <c r="AQ23" s="126">
        <v>1</v>
      </c>
      <c r="AR23" s="126">
        <v>1</v>
      </c>
      <c r="AS23" s="126">
        <v>1</v>
      </c>
      <c r="AT23" s="126">
        <v>1</v>
      </c>
      <c r="AU23" s="126">
        <v>1</v>
      </c>
      <c r="AV23" s="126">
        <v>1</v>
      </c>
      <c r="AW23" s="126">
        <v>1</v>
      </c>
      <c r="AX23" s="126">
        <v>1</v>
      </c>
      <c r="AY23" s="126">
        <v>1</v>
      </c>
      <c r="AZ23" s="126">
        <v>1</v>
      </c>
      <c r="BA23" s="126">
        <v>1</v>
      </c>
      <c r="BB23" s="126">
        <v>1</v>
      </c>
      <c r="BC23" s="126">
        <v>1</v>
      </c>
      <c r="BD23" s="126">
        <v>1</v>
      </c>
      <c r="BE23" s="126">
        <v>1</v>
      </c>
    </row>
    <row r="24" spans="1:57" x14ac:dyDescent="0.35">
      <c r="A24" s="127" t="s">
        <v>20</v>
      </c>
      <c r="G24" s="126">
        <v>1</v>
      </c>
      <c r="H24" s="126">
        <v>1</v>
      </c>
      <c r="I24" s="126">
        <v>1</v>
      </c>
      <c r="J24" s="126">
        <v>1</v>
      </c>
      <c r="K24" s="126">
        <v>1</v>
      </c>
      <c r="L24" s="126">
        <v>1</v>
      </c>
      <c r="M24" s="126">
        <v>1</v>
      </c>
      <c r="N24" s="126">
        <v>1</v>
      </c>
      <c r="O24" s="126">
        <v>1</v>
      </c>
      <c r="P24" s="126">
        <v>1</v>
      </c>
      <c r="Q24" s="126">
        <v>1</v>
      </c>
      <c r="R24" s="126">
        <v>1</v>
      </c>
      <c r="S24" s="126">
        <v>1</v>
      </c>
      <c r="T24" s="126">
        <v>1</v>
      </c>
      <c r="U24" s="126">
        <v>1</v>
      </c>
      <c r="V24" s="126">
        <v>1</v>
      </c>
      <c r="W24" s="126">
        <v>1</v>
      </c>
      <c r="X24" s="126">
        <v>1</v>
      </c>
      <c r="Y24" s="126">
        <v>1</v>
      </c>
      <c r="Z24" s="126">
        <v>1</v>
      </c>
      <c r="AA24" s="126">
        <v>1</v>
      </c>
      <c r="AB24" s="126">
        <v>1</v>
      </c>
      <c r="AC24" s="126">
        <v>1</v>
      </c>
      <c r="AD24" s="126">
        <v>1</v>
      </c>
      <c r="AE24" s="126">
        <v>1</v>
      </c>
      <c r="AF24" s="126">
        <v>1</v>
      </c>
      <c r="AG24" s="126">
        <v>1</v>
      </c>
      <c r="AH24" s="126">
        <v>1</v>
      </c>
      <c r="AI24" s="126">
        <v>1</v>
      </c>
      <c r="AJ24" s="126">
        <v>1</v>
      </c>
      <c r="AK24" s="126">
        <v>1</v>
      </c>
      <c r="AL24" s="126">
        <v>1</v>
      </c>
      <c r="AM24" s="126">
        <v>1</v>
      </c>
      <c r="AN24" s="126">
        <v>1</v>
      </c>
      <c r="AO24" s="126">
        <v>1</v>
      </c>
      <c r="AP24" s="126">
        <v>1</v>
      </c>
      <c r="AQ24" s="126">
        <v>1</v>
      </c>
      <c r="AR24" s="126">
        <v>1</v>
      </c>
      <c r="AS24" s="126">
        <v>1</v>
      </c>
      <c r="AT24" s="126">
        <v>1</v>
      </c>
      <c r="AU24" s="126">
        <v>1</v>
      </c>
      <c r="AV24" s="126">
        <v>1</v>
      </c>
      <c r="AW24" s="126">
        <v>1</v>
      </c>
      <c r="AX24" s="126">
        <v>1</v>
      </c>
      <c r="AY24" s="126">
        <v>1</v>
      </c>
      <c r="AZ24" s="126">
        <v>1</v>
      </c>
      <c r="BA24" s="126">
        <v>1</v>
      </c>
      <c r="BB24" s="126">
        <v>1</v>
      </c>
      <c r="BC24" s="126">
        <v>1</v>
      </c>
      <c r="BD24" s="126">
        <v>1</v>
      </c>
      <c r="BE24" s="126">
        <v>1</v>
      </c>
    </row>
    <row r="25" spans="1:57" x14ac:dyDescent="0.35">
      <c r="A25" s="127" t="s">
        <v>21</v>
      </c>
      <c r="G25" s="126">
        <v>1</v>
      </c>
      <c r="H25" s="126">
        <v>1</v>
      </c>
      <c r="I25" s="126">
        <v>1</v>
      </c>
      <c r="J25" s="126">
        <v>1</v>
      </c>
      <c r="K25" s="126">
        <v>1</v>
      </c>
      <c r="L25" s="126">
        <v>1</v>
      </c>
      <c r="M25" s="126">
        <v>1</v>
      </c>
      <c r="N25" s="126">
        <v>1</v>
      </c>
      <c r="O25" s="126">
        <v>1</v>
      </c>
      <c r="P25" s="126">
        <v>1</v>
      </c>
      <c r="Q25" s="126">
        <v>1</v>
      </c>
      <c r="R25" s="126">
        <v>1</v>
      </c>
      <c r="S25" s="126">
        <v>1</v>
      </c>
      <c r="T25" s="126">
        <v>1</v>
      </c>
      <c r="U25" s="126">
        <v>1</v>
      </c>
      <c r="V25" s="126">
        <v>1</v>
      </c>
      <c r="W25" s="126">
        <v>1</v>
      </c>
      <c r="X25" s="126">
        <v>1</v>
      </c>
      <c r="Y25" s="126">
        <v>1</v>
      </c>
      <c r="Z25" s="126">
        <v>1</v>
      </c>
      <c r="AA25" s="126">
        <v>1</v>
      </c>
      <c r="AB25" s="126">
        <v>1</v>
      </c>
      <c r="AC25" s="126">
        <v>1</v>
      </c>
      <c r="AD25" s="126">
        <v>1</v>
      </c>
      <c r="AE25" s="126">
        <v>1</v>
      </c>
      <c r="AF25" s="126">
        <v>1</v>
      </c>
      <c r="AG25" s="126">
        <v>1</v>
      </c>
      <c r="AH25" s="126">
        <v>1</v>
      </c>
      <c r="AI25" s="126">
        <v>1</v>
      </c>
      <c r="AJ25" s="126">
        <v>1</v>
      </c>
      <c r="AK25" s="126">
        <v>1</v>
      </c>
      <c r="AL25" s="126">
        <v>1</v>
      </c>
      <c r="AM25" s="126">
        <v>1</v>
      </c>
      <c r="AN25" s="126">
        <v>1</v>
      </c>
      <c r="AO25" s="126">
        <v>1</v>
      </c>
      <c r="AP25" s="126">
        <v>1</v>
      </c>
      <c r="AQ25" s="126">
        <v>1</v>
      </c>
      <c r="AR25" s="126">
        <v>1</v>
      </c>
      <c r="AS25" s="126">
        <v>1</v>
      </c>
      <c r="AT25" s="126">
        <v>1</v>
      </c>
      <c r="AU25" s="126">
        <v>1</v>
      </c>
      <c r="AV25" s="126">
        <v>1</v>
      </c>
      <c r="AW25" s="126">
        <v>1</v>
      </c>
      <c r="AX25" s="126">
        <v>1</v>
      </c>
      <c r="AY25" s="126">
        <v>1</v>
      </c>
      <c r="AZ25" s="126">
        <v>1</v>
      </c>
      <c r="BA25" s="126">
        <v>1</v>
      </c>
      <c r="BB25" s="126">
        <v>1</v>
      </c>
      <c r="BC25" s="126">
        <v>1</v>
      </c>
      <c r="BD25" s="126">
        <v>1</v>
      </c>
      <c r="BE25" s="126">
        <v>1</v>
      </c>
    </row>
    <row r="26" spans="1:57" x14ac:dyDescent="0.35">
      <c r="A26" s="127" t="s">
        <v>22</v>
      </c>
      <c r="G26" s="126">
        <v>1</v>
      </c>
      <c r="H26" s="126">
        <v>1</v>
      </c>
      <c r="I26" s="126">
        <v>1</v>
      </c>
      <c r="J26" s="126">
        <v>1</v>
      </c>
      <c r="K26" s="126">
        <v>1</v>
      </c>
      <c r="L26" s="126">
        <v>1</v>
      </c>
      <c r="M26" s="126">
        <v>1</v>
      </c>
      <c r="N26" s="126">
        <v>1</v>
      </c>
      <c r="O26" s="126">
        <v>1</v>
      </c>
      <c r="P26" s="126">
        <v>1</v>
      </c>
      <c r="Q26" s="126">
        <v>1</v>
      </c>
      <c r="R26" s="126">
        <v>1</v>
      </c>
      <c r="S26" s="126">
        <v>1</v>
      </c>
      <c r="T26" s="126">
        <v>1</v>
      </c>
      <c r="U26" s="126">
        <v>1</v>
      </c>
      <c r="V26" s="126">
        <v>1</v>
      </c>
      <c r="W26" s="126">
        <v>1</v>
      </c>
      <c r="X26" s="126">
        <v>1</v>
      </c>
      <c r="Y26" s="126">
        <v>1</v>
      </c>
      <c r="Z26" s="126">
        <v>1</v>
      </c>
      <c r="AA26" s="126">
        <v>1</v>
      </c>
      <c r="AB26" s="126">
        <v>1</v>
      </c>
      <c r="AC26" s="126">
        <v>1</v>
      </c>
      <c r="AD26" s="126">
        <v>1</v>
      </c>
      <c r="AE26" s="126">
        <v>1</v>
      </c>
      <c r="AF26" s="126">
        <v>1</v>
      </c>
      <c r="AG26" s="126">
        <v>1</v>
      </c>
      <c r="AH26" s="126">
        <v>1</v>
      </c>
      <c r="AI26" s="126">
        <v>1</v>
      </c>
      <c r="AJ26" s="126">
        <v>1</v>
      </c>
      <c r="AK26" s="126">
        <v>1</v>
      </c>
      <c r="AL26" s="126">
        <v>1</v>
      </c>
      <c r="AM26" s="126">
        <v>1</v>
      </c>
      <c r="AN26" s="126">
        <v>1</v>
      </c>
      <c r="AO26" s="126">
        <v>1</v>
      </c>
      <c r="AP26" s="126">
        <v>1</v>
      </c>
      <c r="AQ26" s="126">
        <v>1</v>
      </c>
      <c r="AR26" s="126">
        <v>1</v>
      </c>
      <c r="AS26" s="126">
        <v>1</v>
      </c>
      <c r="AT26" s="126">
        <v>1</v>
      </c>
      <c r="AU26" s="126">
        <v>1</v>
      </c>
      <c r="AV26" s="126">
        <v>1</v>
      </c>
      <c r="AW26" s="126">
        <v>1</v>
      </c>
      <c r="AX26" s="126">
        <v>1</v>
      </c>
      <c r="AY26" s="126">
        <v>1</v>
      </c>
      <c r="AZ26" s="126">
        <v>1</v>
      </c>
      <c r="BA26" s="126">
        <v>1</v>
      </c>
      <c r="BB26" s="126">
        <v>1</v>
      </c>
      <c r="BC26" s="126">
        <v>1</v>
      </c>
      <c r="BD26" s="126">
        <v>1</v>
      </c>
      <c r="BE26" s="126">
        <v>1</v>
      </c>
    </row>
    <row r="27" spans="1:57" x14ac:dyDescent="0.35">
      <c r="A27" s="127" t="s">
        <v>23</v>
      </c>
      <c r="G27" s="126">
        <v>1</v>
      </c>
      <c r="H27" s="126">
        <v>1</v>
      </c>
      <c r="I27" s="126">
        <v>1</v>
      </c>
      <c r="J27" s="126">
        <v>1</v>
      </c>
      <c r="K27" s="126">
        <v>1</v>
      </c>
      <c r="L27" s="126">
        <v>1</v>
      </c>
      <c r="M27" s="126">
        <v>1</v>
      </c>
      <c r="N27" s="126">
        <v>1</v>
      </c>
      <c r="O27" s="126">
        <v>1</v>
      </c>
      <c r="P27" s="126">
        <v>1</v>
      </c>
      <c r="Q27" s="126">
        <v>1</v>
      </c>
      <c r="R27" s="126">
        <v>1</v>
      </c>
      <c r="S27" s="126">
        <v>1</v>
      </c>
      <c r="T27" s="126">
        <v>1</v>
      </c>
      <c r="U27" s="126">
        <v>1</v>
      </c>
      <c r="V27" s="126">
        <v>1</v>
      </c>
      <c r="W27" s="126">
        <v>1</v>
      </c>
      <c r="X27" s="126">
        <v>1</v>
      </c>
      <c r="Y27" s="126">
        <v>1</v>
      </c>
      <c r="Z27" s="126">
        <v>1</v>
      </c>
      <c r="AA27" s="126">
        <v>1</v>
      </c>
      <c r="AB27" s="126">
        <v>1</v>
      </c>
      <c r="AC27" s="126">
        <v>1</v>
      </c>
      <c r="AD27" s="126">
        <v>1</v>
      </c>
      <c r="AE27" s="126">
        <v>1</v>
      </c>
      <c r="AF27" s="126">
        <v>1</v>
      </c>
      <c r="AG27" s="126">
        <v>1</v>
      </c>
      <c r="AH27" s="126">
        <v>1</v>
      </c>
      <c r="AI27" s="126">
        <v>1</v>
      </c>
      <c r="AJ27" s="126">
        <v>1</v>
      </c>
      <c r="AK27" s="126">
        <v>1</v>
      </c>
      <c r="AL27" s="126">
        <v>1</v>
      </c>
      <c r="AM27" s="126">
        <v>1</v>
      </c>
      <c r="AN27" s="126">
        <v>1</v>
      </c>
      <c r="AO27" s="126">
        <v>1</v>
      </c>
      <c r="AP27" s="126">
        <v>1</v>
      </c>
      <c r="AQ27" s="126">
        <v>1</v>
      </c>
      <c r="AR27" s="126">
        <v>1</v>
      </c>
      <c r="AS27" s="126">
        <v>1</v>
      </c>
      <c r="AT27" s="126">
        <v>1</v>
      </c>
      <c r="AU27" s="126">
        <v>1</v>
      </c>
      <c r="AV27" s="126">
        <v>1</v>
      </c>
      <c r="AW27" s="126">
        <v>1</v>
      </c>
      <c r="AX27" s="126">
        <v>1</v>
      </c>
      <c r="AY27" s="126">
        <v>1</v>
      </c>
      <c r="AZ27" s="126">
        <v>1</v>
      </c>
      <c r="BA27" s="126">
        <v>1</v>
      </c>
      <c r="BB27" s="126">
        <v>1</v>
      </c>
      <c r="BC27" s="126">
        <v>1</v>
      </c>
      <c r="BD27" s="126">
        <v>1</v>
      </c>
      <c r="BE27" s="126">
        <v>1</v>
      </c>
    </row>
    <row r="28" spans="1:57" x14ac:dyDescent="0.35">
      <c r="A28" s="127" t="s">
        <v>24</v>
      </c>
      <c r="G28" s="126">
        <v>1</v>
      </c>
      <c r="H28" s="126">
        <v>1</v>
      </c>
      <c r="I28" s="126">
        <v>1</v>
      </c>
      <c r="J28" s="126">
        <v>1</v>
      </c>
      <c r="K28" s="126">
        <v>1</v>
      </c>
      <c r="L28" s="126">
        <v>1</v>
      </c>
      <c r="M28" s="126">
        <v>1</v>
      </c>
      <c r="N28" s="126">
        <v>1</v>
      </c>
      <c r="O28" s="126">
        <v>1</v>
      </c>
      <c r="P28" s="126">
        <v>1</v>
      </c>
      <c r="Q28" s="126">
        <v>1</v>
      </c>
      <c r="R28" s="126">
        <v>1</v>
      </c>
      <c r="S28" s="126">
        <v>1</v>
      </c>
      <c r="T28" s="126">
        <v>1</v>
      </c>
      <c r="U28" s="126">
        <v>1</v>
      </c>
      <c r="V28" s="126">
        <v>1</v>
      </c>
      <c r="W28" s="126">
        <v>1</v>
      </c>
      <c r="X28" s="126">
        <v>1</v>
      </c>
      <c r="Y28" s="126">
        <v>1</v>
      </c>
      <c r="Z28" s="126">
        <v>1</v>
      </c>
      <c r="AA28" s="126">
        <v>1</v>
      </c>
      <c r="AB28" s="126">
        <v>1</v>
      </c>
      <c r="AC28" s="126">
        <v>1</v>
      </c>
      <c r="AD28" s="126">
        <v>1</v>
      </c>
      <c r="AE28" s="126">
        <v>1</v>
      </c>
      <c r="AF28" s="126">
        <v>1</v>
      </c>
      <c r="AG28" s="126">
        <v>1</v>
      </c>
      <c r="AH28" s="126">
        <v>1</v>
      </c>
      <c r="AI28" s="126">
        <v>1</v>
      </c>
      <c r="AJ28" s="126">
        <v>1</v>
      </c>
      <c r="AK28" s="126">
        <v>1</v>
      </c>
      <c r="AL28" s="126">
        <v>1</v>
      </c>
      <c r="AM28" s="126">
        <v>1</v>
      </c>
      <c r="AN28" s="126">
        <v>1</v>
      </c>
      <c r="AO28" s="126">
        <v>1</v>
      </c>
      <c r="AP28" s="126">
        <v>1</v>
      </c>
      <c r="AQ28" s="126">
        <v>1</v>
      </c>
      <c r="AR28" s="126">
        <v>1</v>
      </c>
      <c r="AS28" s="126">
        <v>1</v>
      </c>
      <c r="AT28" s="126">
        <v>1</v>
      </c>
      <c r="AU28" s="126">
        <v>1</v>
      </c>
      <c r="AV28" s="126">
        <v>1</v>
      </c>
      <c r="AW28" s="126">
        <v>1</v>
      </c>
      <c r="AX28" s="126">
        <v>1</v>
      </c>
      <c r="AY28" s="126">
        <v>1</v>
      </c>
      <c r="AZ28" s="126">
        <v>1</v>
      </c>
      <c r="BA28" s="126">
        <v>1</v>
      </c>
      <c r="BB28" s="126">
        <v>1</v>
      </c>
      <c r="BC28" s="126">
        <v>1</v>
      </c>
      <c r="BD28" s="126">
        <v>1</v>
      </c>
      <c r="BE28" s="126">
        <v>1</v>
      </c>
    </row>
    <row r="29" spans="1:57" x14ac:dyDescent="0.35">
      <c r="A29" s="127" t="s">
        <v>25</v>
      </c>
      <c r="G29" s="126">
        <v>1</v>
      </c>
      <c r="H29" s="126">
        <v>1</v>
      </c>
      <c r="I29" s="126">
        <v>1</v>
      </c>
      <c r="J29" s="126">
        <v>1</v>
      </c>
      <c r="K29" s="126">
        <v>1</v>
      </c>
      <c r="L29" s="126">
        <v>1</v>
      </c>
      <c r="M29" s="126">
        <v>1</v>
      </c>
      <c r="N29" s="126">
        <v>1</v>
      </c>
      <c r="O29" s="126">
        <v>1</v>
      </c>
      <c r="P29" s="126">
        <v>1</v>
      </c>
      <c r="Q29" s="126">
        <v>1</v>
      </c>
      <c r="R29" s="126">
        <v>1</v>
      </c>
      <c r="S29" s="126">
        <v>1</v>
      </c>
      <c r="T29" s="126">
        <v>1</v>
      </c>
      <c r="U29" s="126">
        <v>1</v>
      </c>
      <c r="V29" s="126">
        <v>1</v>
      </c>
      <c r="W29" s="126">
        <v>1</v>
      </c>
      <c r="X29" s="126">
        <v>1</v>
      </c>
      <c r="Y29" s="126">
        <v>1</v>
      </c>
      <c r="Z29" s="126">
        <v>1</v>
      </c>
      <c r="AA29" s="126">
        <v>1</v>
      </c>
      <c r="AB29" s="126">
        <v>1</v>
      </c>
      <c r="AC29" s="126">
        <v>1</v>
      </c>
      <c r="AD29" s="126">
        <v>1</v>
      </c>
      <c r="AE29" s="126">
        <v>1</v>
      </c>
      <c r="AF29" s="126">
        <v>1</v>
      </c>
      <c r="AG29" s="126">
        <v>1</v>
      </c>
      <c r="AH29" s="126">
        <v>1</v>
      </c>
      <c r="AI29" s="126">
        <v>1</v>
      </c>
      <c r="AJ29" s="126">
        <v>1</v>
      </c>
      <c r="AK29" s="126">
        <v>1</v>
      </c>
      <c r="AL29" s="126">
        <v>1</v>
      </c>
      <c r="AM29" s="126">
        <v>1</v>
      </c>
      <c r="AN29" s="126">
        <v>1</v>
      </c>
      <c r="AO29" s="126">
        <v>1</v>
      </c>
      <c r="AP29" s="126">
        <v>1</v>
      </c>
      <c r="AQ29" s="126">
        <v>1</v>
      </c>
      <c r="AR29" s="126">
        <v>1</v>
      </c>
      <c r="AS29" s="126">
        <v>1</v>
      </c>
      <c r="AT29" s="126">
        <v>1</v>
      </c>
      <c r="AU29" s="126">
        <v>1</v>
      </c>
      <c r="AV29" s="126">
        <v>1</v>
      </c>
      <c r="AW29" s="126">
        <v>1</v>
      </c>
      <c r="AX29" s="126">
        <v>1</v>
      </c>
      <c r="AY29" s="126">
        <v>1</v>
      </c>
      <c r="AZ29" s="126">
        <v>1</v>
      </c>
      <c r="BA29" s="126">
        <v>1</v>
      </c>
      <c r="BB29" s="126">
        <v>1</v>
      </c>
      <c r="BC29" s="126">
        <v>1</v>
      </c>
      <c r="BD29" s="126">
        <v>1</v>
      </c>
      <c r="BE29" s="126">
        <v>1</v>
      </c>
    </row>
    <row r="30" spans="1:57" x14ac:dyDescent="0.35">
      <c r="A30" s="127" t="s">
        <v>26</v>
      </c>
      <c r="G30" s="126">
        <v>1</v>
      </c>
      <c r="H30" s="126">
        <v>1</v>
      </c>
      <c r="I30" s="126">
        <v>1</v>
      </c>
      <c r="J30" s="126">
        <v>1</v>
      </c>
      <c r="K30" s="126">
        <v>1</v>
      </c>
      <c r="L30" s="126">
        <v>1</v>
      </c>
      <c r="M30" s="126">
        <v>1</v>
      </c>
      <c r="N30" s="126">
        <v>1</v>
      </c>
      <c r="O30" s="126">
        <v>1</v>
      </c>
      <c r="P30" s="126">
        <v>1</v>
      </c>
      <c r="Q30" s="126">
        <v>1</v>
      </c>
      <c r="R30" s="126">
        <v>1</v>
      </c>
      <c r="S30" s="126">
        <v>1</v>
      </c>
      <c r="T30" s="126">
        <v>1</v>
      </c>
      <c r="U30" s="126">
        <v>1</v>
      </c>
      <c r="V30" s="126">
        <v>1</v>
      </c>
      <c r="W30" s="126">
        <v>1</v>
      </c>
      <c r="X30" s="126">
        <v>1</v>
      </c>
      <c r="Y30" s="126">
        <v>1</v>
      </c>
      <c r="Z30" s="126">
        <v>1</v>
      </c>
      <c r="AA30" s="126">
        <v>1</v>
      </c>
      <c r="AB30" s="126">
        <v>1</v>
      </c>
      <c r="AC30" s="126">
        <v>1</v>
      </c>
      <c r="AD30" s="126">
        <v>1</v>
      </c>
      <c r="AE30" s="126">
        <v>1</v>
      </c>
      <c r="AF30" s="126">
        <v>1</v>
      </c>
      <c r="AG30" s="126">
        <v>1</v>
      </c>
      <c r="AH30" s="126">
        <v>1</v>
      </c>
      <c r="AI30" s="126">
        <v>1</v>
      </c>
      <c r="AJ30" s="126">
        <v>1</v>
      </c>
      <c r="AK30" s="126">
        <v>1</v>
      </c>
      <c r="AL30" s="126">
        <v>1</v>
      </c>
      <c r="AM30" s="126">
        <v>1</v>
      </c>
      <c r="AN30" s="126">
        <v>1</v>
      </c>
      <c r="AO30" s="126">
        <v>1</v>
      </c>
      <c r="AP30" s="126">
        <v>1</v>
      </c>
      <c r="AQ30" s="126">
        <v>1</v>
      </c>
      <c r="AR30" s="126">
        <v>1</v>
      </c>
      <c r="AS30" s="126">
        <v>1</v>
      </c>
      <c r="AT30" s="126">
        <v>1</v>
      </c>
      <c r="AU30" s="126">
        <v>1</v>
      </c>
      <c r="AV30" s="126">
        <v>1</v>
      </c>
      <c r="AW30" s="126">
        <v>1</v>
      </c>
      <c r="AX30" s="126">
        <v>1</v>
      </c>
      <c r="AY30" s="126">
        <v>1</v>
      </c>
      <c r="AZ30" s="126">
        <v>1</v>
      </c>
      <c r="BA30" s="126">
        <v>1</v>
      </c>
      <c r="BB30" s="126">
        <v>1</v>
      </c>
      <c r="BC30" s="126">
        <v>1</v>
      </c>
      <c r="BD30" s="126">
        <v>1</v>
      </c>
      <c r="BE30" s="126">
        <v>1</v>
      </c>
    </row>
    <row r="31" spans="1:57" x14ac:dyDescent="0.35">
      <c r="A31" s="127" t="s">
        <v>27</v>
      </c>
      <c r="G31" s="126">
        <v>1</v>
      </c>
      <c r="H31" s="126">
        <v>1</v>
      </c>
      <c r="I31" s="126">
        <v>1</v>
      </c>
      <c r="J31" s="126">
        <v>1</v>
      </c>
      <c r="K31" s="126">
        <v>1</v>
      </c>
      <c r="L31" s="126">
        <v>1</v>
      </c>
      <c r="M31" s="126">
        <v>1</v>
      </c>
      <c r="N31" s="126">
        <v>1</v>
      </c>
      <c r="O31" s="126">
        <v>1</v>
      </c>
      <c r="P31" s="126">
        <v>1</v>
      </c>
      <c r="Q31" s="126">
        <v>1</v>
      </c>
      <c r="R31" s="126">
        <v>1</v>
      </c>
      <c r="S31" s="126">
        <v>1</v>
      </c>
      <c r="T31" s="126">
        <v>1</v>
      </c>
      <c r="U31" s="126">
        <v>1</v>
      </c>
      <c r="V31" s="126">
        <v>1</v>
      </c>
      <c r="W31" s="126">
        <v>1</v>
      </c>
      <c r="X31" s="126">
        <v>1</v>
      </c>
      <c r="Y31" s="126">
        <v>1</v>
      </c>
      <c r="Z31" s="126">
        <v>1</v>
      </c>
      <c r="AA31" s="126">
        <v>1</v>
      </c>
      <c r="AB31" s="126">
        <v>1</v>
      </c>
      <c r="AC31" s="126">
        <v>1</v>
      </c>
      <c r="AD31" s="126">
        <v>1</v>
      </c>
      <c r="AE31" s="126">
        <v>1</v>
      </c>
      <c r="AF31" s="126">
        <v>1</v>
      </c>
      <c r="AG31" s="126">
        <v>1</v>
      </c>
      <c r="AH31" s="126">
        <v>1</v>
      </c>
      <c r="AI31" s="126">
        <v>1</v>
      </c>
      <c r="AJ31" s="126">
        <v>1</v>
      </c>
      <c r="AK31" s="126">
        <v>1</v>
      </c>
      <c r="AL31" s="126">
        <v>1</v>
      </c>
      <c r="AM31" s="126">
        <v>1</v>
      </c>
      <c r="AN31" s="126">
        <v>1</v>
      </c>
      <c r="AO31" s="126">
        <v>1</v>
      </c>
      <c r="AP31" s="126">
        <v>1</v>
      </c>
      <c r="AQ31" s="126">
        <v>1</v>
      </c>
      <c r="AR31" s="126">
        <v>1</v>
      </c>
      <c r="AS31" s="126">
        <v>1</v>
      </c>
      <c r="AT31" s="126">
        <v>1</v>
      </c>
      <c r="AU31" s="126">
        <v>1</v>
      </c>
      <c r="AV31" s="126">
        <v>1</v>
      </c>
      <c r="AW31" s="126">
        <v>1</v>
      </c>
      <c r="AX31" s="126">
        <v>1</v>
      </c>
      <c r="AY31" s="126">
        <v>1</v>
      </c>
      <c r="AZ31" s="126">
        <v>1</v>
      </c>
      <c r="BA31" s="126">
        <v>1</v>
      </c>
      <c r="BB31" s="126">
        <v>1</v>
      </c>
      <c r="BC31" s="126">
        <v>1</v>
      </c>
      <c r="BD31" s="126">
        <v>1</v>
      </c>
      <c r="BE31" s="126">
        <v>1</v>
      </c>
    </row>
    <row r="32" spans="1:57" x14ac:dyDescent="0.35">
      <c r="A32" s="127" t="s">
        <v>28</v>
      </c>
      <c r="G32" s="126">
        <v>1</v>
      </c>
      <c r="H32" s="126">
        <v>1</v>
      </c>
      <c r="I32" s="126">
        <v>1</v>
      </c>
      <c r="J32" s="126">
        <v>1</v>
      </c>
      <c r="K32" s="126">
        <v>1</v>
      </c>
      <c r="L32" s="126">
        <v>1</v>
      </c>
      <c r="M32" s="126">
        <v>1</v>
      </c>
      <c r="N32" s="126">
        <v>1</v>
      </c>
      <c r="O32" s="126">
        <v>1</v>
      </c>
      <c r="P32" s="126">
        <v>1</v>
      </c>
      <c r="Q32" s="126">
        <v>1</v>
      </c>
      <c r="R32" s="126">
        <v>1</v>
      </c>
      <c r="S32" s="126">
        <v>1</v>
      </c>
      <c r="T32" s="126">
        <v>1</v>
      </c>
      <c r="U32" s="126">
        <v>1</v>
      </c>
      <c r="V32" s="126">
        <v>1</v>
      </c>
      <c r="W32" s="126">
        <v>1</v>
      </c>
      <c r="X32" s="126">
        <v>1</v>
      </c>
      <c r="Y32" s="126">
        <v>1</v>
      </c>
      <c r="Z32" s="126">
        <v>1</v>
      </c>
      <c r="AA32" s="126">
        <v>1</v>
      </c>
      <c r="AB32" s="126">
        <v>1</v>
      </c>
      <c r="AC32" s="126">
        <v>1</v>
      </c>
      <c r="AD32" s="126">
        <v>1</v>
      </c>
      <c r="AE32" s="126">
        <v>1</v>
      </c>
      <c r="AF32" s="126">
        <v>1</v>
      </c>
      <c r="AG32" s="126">
        <v>1</v>
      </c>
      <c r="AH32" s="126">
        <v>1</v>
      </c>
      <c r="AI32" s="126">
        <v>1</v>
      </c>
      <c r="AJ32" s="126">
        <v>1</v>
      </c>
      <c r="AK32" s="126">
        <v>1</v>
      </c>
      <c r="AL32" s="126">
        <v>1</v>
      </c>
      <c r="AM32" s="126">
        <v>1</v>
      </c>
      <c r="AN32" s="126">
        <v>1</v>
      </c>
      <c r="AO32" s="126">
        <v>1</v>
      </c>
      <c r="AP32" s="126">
        <v>1</v>
      </c>
      <c r="AQ32" s="126">
        <v>1</v>
      </c>
      <c r="AR32" s="126">
        <v>1</v>
      </c>
      <c r="AS32" s="126">
        <v>1</v>
      </c>
      <c r="AT32" s="126">
        <v>1</v>
      </c>
      <c r="AU32" s="126">
        <v>1</v>
      </c>
      <c r="AV32" s="126">
        <v>1</v>
      </c>
      <c r="AW32" s="126">
        <v>1</v>
      </c>
      <c r="AX32" s="126">
        <v>1</v>
      </c>
      <c r="AY32" s="126">
        <v>1</v>
      </c>
      <c r="AZ32" s="126">
        <v>1</v>
      </c>
      <c r="BA32" s="126">
        <v>1</v>
      </c>
      <c r="BB32" s="126">
        <v>1</v>
      </c>
      <c r="BC32" s="126">
        <v>1</v>
      </c>
      <c r="BD32" s="126">
        <v>1</v>
      </c>
      <c r="BE32" s="126">
        <v>1</v>
      </c>
    </row>
    <row r="33" spans="1:57" x14ac:dyDescent="0.35">
      <c r="A33" s="127" t="s">
        <v>29</v>
      </c>
      <c r="G33" s="126">
        <v>2</v>
      </c>
      <c r="H33" s="126">
        <v>2</v>
      </c>
      <c r="I33" s="126">
        <v>2</v>
      </c>
      <c r="J33" s="126">
        <v>2</v>
      </c>
      <c r="K33" s="126">
        <v>2</v>
      </c>
      <c r="L33" s="126">
        <v>2</v>
      </c>
      <c r="M33" s="126">
        <v>2</v>
      </c>
      <c r="N33" s="126">
        <v>2</v>
      </c>
      <c r="O33" s="126">
        <v>2</v>
      </c>
      <c r="P33" s="126">
        <v>2</v>
      </c>
      <c r="Q33" s="126">
        <v>2</v>
      </c>
      <c r="R33" s="126">
        <v>2</v>
      </c>
      <c r="S33" s="126">
        <v>2</v>
      </c>
      <c r="T33" s="126">
        <v>2</v>
      </c>
      <c r="U33" s="126">
        <v>2</v>
      </c>
      <c r="V33" s="126">
        <v>2</v>
      </c>
      <c r="W33" s="126">
        <v>2</v>
      </c>
      <c r="X33" s="126">
        <v>2</v>
      </c>
      <c r="Y33" s="126">
        <v>2</v>
      </c>
      <c r="Z33" s="126">
        <v>2</v>
      </c>
      <c r="AA33" s="126">
        <v>2</v>
      </c>
      <c r="AB33" s="126">
        <v>2</v>
      </c>
      <c r="AC33" s="126">
        <v>2</v>
      </c>
      <c r="AD33" s="126">
        <v>2</v>
      </c>
      <c r="AE33" s="126">
        <v>2</v>
      </c>
      <c r="AF33" s="126">
        <v>2</v>
      </c>
      <c r="AG33" s="126">
        <v>2</v>
      </c>
      <c r="AH33" s="126">
        <v>2</v>
      </c>
      <c r="AI33" s="126">
        <v>2</v>
      </c>
      <c r="AJ33" s="126">
        <v>2</v>
      </c>
      <c r="AK33" s="126">
        <v>2</v>
      </c>
      <c r="AL33" s="126">
        <v>2</v>
      </c>
      <c r="AM33" s="126">
        <v>2</v>
      </c>
      <c r="AN33" s="126">
        <v>2</v>
      </c>
      <c r="AO33" s="126">
        <v>2</v>
      </c>
      <c r="AP33" s="126">
        <v>2</v>
      </c>
      <c r="AQ33" s="126">
        <v>2</v>
      </c>
      <c r="AR33" s="126">
        <v>2</v>
      </c>
      <c r="AS33" s="126">
        <v>2</v>
      </c>
      <c r="AT33" s="126">
        <v>2</v>
      </c>
      <c r="AU33" s="126">
        <v>2</v>
      </c>
      <c r="AV33" s="126">
        <v>2</v>
      </c>
      <c r="AW33" s="126">
        <v>2</v>
      </c>
      <c r="AX33" s="126">
        <v>2</v>
      </c>
      <c r="AY33" s="126">
        <v>2</v>
      </c>
      <c r="AZ33" s="126">
        <v>2</v>
      </c>
      <c r="BA33" s="126">
        <v>2</v>
      </c>
      <c r="BB33" s="126">
        <v>2</v>
      </c>
      <c r="BC33" s="126">
        <v>2</v>
      </c>
      <c r="BD33" s="126">
        <v>2</v>
      </c>
      <c r="BE33" s="126">
        <v>2</v>
      </c>
    </row>
    <row r="34" spans="1:57" x14ac:dyDescent="0.35">
      <c r="A34" s="127" t="s">
        <v>30</v>
      </c>
      <c r="G34" s="126">
        <v>1</v>
      </c>
      <c r="H34" s="126">
        <v>1</v>
      </c>
      <c r="I34" s="126">
        <v>1</v>
      </c>
      <c r="J34" s="126">
        <v>1</v>
      </c>
      <c r="K34" s="126">
        <v>1</v>
      </c>
      <c r="L34" s="126">
        <v>1</v>
      </c>
      <c r="M34" s="126">
        <v>1</v>
      </c>
      <c r="N34" s="126">
        <v>1</v>
      </c>
      <c r="O34" s="126">
        <v>1</v>
      </c>
      <c r="P34" s="126">
        <v>1</v>
      </c>
      <c r="Q34" s="126">
        <v>1</v>
      </c>
      <c r="R34" s="126">
        <v>1</v>
      </c>
      <c r="S34" s="126">
        <v>1</v>
      </c>
      <c r="T34" s="126">
        <v>1</v>
      </c>
      <c r="U34" s="126">
        <v>1</v>
      </c>
      <c r="V34" s="126">
        <v>1</v>
      </c>
      <c r="W34" s="126">
        <v>1</v>
      </c>
      <c r="X34" s="126">
        <v>1</v>
      </c>
      <c r="Y34" s="126">
        <v>1</v>
      </c>
      <c r="Z34" s="126">
        <v>1</v>
      </c>
      <c r="AA34" s="126">
        <v>1</v>
      </c>
      <c r="AB34" s="126">
        <v>1</v>
      </c>
      <c r="AC34" s="126">
        <v>1</v>
      </c>
      <c r="AD34" s="126">
        <v>1</v>
      </c>
      <c r="AE34" s="126">
        <v>1</v>
      </c>
      <c r="AF34" s="126">
        <v>1</v>
      </c>
      <c r="AG34" s="126">
        <v>1</v>
      </c>
      <c r="AH34" s="126">
        <v>1</v>
      </c>
      <c r="AI34" s="126">
        <v>1</v>
      </c>
      <c r="AJ34" s="126">
        <v>1</v>
      </c>
      <c r="AK34" s="126">
        <v>1</v>
      </c>
      <c r="AL34" s="126">
        <v>1</v>
      </c>
      <c r="AM34" s="126">
        <v>1</v>
      </c>
      <c r="AN34" s="126">
        <v>1</v>
      </c>
      <c r="AO34" s="126">
        <v>1</v>
      </c>
      <c r="AP34" s="126">
        <v>1</v>
      </c>
      <c r="AQ34" s="126">
        <v>1</v>
      </c>
      <c r="AR34" s="126">
        <v>1</v>
      </c>
      <c r="AS34" s="126">
        <v>1</v>
      </c>
      <c r="AT34" s="126">
        <v>1</v>
      </c>
      <c r="AU34" s="126">
        <v>1</v>
      </c>
      <c r="AV34" s="126">
        <v>1</v>
      </c>
      <c r="AW34" s="126">
        <v>1</v>
      </c>
      <c r="AX34" s="126">
        <v>1</v>
      </c>
      <c r="AY34" s="126">
        <v>1</v>
      </c>
      <c r="AZ34" s="126">
        <v>1</v>
      </c>
      <c r="BA34" s="126">
        <v>1</v>
      </c>
      <c r="BB34" s="126">
        <v>1</v>
      </c>
      <c r="BC34" s="126">
        <v>1</v>
      </c>
      <c r="BD34" s="126">
        <v>1</v>
      </c>
      <c r="BE34" s="126">
        <v>1</v>
      </c>
    </row>
    <row r="35" spans="1:57" x14ac:dyDescent="0.35">
      <c r="A35" s="127" t="s">
        <v>31</v>
      </c>
      <c r="G35" s="126">
        <v>1</v>
      </c>
      <c r="H35" s="126">
        <v>1</v>
      </c>
      <c r="I35" s="126">
        <v>1</v>
      </c>
      <c r="J35" s="126">
        <v>1</v>
      </c>
      <c r="K35" s="126">
        <v>1</v>
      </c>
      <c r="L35" s="126">
        <v>1</v>
      </c>
      <c r="M35" s="126">
        <v>1</v>
      </c>
      <c r="N35" s="126">
        <v>1</v>
      </c>
      <c r="O35" s="126">
        <v>1</v>
      </c>
      <c r="P35" s="126">
        <v>1</v>
      </c>
      <c r="Q35" s="126">
        <v>1</v>
      </c>
      <c r="R35" s="126">
        <v>1</v>
      </c>
      <c r="S35" s="126">
        <v>1</v>
      </c>
      <c r="T35" s="126">
        <v>1</v>
      </c>
      <c r="U35" s="126">
        <v>1</v>
      </c>
      <c r="V35" s="126">
        <v>1</v>
      </c>
      <c r="W35" s="126">
        <v>1</v>
      </c>
      <c r="X35" s="126">
        <v>1</v>
      </c>
      <c r="Y35" s="126">
        <v>1</v>
      </c>
      <c r="Z35" s="126">
        <v>1</v>
      </c>
      <c r="AA35" s="126">
        <v>1</v>
      </c>
      <c r="AB35" s="126">
        <v>1</v>
      </c>
      <c r="AC35" s="126">
        <v>1</v>
      </c>
      <c r="AD35" s="126">
        <v>1</v>
      </c>
      <c r="AE35" s="126">
        <v>1</v>
      </c>
      <c r="AF35" s="126">
        <v>1</v>
      </c>
      <c r="AG35" s="126">
        <v>1</v>
      </c>
      <c r="AH35" s="126">
        <v>1</v>
      </c>
      <c r="AI35" s="126">
        <v>1</v>
      </c>
      <c r="AJ35" s="126">
        <v>1</v>
      </c>
      <c r="AK35" s="126">
        <v>1</v>
      </c>
      <c r="AL35" s="126">
        <v>1</v>
      </c>
      <c r="AM35" s="126">
        <v>1</v>
      </c>
      <c r="AN35" s="126">
        <v>1</v>
      </c>
      <c r="AO35" s="126">
        <v>1</v>
      </c>
      <c r="AP35" s="126">
        <v>1</v>
      </c>
      <c r="AQ35" s="126">
        <v>1</v>
      </c>
      <c r="AR35" s="126">
        <v>1</v>
      </c>
      <c r="AS35" s="126">
        <v>1</v>
      </c>
      <c r="AT35" s="126">
        <v>1</v>
      </c>
      <c r="AU35" s="126">
        <v>1</v>
      </c>
      <c r="AV35" s="126">
        <v>1</v>
      </c>
      <c r="AW35" s="126">
        <v>1</v>
      </c>
      <c r="AX35" s="126">
        <v>1</v>
      </c>
      <c r="AY35" s="126">
        <v>1</v>
      </c>
      <c r="AZ35" s="126">
        <v>1</v>
      </c>
      <c r="BA35" s="126">
        <v>1</v>
      </c>
      <c r="BB35" s="126">
        <v>1</v>
      </c>
      <c r="BC35" s="126">
        <v>1</v>
      </c>
      <c r="BD35" s="126">
        <v>1</v>
      </c>
      <c r="BE35" s="126">
        <v>1</v>
      </c>
    </row>
    <row r="36" spans="1:57" x14ac:dyDescent="0.35">
      <c r="A36" s="127" t="s">
        <v>32</v>
      </c>
      <c r="G36" s="126">
        <v>2</v>
      </c>
      <c r="H36" s="126">
        <v>2</v>
      </c>
      <c r="I36" s="126">
        <v>2</v>
      </c>
      <c r="J36" s="126">
        <v>2</v>
      </c>
      <c r="K36" s="126">
        <v>2</v>
      </c>
      <c r="L36" s="126">
        <v>2</v>
      </c>
      <c r="M36" s="126">
        <v>2</v>
      </c>
      <c r="N36" s="126">
        <v>2</v>
      </c>
      <c r="O36" s="126">
        <v>2</v>
      </c>
      <c r="P36" s="126">
        <v>2</v>
      </c>
      <c r="Q36" s="126">
        <v>2</v>
      </c>
      <c r="R36" s="126">
        <v>2</v>
      </c>
      <c r="S36" s="126">
        <v>2</v>
      </c>
      <c r="T36" s="126">
        <v>2</v>
      </c>
      <c r="U36" s="126">
        <v>2</v>
      </c>
      <c r="V36" s="126">
        <v>2</v>
      </c>
      <c r="W36" s="126">
        <v>2</v>
      </c>
      <c r="X36" s="126">
        <v>2</v>
      </c>
      <c r="Y36" s="126">
        <v>2</v>
      </c>
      <c r="Z36" s="126">
        <v>2</v>
      </c>
      <c r="AA36" s="126">
        <v>2</v>
      </c>
      <c r="AB36" s="126">
        <v>2</v>
      </c>
      <c r="AC36" s="126">
        <v>2</v>
      </c>
      <c r="AD36" s="126">
        <v>2</v>
      </c>
      <c r="AE36" s="126">
        <v>2</v>
      </c>
      <c r="AF36" s="126">
        <v>2</v>
      </c>
      <c r="AG36" s="126">
        <v>2</v>
      </c>
      <c r="AH36" s="126">
        <v>2</v>
      </c>
      <c r="AI36" s="126">
        <v>2</v>
      </c>
      <c r="AJ36" s="126">
        <v>2</v>
      </c>
      <c r="AK36" s="126">
        <v>2</v>
      </c>
      <c r="AL36" s="126">
        <v>2</v>
      </c>
      <c r="AM36" s="126">
        <v>2</v>
      </c>
      <c r="AN36" s="126">
        <v>2</v>
      </c>
      <c r="AO36" s="126">
        <v>2</v>
      </c>
      <c r="AP36" s="126">
        <v>2</v>
      </c>
      <c r="AQ36" s="126">
        <v>2</v>
      </c>
      <c r="AR36" s="126">
        <v>2</v>
      </c>
      <c r="AS36" s="126">
        <v>2</v>
      </c>
      <c r="AT36" s="126">
        <v>2</v>
      </c>
      <c r="AU36" s="126">
        <v>2</v>
      </c>
      <c r="AV36" s="126">
        <v>2</v>
      </c>
      <c r="AW36" s="126">
        <v>2</v>
      </c>
      <c r="AX36" s="126">
        <v>2</v>
      </c>
      <c r="AY36" s="126">
        <v>2</v>
      </c>
      <c r="AZ36" s="126">
        <v>2</v>
      </c>
      <c r="BA36" s="126">
        <v>2</v>
      </c>
      <c r="BB36" s="126">
        <v>2</v>
      </c>
      <c r="BC36" s="126">
        <v>2</v>
      </c>
      <c r="BD36" s="126">
        <v>2</v>
      </c>
      <c r="BE36" s="126">
        <v>2</v>
      </c>
    </row>
    <row r="37" spans="1:57" x14ac:dyDescent="0.35">
      <c r="A37" s="127" t="s">
        <v>33</v>
      </c>
      <c r="G37" s="126">
        <v>1</v>
      </c>
      <c r="H37" s="126">
        <v>1</v>
      </c>
      <c r="I37" s="126">
        <v>1</v>
      </c>
      <c r="J37" s="126">
        <v>1</v>
      </c>
      <c r="K37" s="126">
        <v>1</v>
      </c>
      <c r="L37" s="126">
        <v>1</v>
      </c>
      <c r="M37" s="126">
        <v>1</v>
      </c>
      <c r="N37" s="126">
        <v>1</v>
      </c>
      <c r="O37" s="126">
        <v>1</v>
      </c>
      <c r="P37" s="126">
        <v>1</v>
      </c>
      <c r="Q37" s="126">
        <v>1</v>
      </c>
      <c r="R37" s="126">
        <v>1</v>
      </c>
      <c r="S37" s="126">
        <v>1</v>
      </c>
      <c r="T37" s="126">
        <v>1</v>
      </c>
      <c r="U37" s="126">
        <v>1</v>
      </c>
      <c r="V37" s="126">
        <v>1</v>
      </c>
      <c r="W37" s="126">
        <v>1</v>
      </c>
      <c r="X37" s="126">
        <v>1</v>
      </c>
      <c r="Y37" s="126">
        <v>1</v>
      </c>
      <c r="Z37" s="126">
        <v>1</v>
      </c>
      <c r="AA37" s="126">
        <v>1</v>
      </c>
      <c r="AB37" s="126">
        <v>1</v>
      </c>
      <c r="AC37" s="126">
        <v>1</v>
      </c>
      <c r="AD37" s="126">
        <v>1</v>
      </c>
      <c r="AE37" s="126">
        <v>1</v>
      </c>
      <c r="AF37" s="126">
        <v>1</v>
      </c>
      <c r="AG37" s="126">
        <v>1</v>
      </c>
      <c r="AH37" s="126">
        <v>1</v>
      </c>
      <c r="AI37" s="126">
        <v>1</v>
      </c>
      <c r="AJ37" s="126">
        <v>1</v>
      </c>
      <c r="AK37" s="126">
        <v>1</v>
      </c>
      <c r="AL37" s="126">
        <v>1</v>
      </c>
      <c r="AM37" s="126">
        <v>1</v>
      </c>
      <c r="AN37" s="126">
        <v>1</v>
      </c>
      <c r="AO37" s="126">
        <v>1</v>
      </c>
      <c r="AP37" s="126">
        <v>1</v>
      </c>
      <c r="AQ37" s="126">
        <v>1</v>
      </c>
      <c r="AR37" s="126">
        <v>1</v>
      </c>
      <c r="AS37" s="126">
        <v>1</v>
      </c>
      <c r="AT37" s="126">
        <v>1</v>
      </c>
      <c r="AU37" s="126">
        <v>1</v>
      </c>
      <c r="AV37" s="126">
        <v>1</v>
      </c>
      <c r="AW37" s="126">
        <v>1</v>
      </c>
      <c r="AX37" s="126">
        <v>1</v>
      </c>
      <c r="AY37" s="126">
        <v>1</v>
      </c>
      <c r="AZ37" s="126">
        <v>1</v>
      </c>
      <c r="BA37" s="126">
        <v>1</v>
      </c>
      <c r="BB37" s="126">
        <v>1</v>
      </c>
      <c r="BC37" s="126">
        <v>1</v>
      </c>
      <c r="BD37" s="126">
        <v>1</v>
      </c>
      <c r="BE37" s="126">
        <v>1</v>
      </c>
    </row>
    <row r="38" spans="1:57" x14ac:dyDescent="0.35">
      <c r="A38" s="127" t="s">
        <v>34</v>
      </c>
      <c r="G38" s="126">
        <v>1</v>
      </c>
      <c r="H38" s="126">
        <v>1</v>
      </c>
      <c r="I38" s="126">
        <v>1</v>
      </c>
      <c r="J38" s="126">
        <v>1</v>
      </c>
      <c r="K38" s="126">
        <v>1</v>
      </c>
      <c r="L38" s="126">
        <v>1</v>
      </c>
      <c r="M38" s="126">
        <v>1</v>
      </c>
      <c r="N38" s="126">
        <v>1</v>
      </c>
      <c r="O38" s="126">
        <v>1</v>
      </c>
      <c r="P38" s="126">
        <v>1</v>
      </c>
      <c r="Q38" s="126">
        <v>1</v>
      </c>
      <c r="R38" s="126">
        <v>1</v>
      </c>
      <c r="S38" s="126">
        <v>1</v>
      </c>
      <c r="T38" s="126">
        <v>1</v>
      </c>
      <c r="U38" s="126">
        <v>1</v>
      </c>
      <c r="V38" s="126">
        <v>1</v>
      </c>
      <c r="W38" s="126">
        <v>1</v>
      </c>
      <c r="X38" s="126">
        <v>1</v>
      </c>
      <c r="Y38" s="126">
        <v>1</v>
      </c>
      <c r="Z38" s="126">
        <v>1</v>
      </c>
      <c r="AA38" s="126">
        <v>1</v>
      </c>
      <c r="AB38" s="126">
        <v>1</v>
      </c>
      <c r="AC38" s="126">
        <v>1</v>
      </c>
      <c r="AD38" s="126">
        <v>1</v>
      </c>
      <c r="AE38" s="126">
        <v>1</v>
      </c>
      <c r="AF38" s="126">
        <v>1</v>
      </c>
      <c r="AG38" s="126">
        <v>1</v>
      </c>
      <c r="AH38" s="126">
        <v>1</v>
      </c>
      <c r="AI38" s="126">
        <v>1</v>
      </c>
      <c r="AJ38" s="126">
        <v>1</v>
      </c>
      <c r="AK38" s="126">
        <v>1</v>
      </c>
      <c r="AL38" s="126">
        <v>1</v>
      </c>
      <c r="AM38" s="126">
        <v>1</v>
      </c>
      <c r="AN38" s="126">
        <v>1</v>
      </c>
      <c r="AO38" s="126">
        <v>1</v>
      </c>
      <c r="AP38" s="126">
        <v>1</v>
      </c>
      <c r="AQ38" s="126">
        <v>1</v>
      </c>
      <c r="AR38" s="126">
        <v>1</v>
      </c>
      <c r="AS38" s="126">
        <v>1</v>
      </c>
      <c r="AT38" s="126">
        <v>1</v>
      </c>
      <c r="AU38" s="126">
        <v>1</v>
      </c>
      <c r="AV38" s="126">
        <v>1</v>
      </c>
      <c r="AW38" s="126">
        <v>1</v>
      </c>
      <c r="AX38" s="126">
        <v>1</v>
      </c>
      <c r="AY38" s="126">
        <v>1</v>
      </c>
      <c r="AZ38" s="126">
        <v>1</v>
      </c>
      <c r="BA38" s="126">
        <v>1</v>
      </c>
      <c r="BB38" s="126">
        <v>1</v>
      </c>
      <c r="BC38" s="126">
        <v>1</v>
      </c>
      <c r="BD38" s="126">
        <v>1</v>
      </c>
      <c r="BE38" s="126">
        <v>1</v>
      </c>
    </row>
    <row r="39" spans="1:57" x14ac:dyDescent="0.35">
      <c r="A39" s="127" t="s">
        <v>35</v>
      </c>
      <c r="G39" s="126">
        <v>1</v>
      </c>
      <c r="H39" s="126">
        <v>1</v>
      </c>
      <c r="I39" s="126">
        <v>1</v>
      </c>
      <c r="J39" s="126">
        <v>1</v>
      </c>
      <c r="K39" s="126">
        <v>1</v>
      </c>
      <c r="L39" s="126">
        <v>1</v>
      </c>
      <c r="M39" s="126">
        <v>1</v>
      </c>
      <c r="N39" s="126">
        <v>1</v>
      </c>
      <c r="O39" s="126">
        <v>1</v>
      </c>
      <c r="P39" s="126">
        <v>1</v>
      </c>
      <c r="Q39" s="126">
        <v>1</v>
      </c>
      <c r="R39" s="126">
        <v>1</v>
      </c>
      <c r="S39" s="126">
        <v>1</v>
      </c>
      <c r="T39" s="126">
        <v>1</v>
      </c>
      <c r="U39" s="126">
        <v>1</v>
      </c>
      <c r="V39" s="126">
        <v>1</v>
      </c>
      <c r="W39" s="126">
        <v>1</v>
      </c>
      <c r="X39" s="126">
        <v>1</v>
      </c>
      <c r="Y39" s="126">
        <v>1</v>
      </c>
      <c r="Z39" s="126">
        <v>1</v>
      </c>
      <c r="AA39" s="126">
        <v>1</v>
      </c>
      <c r="AB39" s="126">
        <v>1</v>
      </c>
      <c r="AC39" s="126">
        <v>1</v>
      </c>
      <c r="AD39" s="126">
        <v>1</v>
      </c>
      <c r="AE39" s="126">
        <v>1</v>
      </c>
      <c r="AF39" s="126">
        <v>1</v>
      </c>
      <c r="AG39" s="126">
        <v>1</v>
      </c>
      <c r="AH39" s="126">
        <v>1</v>
      </c>
      <c r="AI39" s="126">
        <v>1</v>
      </c>
      <c r="AJ39" s="126">
        <v>1</v>
      </c>
      <c r="AK39" s="126">
        <v>1</v>
      </c>
      <c r="AL39" s="126">
        <v>1</v>
      </c>
      <c r="AM39" s="126">
        <v>1</v>
      </c>
      <c r="AN39" s="126">
        <v>1</v>
      </c>
      <c r="AO39" s="126">
        <v>1</v>
      </c>
      <c r="AP39" s="126">
        <v>1</v>
      </c>
      <c r="AQ39" s="126">
        <v>1</v>
      </c>
      <c r="AR39" s="126">
        <v>1</v>
      </c>
      <c r="AS39" s="126">
        <v>1</v>
      </c>
      <c r="AT39" s="126">
        <v>1</v>
      </c>
      <c r="AU39" s="126">
        <v>1</v>
      </c>
      <c r="AV39" s="126">
        <v>1</v>
      </c>
      <c r="AW39" s="126">
        <v>1</v>
      </c>
      <c r="AX39" s="126">
        <v>1</v>
      </c>
      <c r="AY39" s="126">
        <v>1</v>
      </c>
      <c r="AZ39" s="126">
        <v>1</v>
      </c>
      <c r="BA39" s="126">
        <v>1</v>
      </c>
      <c r="BB39" s="126">
        <v>1</v>
      </c>
      <c r="BC39" s="126">
        <v>1</v>
      </c>
      <c r="BD39" s="126">
        <v>1</v>
      </c>
      <c r="BE39" s="126">
        <v>1</v>
      </c>
    </row>
    <row r="40" spans="1:57" x14ac:dyDescent="0.35">
      <c r="A40" s="127" t="s">
        <v>36</v>
      </c>
      <c r="G40" s="126">
        <v>2</v>
      </c>
      <c r="H40" s="126">
        <v>2</v>
      </c>
      <c r="I40" s="126">
        <v>2</v>
      </c>
      <c r="J40" s="126">
        <v>2</v>
      </c>
      <c r="K40" s="126">
        <v>2</v>
      </c>
      <c r="L40" s="126">
        <v>2</v>
      </c>
      <c r="M40" s="126">
        <v>2</v>
      </c>
      <c r="N40" s="126">
        <v>2</v>
      </c>
      <c r="O40" s="126">
        <v>2</v>
      </c>
      <c r="P40" s="126">
        <v>2</v>
      </c>
      <c r="Q40" s="126">
        <v>2</v>
      </c>
      <c r="R40" s="126">
        <v>2</v>
      </c>
      <c r="S40" s="126">
        <v>2</v>
      </c>
      <c r="T40" s="126">
        <v>2</v>
      </c>
      <c r="U40" s="126">
        <v>2</v>
      </c>
      <c r="V40" s="126">
        <v>2</v>
      </c>
      <c r="W40" s="126">
        <v>2</v>
      </c>
      <c r="X40" s="126">
        <v>2</v>
      </c>
      <c r="Y40" s="126">
        <v>2</v>
      </c>
      <c r="Z40" s="126">
        <v>2</v>
      </c>
      <c r="AA40" s="126">
        <v>2</v>
      </c>
      <c r="AB40" s="126">
        <v>2</v>
      </c>
      <c r="AC40" s="126">
        <v>2</v>
      </c>
      <c r="AD40" s="126">
        <v>2</v>
      </c>
      <c r="AE40" s="126">
        <v>2</v>
      </c>
      <c r="AF40" s="126">
        <v>2</v>
      </c>
      <c r="AG40" s="126">
        <v>2</v>
      </c>
      <c r="AH40" s="126">
        <v>2</v>
      </c>
      <c r="AI40" s="126">
        <v>2</v>
      </c>
      <c r="AJ40" s="126">
        <v>2</v>
      </c>
      <c r="AK40" s="126">
        <v>2</v>
      </c>
      <c r="AL40" s="126">
        <v>2</v>
      </c>
      <c r="AM40" s="126">
        <v>2</v>
      </c>
      <c r="AN40" s="126">
        <v>2</v>
      </c>
      <c r="AO40" s="126">
        <v>2</v>
      </c>
      <c r="AP40" s="126">
        <v>2</v>
      </c>
      <c r="AQ40" s="126">
        <v>2</v>
      </c>
      <c r="AR40" s="126">
        <v>2</v>
      </c>
      <c r="AS40" s="126">
        <v>2</v>
      </c>
      <c r="AT40" s="126">
        <v>2</v>
      </c>
      <c r="AU40" s="126">
        <v>2</v>
      </c>
      <c r="AV40" s="126">
        <v>2</v>
      </c>
      <c r="AW40" s="126">
        <v>2</v>
      </c>
      <c r="AX40" s="126">
        <v>2</v>
      </c>
      <c r="AY40" s="126">
        <v>2</v>
      </c>
      <c r="AZ40" s="126">
        <v>2</v>
      </c>
      <c r="BA40" s="126">
        <v>2</v>
      </c>
      <c r="BB40" s="126">
        <v>2</v>
      </c>
      <c r="BC40" s="126">
        <v>2</v>
      </c>
      <c r="BD40" s="126">
        <v>2</v>
      </c>
      <c r="BE40" s="126">
        <v>2</v>
      </c>
    </row>
    <row r="41" spans="1:57" x14ac:dyDescent="0.35">
      <c r="A41" s="127" t="s">
        <v>37</v>
      </c>
      <c r="G41" s="126">
        <v>1</v>
      </c>
      <c r="H41" s="126">
        <v>1</v>
      </c>
      <c r="I41" s="126">
        <v>1</v>
      </c>
      <c r="J41" s="126">
        <v>1</v>
      </c>
      <c r="K41" s="126">
        <v>1</v>
      </c>
      <c r="L41" s="126">
        <v>1</v>
      </c>
      <c r="M41" s="126">
        <v>1</v>
      </c>
      <c r="N41" s="126">
        <v>1</v>
      </c>
      <c r="O41" s="126">
        <v>1</v>
      </c>
      <c r="P41" s="126">
        <v>1</v>
      </c>
      <c r="Q41" s="126">
        <v>1</v>
      </c>
      <c r="R41" s="126">
        <v>1</v>
      </c>
      <c r="S41" s="126">
        <v>1</v>
      </c>
      <c r="T41" s="126">
        <v>1</v>
      </c>
      <c r="U41" s="126">
        <v>1</v>
      </c>
      <c r="V41" s="126">
        <v>1</v>
      </c>
      <c r="W41" s="126">
        <v>1</v>
      </c>
      <c r="X41" s="126">
        <v>1</v>
      </c>
      <c r="Y41" s="126">
        <v>1</v>
      </c>
      <c r="Z41" s="126">
        <v>1</v>
      </c>
      <c r="AA41" s="126">
        <v>1</v>
      </c>
      <c r="AB41" s="126">
        <v>1</v>
      </c>
      <c r="AC41" s="126">
        <v>1</v>
      </c>
      <c r="AD41" s="126">
        <v>1</v>
      </c>
      <c r="AE41" s="126">
        <v>1</v>
      </c>
      <c r="AF41" s="126">
        <v>1</v>
      </c>
      <c r="AG41" s="126">
        <v>1</v>
      </c>
      <c r="AH41" s="126">
        <v>1</v>
      </c>
      <c r="AI41" s="126">
        <v>1</v>
      </c>
      <c r="AJ41" s="126">
        <v>1</v>
      </c>
      <c r="AK41" s="126">
        <v>1</v>
      </c>
      <c r="AL41" s="126">
        <v>1</v>
      </c>
      <c r="AM41" s="126">
        <v>1</v>
      </c>
      <c r="AN41" s="126">
        <v>1</v>
      </c>
      <c r="AO41" s="126">
        <v>1</v>
      </c>
      <c r="AP41" s="126">
        <v>1</v>
      </c>
      <c r="AQ41" s="126">
        <v>1</v>
      </c>
      <c r="AR41" s="126">
        <v>1</v>
      </c>
      <c r="AS41" s="126">
        <v>1</v>
      </c>
      <c r="AT41" s="126">
        <v>1</v>
      </c>
      <c r="AU41" s="126">
        <v>1</v>
      </c>
      <c r="AV41" s="126">
        <v>1</v>
      </c>
      <c r="AW41" s="126">
        <v>1</v>
      </c>
      <c r="AX41" s="126">
        <v>1</v>
      </c>
      <c r="AY41" s="126">
        <v>1</v>
      </c>
      <c r="AZ41" s="126">
        <v>1</v>
      </c>
      <c r="BA41" s="126">
        <v>1</v>
      </c>
      <c r="BB41" s="126">
        <v>1</v>
      </c>
      <c r="BC41" s="126">
        <v>1</v>
      </c>
      <c r="BD41" s="126">
        <v>1</v>
      </c>
      <c r="BE41" s="126">
        <v>1</v>
      </c>
    </row>
    <row r="42" spans="1:57" x14ac:dyDescent="0.35">
      <c r="A42" s="127" t="s">
        <v>38</v>
      </c>
      <c r="G42" s="126">
        <v>1</v>
      </c>
      <c r="H42" s="126">
        <v>1</v>
      </c>
      <c r="I42" s="126">
        <v>1</v>
      </c>
      <c r="J42" s="126">
        <v>1</v>
      </c>
      <c r="K42" s="126">
        <v>1</v>
      </c>
      <c r="L42" s="126">
        <v>1</v>
      </c>
      <c r="M42" s="126">
        <v>1</v>
      </c>
      <c r="N42" s="126">
        <v>1</v>
      </c>
      <c r="O42" s="126">
        <v>1</v>
      </c>
      <c r="P42" s="126">
        <v>1</v>
      </c>
      <c r="Q42" s="126">
        <v>1</v>
      </c>
      <c r="R42" s="126">
        <v>1</v>
      </c>
      <c r="S42" s="126">
        <v>1</v>
      </c>
      <c r="T42" s="126">
        <v>1</v>
      </c>
      <c r="U42" s="126">
        <v>1</v>
      </c>
      <c r="V42" s="126">
        <v>1</v>
      </c>
      <c r="W42" s="126">
        <v>1</v>
      </c>
      <c r="X42" s="126">
        <v>1</v>
      </c>
      <c r="Y42" s="126">
        <v>1</v>
      </c>
      <c r="Z42" s="126">
        <v>1</v>
      </c>
      <c r="AA42" s="126">
        <v>1</v>
      </c>
      <c r="AB42" s="126">
        <v>1</v>
      </c>
      <c r="AC42" s="126">
        <v>1</v>
      </c>
      <c r="AD42" s="126">
        <v>1</v>
      </c>
      <c r="AE42" s="126">
        <v>1</v>
      </c>
      <c r="AF42" s="126">
        <v>1</v>
      </c>
      <c r="AG42" s="126">
        <v>1</v>
      </c>
      <c r="AH42" s="126">
        <v>1</v>
      </c>
      <c r="AI42" s="126">
        <v>1</v>
      </c>
      <c r="AJ42" s="126">
        <v>1</v>
      </c>
      <c r="AK42" s="126">
        <v>1</v>
      </c>
      <c r="AL42" s="126">
        <v>1</v>
      </c>
      <c r="AM42" s="126">
        <v>1</v>
      </c>
      <c r="AN42" s="126">
        <v>1</v>
      </c>
      <c r="AO42" s="126">
        <v>1</v>
      </c>
      <c r="AP42" s="126">
        <v>1</v>
      </c>
      <c r="AQ42" s="126">
        <v>1</v>
      </c>
      <c r="AR42" s="126">
        <v>1</v>
      </c>
      <c r="AS42" s="126">
        <v>1</v>
      </c>
      <c r="AT42" s="126">
        <v>1</v>
      </c>
      <c r="AU42" s="126">
        <v>1</v>
      </c>
      <c r="AV42" s="126">
        <v>1</v>
      </c>
      <c r="AW42" s="126">
        <v>1</v>
      </c>
      <c r="AX42" s="126">
        <v>1</v>
      </c>
      <c r="AY42" s="126">
        <v>1</v>
      </c>
      <c r="AZ42" s="126">
        <v>1</v>
      </c>
      <c r="BA42" s="126">
        <v>1</v>
      </c>
      <c r="BB42" s="126">
        <v>1</v>
      </c>
      <c r="BC42" s="126">
        <v>1</v>
      </c>
      <c r="BD42" s="126">
        <v>1</v>
      </c>
      <c r="BE42" s="126">
        <v>1</v>
      </c>
    </row>
    <row r="43" spans="1:57" x14ac:dyDescent="0.35">
      <c r="A43" s="127" t="s">
        <v>39</v>
      </c>
      <c r="G43" s="126">
        <v>1</v>
      </c>
      <c r="H43" s="126">
        <v>1</v>
      </c>
      <c r="I43" s="126">
        <v>1</v>
      </c>
      <c r="J43" s="126">
        <v>1</v>
      </c>
      <c r="K43" s="126">
        <v>1</v>
      </c>
      <c r="L43" s="126">
        <v>1</v>
      </c>
      <c r="M43" s="126">
        <v>1</v>
      </c>
      <c r="N43" s="126">
        <v>1</v>
      </c>
      <c r="O43" s="126">
        <v>1</v>
      </c>
      <c r="P43" s="126">
        <v>1</v>
      </c>
      <c r="Q43" s="126">
        <v>1</v>
      </c>
      <c r="R43" s="126">
        <v>1</v>
      </c>
      <c r="S43" s="126">
        <v>1</v>
      </c>
      <c r="T43" s="126">
        <v>1</v>
      </c>
      <c r="U43" s="126">
        <v>1</v>
      </c>
      <c r="V43" s="126">
        <v>1</v>
      </c>
      <c r="W43" s="126">
        <v>1</v>
      </c>
      <c r="X43" s="126">
        <v>1</v>
      </c>
      <c r="Y43" s="126">
        <v>1</v>
      </c>
      <c r="Z43" s="126">
        <v>1</v>
      </c>
      <c r="AA43" s="126">
        <v>1</v>
      </c>
      <c r="AB43" s="126">
        <v>1</v>
      </c>
      <c r="AC43" s="126">
        <v>1</v>
      </c>
      <c r="AD43" s="126">
        <v>1</v>
      </c>
      <c r="AE43" s="126">
        <v>1</v>
      </c>
      <c r="AF43" s="126">
        <v>1</v>
      </c>
      <c r="AG43" s="126">
        <v>1</v>
      </c>
      <c r="AH43" s="126">
        <v>1</v>
      </c>
      <c r="AI43" s="126">
        <v>1</v>
      </c>
      <c r="AJ43" s="126">
        <v>1</v>
      </c>
      <c r="AK43" s="126">
        <v>1</v>
      </c>
      <c r="AL43" s="126">
        <v>1</v>
      </c>
      <c r="AM43" s="126">
        <v>1</v>
      </c>
      <c r="AN43" s="126">
        <v>1</v>
      </c>
      <c r="AO43" s="126">
        <v>1</v>
      </c>
      <c r="AP43" s="126">
        <v>1</v>
      </c>
      <c r="AQ43" s="126">
        <v>1</v>
      </c>
      <c r="AR43" s="126">
        <v>1</v>
      </c>
      <c r="AS43" s="126">
        <v>1</v>
      </c>
      <c r="AT43" s="126">
        <v>1</v>
      </c>
      <c r="AU43" s="126">
        <v>1</v>
      </c>
      <c r="AV43" s="126">
        <v>1</v>
      </c>
      <c r="AW43" s="126">
        <v>1</v>
      </c>
      <c r="AX43" s="126">
        <v>1</v>
      </c>
      <c r="AY43" s="126">
        <v>1</v>
      </c>
      <c r="AZ43" s="126">
        <v>1</v>
      </c>
      <c r="BA43" s="126">
        <v>1</v>
      </c>
      <c r="BB43" s="126">
        <v>1</v>
      </c>
      <c r="BC43" s="126">
        <v>1</v>
      </c>
      <c r="BD43" s="126">
        <v>1</v>
      </c>
      <c r="BE43" s="126">
        <v>1</v>
      </c>
    </row>
    <row r="44" spans="1:57" x14ac:dyDescent="0.35">
      <c r="A44" s="127" t="s">
        <v>40</v>
      </c>
      <c r="G44" s="126">
        <v>1</v>
      </c>
      <c r="H44" s="126">
        <v>1</v>
      </c>
      <c r="I44" s="126">
        <v>1</v>
      </c>
      <c r="J44" s="126">
        <v>1</v>
      </c>
      <c r="K44" s="126">
        <v>1</v>
      </c>
      <c r="L44" s="126">
        <v>1</v>
      </c>
      <c r="M44" s="126">
        <v>1</v>
      </c>
      <c r="N44" s="126">
        <v>1</v>
      </c>
      <c r="O44" s="126">
        <v>1</v>
      </c>
      <c r="P44" s="126">
        <v>1</v>
      </c>
      <c r="Q44" s="126">
        <v>1</v>
      </c>
      <c r="R44" s="126">
        <v>1</v>
      </c>
      <c r="S44" s="126">
        <v>1</v>
      </c>
      <c r="T44" s="126">
        <v>1</v>
      </c>
      <c r="U44" s="126">
        <v>1</v>
      </c>
      <c r="V44" s="126">
        <v>1</v>
      </c>
      <c r="W44" s="126">
        <v>1</v>
      </c>
      <c r="X44" s="126">
        <v>1</v>
      </c>
      <c r="Y44" s="126">
        <v>1</v>
      </c>
      <c r="Z44" s="126">
        <v>1</v>
      </c>
      <c r="AA44" s="126">
        <v>1</v>
      </c>
      <c r="AB44" s="126">
        <v>1</v>
      </c>
      <c r="AC44" s="126">
        <v>1</v>
      </c>
      <c r="AD44" s="126">
        <v>1</v>
      </c>
      <c r="AE44" s="126">
        <v>1</v>
      </c>
      <c r="AF44" s="126">
        <v>1</v>
      </c>
      <c r="AG44" s="126">
        <v>1</v>
      </c>
      <c r="AH44" s="126">
        <v>1</v>
      </c>
      <c r="AI44" s="126">
        <v>1</v>
      </c>
      <c r="AJ44" s="126">
        <v>1</v>
      </c>
      <c r="AK44" s="126">
        <v>1</v>
      </c>
      <c r="AL44" s="126">
        <v>1</v>
      </c>
      <c r="AM44" s="126">
        <v>1</v>
      </c>
      <c r="AN44" s="126">
        <v>1</v>
      </c>
      <c r="AO44" s="126">
        <v>1</v>
      </c>
      <c r="AP44" s="126">
        <v>1</v>
      </c>
      <c r="AQ44" s="126">
        <v>1</v>
      </c>
      <c r="AR44" s="126">
        <v>1</v>
      </c>
      <c r="AS44" s="126">
        <v>1</v>
      </c>
      <c r="AT44" s="126">
        <v>1</v>
      </c>
      <c r="AU44" s="126">
        <v>1</v>
      </c>
      <c r="AV44" s="126">
        <v>1</v>
      </c>
      <c r="AW44" s="126">
        <v>1</v>
      </c>
      <c r="AX44" s="126">
        <v>1</v>
      </c>
      <c r="AY44" s="126">
        <v>1</v>
      </c>
      <c r="AZ44" s="126">
        <v>1</v>
      </c>
      <c r="BA44" s="126">
        <v>1</v>
      </c>
      <c r="BB44" s="126">
        <v>1</v>
      </c>
      <c r="BC44" s="126">
        <v>1</v>
      </c>
      <c r="BD44" s="126">
        <v>1</v>
      </c>
      <c r="BE44" s="126">
        <v>1</v>
      </c>
    </row>
    <row r="45" spans="1:57" x14ac:dyDescent="0.35">
      <c r="A45" s="127" t="s">
        <v>41</v>
      </c>
      <c r="G45" s="126">
        <v>1</v>
      </c>
      <c r="H45" s="126">
        <v>1</v>
      </c>
      <c r="I45" s="126">
        <v>1</v>
      </c>
      <c r="J45" s="126">
        <v>1</v>
      </c>
      <c r="K45" s="126">
        <v>1</v>
      </c>
      <c r="L45" s="126">
        <v>1</v>
      </c>
      <c r="M45" s="126">
        <v>1</v>
      </c>
      <c r="N45" s="126">
        <v>1</v>
      </c>
      <c r="O45" s="126">
        <v>1</v>
      </c>
      <c r="P45" s="126">
        <v>1</v>
      </c>
      <c r="Q45" s="126">
        <v>1</v>
      </c>
      <c r="R45" s="126">
        <v>1</v>
      </c>
      <c r="S45" s="126">
        <v>1</v>
      </c>
      <c r="T45" s="126">
        <v>1</v>
      </c>
      <c r="U45" s="126">
        <v>1</v>
      </c>
      <c r="V45" s="126">
        <v>1</v>
      </c>
      <c r="W45" s="126">
        <v>1</v>
      </c>
      <c r="X45" s="126">
        <v>1</v>
      </c>
      <c r="Y45" s="126">
        <v>1</v>
      </c>
      <c r="Z45" s="126">
        <v>1</v>
      </c>
      <c r="AA45" s="126">
        <v>1</v>
      </c>
      <c r="AB45" s="126">
        <v>1</v>
      </c>
      <c r="AC45" s="126">
        <v>1</v>
      </c>
      <c r="AD45" s="126">
        <v>1</v>
      </c>
      <c r="AE45" s="126">
        <v>1</v>
      </c>
      <c r="AF45" s="126">
        <v>1</v>
      </c>
      <c r="AG45" s="126">
        <v>1</v>
      </c>
      <c r="AH45" s="126">
        <v>1</v>
      </c>
      <c r="AI45" s="126">
        <v>1</v>
      </c>
      <c r="AJ45" s="126">
        <v>1</v>
      </c>
      <c r="AK45" s="126">
        <v>1</v>
      </c>
      <c r="AL45" s="126">
        <v>1</v>
      </c>
      <c r="AM45" s="126">
        <v>1</v>
      </c>
      <c r="AN45" s="126">
        <v>1</v>
      </c>
      <c r="AO45" s="126">
        <v>1</v>
      </c>
      <c r="AP45" s="126">
        <v>1</v>
      </c>
      <c r="AQ45" s="126">
        <v>1</v>
      </c>
      <c r="AR45" s="126">
        <v>1</v>
      </c>
      <c r="AS45" s="126">
        <v>1</v>
      </c>
      <c r="AT45" s="126">
        <v>1</v>
      </c>
      <c r="AU45" s="126">
        <v>1</v>
      </c>
      <c r="AV45" s="126">
        <v>1</v>
      </c>
      <c r="AW45" s="126">
        <v>1</v>
      </c>
      <c r="AX45" s="126">
        <v>1</v>
      </c>
      <c r="AY45" s="126">
        <v>1</v>
      </c>
      <c r="AZ45" s="126">
        <v>1</v>
      </c>
      <c r="BA45" s="126">
        <v>1</v>
      </c>
      <c r="BB45" s="126">
        <v>1</v>
      </c>
      <c r="BC45" s="126">
        <v>1</v>
      </c>
      <c r="BD45" s="126">
        <v>1</v>
      </c>
      <c r="BE45" s="126">
        <v>1</v>
      </c>
    </row>
    <row r="46" spans="1:57" x14ac:dyDescent="0.35">
      <c r="A46" s="127" t="s">
        <v>42</v>
      </c>
      <c r="G46" s="126">
        <v>1</v>
      </c>
      <c r="H46" s="126">
        <v>1</v>
      </c>
      <c r="I46" s="126">
        <v>1</v>
      </c>
      <c r="J46" s="126">
        <v>1</v>
      </c>
      <c r="K46" s="126">
        <v>1</v>
      </c>
      <c r="L46" s="126">
        <v>1</v>
      </c>
      <c r="M46" s="126">
        <v>1</v>
      </c>
      <c r="N46" s="126">
        <v>1</v>
      </c>
      <c r="O46" s="126">
        <v>1</v>
      </c>
      <c r="P46" s="126">
        <v>1</v>
      </c>
      <c r="Q46" s="126">
        <v>1</v>
      </c>
      <c r="R46" s="126">
        <v>1</v>
      </c>
      <c r="S46" s="126">
        <v>1</v>
      </c>
      <c r="T46" s="126">
        <v>1</v>
      </c>
      <c r="U46" s="126">
        <v>1</v>
      </c>
      <c r="V46" s="126">
        <v>1</v>
      </c>
      <c r="W46" s="126">
        <v>1</v>
      </c>
      <c r="X46" s="126">
        <v>1</v>
      </c>
      <c r="Y46" s="126">
        <v>1</v>
      </c>
      <c r="Z46" s="126">
        <v>1</v>
      </c>
      <c r="AA46" s="126">
        <v>1</v>
      </c>
      <c r="AB46" s="126">
        <v>1</v>
      </c>
      <c r="AC46" s="126">
        <v>1</v>
      </c>
      <c r="AD46" s="126">
        <v>1</v>
      </c>
      <c r="AE46" s="126">
        <v>1</v>
      </c>
      <c r="AF46" s="126">
        <v>1</v>
      </c>
      <c r="AG46" s="126">
        <v>1</v>
      </c>
      <c r="AH46" s="126">
        <v>1</v>
      </c>
      <c r="AI46" s="126">
        <v>1</v>
      </c>
      <c r="AJ46" s="126">
        <v>1</v>
      </c>
      <c r="AK46" s="126">
        <v>1</v>
      </c>
      <c r="AL46" s="126">
        <v>1</v>
      </c>
      <c r="AM46" s="126">
        <v>1</v>
      </c>
      <c r="AN46" s="126">
        <v>1</v>
      </c>
      <c r="AO46" s="126">
        <v>1</v>
      </c>
      <c r="AP46" s="126">
        <v>1</v>
      </c>
      <c r="AQ46" s="126">
        <v>1</v>
      </c>
      <c r="AR46" s="126">
        <v>1</v>
      </c>
      <c r="AS46" s="126">
        <v>1</v>
      </c>
      <c r="AT46" s="126">
        <v>1</v>
      </c>
      <c r="AU46" s="126">
        <v>1</v>
      </c>
      <c r="AV46" s="126">
        <v>1</v>
      </c>
      <c r="AW46" s="126">
        <v>1</v>
      </c>
      <c r="AX46" s="126">
        <v>1</v>
      </c>
      <c r="AY46" s="126">
        <v>1</v>
      </c>
      <c r="AZ46" s="126">
        <v>1</v>
      </c>
      <c r="BA46" s="126">
        <v>1</v>
      </c>
      <c r="BB46" s="126">
        <v>1</v>
      </c>
      <c r="BC46" s="126">
        <v>1</v>
      </c>
      <c r="BD46" s="126">
        <v>1</v>
      </c>
      <c r="BE46" s="126">
        <v>1</v>
      </c>
    </row>
    <row r="47" spans="1:57" x14ac:dyDescent="0.35">
      <c r="A47" s="127" t="s">
        <v>43</v>
      </c>
      <c r="G47" s="126">
        <v>2</v>
      </c>
      <c r="H47" s="126">
        <v>2</v>
      </c>
      <c r="I47" s="126">
        <v>2</v>
      </c>
      <c r="J47" s="126">
        <v>2</v>
      </c>
      <c r="K47" s="126">
        <v>2</v>
      </c>
      <c r="L47" s="126">
        <v>2</v>
      </c>
      <c r="M47" s="126">
        <v>2</v>
      </c>
      <c r="N47" s="126">
        <v>2</v>
      </c>
      <c r="O47" s="126">
        <v>2</v>
      </c>
      <c r="P47" s="126">
        <v>2</v>
      </c>
      <c r="Q47" s="126">
        <v>2</v>
      </c>
      <c r="R47" s="126">
        <v>2</v>
      </c>
      <c r="S47" s="126">
        <v>2</v>
      </c>
      <c r="T47" s="126">
        <v>2</v>
      </c>
      <c r="U47" s="126">
        <v>2</v>
      </c>
      <c r="V47" s="126">
        <v>2</v>
      </c>
      <c r="W47" s="126">
        <v>2</v>
      </c>
      <c r="X47" s="126">
        <v>2</v>
      </c>
      <c r="Y47" s="126">
        <v>2</v>
      </c>
      <c r="Z47" s="126">
        <v>2</v>
      </c>
      <c r="AA47" s="126">
        <v>2</v>
      </c>
      <c r="AB47" s="126">
        <v>2</v>
      </c>
      <c r="AC47" s="126">
        <v>2</v>
      </c>
      <c r="AD47" s="126">
        <v>2</v>
      </c>
      <c r="AE47" s="126">
        <v>2</v>
      </c>
      <c r="AF47" s="126">
        <v>2</v>
      </c>
      <c r="AG47" s="126">
        <v>2</v>
      </c>
      <c r="AH47" s="126">
        <v>2</v>
      </c>
      <c r="AI47" s="126">
        <v>2</v>
      </c>
      <c r="AJ47" s="126">
        <v>2</v>
      </c>
      <c r="AK47" s="126">
        <v>2</v>
      </c>
      <c r="AL47" s="126">
        <v>2</v>
      </c>
      <c r="AM47" s="126">
        <v>2</v>
      </c>
      <c r="AN47" s="126">
        <v>2</v>
      </c>
      <c r="AO47" s="126">
        <v>2</v>
      </c>
      <c r="AP47" s="126">
        <v>2</v>
      </c>
      <c r="AQ47" s="126">
        <v>2</v>
      </c>
      <c r="AR47" s="126">
        <v>2</v>
      </c>
      <c r="AS47" s="126">
        <v>2</v>
      </c>
      <c r="AT47" s="126">
        <v>2</v>
      </c>
      <c r="AU47" s="126">
        <v>2</v>
      </c>
      <c r="AV47" s="126">
        <v>2</v>
      </c>
      <c r="AW47" s="126">
        <v>2</v>
      </c>
      <c r="AX47" s="126">
        <v>2</v>
      </c>
      <c r="AY47" s="126">
        <v>2</v>
      </c>
      <c r="AZ47" s="126">
        <v>2</v>
      </c>
      <c r="BA47" s="126">
        <v>2</v>
      </c>
      <c r="BB47" s="126">
        <v>2</v>
      </c>
      <c r="BC47" s="126">
        <v>2</v>
      </c>
      <c r="BD47" s="126">
        <v>2</v>
      </c>
      <c r="BE47" s="126">
        <v>2</v>
      </c>
    </row>
    <row r="48" spans="1:57" x14ac:dyDescent="0.35">
      <c r="A48" s="127" t="s">
        <v>44</v>
      </c>
      <c r="G48" s="126">
        <v>2</v>
      </c>
      <c r="H48" s="126">
        <v>2</v>
      </c>
      <c r="I48" s="126">
        <v>2</v>
      </c>
      <c r="J48" s="126">
        <v>2</v>
      </c>
      <c r="K48" s="126">
        <v>2</v>
      </c>
      <c r="L48" s="126">
        <v>2</v>
      </c>
      <c r="M48" s="126">
        <v>2</v>
      </c>
      <c r="N48" s="126">
        <v>2</v>
      </c>
      <c r="O48" s="126">
        <v>2</v>
      </c>
      <c r="P48" s="126">
        <v>2</v>
      </c>
      <c r="Q48" s="126">
        <v>2</v>
      </c>
      <c r="R48" s="126">
        <v>2</v>
      </c>
      <c r="S48" s="126">
        <v>2</v>
      </c>
      <c r="T48" s="126">
        <v>2</v>
      </c>
      <c r="U48" s="126">
        <v>2</v>
      </c>
      <c r="V48" s="126">
        <v>2</v>
      </c>
      <c r="W48" s="126">
        <v>2</v>
      </c>
      <c r="X48" s="126">
        <v>2</v>
      </c>
      <c r="Y48" s="126">
        <v>2</v>
      </c>
      <c r="Z48" s="126">
        <v>2</v>
      </c>
      <c r="AA48" s="126">
        <v>2</v>
      </c>
      <c r="AB48" s="126">
        <v>2</v>
      </c>
      <c r="AC48" s="126">
        <v>2</v>
      </c>
      <c r="AD48" s="126">
        <v>2</v>
      </c>
      <c r="AE48" s="126">
        <v>2</v>
      </c>
      <c r="AF48" s="126">
        <v>2</v>
      </c>
      <c r="AG48" s="126">
        <v>2</v>
      </c>
      <c r="AH48" s="126">
        <v>2</v>
      </c>
      <c r="AI48" s="126">
        <v>2</v>
      </c>
      <c r="AJ48" s="126">
        <v>2</v>
      </c>
      <c r="AK48" s="126">
        <v>2</v>
      </c>
      <c r="AL48" s="126">
        <v>2</v>
      </c>
      <c r="AM48" s="126">
        <v>2</v>
      </c>
      <c r="AN48" s="126">
        <v>2</v>
      </c>
      <c r="AO48" s="126">
        <v>2</v>
      </c>
      <c r="AP48" s="126">
        <v>2</v>
      </c>
      <c r="AQ48" s="126">
        <v>2</v>
      </c>
      <c r="AR48" s="126">
        <v>2</v>
      </c>
      <c r="AS48" s="126">
        <v>2</v>
      </c>
      <c r="AT48" s="126">
        <v>2</v>
      </c>
      <c r="AU48" s="126">
        <v>2</v>
      </c>
      <c r="AV48" s="126">
        <v>2</v>
      </c>
      <c r="AW48" s="126">
        <v>2</v>
      </c>
      <c r="AX48" s="126">
        <v>2</v>
      </c>
      <c r="AY48" s="126">
        <v>2</v>
      </c>
      <c r="AZ48" s="126">
        <v>2</v>
      </c>
      <c r="BA48" s="126">
        <v>2</v>
      </c>
      <c r="BB48" s="126">
        <v>2</v>
      </c>
      <c r="BC48" s="126">
        <v>2</v>
      </c>
      <c r="BD48" s="126">
        <v>2</v>
      </c>
      <c r="BE48" s="126">
        <v>2</v>
      </c>
    </row>
    <row r="49" spans="1:57" x14ac:dyDescent="0.35">
      <c r="A49" s="127" t="s">
        <v>45</v>
      </c>
      <c r="G49" s="126">
        <v>1</v>
      </c>
      <c r="H49" s="126">
        <v>1</v>
      </c>
      <c r="I49" s="126">
        <v>1</v>
      </c>
      <c r="J49" s="126">
        <v>1</v>
      </c>
      <c r="K49" s="126">
        <v>1</v>
      </c>
      <c r="L49" s="126">
        <v>1</v>
      </c>
      <c r="M49" s="126">
        <v>1</v>
      </c>
      <c r="N49" s="126">
        <v>1</v>
      </c>
      <c r="O49" s="126">
        <v>1</v>
      </c>
      <c r="P49" s="126">
        <v>1</v>
      </c>
      <c r="Q49" s="126">
        <v>1</v>
      </c>
      <c r="R49" s="126">
        <v>1</v>
      </c>
      <c r="S49" s="126">
        <v>1</v>
      </c>
      <c r="T49" s="126">
        <v>1</v>
      </c>
      <c r="U49" s="126">
        <v>1</v>
      </c>
      <c r="V49" s="126">
        <v>1</v>
      </c>
      <c r="W49" s="126">
        <v>1</v>
      </c>
      <c r="X49" s="126">
        <v>1</v>
      </c>
      <c r="Y49" s="126">
        <v>1</v>
      </c>
      <c r="Z49" s="126">
        <v>1</v>
      </c>
      <c r="AA49" s="126">
        <v>1</v>
      </c>
      <c r="AB49" s="126">
        <v>1</v>
      </c>
      <c r="AC49" s="126">
        <v>1</v>
      </c>
      <c r="AD49" s="126">
        <v>1</v>
      </c>
      <c r="AE49" s="126">
        <v>1</v>
      </c>
      <c r="AF49" s="126">
        <v>1</v>
      </c>
      <c r="AG49" s="126">
        <v>1</v>
      </c>
      <c r="AH49" s="126">
        <v>1</v>
      </c>
      <c r="AI49" s="126">
        <v>1</v>
      </c>
      <c r="AJ49" s="126">
        <v>1</v>
      </c>
      <c r="AK49" s="126">
        <v>1</v>
      </c>
      <c r="AL49" s="126">
        <v>1</v>
      </c>
      <c r="AM49" s="126">
        <v>1</v>
      </c>
      <c r="AN49" s="126">
        <v>1</v>
      </c>
      <c r="AO49" s="126">
        <v>1</v>
      </c>
      <c r="AP49" s="126">
        <v>1</v>
      </c>
      <c r="AQ49" s="126">
        <v>1</v>
      </c>
      <c r="AR49" s="126">
        <v>1</v>
      </c>
      <c r="AS49" s="126">
        <v>1</v>
      </c>
      <c r="AT49" s="126">
        <v>1</v>
      </c>
      <c r="AU49" s="126">
        <v>1</v>
      </c>
      <c r="AV49" s="126">
        <v>1</v>
      </c>
      <c r="AW49" s="126">
        <v>1</v>
      </c>
      <c r="AX49" s="126">
        <v>1</v>
      </c>
      <c r="AY49" s="126">
        <v>1</v>
      </c>
      <c r="AZ49" s="126">
        <v>1</v>
      </c>
      <c r="BA49" s="126">
        <v>1</v>
      </c>
      <c r="BB49" s="126">
        <v>1</v>
      </c>
      <c r="BC49" s="126">
        <v>1</v>
      </c>
      <c r="BD49" s="126">
        <v>1</v>
      </c>
      <c r="BE49" s="126">
        <v>1</v>
      </c>
    </row>
    <row r="50" spans="1:57" x14ac:dyDescent="0.35">
      <c r="A50" s="127" t="s">
        <v>46</v>
      </c>
      <c r="G50" s="126">
        <v>2</v>
      </c>
      <c r="H50" s="126">
        <v>2</v>
      </c>
      <c r="I50" s="126">
        <v>2</v>
      </c>
      <c r="J50" s="126">
        <v>2</v>
      </c>
      <c r="K50" s="126">
        <v>2</v>
      </c>
      <c r="L50" s="126">
        <v>2</v>
      </c>
      <c r="M50" s="126">
        <v>2</v>
      </c>
      <c r="N50" s="126">
        <v>2</v>
      </c>
      <c r="O50" s="126">
        <v>2</v>
      </c>
      <c r="P50" s="126">
        <v>2</v>
      </c>
      <c r="Q50" s="126">
        <v>2</v>
      </c>
      <c r="R50" s="126">
        <v>2</v>
      </c>
      <c r="S50" s="126">
        <v>2</v>
      </c>
      <c r="T50" s="126">
        <v>2</v>
      </c>
      <c r="U50" s="126">
        <v>2</v>
      </c>
      <c r="V50" s="126">
        <v>2</v>
      </c>
      <c r="W50" s="126">
        <v>2</v>
      </c>
      <c r="X50" s="126">
        <v>2</v>
      </c>
      <c r="Y50" s="126">
        <v>2</v>
      </c>
      <c r="Z50" s="126">
        <v>2</v>
      </c>
      <c r="AA50" s="126">
        <v>2</v>
      </c>
      <c r="AB50" s="126">
        <v>2</v>
      </c>
      <c r="AC50" s="126">
        <v>2</v>
      </c>
      <c r="AD50" s="126">
        <v>2</v>
      </c>
      <c r="AE50" s="126">
        <v>2</v>
      </c>
      <c r="AF50" s="126">
        <v>2</v>
      </c>
      <c r="AG50" s="126">
        <v>2</v>
      </c>
      <c r="AH50" s="126">
        <v>2</v>
      </c>
      <c r="AI50" s="126">
        <v>2</v>
      </c>
      <c r="AJ50" s="126">
        <v>2</v>
      </c>
      <c r="AK50" s="126">
        <v>2</v>
      </c>
      <c r="AL50" s="126">
        <v>2</v>
      </c>
      <c r="AM50" s="126">
        <v>2</v>
      </c>
      <c r="AN50" s="126">
        <v>2</v>
      </c>
      <c r="AO50" s="126">
        <v>2</v>
      </c>
      <c r="AP50" s="126">
        <v>2</v>
      </c>
      <c r="AQ50" s="126">
        <v>2</v>
      </c>
      <c r="AR50" s="126">
        <v>2</v>
      </c>
      <c r="AS50" s="126">
        <v>2</v>
      </c>
      <c r="AT50" s="126">
        <v>2</v>
      </c>
      <c r="AU50" s="126">
        <v>2</v>
      </c>
      <c r="AV50" s="126">
        <v>2</v>
      </c>
      <c r="AW50" s="126">
        <v>2</v>
      </c>
      <c r="AX50" s="126">
        <v>2</v>
      </c>
      <c r="AY50" s="126">
        <v>2</v>
      </c>
      <c r="AZ50" s="126">
        <v>2</v>
      </c>
      <c r="BA50" s="126">
        <v>2</v>
      </c>
      <c r="BB50" s="126">
        <v>2</v>
      </c>
      <c r="BC50" s="126">
        <v>2</v>
      </c>
      <c r="BD50" s="126">
        <v>2</v>
      </c>
      <c r="BE50" s="126">
        <v>2</v>
      </c>
    </row>
    <row r="51" spans="1:57" x14ac:dyDescent="0.35">
      <c r="A51" s="127" t="s">
        <v>47</v>
      </c>
      <c r="G51" s="126">
        <v>1</v>
      </c>
      <c r="H51" s="126">
        <v>1</v>
      </c>
      <c r="I51" s="126">
        <v>1</v>
      </c>
      <c r="J51" s="126">
        <v>1</v>
      </c>
      <c r="K51" s="126">
        <v>1</v>
      </c>
      <c r="L51" s="126">
        <v>1</v>
      </c>
      <c r="M51" s="126">
        <v>1</v>
      </c>
      <c r="N51" s="126">
        <v>1</v>
      </c>
      <c r="O51" s="126">
        <v>1</v>
      </c>
      <c r="P51" s="126">
        <v>1</v>
      </c>
      <c r="Q51" s="126">
        <v>1</v>
      </c>
      <c r="R51" s="126">
        <v>1</v>
      </c>
      <c r="S51" s="126">
        <v>1</v>
      </c>
      <c r="T51" s="126">
        <v>1</v>
      </c>
      <c r="U51" s="126">
        <v>1</v>
      </c>
      <c r="V51" s="126">
        <v>1</v>
      </c>
      <c r="W51" s="126">
        <v>1</v>
      </c>
      <c r="X51" s="126">
        <v>1</v>
      </c>
      <c r="Y51" s="126">
        <v>1</v>
      </c>
      <c r="Z51" s="126">
        <v>1</v>
      </c>
      <c r="AA51" s="126">
        <v>1</v>
      </c>
      <c r="AB51" s="126">
        <v>1</v>
      </c>
      <c r="AC51" s="126">
        <v>1</v>
      </c>
      <c r="AD51" s="126">
        <v>1</v>
      </c>
      <c r="AE51" s="126">
        <v>1</v>
      </c>
      <c r="AF51" s="126">
        <v>1</v>
      </c>
      <c r="AG51" s="126">
        <v>1</v>
      </c>
      <c r="AH51" s="126">
        <v>1</v>
      </c>
      <c r="AI51" s="126">
        <v>1</v>
      </c>
      <c r="AJ51" s="126">
        <v>1</v>
      </c>
      <c r="AK51" s="126">
        <v>1</v>
      </c>
      <c r="AL51" s="126">
        <v>1</v>
      </c>
      <c r="AM51" s="126">
        <v>1</v>
      </c>
      <c r="AN51" s="126">
        <v>1</v>
      </c>
      <c r="AO51" s="126">
        <v>1</v>
      </c>
      <c r="AP51" s="126">
        <v>1</v>
      </c>
      <c r="AQ51" s="126">
        <v>1</v>
      </c>
      <c r="AR51" s="126">
        <v>1</v>
      </c>
      <c r="AS51" s="126">
        <v>1</v>
      </c>
      <c r="AT51" s="126">
        <v>1</v>
      </c>
      <c r="AU51" s="126">
        <v>1</v>
      </c>
      <c r="AV51" s="126">
        <v>1</v>
      </c>
      <c r="AW51" s="126">
        <v>1</v>
      </c>
      <c r="AX51" s="126">
        <v>1</v>
      </c>
      <c r="AY51" s="126">
        <v>1</v>
      </c>
      <c r="AZ51" s="126">
        <v>1</v>
      </c>
      <c r="BA51" s="126">
        <v>1</v>
      </c>
      <c r="BB51" s="126">
        <v>1</v>
      </c>
      <c r="BC51" s="126">
        <v>1</v>
      </c>
      <c r="BD51" s="126">
        <v>1</v>
      </c>
      <c r="BE51" s="126">
        <v>1</v>
      </c>
    </row>
    <row r="52" spans="1:57" x14ac:dyDescent="0.35">
      <c r="A52" s="127" t="s">
        <v>48</v>
      </c>
      <c r="G52" s="126">
        <v>1</v>
      </c>
      <c r="H52" s="126">
        <v>1</v>
      </c>
      <c r="I52" s="126">
        <v>1</v>
      </c>
      <c r="J52" s="126">
        <v>1</v>
      </c>
      <c r="K52" s="126">
        <v>1</v>
      </c>
      <c r="L52" s="126">
        <v>1</v>
      </c>
      <c r="M52" s="126">
        <v>1</v>
      </c>
      <c r="N52" s="126">
        <v>1</v>
      </c>
      <c r="O52" s="126">
        <v>1</v>
      </c>
      <c r="P52" s="126">
        <v>1</v>
      </c>
      <c r="Q52" s="126">
        <v>1</v>
      </c>
      <c r="R52" s="126">
        <v>1</v>
      </c>
      <c r="S52" s="126">
        <v>1</v>
      </c>
      <c r="T52" s="126">
        <v>1</v>
      </c>
      <c r="U52" s="126">
        <v>1</v>
      </c>
      <c r="V52" s="126">
        <v>1</v>
      </c>
      <c r="W52" s="126">
        <v>1</v>
      </c>
      <c r="X52" s="126">
        <v>1</v>
      </c>
      <c r="Y52" s="126">
        <v>1</v>
      </c>
      <c r="Z52" s="126">
        <v>1</v>
      </c>
      <c r="AA52" s="126">
        <v>1</v>
      </c>
      <c r="AB52" s="126">
        <v>1</v>
      </c>
      <c r="AC52" s="126">
        <v>1</v>
      </c>
      <c r="AD52" s="126">
        <v>1</v>
      </c>
      <c r="AE52" s="126">
        <v>1</v>
      </c>
      <c r="AF52" s="126">
        <v>1</v>
      </c>
      <c r="AG52" s="126">
        <v>1</v>
      </c>
      <c r="AH52" s="126">
        <v>1</v>
      </c>
      <c r="AI52" s="126">
        <v>1</v>
      </c>
      <c r="AJ52" s="126">
        <v>1</v>
      </c>
      <c r="AK52" s="126">
        <v>1</v>
      </c>
      <c r="AL52" s="126">
        <v>1</v>
      </c>
      <c r="AM52" s="126">
        <v>1</v>
      </c>
      <c r="AN52" s="126">
        <v>1</v>
      </c>
      <c r="AO52" s="126">
        <v>1</v>
      </c>
      <c r="AP52" s="126">
        <v>1</v>
      </c>
      <c r="AQ52" s="126">
        <v>1</v>
      </c>
      <c r="AR52" s="126">
        <v>1</v>
      </c>
      <c r="AS52" s="126">
        <v>1</v>
      </c>
      <c r="AT52" s="126">
        <v>1</v>
      </c>
      <c r="AU52" s="126">
        <v>1</v>
      </c>
      <c r="AV52" s="126">
        <v>1</v>
      </c>
      <c r="AW52" s="126">
        <v>1</v>
      </c>
      <c r="AX52" s="126">
        <v>1</v>
      </c>
      <c r="AY52" s="126">
        <v>1</v>
      </c>
      <c r="AZ52" s="126">
        <v>1</v>
      </c>
      <c r="BA52" s="126">
        <v>1</v>
      </c>
      <c r="BB52" s="126">
        <v>1</v>
      </c>
      <c r="BC52" s="126">
        <v>1</v>
      </c>
      <c r="BD52" s="126">
        <v>1</v>
      </c>
      <c r="BE52" s="126">
        <v>1</v>
      </c>
    </row>
    <row r="53" spans="1:57" x14ac:dyDescent="0.35">
      <c r="A53" s="127" t="s">
        <v>49</v>
      </c>
      <c r="G53" s="126">
        <v>2</v>
      </c>
      <c r="H53" s="126">
        <v>2</v>
      </c>
      <c r="I53" s="126">
        <v>2</v>
      </c>
      <c r="J53" s="126">
        <v>2</v>
      </c>
      <c r="K53" s="126">
        <v>2</v>
      </c>
      <c r="L53" s="126">
        <v>2</v>
      </c>
      <c r="M53" s="126">
        <v>2</v>
      </c>
      <c r="N53" s="126">
        <v>2</v>
      </c>
      <c r="O53" s="126">
        <v>2</v>
      </c>
      <c r="P53" s="126">
        <v>2</v>
      </c>
      <c r="Q53" s="126">
        <v>2</v>
      </c>
      <c r="R53" s="126">
        <v>2</v>
      </c>
      <c r="S53" s="126">
        <v>2</v>
      </c>
      <c r="T53" s="126">
        <v>2</v>
      </c>
      <c r="U53" s="126">
        <v>2</v>
      </c>
      <c r="V53" s="126">
        <v>2</v>
      </c>
      <c r="W53" s="126">
        <v>2</v>
      </c>
      <c r="X53" s="126">
        <v>2</v>
      </c>
      <c r="Y53" s="126">
        <v>2</v>
      </c>
      <c r="Z53" s="126">
        <v>2</v>
      </c>
      <c r="AA53" s="126">
        <v>2</v>
      </c>
      <c r="AB53" s="126">
        <v>2</v>
      </c>
      <c r="AC53" s="126">
        <v>2</v>
      </c>
      <c r="AD53" s="126">
        <v>2</v>
      </c>
      <c r="AE53" s="126">
        <v>2</v>
      </c>
      <c r="AF53" s="126">
        <v>2</v>
      </c>
      <c r="AG53" s="126">
        <v>2</v>
      </c>
      <c r="AH53" s="126">
        <v>2</v>
      </c>
      <c r="AI53" s="126">
        <v>2</v>
      </c>
      <c r="AJ53" s="126">
        <v>2</v>
      </c>
      <c r="AK53" s="126">
        <v>2</v>
      </c>
      <c r="AL53" s="126">
        <v>2</v>
      </c>
      <c r="AM53" s="126">
        <v>2</v>
      </c>
      <c r="AN53" s="126">
        <v>2</v>
      </c>
      <c r="AO53" s="126">
        <v>2</v>
      </c>
      <c r="AP53" s="126">
        <v>2</v>
      </c>
      <c r="AQ53" s="126">
        <v>2</v>
      </c>
      <c r="AR53" s="126">
        <v>2</v>
      </c>
      <c r="AS53" s="126">
        <v>2</v>
      </c>
      <c r="AT53" s="126">
        <v>2</v>
      </c>
      <c r="AU53" s="126">
        <v>2</v>
      </c>
      <c r="AV53" s="126">
        <v>2</v>
      </c>
      <c r="AW53" s="126">
        <v>2</v>
      </c>
      <c r="AX53" s="126">
        <v>2</v>
      </c>
      <c r="AY53" s="126">
        <v>2</v>
      </c>
      <c r="AZ53" s="126">
        <v>2</v>
      </c>
      <c r="BA53" s="126">
        <v>2</v>
      </c>
      <c r="BB53" s="126">
        <v>2</v>
      </c>
      <c r="BC53" s="126">
        <v>2</v>
      </c>
      <c r="BD53" s="126">
        <v>2</v>
      </c>
      <c r="BE53" s="126">
        <v>2</v>
      </c>
    </row>
    <row r="54" spans="1:57" x14ac:dyDescent="0.35">
      <c r="A54" s="127" t="s">
        <v>50</v>
      </c>
      <c r="G54" s="126">
        <v>1</v>
      </c>
      <c r="H54" s="126">
        <v>1</v>
      </c>
      <c r="I54" s="126">
        <v>1</v>
      </c>
      <c r="J54" s="126">
        <v>1</v>
      </c>
      <c r="K54" s="126">
        <v>1</v>
      </c>
      <c r="L54" s="126">
        <v>1</v>
      </c>
      <c r="M54" s="126">
        <v>1</v>
      </c>
      <c r="N54" s="126">
        <v>1</v>
      </c>
      <c r="O54" s="126">
        <v>1</v>
      </c>
      <c r="P54" s="126">
        <v>1</v>
      </c>
      <c r="Q54" s="126">
        <v>1</v>
      </c>
      <c r="R54" s="126">
        <v>1</v>
      </c>
      <c r="S54" s="126">
        <v>1</v>
      </c>
      <c r="T54" s="126">
        <v>1</v>
      </c>
      <c r="U54" s="126">
        <v>1</v>
      </c>
      <c r="V54" s="126">
        <v>1</v>
      </c>
      <c r="W54" s="126">
        <v>1</v>
      </c>
      <c r="X54" s="126">
        <v>1</v>
      </c>
      <c r="Y54" s="126">
        <v>1</v>
      </c>
      <c r="Z54" s="126">
        <v>1</v>
      </c>
      <c r="AA54" s="126">
        <v>1</v>
      </c>
      <c r="AB54" s="126">
        <v>1</v>
      </c>
      <c r="AC54" s="126">
        <v>1</v>
      </c>
      <c r="AD54" s="126">
        <v>1</v>
      </c>
      <c r="AE54" s="126">
        <v>1</v>
      </c>
      <c r="AF54" s="126">
        <v>1</v>
      </c>
      <c r="AG54" s="126">
        <v>1</v>
      </c>
      <c r="AH54" s="126">
        <v>1</v>
      </c>
      <c r="AI54" s="126">
        <v>1</v>
      </c>
      <c r="AJ54" s="126">
        <v>1</v>
      </c>
      <c r="AK54" s="126">
        <v>1</v>
      </c>
      <c r="AL54" s="126">
        <v>1</v>
      </c>
      <c r="AM54" s="126">
        <v>1</v>
      </c>
      <c r="AN54" s="126">
        <v>1</v>
      </c>
      <c r="AO54" s="126">
        <v>1</v>
      </c>
      <c r="AP54" s="126">
        <v>1</v>
      </c>
      <c r="AQ54" s="126">
        <v>1</v>
      </c>
      <c r="AR54" s="126">
        <v>1</v>
      </c>
      <c r="AS54" s="126">
        <v>1</v>
      </c>
      <c r="AT54" s="126">
        <v>1</v>
      </c>
      <c r="AU54" s="126">
        <v>1</v>
      </c>
      <c r="AV54" s="126">
        <v>1</v>
      </c>
      <c r="AW54" s="126">
        <v>1</v>
      </c>
      <c r="AX54" s="126">
        <v>1</v>
      </c>
      <c r="AY54" s="126">
        <v>1</v>
      </c>
      <c r="AZ54" s="126">
        <v>1</v>
      </c>
      <c r="BA54" s="126">
        <v>1</v>
      </c>
      <c r="BB54" s="126">
        <v>1</v>
      </c>
      <c r="BC54" s="126">
        <v>1</v>
      </c>
      <c r="BD54" s="126">
        <v>1</v>
      </c>
      <c r="BE54" s="126">
        <v>1</v>
      </c>
    </row>
    <row r="55" spans="1:57" x14ac:dyDescent="0.35">
      <c r="A55" s="127" t="s">
        <v>51</v>
      </c>
      <c r="G55" s="126">
        <v>2</v>
      </c>
      <c r="H55" s="126">
        <v>2</v>
      </c>
      <c r="I55" s="126">
        <v>2</v>
      </c>
      <c r="J55" s="126">
        <v>2</v>
      </c>
      <c r="K55" s="126">
        <v>2</v>
      </c>
      <c r="L55" s="126">
        <v>2</v>
      </c>
      <c r="M55" s="126">
        <v>2</v>
      </c>
      <c r="N55" s="126">
        <v>2</v>
      </c>
      <c r="O55" s="126">
        <v>2</v>
      </c>
      <c r="P55" s="126">
        <v>2</v>
      </c>
      <c r="Q55" s="126">
        <v>2</v>
      </c>
      <c r="R55" s="126">
        <v>2</v>
      </c>
      <c r="S55" s="126">
        <v>2</v>
      </c>
      <c r="T55" s="126">
        <v>2</v>
      </c>
      <c r="U55" s="126">
        <v>2</v>
      </c>
      <c r="V55" s="126">
        <v>2</v>
      </c>
      <c r="W55" s="126">
        <v>2</v>
      </c>
      <c r="X55" s="126">
        <v>2</v>
      </c>
      <c r="Y55" s="126">
        <v>2</v>
      </c>
      <c r="Z55" s="126">
        <v>2</v>
      </c>
      <c r="AA55" s="126">
        <v>2</v>
      </c>
      <c r="AB55" s="126">
        <v>2</v>
      </c>
      <c r="AC55" s="126">
        <v>2</v>
      </c>
      <c r="AD55" s="126">
        <v>2</v>
      </c>
      <c r="AE55" s="126">
        <v>2</v>
      </c>
      <c r="AF55" s="126">
        <v>2</v>
      </c>
      <c r="AG55" s="126">
        <v>2</v>
      </c>
      <c r="AH55" s="126">
        <v>2</v>
      </c>
      <c r="AI55" s="126">
        <v>2</v>
      </c>
      <c r="AJ55" s="126">
        <v>2</v>
      </c>
      <c r="AK55" s="126">
        <v>2</v>
      </c>
      <c r="AL55" s="126">
        <v>2</v>
      </c>
      <c r="AM55" s="126">
        <v>2</v>
      </c>
      <c r="AN55" s="126">
        <v>2</v>
      </c>
      <c r="AO55" s="126">
        <v>2</v>
      </c>
      <c r="AP55" s="126">
        <v>2</v>
      </c>
      <c r="AQ55" s="126">
        <v>2</v>
      </c>
      <c r="AR55" s="126">
        <v>2</v>
      </c>
      <c r="AS55" s="126">
        <v>2</v>
      </c>
      <c r="AT55" s="126">
        <v>2</v>
      </c>
      <c r="AU55" s="126">
        <v>2</v>
      </c>
      <c r="AV55" s="126">
        <v>2</v>
      </c>
      <c r="AW55" s="126">
        <v>2</v>
      </c>
      <c r="AX55" s="126">
        <v>2</v>
      </c>
      <c r="AY55" s="126">
        <v>2</v>
      </c>
      <c r="AZ55" s="126">
        <v>2</v>
      </c>
      <c r="BA55" s="126">
        <v>2</v>
      </c>
      <c r="BB55" s="126">
        <v>2</v>
      </c>
      <c r="BC55" s="126">
        <v>2</v>
      </c>
      <c r="BD55" s="126">
        <v>2</v>
      </c>
      <c r="BE55" s="126">
        <v>2</v>
      </c>
    </row>
    <row r="56" spans="1:57" x14ac:dyDescent="0.35">
      <c r="A56" s="127" t="s">
        <v>52</v>
      </c>
      <c r="G56" s="126">
        <v>1</v>
      </c>
      <c r="H56" s="126">
        <v>1</v>
      </c>
      <c r="I56" s="126">
        <v>1</v>
      </c>
      <c r="J56" s="126">
        <v>1</v>
      </c>
      <c r="K56" s="126">
        <v>1</v>
      </c>
      <c r="L56" s="126">
        <v>1</v>
      </c>
      <c r="M56" s="126">
        <v>1</v>
      </c>
      <c r="N56" s="126">
        <v>1</v>
      </c>
      <c r="O56" s="126">
        <v>1</v>
      </c>
      <c r="P56" s="126">
        <v>1</v>
      </c>
      <c r="Q56" s="126">
        <v>1</v>
      </c>
      <c r="R56" s="126">
        <v>1</v>
      </c>
      <c r="S56" s="126">
        <v>1</v>
      </c>
      <c r="T56" s="126">
        <v>1</v>
      </c>
      <c r="U56" s="126">
        <v>1</v>
      </c>
      <c r="V56" s="126">
        <v>1</v>
      </c>
      <c r="W56" s="126">
        <v>1</v>
      </c>
      <c r="X56" s="126">
        <v>1</v>
      </c>
      <c r="Y56" s="126">
        <v>1</v>
      </c>
      <c r="Z56" s="126">
        <v>1</v>
      </c>
      <c r="AA56" s="126">
        <v>1</v>
      </c>
      <c r="AB56" s="126">
        <v>1</v>
      </c>
      <c r="AC56" s="126">
        <v>1</v>
      </c>
      <c r="AD56" s="126">
        <v>1</v>
      </c>
      <c r="AE56" s="126">
        <v>1</v>
      </c>
      <c r="AF56" s="126">
        <v>1</v>
      </c>
      <c r="AG56" s="126">
        <v>1</v>
      </c>
      <c r="AH56" s="126">
        <v>1</v>
      </c>
      <c r="AI56" s="126">
        <v>1</v>
      </c>
      <c r="AJ56" s="126">
        <v>1</v>
      </c>
      <c r="AK56" s="126">
        <v>1</v>
      </c>
      <c r="AL56" s="126">
        <v>1</v>
      </c>
      <c r="AM56" s="126">
        <v>1</v>
      </c>
      <c r="AN56" s="126">
        <v>1</v>
      </c>
      <c r="AO56" s="126">
        <v>1</v>
      </c>
      <c r="AP56" s="126">
        <v>1</v>
      </c>
      <c r="AQ56" s="126">
        <v>1</v>
      </c>
      <c r="AR56" s="126">
        <v>1</v>
      </c>
      <c r="AS56" s="126">
        <v>1</v>
      </c>
      <c r="AT56" s="126">
        <v>1</v>
      </c>
      <c r="AU56" s="126">
        <v>1</v>
      </c>
      <c r="AV56" s="126">
        <v>1</v>
      </c>
      <c r="AW56" s="126">
        <v>1</v>
      </c>
      <c r="AX56" s="126">
        <v>1</v>
      </c>
      <c r="AY56" s="126">
        <v>1</v>
      </c>
      <c r="AZ56" s="126">
        <v>1</v>
      </c>
      <c r="BA56" s="126">
        <v>1</v>
      </c>
      <c r="BB56" s="126">
        <v>1</v>
      </c>
      <c r="BC56" s="126">
        <v>1</v>
      </c>
      <c r="BD56" s="126">
        <v>1</v>
      </c>
      <c r="BE56" s="126">
        <v>1</v>
      </c>
    </row>
    <row r="57" spans="1:57" x14ac:dyDescent="0.35">
      <c r="A57" s="127" t="s">
        <v>53</v>
      </c>
      <c r="G57" s="126">
        <v>1</v>
      </c>
      <c r="H57" s="126">
        <v>1</v>
      </c>
      <c r="I57" s="126">
        <v>1</v>
      </c>
      <c r="J57" s="126">
        <v>1</v>
      </c>
      <c r="K57" s="126">
        <v>1</v>
      </c>
      <c r="L57" s="126">
        <v>1</v>
      </c>
      <c r="M57" s="126">
        <v>1</v>
      </c>
      <c r="N57" s="126">
        <v>1</v>
      </c>
      <c r="O57" s="126">
        <v>1</v>
      </c>
      <c r="P57" s="126">
        <v>1</v>
      </c>
      <c r="Q57" s="126">
        <v>1</v>
      </c>
      <c r="R57" s="126">
        <v>1</v>
      </c>
      <c r="S57" s="126">
        <v>1</v>
      </c>
      <c r="T57" s="126">
        <v>1</v>
      </c>
      <c r="U57" s="126">
        <v>1</v>
      </c>
      <c r="V57" s="126">
        <v>1</v>
      </c>
      <c r="W57" s="126">
        <v>1</v>
      </c>
      <c r="X57" s="126">
        <v>1</v>
      </c>
      <c r="Y57" s="126">
        <v>1</v>
      </c>
      <c r="Z57" s="126">
        <v>1</v>
      </c>
      <c r="AA57" s="126">
        <v>1</v>
      </c>
      <c r="AB57" s="126">
        <v>1</v>
      </c>
      <c r="AC57" s="126">
        <v>1</v>
      </c>
      <c r="AD57" s="126">
        <v>1</v>
      </c>
      <c r="AE57" s="126">
        <v>1</v>
      </c>
      <c r="AF57" s="126">
        <v>1</v>
      </c>
      <c r="AG57" s="126">
        <v>1</v>
      </c>
      <c r="AH57" s="126">
        <v>1</v>
      </c>
      <c r="AI57" s="126">
        <v>1</v>
      </c>
      <c r="AJ57" s="126">
        <v>1</v>
      </c>
      <c r="AK57" s="126">
        <v>1</v>
      </c>
      <c r="AL57" s="126">
        <v>1</v>
      </c>
      <c r="AM57" s="126">
        <v>1</v>
      </c>
      <c r="AN57" s="126">
        <v>1</v>
      </c>
      <c r="AO57" s="126">
        <v>1</v>
      </c>
      <c r="AP57" s="126">
        <v>1</v>
      </c>
      <c r="AQ57" s="126">
        <v>1</v>
      </c>
      <c r="AR57" s="126">
        <v>1</v>
      </c>
      <c r="AS57" s="126">
        <v>1</v>
      </c>
      <c r="AT57" s="126">
        <v>1</v>
      </c>
      <c r="AU57" s="126">
        <v>1</v>
      </c>
      <c r="AV57" s="126">
        <v>1</v>
      </c>
      <c r="AW57" s="126">
        <v>1</v>
      </c>
      <c r="AX57" s="126">
        <v>1</v>
      </c>
      <c r="AY57" s="126">
        <v>1</v>
      </c>
      <c r="AZ57" s="126">
        <v>1</v>
      </c>
      <c r="BA57" s="126">
        <v>1</v>
      </c>
      <c r="BB57" s="126">
        <v>1</v>
      </c>
      <c r="BC57" s="126">
        <v>1</v>
      </c>
      <c r="BD57" s="126">
        <v>1</v>
      </c>
      <c r="BE57" s="126">
        <v>1</v>
      </c>
    </row>
    <row r="58" spans="1:57" x14ac:dyDescent="0.35">
      <c r="A58" s="127" t="s">
        <v>54</v>
      </c>
      <c r="G58" s="126">
        <v>2</v>
      </c>
      <c r="H58" s="126">
        <v>2</v>
      </c>
      <c r="I58" s="126">
        <v>2</v>
      </c>
      <c r="J58" s="126">
        <v>2</v>
      </c>
      <c r="K58" s="126">
        <v>2</v>
      </c>
      <c r="L58" s="126">
        <v>2</v>
      </c>
      <c r="M58" s="126">
        <v>2</v>
      </c>
      <c r="N58" s="126">
        <v>2</v>
      </c>
      <c r="O58" s="126">
        <v>2</v>
      </c>
      <c r="P58" s="126">
        <v>2</v>
      </c>
      <c r="Q58" s="126">
        <v>2</v>
      </c>
      <c r="R58" s="126">
        <v>2</v>
      </c>
      <c r="S58" s="126">
        <v>2</v>
      </c>
      <c r="T58" s="126">
        <v>2</v>
      </c>
      <c r="U58" s="126">
        <v>2</v>
      </c>
      <c r="V58" s="126">
        <v>2</v>
      </c>
      <c r="W58" s="126">
        <v>2</v>
      </c>
      <c r="X58" s="126">
        <v>2</v>
      </c>
      <c r="Y58" s="126">
        <v>2</v>
      </c>
      <c r="Z58" s="126">
        <v>2</v>
      </c>
      <c r="AA58" s="126">
        <v>2</v>
      </c>
      <c r="AB58" s="126">
        <v>2</v>
      </c>
      <c r="AC58" s="126">
        <v>2</v>
      </c>
      <c r="AD58" s="126">
        <v>2</v>
      </c>
      <c r="AE58" s="126">
        <v>2</v>
      </c>
      <c r="AF58" s="126">
        <v>2</v>
      </c>
      <c r="AG58" s="126">
        <v>2</v>
      </c>
      <c r="AH58" s="126">
        <v>2</v>
      </c>
      <c r="AI58" s="126">
        <v>2</v>
      </c>
      <c r="AJ58" s="126">
        <v>2</v>
      </c>
      <c r="AK58" s="126">
        <v>2</v>
      </c>
      <c r="AL58" s="126">
        <v>2</v>
      </c>
      <c r="AM58" s="126">
        <v>2</v>
      </c>
      <c r="AN58" s="126">
        <v>2</v>
      </c>
      <c r="AO58" s="126">
        <v>2</v>
      </c>
      <c r="AP58" s="126">
        <v>2</v>
      </c>
      <c r="AQ58" s="126">
        <v>2</v>
      </c>
      <c r="AR58" s="126">
        <v>2</v>
      </c>
      <c r="AS58" s="126">
        <v>2</v>
      </c>
      <c r="AT58" s="126">
        <v>2</v>
      </c>
      <c r="AU58" s="126">
        <v>2</v>
      </c>
      <c r="AV58" s="126">
        <v>2</v>
      </c>
      <c r="AW58" s="126">
        <v>2</v>
      </c>
      <c r="AX58" s="126">
        <v>2</v>
      </c>
      <c r="AY58" s="126">
        <v>2</v>
      </c>
      <c r="AZ58" s="126">
        <v>2</v>
      </c>
      <c r="BA58" s="126">
        <v>2</v>
      </c>
      <c r="BB58" s="126">
        <v>2</v>
      </c>
      <c r="BC58" s="126">
        <v>2</v>
      </c>
      <c r="BD58" s="126">
        <v>2</v>
      </c>
      <c r="BE58" s="126">
        <v>2</v>
      </c>
    </row>
    <row r="59" spans="1:57" x14ac:dyDescent="0.35">
      <c r="A59" s="127" t="s">
        <v>55</v>
      </c>
      <c r="G59" s="126">
        <v>2</v>
      </c>
      <c r="H59" s="126">
        <v>2</v>
      </c>
      <c r="I59" s="126">
        <v>2</v>
      </c>
      <c r="J59" s="126">
        <v>2</v>
      </c>
      <c r="K59" s="126">
        <v>2</v>
      </c>
      <c r="L59" s="126">
        <v>2</v>
      </c>
      <c r="M59" s="126">
        <v>2</v>
      </c>
      <c r="N59" s="126">
        <v>2</v>
      </c>
      <c r="O59" s="126">
        <v>2</v>
      </c>
      <c r="P59" s="126">
        <v>2</v>
      </c>
      <c r="Q59" s="126">
        <v>2</v>
      </c>
      <c r="R59" s="126">
        <v>2</v>
      </c>
      <c r="S59" s="126">
        <v>2</v>
      </c>
      <c r="T59" s="126">
        <v>2</v>
      </c>
      <c r="U59" s="126">
        <v>2</v>
      </c>
      <c r="V59" s="126">
        <v>2</v>
      </c>
      <c r="W59" s="126">
        <v>2</v>
      </c>
      <c r="X59" s="126">
        <v>2</v>
      </c>
      <c r="Y59" s="126">
        <v>2</v>
      </c>
      <c r="Z59" s="126">
        <v>2</v>
      </c>
      <c r="AA59" s="126">
        <v>2</v>
      </c>
      <c r="AB59" s="126">
        <v>2</v>
      </c>
      <c r="AC59" s="126">
        <v>2</v>
      </c>
      <c r="AD59" s="126">
        <v>2</v>
      </c>
      <c r="AE59" s="126">
        <v>2</v>
      </c>
      <c r="AF59" s="126">
        <v>2</v>
      </c>
      <c r="AG59" s="126">
        <v>2</v>
      </c>
      <c r="AH59" s="126">
        <v>2</v>
      </c>
      <c r="AI59" s="126">
        <v>2</v>
      </c>
      <c r="AJ59" s="126">
        <v>2</v>
      </c>
      <c r="AK59" s="126">
        <v>2</v>
      </c>
      <c r="AL59" s="126">
        <v>2</v>
      </c>
      <c r="AM59" s="126">
        <v>2</v>
      </c>
      <c r="AN59" s="126">
        <v>2</v>
      </c>
      <c r="AO59" s="126">
        <v>2</v>
      </c>
      <c r="AP59" s="126">
        <v>2</v>
      </c>
      <c r="AQ59" s="126">
        <v>2</v>
      </c>
      <c r="AR59" s="126">
        <v>2</v>
      </c>
      <c r="AS59" s="126">
        <v>2</v>
      </c>
      <c r="AT59" s="126">
        <v>2</v>
      </c>
      <c r="AU59" s="126">
        <v>2</v>
      </c>
      <c r="AV59" s="126">
        <v>2</v>
      </c>
      <c r="AW59" s="126">
        <v>2</v>
      </c>
      <c r="AX59" s="126">
        <v>2</v>
      </c>
      <c r="AY59" s="126">
        <v>2</v>
      </c>
      <c r="AZ59" s="126">
        <v>2</v>
      </c>
      <c r="BA59" s="126">
        <v>2</v>
      </c>
      <c r="BB59" s="126">
        <v>2</v>
      </c>
      <c r="BC59" s="126">
        <v>2</v>
      </c>
      <c r="BD59" s="126">
        <v>2</v>
      </c>
      <c r="BE59" s="126">
        <v>2</v>
      </c>
    </row>
  </sheetData>
  <conditionalFormatting sqref="G6:BE59">
    <cfRule type="cellIs" dxfId="5" priority="1" operator="notEqual">
      <formula>G6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23"/>
  <dimension ref="A1:BE59"/>
  <sheetViews>
    <sheetView workbookViewId="0">
      <selection activeCell="G6" sqref="G6:BE59"/>
    </sheetView>
  </sheetViews>
  <sheetFormatPr defaultColWidth="8.81640625" defaultRowHeight="14.5" x14ac:dyDescent="0.35"/>
  <cols>
    <col min="1" max="16384" width="8.81640625" style="18"/>
  </cols>
  <sheetData>
    <row r="1" spans="1:57" ht="21" x14ac:dyDescent="0.5">
      <c r="A1" s="20" t="s">
        <v>92</v>
      </c>
    </row>
    <row r="2" spans="1:57" ht="15.5" x14ac:dyDescent="0.35">
      <c r="A2" s="134" t="s">
        <v>90</v>
      </c>
    </row>
    <row r="4" spans="1:57" x14ac:dyDescent="0.35">
      <c r="G4" s="21" t="s">
        <v>58</v>
      </c>
    </row>
    <row r="5" spans="1:57" x14ac:dyDescent="0.35">
      <c r="A5" s="21" t="s">
        <v>57</v>
      </c>
      <c r="G5" s="109">
        <v>1980</v>
      </c>
      <c r="H5" s="109">
        <v>1981</v>
      </c>
      <c r="I5" s="109">
        <v>1982</v>
      </c>
      <c r="J5" s="109">
        <v>1983</v>
      </c>
      <c r="K5" s="109">
        <v>1984</v>
      </c>
      <c r="L5" s="109">
        <v>1985</v>
      </c>
      <c r="M5" s="109">
        <v>1986</v>
      </c>
      <c r="N5" s="109">
        <v>1987</v>
      </c>
      <c r="O5" s="109">
        <v>1988</v>
      </c>
      <c r="P5" s="109">
        <v>1989</v>
      </c>
      <c r="Q5" s="109">
        <v>1990</v>
      </c>
      <c r="R5" s="109">
        <v>1991</v>
      </c>
      <c r="S5" s="109">
        <v>1992</v>
      </c>
      <c r="T5" s="109">
        <v>1993</v>
      </c>
      <c r="U5" s="109">
        <v>1994</v>
      </c>
      <c r="V5" s="109">
        <v>1995</v>
      </c>
      <c r="W5" s="109">
        <v>1996</v>
      </c>
      <c r="X5" s="109">
        <v>1997</v>
      </c>
      <c r="Y5" s="109">
        <v>1998</v>
      </c>
      <c r="Z5" s="109">
        <v>1999</v>
      </c>
      <c r="AA5" s="109">
        <v>2000</v>
      </c>
      <c r="AB5" s="109">
        <v>2001</v>
      </c>
      <c r="AC5" s="109">
        <v>2002</v>
      </c>
      <c r="AD5" s="109">
        <v>2003</v>
      </c>
      <c r="AE5" s="109">
        <v>2004</v>
      </c>
      <c r="AF5" s="109">
        <v>2005</v>
      </c>
      <c r="AG5" s="109">
        <v>2006</v>
      </c>
      <c r="AH5" s="109">
        <v>2007</v>
      </c>
      <c r="AI5" s="109">
        <v>2008</v>
      </c>
      <c r="AJ5" s="109">
        <v>2009</v>
      </c>
      <c r="AK5" s="109">
        <v>2010</v>
      </c>
      <c r="AL5" s="109">
        <v>2011</v>
      </c>
      <c r="AM5" s="109">
        <v>2012</v>
      </c>
      <c r="AN5" s="109">
        <v>2013</v>
      </c>
      <c r="AO5" s="109">
        <v>2014</v>
      </c>
      <c r="AP5" s="109">
        <v>2015</v>
      </c>
      <c r="AQ5" s="109">
        <v>2016</v>
      </c>
      <c r="AR5" s="109">
        <v>2017</v>
      </c>
      <c r="AS5" s="109">
        <v>2018</v>
      </c>
      <c r="AT5" s="109">
        <v>2019</v>
      </c>
      <c r="AU5" s="109">
        <v>2020</v>
      </c>
      <c r="AV5" s="109">
        <v>2021</v>
      </c>
      <c r="AW5" s="109">
        <v>2022</v>
      </c>
      <c r="AX5" s="109">
        <v>2023</v>
      </c>
      <c r="AY5" s="109">
        <v>2024</v>
      </c>
      <c r="AZ5" s="109">
        <v>2025</v>
      </c>
      <c r="BA5" s="109">
        <v>2026</v>
      </c>
      <c r="BB5" s="109">
        <v>2027</v>
      </c>
      <c r="BC5" s="109">
        <v>2028</v>
      </c>
      <c r="BD5" s="109">
        <v>2029</v>
      </c>
      <c r="BE5" s="109">
        <v>2030</v>
      </c>
    </row>
    <row r="6" spans="1:57" x14ac:dyDescent="0.35">
      <c r="A6" s="127" t="s">
        <v>2</v>
      </c>
      <c r="G6" s="126">
        <v>14.21</v>
      </c>
      <c r="H6" s="126">
        <v>14.21</v>
      </c>
      <c r="I6" s="126">
        <v>14.21</v>
      </c>
      <c r="J6" s="126">
        <v>14.21</v>
      </c>
      <c r="K6" s="126">
        <v>14.21</v>
      </c>
      <c r="L6" s="126">
        <v>14.21</v>
      </c>
      <c r="M6" s="126">
        <v>14.21</v>
      </c>
      <c r="N6" s="126">
        <v>14.21</v>
      </c>
      <c r="O6" s="126">
        <v>14.21</v>
      </c>
      <c r="P6" s="126">
        <v>14.21</v>
      </c>
      <c r="Q6" s="126">
        <v>14.21</v>
      </c>
      <c r="R6" s="126">
        <v>14.21</v>
      </c>
      <c r="S6" s="126">
        <v>14.21</v>
      </c>
      <c r="T6" s="126">
        <v>14.21</v>
      </c>
      <c r="U6" s="126">
        <v>14.21</v>
      </c>
      <c r="V6" s="126">
        <v>14.21</v>
      </c>
      <c r="W6" s="126">
        <v>14.21</v>
      </c>
      <c r="X6" s="126">
        <v>14.21</v>
      </c>
      <c r="Y6" s="126">
        <v>14.21</v>
      </c>
      <c r="Z6" s="126">
        <v>14.21</v>
      </c>
      <c r="AA6" s="126">
        <v>14.21</v>
      </c>
      <c r="AB6" s="126">
        <v>14.21</v>
      </c>
      <c r="AC6" s="126">
        <v>14.21</v>
      </c>
      <c r="AD6" s="126">
        <v>14.21</v>
      </c>
      <c r="AE6" s="126">
        <v>14.21</v>
      </c>
      <c r="AF6" s="126">
        <v>14.21</v>
      </c>
      <c r="AG6" s="126">
        <v>14.21</v>
      </c>
      <c r="AH6" s="126">
        <v>14.21</v>
      </c>
      <c r="AI6" s="126">
        <v>14.21</v>
      </c>
      <c r="AJ6" s="126">
        <v>14.21</v>
      </c>
      <c r="AK6" s="126">
        <v>14.21</v>
      </c>
      <c r="AL6" s="126">
        <v>14.21</v>
      </c>
      <c r="AM6" s="126">
        <v>14.21</v>
      </c>
      <c r="AN6" s="126">
        <v>14.21</v>
      </c>
      <c r="AO6" s="126">
        <v>14.21</v>
      </c>
      <c r="AP6" s="126">
        <v>14.21</v>
      </c>
      <c r="AQ6" s="126">
        <v>14.21</v>
      </c>
      <c r="AR6" s="126">
        <v>14.21</v>
      </c>
      <c r="AS6" s="126">
        <v>14.21</v>
      </c>
      <c r="AT6" s="126">
        <v>14.21</v>
      </c>
      <c r="AU6" s="126">
        <v>14.21</v>
      </c>
      <c r="AV6" s="126">
        <v>14.21</v>
      </c>
      <c r="AW6" s="126">
        <v>14.21</v>
      </c>
      <c r="AX6" s="126">
        <v>14.21</v>
      </c>
      <c r="AY6" s="126">
        <v>14.21</v>
      </c>
      <c r="AZ6" s="126">
        <v>14.21</v>
      </c>
      <c r="BA6" s="126">
        <v>14.21</v>
      </c>
      <c r="BB6" s="126">
        <v>14.21</v>
      </c>
      <c r="BC6" s="126">
        <v>14.21</v>
      </c>
      <c r="BD6" s="126">
        <v>14.21</v>
      </c>
      <c r="BE6" s="126">
        <v>14.21</v>
      </c>
    </row>
    <row r="7" spans="1:57" x14ac:dyDescent="0.35">
      <c r="A7" s="127" t="s">
        <v>3</v>
      </c>
      <c r="G7" s="126">
        <v>25</v>
      </c>
      <c r="H7" s="126">
        <v>25</v>
      </c>
      <c r="I7" s="126">
        <v>25</v>
      </c>
      <c r="J7" s="126">
        <v>25</v>
      </c>
      <c r="K7" s="126">
        <v>25</v>
      </c>
      <c r="L7" s="126">
        <v>25</v>
      </c>
      <c r="M7" s="126">
        <v>25</v>
      </c>
      <c r="N7" s="126">
        <v>25</v>
      </c>
      <c r="O7" s="126">
        <v>25</v>
      </c>
      <c r="P7" s="126">
        <v>25</v>
      </c>
      <c r="Q7" s="126">
        <v>25</v>
      </c>
      <c r="R7" s="126">
        <v>25</v>
      </c>
      <c r="S7" s="126">
        <v>25</v>
      </c>
      <c r="T7" s="126">
        <v>25</v>
      </c>
      <c r="U7" s="126">
        <v>25</v>
      </c>
      <c r="V7" s="126">
        <v>25</v>
      </c>
      <c r="W7" s="126">
        <v>25</v>
      </c>
      <c r="X7" s="126">
        <v>25</v>
      </c>
      <c r="Y7" s="126">
        <v>25</v>
      </c>
      <c r="Z7" s="126">
        <v>25</v>
      </c>
      <c r="AA7" s="126">
        <v>25</v>
      </c>
      <c r="AB7" s="126">
        <v>25</v>
      </c>
      <c r="AC7" s="126">
        <v>25</v>
      </c>
      <c r="AD7" s="126">
        <v>25</v>
      </c>
      <c r="AE7" s="126">
        <v>25</v>
      </c>
      <c r="AF7" s="126">
        <v>25</v>
      </c>
      <c r="AG7" s="126">
        <v>25</v>
      </c>
      <c r="AH7" s="126">
        <v>25</v>
      </c>
      <c r="AI7" s="126">
        <v>25</v>
      </c>
      <c r="AJ7" s="126">
        <v>25</v>
      </c>
      <c r="AK7" s="126">
        <v>25</v>
      </c>
      <c r="AL7" s="126">
        <v>25</v>
      </c>
      <c r="AM7" s="126">
        <v>25</v>
      </c>
      <c r="AN7" s="126">
        <v>25</v>
      </c>
      <c r="AO7" s="126">
        <v>25</v>
      </c>
      <c r="AP7" s="126">
        <v>25</v>
      </c>
      <c r="AQ7" s="126">
        <v>25</v>
      </c>
      <c r="AR7" s="126">
        <v>25</v>
      </c>
      <c r="AS7" s="126">
        <v>25</v>
      </c>
      <c r="AT7" s="126">
        <v>25</v>
      </c>
      <c r="AU7" s="126">
        <v>25</v>
      </c>
      <c r="AV7" s="126">
        <v>25</v>
      </c>
      <c r="AW7" s="126">
        <v>25</v>
      </c>
      <c r="AX7" s="126">
        <v>25</v>
      </c>
      <c r="AY7" s="126">
        <v>25</v>
      </c>
      <c r="AZ7" s="126">
        <v>25</v>
      </c>
      <c r="BA7" s="126">
        <v>25</v>
      </c>
      <c r="BB7" s="126">
        <v>25</v>
      </c>
      <c r="BC7" s="126">
        <v>25</v>
      </c>
      <c r="BD7" s="126">
        <v>25</v>
      </c>
      <c r="BE7" s="126">
        <v>25</v>
      </c>
    </row>
    <row r="8" spans="1:57" x14ac:dyDescent="0.35">
      <c r="A8" s="127" t="s">
        <v>4</v>
      </c>
      <c r="G8" s="126">
        <v>16.07</v>
      </c>
      <c r="H8" s="126">
        <v>16.07</v>
      </c>
      <c r="I8" s="126">
        <v>16.07</v>
      </c>
      <c r="J8" s="126">
        <v>16.07</v>
      </c>
      <c r="K8" s="126">
        <v>16.07</v>
      </c>
      <c r="L8" s="126">
        <v>16.07</v>
      </c>
      <c r="M8" s="126">
        <v>16.07</v>
      </c>
      <c r="N8" s="126">
        <v>16.07</v>
      </c>
      <c r="O8" s="126">
        <v>16.07</v>
      </c>
      <c r="P8" s="126">
        <v>16.07</v>
      </c>
      <c r="Q8" s="126">
        <v>16.07</v>
      </c>
      <c r="R8" s="126">
        <v>16.07</v>
      </c>
      <c r="S8" s="126">
        <v>16.07</v>
      </c>
      <c r="T8" s="126">
        <v>16.07</v>
      </c>
      <c r="U8" s="126">
        <v>16.07</v>
      </c>
      <c r="V8" s="126">
        <v>16.07</v>
      </c>
      <c r="W8" s="126">
        <v>16.07</v>
      </c>
      <c r="X8" s="126">
        <v>16.07</v>
      </c>
      <c r="Y8" s="126">
        <v>16.07</v>
      </c>
      <c r="Z8" s="126">
        <v>16.07</v>
      </c>
      <c r="AA8" s="126">
        <v>16.07</v>
      </c>
      <c r="AB8" s="126">
        <v>16.07</v>
      </c>
      <c r="AC8" s="126">
        <v>16.07</v>
      </c>
      <c r="AD8" s="126">
        <v>16.07</v>
      </c>
      <c r="AE8" s="126">
        <v>16.07</v>
      </c>
      <c r="AF8" s="126">
        <v>16.07</v>
      </c>
      <c r="AG8" s="126">
        <v>16.07</v>
      </c>
      <c r="AH8" s="126">
        <v>16.07</v>
      </c>
      <c r="AI8" s="126">
        <v>16.07</v>
      </c>
      <c r="AJ8" s="126">
        <v>16.07</v>
      </c>
      <c r="AK8" s="126">
        <v>16.07</v>
      </c>
      <c r="AL8" s="126">
        <v>16.07</v>
      </c>
      <c r="AM8" s="126">
        <v>16.07</v>
      </c>
      <c r="AN8" s="126">
        <v>16.07</v>
      </c>
      <c r="AO8" s="126">
        <v>16.07</v>
      </c>
      <c r="AP8" s="126">
        <v>16.07</v>
      </c>
      <c r="AQ8" s="126">
        <v>16.07</v>
      </c>
      <c r="AR8" s="126">
        <v>16.07</v>
      </c>
      <c r="AS8" s="126">
        <v>16.07</v>
      </c>
      <c r="AT8" s="126">
        <v>16.07</v>
      </c>
      <c r="AU8" s="126">
        <v>16.07</v>
      </c>
      <c r="AV8" s="126">
        <v>16.07</v>
      </c>
      <c r="AW8" s="126">
        <v>16.07</v>
      </c>
      <c r="AX8" s="126">
        <v>16.07</v>
      </c>
      <c r="AY8" s="126">
        <v>16.07</v>
      </c>
      <c r="AZ8" s="126">
        <v>16.07</v>
      </c>
      <c r="BA8" s="126">
        <v>16.07</v>
      </c>
      <c r="BB8" s="126">
        <v>16.07</v>
      </c>
      <c r="BC8" s="126">
        <v>16.07</v>
      </c>
      <c r="BD8" s="126">
        <v>16.07</v>
      </c>
      <c r="BE8" s="126">
        <v>16.07</v>
      </c>
    </row>
    <row r="9" spans="1:57" x14ac:dyDescent="0.35">
      <c r="A9" s="127" t="s">
        <v>5</v>
      </c>
      <c r="G9" s="126">
        <v>17.13</v>
      </c>
      <c r="H9" s="126">
        <v>17.13</v>
      </c>
      <c r="I9" s="126">
        <v>17.13</v>
      </c>
      <c r="J9" s="126">
        <v>17.13</v>
      </c>
      <c r="K9" s="126">
        <v>17.13</v>
      </c>
      <c r="L9" s="126">
        <v>17.13</v>
      </c>
      <c r="M9" s="126">
        <v>17.13</v>
      </c>
      <c r="N9" s="126">
        <v>17.13</v>
      </c>
      <c r="O9" s="126">
        <v>17.13</v>
      </c>
      <c r="P9" s="126">
        <v>17.13</v>
      </c>
      <c r="Q9" s="126">
        <v>17.13</v>
      </c>
      <c r="R9" s="126">
        <v>17.13</v>
      </c>
      <c r="S9" s="126">
        <v>17.13</v>
      </c>
      <c r="T9" s="126">
        <v>17.13</v>
      </c>
      <c r="U9" s="126">
        <v>17.13</v>
      </c>
      <c r="V9" s="126">
        <v>17.13</v>
      </c>
      <c r="W9" s="126">
        <v>17.13</v>
      </c>
      <c r="X9" s="126">
        <v>17.13</v>
      </c>
      <c r="Y9" s="126">
        <v>17.13</v>
      </c>
      <c r="Z9" s="126">
        <v>17.13</v>
      </c>
      <c r="AA9" s="126">
        <v>17.13</v>
      </c>
      <c r="AB9" s="126">
        <v>17.13</v>
      </c>
      <c r="AC9" s="126">
        <v>17.13</v>
      </c>
      <c r="AD9" s="126">
        <v>17.13</v>
      </c>
      <c r="AE9" s="126">
        <v>17.13</v>
      </c>
      <c r="AF9" s="126">
        <v>17.13</v>
      </c>
      <c r="AG9" s="126">
        <v>17.13</v>
      </c>
      <c r="AH9" s="126">
        <v>17.13</v>
      </c>
      <c r="AI9" s="126">
        <v>17.13</v>
      </c>
      <c r="AJ9" s="126">
        <v>17.13</v>
      </c>
      <c r="AK9" s="126">
        <v>17.13</v>
      </c>
      <c r="AL9" s="126">
        <v>17.13</v>
      </c>
      <c r="AM9" s="126">
        <v>17.13</v>
      </c>
      <c r="AN9" s="126">
        <v>17.13</v>
      </c>
      <c r="AO9" s="126">
        <v>17.13</v>
      </c>
      <c r="AP9" s="126">
        <v>17.13</v>
      </c>
      <c r="AQ9" s="126">
        <v>17.13</v>
      </c>
      <c r="AR9" s="126">
        <v>17.13</v>
      </c>
      <c r="AS9" s="126">
        <v>17.13</v>
      </c>
      <c r="AT9" s="126">
        <v>17.13</v>
      </c>
      <c r="AU9" s="126">
        <v>17.13</v>
      </c>
      <c r="AV9" s="126">
        <v>17.13</v>
      </c>
      <c r="AW9" s="126">
        <v>17.13</v>
      </c>
      <c r="AX9" s="126">
        <v>17.13</v>
      </c>
      <c r="AY9" s="126">
        <v>17.13</v>
      </c>
      <c r="AZ9" s="126">
        <v>17.13</v>
      </c>
      <c r="BA9" s="126">
        <v>17.13</v>
      </c>
      <c r="BB9" s="126">
        <v>17.13</v>
      </c>
      <c r="BC9" s="126">
        <v>17.13</v>
      </c>
      <c r="BD9" s="126">
        <v>17.13</v>
      </c>
      <c r="BE9" s="126">
        <v>17.13</v>
      </c>
    </row>
    <row r="10" spans="1:57" x14ac:dyDescent="0.35">
      <c r="A10" s="127" t="s">
        <v>6</v>
      </c>
      <c r="G10" s="126">
        <v>19.350000000000001</v>
      </c>
      <c r="H10" s="126">
        <v>19.350000000000001</v>
      </c>
      <c r="I10" s="126">
        <v>19.350000000000001</v>
      </c>
      <c r="J10" s="126">
        <v>19.350000000000001</v>
      </c>
      <c r="K10" s="126">
        <v>19.350000000000001</v>
      </c>
      <c r="L10" s="126">
        <v>19.350000000000001</v>
      </c>
      <c r="M10" s="126">
        <v>19.350000000000001</v>
      </c>
      <c r="N10" s="126">
        <v>19.350000000000001</v>
      </c>
      <c r="O10" s="126">
        <v>19.350000000000001</v>
      </c>
      <c r="P10" s="126">
        <v>19.350000000000001</v>
      </c>
      <c r="Q10" s="126">
        <v>19.350000000000001</v>
      </c>
      <c r="R10" s="126">
        <v>19.350000000000001</v>
      </c>
      <c r="S10" s="126">
        <v>19.350000000000001</v>
      </c>
      <c r="T10" s="126">
        <v>19.350000000000001</v>
      </c>
      <c r="U10" s="126">
        <v>19.350000000000001</v>
      </c>
      <c r="V10" s="126">
        <v>19.350000000000001</v>
      </c>
      <c r="W10" s="126">
        <v>19.350000000000001</v>
      </c>
      <c r="X10" s="126">
        <v>19.350000000000001</v>
      </c>
      <c r="Y10" s="126">
        <v>19.350000000000001</v>
      </c>
      <c r="Z10" s="126">
        <v>19.350000000000001</v>
      </c>
      <c r="AA10" s="126">
        <v>19.350000000000001</v>
      </c>
      <c r="AB10" s="126">
        <v>19.350000000000001</v>
      </c>
      <c r="AC10" s="126">
        <v>19.350000000000001</v>
      </c>
      <c r="AD10" s="126">
        <v>19.350000000000001</v>
      </c>
      <c r="AE10" s="126">
        <v>19.350000000000001</v>
      </c>
      <c r="AF10" s="126">
        <v>19.350000000000001</v>
      </c>
      <c r="AG10" s="126">
        <v>19.350000000000001</v>
      </c>
      <c r="AH10" s="126">
        <v>19.350000000000001</v>
      </c>
      <c r="AI10" s="126">
        <v>19.350000000000001</v>
      </c>
      <c r="AJ10" s="126">
        <v>19.350000000000001</v>
      </c>
      <c r="AK10" s="126">
        <v>19.350000000000001</v>
      </c>
      <c r="AL10" s="126">
        <v>19.350000000000001</v>
      </c>
      <c r="AM10" s="126">
        <v>19.350000000000001</v>
      </c>
      <c r="AN10" s="126">
        <v>19.350000000000001</v>
      </c>
      <c r="AO10" s="126">
        <v>19.350000000000001</v>
      </c>
      <c r="AP10" s="126">
        <v>19.350000000000001</v>
      </c>
      <c r="AQ10" s="126">
        <v>19.350000000000001</v>
      </c>
      <c r="AR10" s="126">
        <v>19.350000000000001</v>
      </c>
      <c r="AS10" s="126">
        <v>19.350000000000001</v>
      </c>
      <c r="AT10" s="126">
        <v>19.350000000000001</v>
      </c>
      <c r="AU10" s="126">
        <v>19.350000000000001</v>
      </c>
      <c r="AV10" s="126">
        <v>19.350000000000001</v>
      </c>
      <c r="AW10" s="126">
        <v>19.350000000000001</v>
      </c>
      <c r="AX10" s="126">
        <v>19.350000000000001</v>
      </c>
      <c r="AY10" s="126">
        <v>19.350000000000001</v>
      </c>
      <c r="AZ10" s="126">
        <v>19.350000000000001</v>
      </c>
      <c r="BA10" s="126">
        <v>19.350000000000001</v>
      </c>
      <c r="BB10" s="126">
        <v>19.350000000000001</v>
      </c>
      <c r="BC10" s="126">
        <v>19.350000000000001</v>
      </c>
      <c r="BD10" s="126">
        <v>19.350000000000001</v>
      </c>
      <c r="BE10" s="126">
        <v>19.350000000000001</v>
      </c>
    </row>
    <row r="11" spans="1:57" x14ac:dyDescent="0.35">
      <c r="A11" s="127" t="s">
        <v>7</v>
      </c>
      <c r="G11" s="126">
        <v>13.32</v>
      </c>
      <c r="H11" s="126">
        <v>13.32</v>
      </c>
      <c r="I11" s="126">
        <v>13.32</v>
      </c>
      <c r="J11" s="126">
        <v>13.32</v>
      </c>
      <c r="K11" s="126">
        <v>13.32</v>
      </c>
      <c r="L11" s="126">
        <v>13.32</v>
      </c>
      <c r="M11" s="126">
        <v>13.32</v>
      </c>
      <c r="N11" s="126">
        <v>13.32</v>
      </c>
      <c r="O11" s="126">
        <v>13.32</v>
      </c>
      <c r="P11" s="126">
        <v>13.32</v>
      </c>
      <c r="Q11" s="126">
        <v>13.32</v>
      </c>
      <c r="R11" s="126">
        <v>13.32</v>
      </c>
      <c r="S11" s="126">
        <v>13.32</v>
      </c>
      <c r="T11" s="126">
        <v>13.32</v>
      </c>
      <c r="U11" s="126">
        <v>13.32</v>
      </c>
      <c r="V11" s="126">
        <v>13.32</v>
      </c>
      <c r="W11" s="126">
        <v>13.32</v>
      </c>
      <c r="X11" s="126">
        <v>13.32</v>
      </c>
      <c r="Y11" s="126">
        <v>13.32</v>
      </c>
      <c r="Z11" s="126">
        <v>13.32</v>
      </c>
      <c r="AA11" s="126">
        <v>13.32</v>
      </c>
      <c r="AB11" s="126">
        <v>13.32</v>
      </c>
      <c r="AC11" s="126">
        <v>13.32</v>
      </c>
      <c r="AD11" s="126">
        <v>13.32</v>
      </c>
      <c r="AE11" s="126">
        <v>13.32</v>
      </c>
      <c r="AF11" s="126">
        <v>13.32</v>
      </c>
      <c r="AG11" s="126">
        <v>13.32</v>
      </c>
      <c r="AH11" s="126">
        <v>13.32</v>
      </c>
      <c r="AI11" s="126">
        <v>13.32</v>
      </c>
      <c r="AJ11" s="126">
        <v>13.32</v>
      </c>
      <c r="AK11" s="126">
        <v>13.32</v>
      </c>
      <c r="AL11" s="126">
        <v>13.32</v>
      </c>
      <c r="AM11" s="126">
        <v>13.32</v>
      </c>
      <c r="AN11" s="126">
        <v>13.32</v>
      </c>
      <c r="AO11" s="126">
        <v>13.32</v>
      </c>
      <c r="AP11" s="126">
        <v>13.32</v>
      </c>
      <c r="AQ11" s="126">
        <v>13.32</v>
      </c>
      <c r="AR11" s="126">
        <v>13.32</v>
      </c>
      <c r="AS11" s="126">
        <v>13.32</v>
      </c>
      <c r="AT11" s="126">
        <v>13.32</v>
      </c>
      <c r="AU11" s="126">
        <v>13.32</v>
      </c>
      <c r="AV11" s="126">
        <v>13.32</v>
      </c>
      <c r="AW11" s="126">
        <v>13.32</v>
      </c>
      <c r="AX11" s="126">
        <v>13.32</v>
      </c>
      <c r="AY11" s="126">
        <v>13.32</v>
      </c>
      <c r="AZ11" s="126">
        <v>13.32</v>
      </c>
      <c r="BA11" s="126">
        <v>13.32</v>
      </c>
      <c r="BB11" s="126">
        <v>13.32</v>
      </c>
      <c r="BC11" s="126">
        <v>13.32</v>
      </c>
      <c r="BD11" s="126">
        <v>13.32</v>
      </c>
      <c r="BE11" s="126">
        <v>13.32</v>
      </c>
    </row>
    <row r="12" spans="1:57" x14ac:dyDescent="0.35">
      <c r="A12" s="127" t="s">
        <v>8</v>
      </c>
      <c r="G12" s="126">
        <v>18.079999999999998</v>
      </c>
      <c r="H12" s="126">
        <v>18.079999999999998</v>
      </c>
      <c r="I12" s="126">
        <v>18.079999999999998</v>
      </c>
      <c r="J12" s="126">
        <v>18.079999999999998</v>
      </c>
      <c r="K12" s="126">
        <v>18.079999999999998</v>
      </c>
      <c r="L12" s="126">
        <v>18.079999999999998</v>
      </c>
      <c r="M12" s="126">
        <v>18.079999999999998</v>
      </c>
      <c r="N12" s="126">
        <v>18.079999999999998</v>
      </c>
      <c r="O12" s="126">
        <v>18.079999999999998</v>
      </c>
      <c r="P12" s="126">
        <v>18.079999999999998</v>
      </c>
      <c r="Q12" s="126">
        <v>18.079999999999998</v>
      </c>
      <c r="R12" s="126">
        <v>18.079999999999998</v>
      </c>
      <c r="S12" s="126">
        <v>18.079999999999998</v>
      </c>
      <c r="T12" s="126">
        <v>18.079999999999998</v>
      </c>
      <c r="U12" s="126">
        <v>18.079999999999998</v>
      </c>
      <c r="V12" s="126">
        <v>18.079999999999998</v>
      </c>
      <c r="W12" s="126">
        <v>18.079999999999998</v>
      </c>
      <c r="X12" s="126">
        <v>18.079999999999998</v>
      </c>
      <c r="Y12" s="126">
        <v>18.079999999999998</v>
      </c>
      <c r="Z12" s="126">
        <v>18.079999999999998</v>
      </c>
      <c r="AA12" s="126">
        <v>18.079999999999998</v>
      </c>
      <c r="AB12" s="126">
        <v>18.079999999999998</v>
      </c>
      <c r="AC12" s="126">
        <v>18.079999999999998</v>
      </c>
      <c r="AD12" s="126">
        <v>18.079999999999998</v>
      </c>
      <c r="AE12" s="126">
        <v>18.079999999999998</v>
      </c>
      <c r="AF12" s="126">
        <v>18.079999999999998</v>
      </c>
      <c r="AG12" s="126">
        <v>18.079999999999998</v>
      </c>
      <c r="AH12" s="126">
        <v>18.079999999999998</v>
      </c>
      <c r="AI12" s="126">
        <v>18.079999999999998</v>
      </c>
      <c r="AJ12" s="126">
        <v>18.079999999999998</v>
      </c>
      <c r="AK12" s="126">
        <v>18.079999999999998</v>
      </c>
      <c r="AL12" s="126">
        <v>18.079999999999998</v>
      </c>
      <c r="AM12" s="126">
        <v>18.079999999999998</v>
      </c>
      <c r="AN12" s="126">
        <v>18.079999999999998</v>
      </c>
      <c r="AO12" s="126">
        <v>18.079999999999998</v>
      </c>
      <c r="AP12" s="126">
        <v>18.079999999999998</v>
      </c>
      <c r="AQ12" s="126">
        <v>18.079999999999998</v>
      </c>
      <c r="AR12" s="126">
        <v>18.079999999999998</v>
      </c>
      <c r="AS12" s="126">
        <v>18.079999999999998</v>
      </c>
      <c r="AT12" s="126">
        <v>18.079999999999998</v>
      </c>
      <c r="AU12" s="126">
        <v>18.079999999999998</v>
      </c>
      <c r="AV12" s="126">
        <v>18.079999999999998</v>
      </c>
      <c r="AW12" s="126">
        <v>18.079999999999998</v>
      </c>
      <c r="AX12" s="126">
        <v>18.079999999999998</v>
      </c>
      <c r="AY12" s="126">
        <v>18.079999999999998</v>
      </c>
      <c r="AZ12" s="126">
        <v>18.079999999999998</v>
      </c>
      <c r="BA12" s="126">
        <v>18.079999999999998</v>
      </c>
      <c r="BB12" s="126">
        <v>18.079999999999998</v>
      </c>
      <c r="BC12" s="126">
        <v>18.079999999999998</v>
      </c>
      <c r="BD12" s="126">
        <v>18.079999999999998</v>
      </c>
      <c r="BE12" s="126">
        <v>18.079999999999998</v>
      </c>
    </row>
    <row r="13" spans="1:57" x14ac:dyDescent="0.35">
      <c r="A13" s="127" t="s">
        <v>9</v>
      </c>
      <c r="G13" s="126">
        <v>13.47</v>
      </c>
      <c r="H13" s="126">
        <v>13.47</v>
      </c>
      <c r="I13" s="126">
        <v>13.47</v>
      </c>
      <c r="J13" s="126">
        <v>13.47</v>
      </c>
      <c r="K13" s="126">
        <v>13.47</v>
      </c>
      <c r="L13" s="126">
        <v>13.47</v>
      </c>
      <c r="M13" s="126">
        <v>13.47</v>
      </c>
      <c r="N13" s="126">
        <v>13.47</v>
      </c>
      <c r="O13" s="126">
        <v>13.47</v>
      </c>
      <c r="P13" s="126">
        <v>13.47</v>
      </c>
      <c r="Q13" s="126">
        <v>13.47</v>
      </c>
      <c r="R13" s="126">
        <v>13.47</v>
      </c>
      <c r="S13" s="126">
        <v>13.47</v>
      </c>
      <c r="T13" s="126">
        <v>13.47</v>
      </c>
      <c r="U13" s="126">
        <v>13.47</v>
      </c>
      <c r="V13" s="126">
        <v>13.47</v>
      </c>
      <c r="W13" s="126">
        <v>13.47</v>
      </c>
      <c r="X13" s="126">
        <v>13.47</v>
      </c>
      <c r="Y13" s="126">
        <v>13.47</v>
      </c>
      <c r="Z13" s="126">
        <v>13.47</v>
      </c>
      <c r="AA13" s="126">
        <v>13.47</v>
      </c>
      <c r="AB13" s="126">
        <v>13.47</v>
      </c>
      <c r="AC13" s="126">
        <v>13.47</v>
      </c>
      <c r="AD13" s="126">
        <v>13.47</v>
      </c>
      <c r="AE13" s="126">
        <v>13.47</v>
      </c>
      <c r="AF13" s="126">
        <v>13.47</v>
      </c>
      <c r="AG13" s="126">
        <v>13.47</v>
      </c>
      <c r="AH13" s="126">
        <v>13.47</v>
      </c>
      <c r="AI13" s="126">
        <v>13.47</v>
      </c>
      <c r="AJ13" s="126">
        <v>13.47</v>
      </c>
      <c r="AK13" s="126">
        <v>13.47</v>
      </c>
      <c r="AL13" s="126">
        <v>13.47</v>
      </c>
      <c r="AM13" s="126">
        <v>13.47</v>
      </c>
      <c r="AN13" s="126">
        <v>13.47</v>
      </c>
      <c r="AO13" s="126">
        <v>13.47</v>
      </c>
      <c r="AP13" s="126">
        <v>13.47</v>
      </c>
      <c r="AQ13" s="126">
        <v>13.47</v>
      </c>
      <c r="AR13" s="126">
        <v>13.47</v>
      </c>
      <c r="AS13" s="126">
        <v>13.47</v>
      </c>
      <c r="AT13" s="126">
        <v>13.47</v>
      </c>
      <c r="AU13" s="126">
        <v>13.47</v>
      </c>
      <c r="AV13" s="126">
        <v>13.47</v>
      </c>
      <c r="AW13" s="126">
        <v>13.47</v>
      </c>
      <c r="AX13" s="126">
        <v>13.47</v>
      </c>
      <c r="AY13" s="126">
        <v>13.47</v>
      </c>
      <c r="AZ13" s="126">
        <v>13.47</v>
      </c>
      <c r="BA13" s="126">
        <v>13.47</v>
      </c>
      <c r="BB13" s="126">
        <v>13.47</v>
      </c>
      <c r="BC13" s="126">
        <v>13.47</v>
      </c>
      <c r="BD13" s="126">
        <v>13.47</v>
      </c>
      <c r="BE13" s="126">
        <v>13.47</v>
      </c>
    </row>
    <row r="14" spans="1:57" x14ac:dyDescent="0.35">
      <c r="A14" s="127" t="s">
        <v>10</v>
      </c>
      <c r="G14" s="126">
        <v>16.71</v>
      </c>
      <c r="H14" s="126">
        <v>16.71</v>
      </c>
      <c r="I14" s="126">
        <v>16.71</v>
      </c>
      <c r="J14" s="126">
        <v>16.71</v>
      </c>
      <c r="K14" s="126">
        <v>16.71</v>
      </c>
      <c r="L14" s="126">
        <v>16.71</v>
      </c>
      <c r="M14" s="126">
        <v>16.71</v>
      </c>
      <c r="N14" s="126">
        <v>16.71</v>
      </c>
      <c r="O14" s="126">
        <v>16.71</v>
      </c>
      <c r="P14" s="126">
        <v>16.71</v>
      </c>
      <c r="Q14" s="126">
        <v>16.71</v>
      </c>
      <c r="R14" s="126">
        <v>16.71</v>
      </c>
      <c r="S14" s="126">
        <v>16.71</v>
      </c>
      <c r="T14" s="126">
        <v>16.71</v>
      </c>
      <c r="U14" s="126">
        <v>16.71</v>
      </c>
      <c r="V14" s="126">
        <v>16.71</v>
      </c>
      <c r="W14" s="126">
        <v>16.71</v>
      </c>
      <c r="X14" s="126">
        <v>16.71</v>
      </c>
      <c r="Y14" s="126">
        <v>16.71</v>
      </c>
      <c r="Z14" s="126">
        <v>16.71</v>
      </c>
      <c r="AA14" s="126">
        <v>16.71</v>
      </c>
      <c r="AB14" s="126">
        <v>16.71</v>
      </c>
      <c r="AC14" s="126">
        <v>16.71</v>
      </c>
      <c r="AD14" s="126">
        <v>16.71</v>
      </c>
      <c r="AE14" s="126">
        <v>16.71</v>
      </c>
      <c r="AF14" s="126">
        <v>16.71</v>
      </c>
      <c r="AG14" s="126">
        <v>16.71</v>
      </c>
      <c r="AH14" s="126">
        <v>16.71</v>
      </c>
      <c r="AI14" s="126">
        <v>16.71</v>
      </c>
      <c r="AJ14" s="126">
        <v>16.71</v>
      </c>
      <c r="AK14" s="126">
        <v>16.71</v>
      </c>
      <c r="AL14" s="126">
        <v>16.71</v>
      </c>
      <c r="AM14" s="126">
        <v>16.71</v>
      </c>
      <c r="AN14" s="126">
        <v>16.71</v>
      </c>
      <c r="AO14" s="126">
        <v>16.71</v>
      </c>
      <c r="AP14" s="126">
        <v>16.71</v>
      </c>
      <c r="AQ14" s="126">
        <v>16.71</v>
      </c>
      <c r="AR14" s="126">
        <v>16.71</v>
      </c>
      <c r="AS14" s="126">
        <v>16.71</v>
      </c>
      <c r="AT14" s="126">
        <v>16.71</v>
      </c>
      <c r="AU14" s="126">
        <v>16.71</v>
      </c>
      <c r="AV14" s="126">
        <v>16.71</v>
      </c>
      <c r="AW14" s="126">
        <v>16.71</v>
      </c>
      <c r="AX14" s="126">
        <v>16.71</v>
      </c>
      <c r="AY14" s="126">
        <v>16.71</v>
      </c>
      <c r="AZ14" s="126">
        <v>16.71</v>
      </c>
      <c r="BA14" s="126">
        <v>16.71</v>
      </c>
      <c r="BB14" s="126">
        <v>16.71</v>
      </c>
      <c r="BC14" s="126">
        <v>16.71</v>
      </c>
      <c r="BD14" s="126">
        <v>16.71</v>
      </c>
      <c r="BE14" s="126">
        <v>16.71</v>
      </c>
    </row>
    <row r="15" spans="1:57" x14ac:dyDescent="0.35">
      <c r="A15" s="127" t="s">
        <v>11</v>
      </c>
      <c r="G15" s="126">
        <v>18.55</v>
      </c>
      <c r="H15" s="126">
        <v>18.55</v>
      </c>
      <c r="I15" s="126">
        <v>18.55</v>
      </c>
      <c r="J15" s="126">
        <v>18.55</v>
      </c>
      <c r="K15" s="126">
        <v>18.55</v>
      </c>
      <c r="L15" s="126">
        <v>18.55</v>
      </c>
      <c r="M15" s="126">
        <v>18.55</v>
      </c>
      <c r="N15" s="126">
        <v>18.55</v>
      </c>
      <c r="O15" s="126">
        <v>18.55</v>
      </c>
      <c r="P15" s="126">
        <v>18.55</v>
      </c>
      <c r="Q15" s="126">
        <v>18.55</v>
      </c>
      <c r="R15" s="126">
        <v>18.55</v>
      </c>
      <c r="S15" s="126">
        <v>18.55</v>
      </c>
      <c r="T15" s="126">
        <v>18.55</v>
      </c>
      <c r="U15" s="126">
        <v>18.55</v>
      </c>
      <c r="V15" s="126">
        <v>18.55</v>
      </c>
      <c r="W15" s="126">
        <v>18.55</v>
      </c>
      <c r="X15" s="126">
        <v>18.55</v>
      </c>
      <c r="Y15" s="126">
        <v>18.55</v>
      </c>
      <c r="Z15" s="126">
        <v>18.55</v>
      </c>
      <c r="AA15" s="126">
        <v>18.55</v>
      </c>
      <c r="AB15" s="126">
        <v>18.55</v>
      </c>
      <c r="AC15" s="126">
        <v>18.55</v>
      </c>
      <c r="AD15" s="126">
        <v>18.55</v>
      </c>
      <c r="AE15" s="126">
        <v>18.55</v>
      </c>
      <c r="AF15" s="126">
        <v>18.55</v>
      </c>
      <c r="AG15" s="126">
        <v>18.55</v>
      </c>
      <c r="AH15" s="126">
        <v>18.55</v>
      </c>
      <c r="AI15" s="126">
        <v>18.55</v>
      </c>
      <c r="AJ15" s="126">
        <v>18.55</v>
      </c>
      <c r="AK15" s="126">
        <v>18.55</v>
      </c>
      <c r="AL15" s="126">
        <v>18.55</v>
      </c>
      <c r="AM15" s="126">
        <v>18.55</v>
      </c>
      <c r="AN15" s="126">
        <v>18.55</v>
      </c>
      <c r="AO15" s="126">
        <v>18.55</v>
      </c>
      <c r="AP15" s="126">
        <v>18.55</v>
      </c>
      <c r="AQ15" s="126">
        <v>18.55</v>
      </c>
      <c r="AR15" s="126">
        <v>18.55</v>
      </c>
      <c r="AS15" s="126">
        <v>18.55</v>
      </c>
      <c r="AT15" s="126">
        <v>18.55</v>
      </c>
      <c r="AU15" s="126">
        <v>18.55</v>
      </c>
      <c r="AV15" s="126">
        <v>18.55</v>
      </c>
      <c r="AW15" s="126">
        <v>18.55</v>
      </c>
      <c r="AX15" s="126">
        <v>18.55</v>
      </c>
      <c r="AY15" s="126">
        <v>18.55</v>
      </c>
      <c r="AZ15" s="126">
        <v>18.55</v>
      </c>
      <c r="BA15" s="126">
        <v>18.55</v>
      </c>
      <c r="BB15" s="126">
        <v>18.55</v>
      </c>
      <c r="BC15" s="126">
        <v>18.55</v>
      </c>
      <c r="BD15" s="126">
        <v>18.55</v>
      </c>
      <c r="BE15" s="126">
        <v>18.55</v>
      </c>
    </row>
    <row r="16" spans="1:57" x14ac:dyDescent="0.35">
      <c r="A16" s="127" t="s">
        <v>12</v>
      </c>
      <c r="G16" s="126">
        <v>20.6</v>
      </c>
      <c r="H16" s="126">
        <v>20.6</v>
      </c>
      <c r="I16" s="126">
        <v>20.6</v>
      </c>
      <c r="J16" s="126">
        <v>20.6</v>
      </c>
      <c r="K16" s="126">
        <v>20.6</v>
      </c>
      <c r="L16" s="126">
        <v>20.6</v>
      </c>
      <c r="M16" s="126">
        <v>20.6</v>
      </c>
      <c r="N16" s="126">
        <v>20.6</v>
      </c>
      <c r="O16" s="126">
        <v>20.6</v>
      </c>
      <c r="P16" s="126">
        <v>20.6</v>
      </c>
      <c r="Q16" s="126">
        <v>20.6</v>
      </c>
      <c r="R16" s="126">
        <v>20.6</v>
      </c>
      <c r="S16" s="126">
        <v>20.6</v>
      </c>
      <c r="T16" s="126">
        <v>20.6</v>
      </c>
      <c r="U16" s="126">
        <v>20.6</v>
      </c>
      <c r="V16" s="126">
        <v>20.6</v>
      </c>
      <c r="W16" s="126">
        <v>20.6</v>
      </c>
      <c r="X16" s="126">
        <v>20.6</v>
      </c>
      <c r="Y16" s="126">
        <v>20.6</v>
      </c>
      <c r="Z16" s="126">
        <v>20.6</v>
      </c>
      <c r="AA16" s="126">
        <v>20.6</v>
      </c>
      <c r="AB16" s="126">
        <v>20.6</v>
      </c>
      <c r="AC16" s="126">
        <v>20.6</v>
      </c>
      <c r="AD16" s="126">
        <v>20.6</v>
      </c>
      <c r="AE16" s="126">
        <v>20.6</v>
      </c>
      <c r="AF16" s="126">
        <v>20.6</v>
      </c>
      <c r="AG16" s="126">
        <v>20.6</v>
      </c>
      <c r="AH16" s="126">
        <v>20.6</v>
      </c>
      <c r="AI16" s="126">
        <v>20.6</v>
      </c>
      <c r="AJ16" s="126">
        <v>20.6</v>
      </c>
      <c r="AK16" s="126">
        <v>20.6</v>
      </c>
      <c r="AL16" s="126">
        <v>20.6</v>
      </c>
      <c r="AM16" s="126">
        <v>20.6</v>
      </c>
      <c r="AN16" s="126">
        <v>20.6</v>
      </c>
      <c r="AO16" s="126">
        <v>20.6</v>
      </c>
      <c r="AP16" s="126">
        <v>20.6</v>
      </c>
      <c r="AQ16" s="126">
        <v>20.6</v>
      </c>
      <c r="AR16" s="126">
        <v>20.6</v>
      </c>
      <c r="AS16" s="126">
        <v>20.6</v>
      </c>
      <c r="AT16" s="126">
        <v>20.6</v>
      </c>
      <c r="AU16" s="126">
        <v>20.6</v>
      </c>
      <c r="AV16" s="126">
        <v>20.6</v>
      </c>
      <c r="AW16" s="126">
        <v>20.6</v>
      </c>
      <c r="AX16" s="126">
        <v>20.6</v>
      </c>
      <c r="AY16" s="126">
        <v>20.6</v>
      </c>
      <c r="AZ16" s="126">
        <v>20.6</v>
      </c>
      <c r="BA16" s="126">
        <v>20.6</v>
      </c>
      <c r="BB16" s="126">
        <v>20.6</v>
      </c>
      <c r="BC16" s="126">
        <v>20.6</v>
      </c>
      <c r="BD16" s="126">
        <v>20.6</v>
      </c>
      <c r="BE16" s="126">
        <v>20.6</v>
      </c>
    </row>
    <row r="17" spans="1:57" x14ac:dyDescent="0.35">
      <c r="A17" s="127" t="s">
        <v>13</v>
      </c>
      <c r="G17" s="126">
        <v>13.36</v>
      </c>
      <c r="H17" s="126">
        <v>13.36</v>
      </c>
      <c r="I17" s="126">
        <v>13.36</v>
      </c>
      <c r="J17" s="126">
        <v>13.36</v>
      </c>
      <c r="K17" s="126">
        <v>13.36</v>
      </c>
      <c r="L17" s="126">
        <v>13.36</v>
      </c>
      <c r="M17" s="126">
        <v>13.36</v>
      </c>
      <c r="N17" s="126">
        <v>13.36</v>
      </c>
      <c r="O17" s="126">
        <v>13.36</v>
      </c>
      <c r="P17" s="126">
        <v>13.36</v>
      </c>
      <c r="Q17" s="126">
        <v>13.36</v>
      </c>
      <c r="R17" s="126">
        <v>13.36</v>
      </c>
      <c r="S17" s="126">
        <v>13.36</v>
      </c>
      <c r="T17" s="126">
        <v>13.36</v>
      </c>
      <c r="U17" s="126">
        <v>13.36</v>
      </c>
      <c r="V17" s="126">
        <v>13.36</v>
      </c>
      <c r="W17" s="126">
        <v>13.36</v>
      </c>
      <c r="X17" s="126">
        <v>13.36</v>
      </c>
      <c r="Y17" s="126">
        <v>13.36</v>
      </c>
      <c r="Z17" s="126">
        <v>13.36</v>
      </c>
      <c r="AA17" s="126">
        <v>13.36</v>
      </c>
      <c r="AB17" s="126">
        <v>13.36</v>
      </c>
      <c r="AC17" s="126">
        <v>13.36</v>
      </c>
      <c r="AD17" s="126">
        <v>13.36</v>
      </c>
      <c r="AE17" s="126">
        <v>13.36</v>
      </c>
      <c r="AF17" s="126">
        <v>13.36</v>
      </c>
      <c r="AG17" s="126">
        <v>13.36</v>
      </c>
      <c r="AH17" s="126">
        <v>13.36</v>
      </c>
      <c r="AI17" s="126">
        <v>13.36</v>
      </c>
      <c r="AJ17" s="126">
        <v>13.36</v>
      </c>
      <c r="AK17" s="126">
        <v>13.36</v>
      </c>
      <c r="AL17" s="126">
        <v>13.36</v>
      </c>
      <c r="AM17" s="126">
        <v>13.36</v>
      </c>
      <c r="AN17" s="126">
        <v>13.36</v>
      </c>
      <c r="AO17" s="126">
        <v>13.36</v>
      </c>
      <c r="AP17" s="126">
        <v>13.36</v>
      </c>
      <c r="AQ17" s="126">
        <v>13.36</v>
      </c>
      <c r="AR17" s="126">
        <v>13.36</v>
      </c>
      <c r="AS17" s="126">
        <v>13.36</v>
      </c>
      <c r="AT17" s="126">
        <v>13.36</v>
      </c>
      <c r="AU17" s="126">
        <v>13.36</v>
      </c>
      <c r="AV17" s="126">
        <v>13.36</v>
      </c>
      <c r="AW17" s="126">
        <v>13.36</v>
      </c>
      <c r="AX17" s="126">
        <v>13.36</v>
      </c>
      <c r="AY17" s="126">
        <v>13.36</v>
      </c>
      <c r="AZ17" s="126">
        <v>13.36</v>
      </c>
      <c r="BA17" s="126">
        <v>13.36</v>
      </c>
      <c r="BB17" s="126">
        <v>13.36</v>
      </c>
      <c r="BC17" s="126">
        <v>13.36</v>
      </c>
      <c r="BD17" s="126">
        <v>13.36</v>
      </c>
      <c r="BE17" s="126">
        <v>13.36</v>
      </c>
    </row>
    <row r="18" spans="1:57" x14ac:dyDescent="0.35">
      <c r="A18" s="127" t="s">
        <v>14</v>
      </c>
      <c r="G18" s="126">
        <v>15.36</v>
      </c>
      <c r="H18" s="126">
        <v>15.36</v>
      </c>
      <c r="I18" s="126">
        <v>15.36</v>
      </c>
      <c r="J18" s="126">
        <v>15.36</v>
      </c>
      <c r="K18" s="126">
        <v>15.36</v>
      </c>
      <c r="L18" s="126">
        <v>15.36</v>
      </c>
      <c r="M18" s="126">
        <v>15.36</v>
      </c>
      <c r="N18" s="126">
        <v>15.36</v>
      </c>
      <c r="O18" s="126">
        <v>15.36</v>
      </c>
      <c r="P18" s="126">
        <v>15.36</v>
      </c>
      <c r="Q18" s="126">
        <v>15.36</v>
      </c>
      <c r="R18" s="126">
        <v>15.36</v>
      </c>
      <c r="S18" s="126">
        <v>15.36</v>
      </c>
      <c r="T18" s="126">
        <v>15.36</v>
      </c>
      <c r="U18" s="126">
        <v>15.36</v>
      </c>
      <c r="V18" s="126">
        <v>15.36</v>
      </c>
      <c r="W18" s="126">
        <v>15.36</v>
      </c>
      <c r="X18" s="126">
        <v>15.36</v>
      </c>
      <c r="Y18" s="126">
        <v>15.36</v>
      </c>
      <c r="Z18" s="126">
        <v>15.36</v>
      </c>
      <c r="AA18" s="126">
        <v>15.36</v>
      </c>
      <c r="AB18" s="126">
        <v>15.36</v>
      </c>
      <c r="AC18" s="126">
        <v>15.36</v>
      </c>
      <c r="AD18" s="126">
        <v>15.36</v>
      </c>
      <c r="AE18" s="126">
        <v>15.36</v>
      </c>
      <c r="AF18" s="126">
        <v>15.36</v>
      </c>
      <c r="AG18" s="126">
        <v>15.36</v>
      </c>
      <c r="AH18" s="126">
        <v>15.36</v>
      </c>
      <c r="AI18" s="126">
        <v>15.36</v>
      </c>
      <c r="AJ18" s="126">
        <v>15.36</v>
      </c>
      <c r="AK18" s="126">
        <v>15.36</v>
      </c>
      <c r="AL18" s="126">
        <v>15.36</v>
      </c>
      <c r="AM18" s="126">
        <v>15.36</v>
      </c>
      <c r="AN18" s="126">
        <v>15.36</v>
      </c>
      <c r="AO18" s="126">
        <v>15.36</v>
      </c>
      <c r="AP18" s="126">
        <v>15.36</v>
      </c>
      <c r="AQ18" s="126">
        <v>15.36</v>
      </c>
      <c r="AR18" s="126">
        <v>15.36</v>
      </c>
      <c r="AS18" s="126">
        <v>15.36</v>
      </c>
      <c r="AT18" s="126">
        <v>15.36</v>
      </c>
      <c r="AU18" s="126">
        <v>15.36</v>
      </c>
      <c r="AV18" s="126">
        <v>15.36</v>
      </c>
      <c r="AW18" s="126">
        <v>15.36</v>
      </c>
      <c r="AX18" s="126">
        <v>15.36</v>
      </c>
      <c r="AY18" s="126">
        <v>15.36</v>
      </c>
      <c r="AZ18" s="126">
        <v>15.36</v>
      </c>
      <c r="BA18" s="126">
        <v>15.36</v>
      </c>
      <c r="BB18" s="126">
        <v>15.36</v>
      </c>
      <c r="BC18" s="126">
        <v>15.36</v>
      </c>
      <c r="BD18" s="126">
        <v>15.36</v>
      </c>
      <c r="BE18" s="126">
        <v>15.36</v>
      </c>
    </row>
    <row r="19" spans="1:57" x14ac:dyDescent="0.35">
      <c r="A19" s="127" t="s">
        <v>15</v>
      </c>
      <c r="G19" s="126">
        <v>17.989999999999998</v>
      </c>
      <c r="H19" s="126">
        <v>17.989999999999998</v>
      </c>
      <c r="I19" s="126">
        <v>17.989999999999998</v>
      </c>
      <c r="J19" s="126">
        <v>17.989999999999998</v>
      </c>
      <c r="K19" s="126">
        <v>17.989999999999998</v>
      </c>
      <c r="L19" s="126">
        <v>17.989999999999998</v>
      </c>
      <c r="M19" s="126">
        <v>17.989999999999998</v>
      </c>
      <c r="N19" s="126">
        <v>17.989999999999998</v>
      </c>
      <c r="O19" s="126">
        <v>17.989999999999998</v>
      </c>
      <c r="P19" s="126">
        <v>17.989999999999998</v>
      </c>
      <c r="Q19" s="126">
        <v>17.989999999999998</v>
      </c>
      <c r="R19" s="126">
        <v>17.989999999999998</v>
      </c>
      <c r="S19" s="126">
        <v>17.989999999999998</v>
      </c>
      <c r="T19" s="126">
        <v>17.989999999999998</v>
      </c>
      <c r="U19" s="126">
        <v>17.989999999999998</v>
      </c>
      <c r="V19" s="126">
        <v>17.989999999999998</v>
      </c>
      <c r="W19" s="126">
        <v>17.989999999999998</v>
      </c>
      <c r="X19" s="126">
        <v>17.989999999999998</v>
      </c>
      <c r="Y19" s="126">
        <v>17.989999999999998</v>
      </c>
      <c r="Z19" s="126">
        <v>17.989999999999998</v>
      </c>
      <c r="AA19" s="126">
        <v>17.989999999999998</v>
      </c>
      <c r="AB19" s="126">
        <v>17.989999999999998</v>
      </c>
      <c r="AC19" s="126">
        <v>17.989999999999998</v>
      </c>
      <c r="AD19" s="126">
        <v>17.989999999999998</v>
      </c>
      <c r="AE19" s="126">
        <v>17.989999999999998</v>
      </c>
      <c r="AF19" s="126">
        <v>17.989999999999998</v>
      </c>
      <c r="AG19" s="126">
        <v>17.989999999999998</v>
      </c>
      <c r="AH19" s="126">
        <v>17.989999999999998</v>
      </c>
      <c r="AI19" s="126">
        <v>17.989999999999998</v>
      </c>
      <c r="AJ19" s="126">
        <v>17.989999999999998</v>
      </c>
      <c r="AK19" s="126">
        <v>17.989999999999998</v>
      </c>
      <c r="AL19" s="126">
        <v>17.989999999999998</v>
      </c>
      <c r="AM19" s="126">
        <v>17.989999999999998</v>
      </c>
      <c r="AN19" s="126">
        <v>17.989999999999998</v>
      </c>
      <c r="AO19" s="126">
        <v>17.989999999999998</v>
      </c>
      <c r="AP19" s="126">
        <v>17.989999999999998</v>
      </c>
      <c r="AQ19" s="126">
        <v>17.989999999999998</v>
      </c>
      <c r="AR19" s="126">
        <v>17.989999999999998</v>
      </c>
      <c r="AS19" s="126">
        <v>17.989999999999998</v>
      </c>
      <c r="AT19" s="126">
        <v>17.989999999999998</v>
      </c>
      <c r="AU19" s="126">
        <v>17.989999999999998</v>
      </c>
      <c r="AV19" s="126">
        <v>17.989999999999998</v>
      </c>
      <c r="AW19" s="126">
        <v>17.989999999999998</v>
      </c>
      <c r="AX19" s="126">
        <v>17.989999999999998</v>
      </c>
      <c r="AY19" s="126">
        <v>17.989999999999998</v>
      </c>
      <c r="AZ19" s="126">
        <v>17.989999999999998</v>
      </c>
      <c r="BA19" s="126">
        <v>17.989999999999998</v>
      </c>
      <c r="BB19" s="126">
        <v>17.989999999999998</v>
      </c>
      <c r="BC19" s="126">
        <v>17.989999999999998</v>
      </c>
      <c r="BD19" s="126">
        <v>17.989999999999998</v>
      </c>
      <c r="BE19" s="126">
        <v>17.989999999999998</v>
      </c>
    </row>
    <row r="20" spans="1:57" x14ac:dyDescent="0.35">
      <c r="A20" s="127" t="s">
        <v>16</v>
      </c>
      <c r="G20" s="126">
        <v>7.97</v>
      </c>
      <c r="H20" s="126">
        <v>7.97</v>
      </c>
      <c r="I20" s="126">
        <v>7.97</v>
      </c>
      <c r="J20" s="126">
        <v>7.97</v>
      </c>
      <c r="K20" s="126">
        <v>7.97</v>
      </c>
      <c r="L20" s="126">
        <v>7.97</v>
      </c>
      <c r="M20" s="126">
        <v>7.97</v>
      </c>
      <c r="N20" s="126">
        <v>7.97</v>
      </c>
      <c r="O20" s="126">
        <v>7.97</v>
      </c>
      <c r="P20" s="126">
        <v>7.97</v>
      </c>
      <c r="Q20" s="126">
        <v>7.97</v>
      </c>
      <c r="R20" s="126">
        <v>7.97</v>
      </c>
      <c r="S20" s="126">
        <v>7.97</v>
      </c>
      <c r="T20" s="126">
        <v>7.97</v>
      </c>
      <c r="U20" s="126">
        <v>7.97</v>
      </c>
      <c r="V20" s="126">
        <v>7.97</v>
      </c>
      <c r="W20" s="126">
        <v>7.97</v>
      </c>
      <c r="X20" s="126">
        <v>7.97</v>
      </c>
      <c r="Y20" s="126">
        <v>7.97</v>
      </c>
      <c r="Z20" s="126">
        <v>7.97</v>
      </c>
      <c r="AA20" s="126">
        <v>7.97</v>
      </c>
      <c r="AB20" s="126">
        <v>7.97</v>
      </c>
      <c r="AC20" s="126">
        <v>7.97</v>
      </c>
      <c r="AD20" s="126">
        <v>7.97</v>
      </c>
      <c r="AE20" s="126">
        <v>7.97</v>
      </c>
      <c r="AF20" s="126">
        <v>7.97</v>
      </c>
      <c r="AG20" s="126">
        <v>7.97</v>
      </c>
      <c r="AH20" s="126">
        <v>7.97</v>
      </c>
      <c r="AI20" s="126">
        <v>7.97</v>
      </c>
      <c r="AJ20" s="126">
        <v>7.97</v>
      </c>
      <c r="AK20" s="126">
        <v>7.97</v>
      </c>
      <c r="AL20" s="126">
        <v>7.97</v>
      </c>
      <c r="AM20" s="126">
        <v>7.97</v>
      </c>
      <c r="AN20" s="126">
        <v>7.97</v>
      </c>
      <c r="AO20" s="126">
        <v>7.97</v>
      </c>
      <c r="AP20" s="126">
        <v>7.97</v>
      </c>
      <c r="AQ20" s="126">
        <v>7.97</v>
      </c>
      <c r="AR20" s="126">
        <v>7.97</v>
      </c>
      <c r="AS20" s="126">
        <v>7.97</v>
      </c>
      <c r="AT20" s="126">
        <v>7.97</v>
      </c>
      <c r="AU20" s="126">
        <v>7.97</v>
      </c>
      <c r="AV20" s="126">
        <v>7.97</v>
      </c>
      <c r="AW20" s="126">
        <v>7.97</v>
      </c>
      <c r="AX20" s="126">
        <v>7.97</v>
      </c>
      <c r="AY20" s="126">
        <v>7.97</v>
      </c>
      <c r="AZ20" s="126">
        <v>7.97</v>
      </c>
      <c r="BA20" s="126">
        <v>7.97</v>
      </c>
      <c r="BB20" s="126">
        <v>7.97</v>
      </c>
      <c r="BC20" s="126">
        <v>7.97</v>
      </c>
      <c r="BD20" s="126">
        <v>7.97</v>
      </c>
      <c r="BE20" s="126">
        <v>7.97</v>
      </c>
    </row>
    <row r="21" spans="1:57" x14ac:dyDescent="0.35">
      <c r="A21" s="127" t="s">
        <v>17</v>
      </c>
      <c r="G21" s="126">
        <v>11.02</v>
      </c>
      <c r="H21" s="126">
        <v>11.02</v>
      </c>
      <c r="I21" s="126">
        <v>11.02</v>
      </c>
      <c r="J21" s="126">
        <v>11.02</v>
      </c>
      <c r="K21" s="126">
        <v>11.02</v>
      </c>
      <c r="L21" s="126">
        <v>11.02</v>
      </c>
      <c r="M21" s="126">
        <v>11.02</v>
      </c>
      <c r="N21" s="126">
        <v>11.02</v>
      </c>
      <c r="O21" s="126">
        <v>11.02</v>
      </c>
      <c r="P21" s="126">
        <v>11.02</v>
      </c>
      <c r="Q21" s="126">
        <v>11.02</v>
      </c>
      <c r="R21" s="126">
        <v>11.02</v>
      </c>
      <c r="S21" s="126">
        <v>11.02</v>
      </c>
      <c r="T21" s="126">
        <v>11.02</v>
      </c>
      <c r="U21" s="126">
        <v>11.02</v>
      </c>
      <c r="V21" s="126">
        <v>11.02</v>
      </c>
      <c r="W21" s="126">
        <v>11.02</v>
      </c>
      <c r="X21" s="126">
        <v>11.02</v>
      </c>
      <c r="Y21" s="126">
        <v>11.02</v>
      </c>
      <c r="Z21" s="126">
        <v>11.02</v>
      </c>
      <c r="AA21" s="126">
        <v>11.02</v>
      </c>
      <c r="AB21" s="126">
        <v>11.02</v>
      </c>
      <c r="AC21" s="126">
        <v>11.02</v>
      </c>
      <c r="AD21" s="126">
        <v>11.02</v>
      </c>
      <c r="AE21" s="126">
        <v>11.02</v>
      </c>
      <c r="AF21" s="126">
        <v>11.02</v>
      </c>
      <c r="AG21" s="126">
        <v>11.02</v>
      </c>
      <c r="AH21" s="126">
        <v>11.02</v>
      </c>
      <c r="AI21" s="126">
        <v>11.02</v>
      </c>
      <c r="AJ21" s="126">
        <v>11.02</v>
      </c>
      <c r="AK21" s="126">
        <v>11.02</v>
      </c>
      <c r="AL21" s="126">
        <v>11.02</v>
      </c>
      <c r="AM21" s="126">
        <v>11.02</v>
      </c>
      <c r="AN21" s="126">
        <v>11.02</v>
      </c>
      <c r="AO21" s="126">
        <v>11.02</v>
      </c>
      <c r="AP21" s="126">
        <v>11.02</v>
      </c>
      <c r="AQ21" s="126">
        <v>11.02</v>
      </c>
      <c r="AR21" s="126">
        <v>11.02</v>
      </c>
      <c r="AS21" s="126">
        <v>11.02</v>
      </c>
      <c r="AT21" s="126">
        <v>11.02</v>
      </c>
      <c r="AU21" s="126">
        <v>11.02</v>
      </c>
      <c r="AV21" s="126">
        <v>11.02</v>
      </c>
      <c r="AW21" s="126">
        <v>11.02</v>
      </c>
      <c r="AX21" s="126">
        <v>11.02</v>
      </c>
      <c r="AY21" s="126">
        <v>11.02</v>
      </c>
      <c r="AZ21" s="126">
        <v>11.02</v>
      </c>
      <c r="BA21" s="126">
        <v>11.02</v>
      </c>
      <c r="BB21" s="126">
        <v>11.02</v>
      </c>
      <c r="BC21" s="126">
        <v>11.02</v>
      </c>
      <c r="BD21" s="126">
        <v>11.02</v>
      </c>
      <c r="BE21" s="126">
        <v>11.02</v>
      </c>
    </row>
    <row r="22" spans="1:57" x14ac:dyDescent="0.35">
      <c r="A22" s="127" t="s">
        <v>18</v>
      </c>
      <c r="G22" s="126">
        <v>7.61</v>
      </c>
      <c r="H22" s="126">
        <v>7.61</v>
      </c>
      <c r="I22" s="126">
        <v>7.61</v>
      </c>
      <c r="J22" s="126">
        <v>7.61</v>
      </c>
      <c r="K22" s="126">
        <v>7.61</v>
      </c>
      <c r="L22" s="126">
        <v>7.61</v>
      </c>
      <c r="M22" s="126">
        <v>7.61</v>
      </c>
      <c r="N22" s="126">
        <v>7.61</v>
      </c>
      <c r="O22" s="126">
        <v>7.61</v>
      </c>
      <c r="P22" s="126">
        <v>7.61</v>
      </c>
      <c r="Q22" s="126">
        <v>7.61</v>
      </c>
      <c r="R22" s="126">
        <v>7.61</v>
      </c>
      <c r="S22" s="126">
        <v>7.61</v>
      </c>
      <c r="T22" s="126">
        <v>7.61</v>
      </c>
      <c r="U22" s="126">
        <v>7.61</v>
      </c>
      <c r="V22" s="126">
        <v>7.61</v>
      </c>
      <c r="W22" s="126">
        <v>7.61</v>
      </c>
      <c r="X22" s="126">
        <v>7.61</v>
      </c>
      <c r="Y22" s="126">
        <v>7.61</v>
      </c>
      <c r="Z22" s="126">
        <v>7.61</v>
      </c>
      <c r="AA22" s="126">
        <v>7.61</v>
      </c>
      <c r="AB22" s="126">
        <v>7.61</v>
      </c>
      <c r="AC22" s="126">
        <v>7.61</v>
      </c>
      <c r="AD22" s="126">
        <v>7.61</v>
      </c>
      <c r="AE22" s="126">
        <v>7.61</v>
      </c>
      <c r="AF22" s="126">
        <v>7.61</v>
      </c>
      <c r="AG22" s="126">
        <v>7.61</v>
      </c>
      <c r="AH22" s="126">
        <v>7.61</v>
      </c>
      <c r="AI22" s="126">
        <v>7.61</v>
      </c>
      <c r="AJ22" s="126">
        <v>7.61</v>
      </c>
      <c r="AK22" s="126">
        <v>7.61</v>
      </c>
      <c r="AL22" s="126">
        <v>7.61</v>
      </c>
      <c r="AM22" s="126">
        <v>7.61</v>
      </c>
      <c r="AN22" s="126">
        <v>7.61</v>
      </c>
      <c r="AO22" s="126">
        <v>7.61</v>
      </c>
      <c r="AP22" s="126">
        <v>7.61</v>
      </c>
      <c r="AQ22" s="126">
        <v>7.61</v>
      </c>
      <c r="AR22" s="126">
        <v>7.61</v>
      </c>
      <c r="AS22" s="126">
        <v>7.61</v>
      </c>
      <c r="AT22" s="126">
        <v>7.61</v>
      </c>
      <c r="AU22" s="126">
        <v>7.61</v>
      </c>
      <c r="AV22" s="126">
        <v>7.61</v>
      </c>
      <c r="AW22" s="126">
        <v>7.61</v>
      </c>
      <c r="AX22" s="126">
        <v>7.61</v>
      </c>
      <c r="AY22" s="126">
        <v>7.61</v>
      </c>
      <c r="AZ22" s="126">
        <v>7.61</v>
      </c>
      <c r="BA22" s="126">
        <v>7.61</v>
      </c>
      <c r="BB22" s="126">
        <v>7.61</v>
      </c>
      <c r="BC22" s="126">
        <v>7.61</v>
      </c>
      <c r="BD22" s="126">
        <v>7.61</v>
      </c>
      <c r="BE22" s="126">
        <v>7.61</v>
      </c>
    </row>
    <row r="23" spans="1:57" x14ac:dyDescent="0.35">
      <c r="A23" s="127" t="s">
        <v>19</v>
      </c>
      <c r="G23" s="126">
        <v>10.59</v>
      </c>
      <c r="H23" s="126">
        <v>10.59</v>
      </c>
      <c r="I23" s="126">
        <v>10.59</v>
      </c>
      <c r="J23" s="126">
        <v>10.59</v>
      </c>
      <c r="K23" s="126">
        <v>10.59</v>
      </c>
      <c r="L23" s="126">
        <v>10.59</v>
      </c>
      <c r="M23" s="126">
        <v>10.59</v>
      </c>
      <c r="N23" s="126">
        <v>10.59</v>
      </c>
      <c r="O23" s="126">
        <v>10.59</v>
      </c>
      <c r="P23" s="126">
        <v>10.59</v>
      </c>
      <c r="Q23" s="126">
        <v>10.59</v>
      </c>
      <c r="R23" s="126">
        <v>10.59</v>
      </c>
      <c r="S23" s="126">
        <v>10.59</v>
      </c>
      <c r="T23" s="126">
        <v>10.59</v>
      </c>
      <c r="U23" s="126">
        <v>10.59</v>
      </c>
      <c r="V23" s="126">
        <v>10.59</v>
      </c>
      <c r="W23" s="126">
        <v>10.59</v>
      </c>
      <c r="X23" s="126">
        <v>10.59</v>
      </c>
      <c r="Y23" s="126">
        <v>10.59</v>
      </c>
      <c r="Z23" s="126">
        <v>10.59</v>
      </c>
      <c r="AA23" s="126">
        <v>10.59</v>
      </c>
      <c r="AB23" s="126">
        <v>10.59</v>
      </c>
      <c r="AC23" s="126">
        <v>10.59</v>
      </c>
      <c r="AD23" s="126">
        <v>10.59</v>
      </c>
      <c r="AE23" s="126">
        <v>10.59</v>
      </c>
      <c r="AF23" s="126">
        <v>10.59</v>
      </c>
      <c r="AG23" s="126">
        <v>10.59</v>
      </c>
      <c r="AH23" s="126">
        <v>10.59</v>
      </c>
      <c r="AI23" s="126">
        <v>10.59</v>
      </c>
      <c r="AJ23" s="126">
        <v>10.59</v>
      </c>
      <c r="AK23" s="126">
        <v>10.59</v>
      </c>
      <c r="AL23" s="126">
        <v>10.59</v>
      </c>
      <c r="AM23" s="126">
        <v>10.59</v>
      </c>
      <c r="AN23" s="126">
        <v>10.59</v>
      </c>
      <c r="AO23" s="126">
        <v>10.59</v>
      </c>
      <c r="AP23" s="126">
        <v>10.59</v>
      </c>
      <c r="AQ23" s="126">
        <v>10.59</v>
      </c>
      <c r="AR23" s="126">
        <v>10.59</v>
      </c>
      <c r="AS23" s="126">
        <v>10.59</v>
      </c>
      <c r="AT23" s="126">
        <v>10.59</v>
      </c>
      <c r="AU23" s="126">
        <v>10.59</v>
      </c>
      <c r="AV23" s="126">
        <v>10.59</v>
      </c>
      <c r="AW23" s="126">
        <v>10.59</v>
      </c>
      <c r="AX23" s="126">
        <v>10.59</v>
      </c>
      <c r="AY23" s="126">
        <v>10.59</v>
      </c>
      <c r="AZ23" s="126">
        <v>10.59</v>
      </c>
      <c r="BA23" s="126">
        <v>10.59</v>
      </c>
      <c r="BB23" s="126">
        <v>10.59</v>
      </c>
      <c r="BC23" s="126">
        <v>10.59</v>
      </c>
      <c r="BD23" s="126">
        <v>10.59</v>
      </c>
      <c r="BE23" s="126">
        <v>10.59</v>
      </c>
    </row>
    <row r="24" spans="1:57" x14ac:dyDescent="0.35">
      <c r="A24" s="127" t="s">
        <v>20</v>
      </c>
      <c r="G24" s="126">
        <v>8.09</v>
      </c>
      <c r="H24" s="126">
        <v>8.09</v>
      </c>
      <c r="I24" s="126">
        <v>8.09</v>
      </c>
      <c r="J24" s="126">
        <v>8.09</v>
      </c>
      <c r="K24" s="126">
        <v>8.09</v>
      </c>
      <c r="L24" s="126">
        <v>8.09</v>
      </c>
      <c r="M24" s="126">
        <v>8.09</v>
      </c>
      <c r="N24" s="126">
        <v>8.09</v>
      </c>
      <c r="O24" s="126">
        <v>8.09</v>
      </c>
      <c r="P24" s="126">
        <v>8.09</v>
      </c>
      <c r="Q24" s="126">
        <v>8.09</v>
      </c>
      <c r="R24" s="126">
        <v>8.09</v>
      </c>
      <c r="S24" s="126">
        <v>8.09</v>
      </c>
      <c r="T24" s="126">
        <v>8.09</v>
      </c>
      <c r="U24" s="126">
        <v>8.09</v>
      </c>
      <c r="V24" s="126">
        <v>8.09</v>
      </c>
      <c r="W24" s="126">
        <v>8.09</v>
      </c>
      <c r="X24" s="126">
        <v>8.09</v>
      </c>
      <c r="Y24" s="126">
        <v>8.09</v>
      </c>
      <c r="Z24" s="126">
        <v>8.09</v>
      </c>
      <c r="AA24" s="126">
        <v>8.09</v>
      </c>
      <c r="AB24" s="126">
        <v>8.09</v>
      </c>
      <c r="AC24" s="126">
        <v>8.09</v>
      </c>
      <c r="AD24" s="126">
        <v>8.09</v>
      </c>
      <c r="AE24" s="126">
        <v>8.09</v>
      </c>
      <c r="AF24" s="126">
        <v>8.09</v>
      </c>
      <c r="AG24" s="126">
        <v>8.09</v>
      </c>
      <c r="AH24" s="126">
        <v>8.09</v>
      </c>
      <c r="AI24" s="126">
        <v>8.09</v>
      </c>
      <c r="AJ24" s="126">
        <v>8.09</v>
      </c>
      <c r="AK24" s="126">
        <v>8.09</v>
      </c>
      <c r="AL24" s="126">
        <v>8.09</v>
      </c>
      <c r="AM24" s="126">
        <v>8.09</v>
      </c>
      <c r="AN24" s="126">
        <v>8.09</v>
      </c>
      <c r="AO24" s="126">
        <v>8.09</v>
      </c>
      <c r="AP24" s="126">
        <v>8.09</v>
      </c>
      <c r="AQ24" s="126">
        <v>8.09</v>
      </c>
      <c r="AR24" s="126">
        <v>8.09</v>
      </c>
      <c r="AS24" s="126">
        <v>8.09</v>
      </c>
      <c r="AT24" s="126">
        <v>8.09</v>
      </c>
      <c r="AU24" s="126">
        <v>8.09</v>
      </c>
      <c r="AV24" s="126">
        <v>8.09</v>
      </c>
      <c r="AW24" s="126">
        <v>8.09</v>
      </c>
      <c r="AX24" s="126">
        <v>8.09</v>
      </c>
      <c r="AY24" s="126">
        <v>8.09</v>
      </c>
      <c r="AZ24" s="126">
        <v>8.09</v>
      </c>
      <c r="BA24" s="126">
        <v>8.09</v>
      </c>
      <c r="BB24" s="126">
        <v>8.09</v>
      </c>
      <c r="BC24" s="126">
        <v>8.09</v>
      </c>
      <c r="BD24" s="126">
        <v>8.09</v>
      </c>
      <c r="BE24" s="126">
        <v>8.09</v>
      </c>
    </row>
    <row r="25" spans="1:57" x14ac:dyDescent="0.35">
      <c r="A25" s="127" t="s">
        <v>21</v>
      </c>
      <c r="G25" s="126">
        <v>6.15</v>
      </c>
      <c r="H25" s="126">
        <v>6.15</v>
      </c>
      <c r="I25" s="126">
        <v>6.15</v>
      </c>
      <c r="J25" s="126">
        <v>6.15</v>
      </c>
      <c r="K25" s="126">
        <v>6.15</v>
      </c>
      <c r="L25" s="126">
        <v>6.15</v>
      </c>
      <c r="M25" s="126">
        <v>6.15</v>
      </c>
      <c r="N25" s="126">
        <v>6.15</v>
      </c>
      <c r="O25" s="126">
        <v>6.15</v>
      </c>
      <c r="P25" s="126">
        <v>6.15</v>
      </c>
      <c r="Q25" s="126">
        <v>6.15</v>
      </c>
      <c r="R25" s="126">
        <v>6.15</v>
      </c>
      <c r="S25" s="126">
        <v>6.15</v>
      </c>
      <c r="T25" s="126">
        <v>6.15</v>
      </c>
      <c r="U25" s="126">
        <v>6.15</v>
      </c>
      <c r="V25" s="126">
        <v>6.15</v>
      </c>
      <c r="W25" s="126">
        <v>6.15</v>
      </c>
      <c r="X25" s="126">
        <v>6.15</v>
      </c>
      <c r="Y25" s="126">
        <v>6.15</v>
      </c>
      <c r="Z25" s="126">
        <v>6.15</v>
      </c>
      <c r="AA25" s="126">
        <v>6.15</v>
      </c>
      <c r="AB25" s="126">
        <v>6.15</v>
      </c>
      <c r="AC25" s="126">
        <v>6.15</v>
      </c>
      <c r="AD25" s="126">
        <v>6.15</v>
      </c>
      <c r="AE25" s="126">
        <v>6.15</v>
      </c>
      <c r="AF25" s="126">
        <v>6.15</v>
      </c>
      <c r="AG25" s="126">
        <v>6.15</v>
      </c>
      <c r="AH25" s="126">
        <v>6.15</v>
      </c>
      <c r="AI25" s="126">
        <v>6.15</v>
      </c>
      <c r="AJ25" s="126">
        <v>6.15</v>
      </c>
      <c r="AK25" s="126">
        <v>6.15</v>
      </c>
      <c r="AL25" s="126">
        <v>6.15</v>
      </c>
      <c r="AM25" s="126">
        <v>6.15</v>
      </c>
      <c r="AN25" s="126">
        <v>6.15</v>
      </c>
      <c r="AO25" s="126">
        <v>6.15</v>
      </c>
      <c r="AP25" s="126">
        <v>6.15</v>
      </c>
      <c r="AQ25" s="126">
        <v>6.15</v>
      </c>
      <c r="AR25" s="126">
        <v>6.15</v>
      </c>
      <c r="AS25" s="126">
        <v>6.15</v>
      </c>
      <c r="AT25" s="126">
        <v>6.15</v>
      </c>
      <c r="AU25" s="126">
        <v>6.15</v>
      </c>
      <c r="AV25" s="126">
        <v>6.15</v>
      </c>
      <c r="AW25" s="126">
        <v>6.15</v>
      </c>
      <c r="AX25" s="126">
        <v>6.15</v>
      </c>
      <c r="AY25" s="126">
        <v>6.15</v>
      </c>
      <c r="AZ25" s="126">
        <v>6.15</v>
      </c>
      <c r="BA25" s="126">
        <v>6.15</v>
      </c>
      <c r="BB25" s="126">
        <v>6.15</v>
      </c>
      <c r="BC25" s="126">
        <v>6.15</v>
      </c>
      <c r="BD25" s="126">
        <v>6.15</v>
      </c>
      <c r="BE25" s="126">
        <v>6.15</v>
      </c>
    </row>
    <row r="26" spans="1:57" x14ac:dyDescent="0.35">
      <c r="A26" s="127" t="s">
        <v>22</v>
      </c>
      <c r="G26" s="126">
        <v>10.33</v>
      </c>
      <c r="H26" s="126">
        <v>10.33</v>
      </c>
      <c r="I26" s="126">
        <v>10.33</v>
      </c>
      <c r="J26" s="126">
        <v>10.33</v>
      </c>
      <c r="K26" s="126">
        <v>10.33</v>
      </c>
      <c r="L26" s="126">
        <v>10.33</v>
      </c>
      <c r="M26" s="126">
        <v>10.33</v>
      </c>
      <c r="N26" s="126">
        <v>10.33</v>
      </c>
      <c r="O26" s="126">
        <v>10.33</v>
      </c>
      <c r="P26" s="126">
        <v>10.33</v>
      </c>
      <c r="Q26" s="126">
        <v>10.33</v>
      </c>
      <c r="R26" s="126">
        <v>10.33</v>
      </c>
      <c r="S26" s="126">
        <v>10.33</v>
      </c>
      <c r="T26" s="126">
        <v>10.33</v>
      </c>
      <c r="U26" s="126">
        <v>10.33</v>
      </c>
      <c r="V26" s="126">
        <v>10.33</v>
      </c>
      <c r="W26" s="126">
        <v>10.33</v>
      </c>
      <c r="X26" s="126">
        <v>10.33</v>
      </c>
      <c r="Y26" s="126">
        <v>10.33</v>
      </c>
      <c r="Z26" s="126">
        <v>10.33</v>
      </c>
      <c r="AA26" s="126">
        <v>10.33</v>
      </c>
      <c r="AB26" s="126">
        <v>10.33</v>
      </c>
      <c r="AC26" s="126">
        <v>10.33</v>
      </c>
      <c r="AD26" s="126">
        <v>10.33</v>
      </c>
      <c r="AE26" s="126">
        <v>10.33</v>
      </c>
      <c r="AF26" s="126">
        <v>10.33</v>
      </c>
      <c r="AG26" s="126">
        <v>10.33</v>
      </c>
      <c r="AH26" s="126">
        <v>10.33</v>
      </c>
      <c r="AI26" s="126">
        <v>10.33</v>
      </c>
      <c r="AJ26" s="126">
        <v>10.33</v>
      </c>
      <c r="AK26" s="126">
        <v>10.33</v>
      </c>
      <c r="AL26" s="126">
        <v>10.33</v>
      </c>
      <c r="AM26" s="126">
        <v>10.33</v>
      </c>
      <c r="AN26" s="126">
        <v>10.33</v>
      </c>
      <c r="AO26" s="126">
        <v>10.33</v>
      </c>
      <c r="AP26" s="126">
        <v>10.33</v>
      </c>
      <c r="AQ26" s="126">
        <v>10.33</v>
      </c>
      <c r="AR26" s="126">
        <v>10.33</v>
      </c>
      <c r="AS26" s="126">
        <v>10.33</v>
      </c>
      <c r="AT26" s="126">
        <v>10.33</v>
      </c>
      <c r="AU26" s="126">
        <v>10.33</v>
      </c>
      <c r="AV26" s="126">
        <v>10.33</v>
      </c>
      <c r="AW26" s="126">
        <v>10.33</v>
      </c>
      <c r="AX26" s="126">
        <v>10.33</v>
      </c>
      <c r="AY26" s="126">
        <v>10.33</v>
      </c>
      <c r="AZ26" s="126">
        <v>10.33</v>
      </c>
      <c r="BA26" s="126">
        <v>10.33</v>
      </c>
      <c r="BB26" s="126">
        <v>10.33</v>
      </c>
      <c r="BC26" s="126">
        <v>10.33</v>
      </c>
      <c r="BD26" s="126">
        <v>10.33</v>
      </c>
      <c r="BE26" s="126">
        <v>10.33</v>
      </c>
    </row>
    <row r="27" spans="1:57" x14ac:dyDescent="0.35">
      <c r="A27" s="127" t="s">
        <v>23</v>
      </c>
      <c r="G27" s="126">
        <v>8.76</v>
      </c>
      <c r="H27" s="126">
        <v>8.76</v>
      </c>
      <c r="I27" s="126">
        <v>8.76</v>
      </c>
      <c r="J27" s="126">
        <v>8.76</v>
      </c>
      <c r="K27" s="126">
        <v>8.76</v>
      </c>
      <c r="L27" s="126">
        <v>8.76</v>
      </c>
      <c r="M27" s="126">
        <v>8.76</v>
      </c>
      <c r="N27" s="126">
        <v>8.76</v>
      </c>
      <c r="O27" s="126">
        <v>8.76</v>
      </c>
      <c r="P27" s="126">
        <v>8.76</v>
      </c>
      <c r="Q27" s="126">
        <v>8.76</v>
      </c>
      <c r="R27" s="126">
        <v>8.76</v>
      </c>
      <c r="S27" s="126">
        <v>8.76</v>
      </c>
      <c r="T27" s="126">
        <v>8.76</v>
      </c>
      <c r="U27" s="126">
        <v>8.76</v>
      </c>
      <c r="V27" s="126">
        <v>8.76</v>
      </c>
      <c r="W27" s="126">
        <v>8.76</v>
      </c>
      <c r="X27" s="126">
        <v>8.76</v>
      </c>
      <c r="Y27" s="126">
        <v>8.76</v>
      </c>
      <c r="Z27" s="126">
        <v>8.76</v>
      </c>
      <c r="AA27" s="126">
        <v>8.76</v>
      </c>
      <c r="AB27" s="126">
        <v>8.76</v>
      </c>
      <c r="AC27" s="126">
        <v>8.76</v>
      </c>
      <c r="AD27" s="126">
        <v>8.76</v>
      </c>
      <c r="AE27" s="126">
        <v>8.76</v>
      </c>
      <c r="AF27" s="126">
        <v>8.76</v>
      </c>
      <c r="AG27" s="126">
        <v>8.76</v>
      </c>
      <c r="AH27" s="126">
        <v>8.76</v>
      </c>
      <c r="AI27" s="126">
        <v>8.76</v>
      </c>
      <c r="AJ27" s="126">
        <v>8.76</v>
      </c>
      <c r="AK27" s="126">
        <v>8.76</v>
      </c>
      <c r="AL27" s="126">
        <v>8.76</v>
      </c>
      <c r="AM27" s="126">
        <v>8.76</v>
      </c>
      <c r="AN27" s="126">
        <v>8.76</v>
      </c>
      <c r="AO27" s="126">
        <v>8.76</v>
      </c>
      <c r="AP27" s="126">
        <v>8.76</v>
      </c>
      <c r="AQ27" s="126">
        <v>8.76</v>
      </c>
      <c r="AR27" s="126">
        <v>8.76</v>
      </c>
      <c r="AS27" s="126">
        <v>8.76</v>
      </c>
      <c r="AT27" s="126">
        <v>8.76</v>
      </c>
      <c r="AU27" s="126">
        <v>8.76</v>
      </c>
      <c r="AV27" s="126">
        <v>8.76</v>
      </c>
      <c r="AW27" s="126">
        <v>8.76</v>
      </c>
      <c r="AX27" s="126">
        <v>8.76</v>
      </c>
      <c r="AY27" s="126">
        <v>8.76</v>
      </c>
      <c r="AZ27" s="126">
        <v>8.76</v>
      </c>
      <c r="BA27" s="126">
        <v>8.76</v>
      </c>
      <c r="BB27" s="126">
        <v>8.76</v>
      </c>
      <c r="BC27" s="126">
        <v>8.76</v>
      </c>
      <c r="BD27" s="126">
        <v>8.76</v>
      </c>
      <c r="BE27" s="126">
        <v>8.76</v>
      </c>
    </row>
    <row r="28" spans="1:57" x14ac:dyDescent="0.35">
      <c r="A28" s="127" t="s">
        <v>24</v>
      </c>
      <c r="G28" s="126">
        <v>9.31</v>
      </c>
      <c r="H28" s="126">
        <v>9.31</v>
      </c>
      <c r="I28" s="126">
        <v>9.31</v>
      </c>
      <c r="J28" s="126">
        <v>9.31</v>
      </c>
      <c r="K28" s="126">
        <v>9.31</v>
      </c>
      <c r="L28" s="126">
        <v>9.31</v>
      </c>
      <c r="M28" s="126">
        <v>9.31</v>
      </c>
      <c r="N28" s="126">
        <v>9.31</v>
      </c>
      <c r="O28" s="126">
        <v>9.31</v>
      </c>
      <c r="P28" s="126">
        <v>9.31</v>
      </c>
      <c r="Q28" s="126">
        <v>9.31</v>
      </c>
      <c r="R28" s="126">
        <v>9.31</v>
      </c>
      <c r="S28" s="126">
        <v>9.31</v>
      </c>
      <c r="T28" s="126">
        <v>9.31</v>
      </c>
      <c r="U28" s="126">
        <v>9.31</v>
      </c>
      <c r="V28" s="126">
        <v>9.31</v>
      </c>
      <c r="W28" s="126">
        <v>9.31</v>
      </c>
      <c r="X28" s="126">
        <v>9.31</v>
      </c>
      <c r="Y28" s="126">
        <v>9.31</v>
      </c>
      <c r="Z28" s="126">
        <v>9.31</v>
      </c>
      <c r="AA28" s="126">
        <v>9.31</v>
      </c>
      <c r="AB28" s="126">
        <v>9.31</v>
      </c>
      <c r="AC28" s="126">
        <v>9.31</v>
      </c>
      <c r="AD28" s="126">
        <v>9.31</v>
      </c>
      <c r="AE28" s="126">
        <v>9.31</v>
      </c>
      <c r="AF28" s="126">
        <v>9.31</v>
      </c>
      <c r="AG28" s="126">
        <v>9.31</v>
      </c>
      <c r="AH28" s="126">
        <v>9.31</v>
      </c>
      <c r="AI28" s="126">
        <v>9.31</v>
      </c>
      <c r="AJ28" s="126">
        <v>9.31</v>
      </c>
      <c r="AK28" s="126">
        <v>9.31</v>
      </c>
      <c r="AL28" s="126">
        <v>9.31</v>
      </c>
      <c r="AM28" s="126">
        <v>9.31</v>
      </c>
      <c r="AN28" s="126">
        <v>9.31</v>
      </c>
      <c r="AO28" s="126">
        <v>9.31</v>
      </c>
      <c r="AP28" s="126">
        <v>9.31</v>
      </c>
      <c r="AQ28" s="126">
        <v>9.31</v>
      </c>
      <c r="AR28" s="126">
        <v>9.31</v>
      </c>
      <c r="AS28" s="126">
        <v>9.31</v>
      </c>
      <c r="AT28" s="126">
        <v>9.31</v>
      </c>
      <c r="AU28" s="126">
        <v>9.31</v>
      </c>
      <c r="AV28" s="126">
        <v>9.31</v>
      </c>
      <c r="AW28" s="126">
        <v>9.31</v>
      </c>
      <c r="AX28" s="126">
        <v>9.31</v>
      </c>
      <c r="AY28" s="126">
        <v>9.31</v>
      </c>
      <c r="AZ28" s="126">
        <v>9.31</v>
      </c>
      <c r="BA28" s="126">
        <v>9.31</v>
      </c>
      <c r="BB28" s="126">
        <v>9.31</v>
      </c>
      <c r="BC28" s="126">
        <v>9.31</v>
      </c>
      <c r="BD28" s="126">
        <v>9.31</v>
      </c>
      <c r="BE28" s="126">
        <v>9.31</v>
      </c>
    </row>
    <row r="29" spans="1:57" x14ac:dyDescent="0.35">
      <c r="A29" s="127" t="s">
        <v>25</v>
      </c>
      <c r="G29" s="126">
        <v>7.7</v>
      </c>
      <c r="H29" s="126">
        <v>7.7</v>
      </c>
      <c r="I29" s="126">
        <v>7.7</v>
      </c>
      <c r="J29" s="126">
        <v>7.7</v>
      </c>
      <c r="K29" s="126">
        <v>7.7</v>
      </c>
      <c r="L29" s="126">
        <v>7.7</v>
      </c>
      <c r="M29" s="126">
        <v>7.7</v>
      </c>
      <c r="N29" s="126">
        <v>7.7</v>
      </c>
      <c r="O29" s="126">
        <v>7.7</v>
      </c>
      <c r="P29" s="126">
        <v>7.7</v>
      </c>
      <c r="Q29" s="126">
        <v>7.7</v>
      </c>
      <c r="R29" s="126">
        <v>7.7</v>
      </c>
      <c r="S29" s="126">
        <v>7.7</v>
      </c>
      <c r="T29" s="126">
        <v>7.7</v>
      </c>
      <c r="U29" s="126">
        <v>7.7</v>
      </c>
      <c r="V29" s="126">
        <v>7.7</v>
      </c>
      <c r="W29" s="126">
        <v>7.7</v>
      </c>
      <c r="X29" s="126">
        <v>7.7</v>
      </c>
      <c r="Y29" s="126">
        <v>7.7</v>
      </c>
      <c r="Z29" s="126">
        <v>7.7</v>
      </c>
      <c r="AA29" s="126">
        <v>7.7</v>
      </c>
      <c r="AB29" s="126">
        <v>7.7</v>
      </c>
      <c r="AC29" s="126">
        <v>7.7</v>
      </c>
      <c r="AD29" s="126">
        <v>7.7</v>
      </c>
      <c r="AE29" s="126">
        <v>7.7</v>
      </c>
      <c r="AF29" s="126">
        <v>7.7</v>
      </c>
      <c r="AG29" s="126">
        <v>7.7</v>
      </c>
      <c r="AH29" s="126">
        <v>7.7</v>
      </c>
      <c r="AI29" s="126">
        <v>7.7</v>
      </c>
      <c r="AJ29" s="126">
        <v>7.7</v>
      </c>
      <c r="AK29" s="126">
        <v>7.7</v>
      </c>
      <c r="AL29" s="126">
        <v>7.7</v>
      </c>
      <c r="AM29" s="126">
        <v>7.7</v>
      </c>
      <c r="AN29" s="126">
        <v>7.7</v>
      </c>
      <c r="AO29" s="126">
        <v>7.7</v>
      </c>
      <c r="AP29" s="126">
        <v>7.7</v>
      </c>
      <c r="AQ29" s="126">
        <v>7.7</v>
      </c>
      <c r="AR29" s="126">
        <v>7.7</v>
      </c>
      <c r="AS29" s="126">
        <v>7.7</v>
      </c>
      <c r="AT29" s="126">
        <v>7.7</v>
      </c>
      <c r="AU29" s="126">
        <v>7.7</v>
      </c>
      <c r="AV29" s="126">
        <v>7.7</v>
      </c>
      <c r="AW29" s="126">
        <v>7.7</v>
      </c>
      <c r="AX29" s="126">
        <v>7.7</v>
      </c>
      <c r="AY29" s="126">
        <v>7.7</v>
      </c>
      <c r="AZ29" s="126">
        <v>7.7</v>
      </c>
      <c r="BA29" s="126">
        <v>7.7</v>
      </c>
      <c r="BB29" s="126">
        <v>7.7</v>
      </c>
      <c r="BC29" s="126">
        <v>7.7</v>
      </c>
      <c r="BD29" s="126">
        <v>7.7</v>
      </c>
      <c r="BE29" s="126">
        <v>7.7</v>
      </c>
    </row>
    <row r="30" spans="1:57" x14ac:dyDescent="0.35">
      <c r="A30" s="127" t="s">
        <v>26</v>
      </c>
      <c r="G30" s="126">
        <v>5.62</v>
      </c>
      <c r="H30" s="126">
        <v>5.62</v>
      </c>
      <c r="I30" s="126">
        <v>5.62</v>
      </c>
      <c r="J30" s="126">
        <v>5.62</v>
      </c>
      <c r="K30" s="126">
        <v>5.62</v>
      </c>
      <c r="L30" s="126">
        <v>5.62</v>
      </c>
      <c r="M30" s="126">
        <v>5.62</v>
      </c>
      <c r="N30" s="126">
        <v>5.62</v>
      </c>
      <c r="O30" s="126">
        <v>5.62</v>
      </c>
      <c r="P30" s="126">
        <v>5.62</v>
      </c>
      <c r="Q30" s="126">
        <v>5.62</v>
      </c>
      <c r="R30" s="126">
        <v>5.62</v>
      </c>
      <c r="S30" s="126">
        <v>5.62</v>
      </c>
      <c r="T30" s="126">
        <v>5.62</v>
      </c>
      <c r="U30" s="126">
        <v>5.62</v>
      </c>
      <c r="V30" s="126">
        <v>5.62</v>
      </c>
      <c r="W30" s="126">
        <v>5.62</v>
      </c>
      <c r="X30" s="126">
        <v>5.62</v>
      </c>
      <c r="Y30" s="126">
        <v>5.62</v>
      </c>
      <c r="Z30" s="126">
        <v>5.62</v>
      </c>
      <c r="AA30" s="126">
        <v>5.62</v>
      </c>
      <c r="AB30" s="126">
        <v>5.62</v>
      </c>
      <c r="AC30" s="126">
        <v>5.62</v>
      </c>
      <c r="AD30" s="126">
        <v>5.62</v>
      </c>
      <c r="AE30" s="126">
        <v>5.62</v>
      </c>
      <c r="AF30" s="126">
        <v>5.62</v>
      </c>
      <c r="AG30" s="126">
        <v>5.62</v>
      </c>
      <c r="AH30" s="126">
        <v>5.62</v>
      </c>
      <c r="AI30" s="126">
        <v>5.62</v>
      </c>
      <c r="AJ30" s="126">
        <v>5.62</v>
      </c>
      <c r="AK30" s="126">
        <v>5.62</v>
      </c>
      <c r="AL30" s="126">
        <v>5.62</v>
      </c>
      <c r="AM30" s="126">
        <v>5.62</v>
      </c>
      <c r="AN30" s="126">
        <v>5.62</v>
      </c>
      <c r="AO30" s="126">
        <v>5.62</v>
      </c>
      <c r="AP30" s="126">
        <v>5.62</v>
      </c>
      <c r="AQ30" s="126">
        <v>5.62</v>
      </c>
      <c r="AR30" s="126">
        <v>5.62</v>
      </c>
      <c r="AS30" s="126">
        <v>5.62</v>
      </c>
      <c r="AT30" s="126">
        <v>5.62</v>
      </c>
      <c r="AU30" s="126">
        <v>5.62</v>
      </c>
      <c r="AV30" s="126">
        <v>5.62</v>
      </c>
      <c r="AW30" s="126">
        <v>5.62</v>
      </c>
      <c r="AX30" s="126">
        <v>5.62</v>
      </c>
      <c r="AY30" s="126">
        <v>5.62</v>
      </c>
      <c r="AZ30" s="126">
        <v>5.62</v>
      </c>
      <c r="BA30" s="126">
        <v>5.62</v>
      </c>
      <c r="BB30" s="126">
        <v>5.62</v>
      </c>
      <c r="BC30" s="126">
        <v>5.62</v>
      </c>
      <c r="BD30" s="126">
        <v>5.62</v>
      </c>
      <c r="BE30" s="126">
        <v>5.62</v>
      </c>
    </row>
    <row r="31" spans="1:57" x14ac:dyDescent="0.35">
      <c r="A31" s="127" t="s">
        <v>27</v>
      </c>
      <c r="G31" s="126">
        <v>7.78</v>
      </c>
      <c r="H31" s="126">
        <v>7.78</v>
      </c>
      <c r="I31" s="126">
        <v>7.78</v>
      </c>
      <c r="J31" s="126">
        <v>7.78</v>
      </c>
      <c r="K31" s="126">
        <v>7.78</v>
      </c>
      <c r="L31" s="126">
        <v>7.78</v>
      </c>
      <c r="M31" s="126">
        <v>7.78</v>
      </c>
      <c r="N31" s="126">
        <v>7.78</v>
      </c>
      <c r="O31" s="126">
        <v>7.78</v>
      </c>
      <c r="P31" s="126">
        <v>7.78</v>
      </c>
      <c r="Q31" s="126">
        <v>7.78</v>
      </c>
      <c r="R31" s="126">
        <v>7.78</v>
      </c>
      <c r="S31" s="126">
        <v>7.78</v>
      </c>
      <c r="T31" s="126">
        <v>7.78</v>
      </c>
      <c r="U31" s="126">
        <v>7.78</v>
      </c>
      <c r="V31" s="126">
        <v>7.78</v>
      </c>
      <c r="W31" s="126">
        <v>7.78</v>
      </c>
      <c r="X31" s="126">
        <v>7.78</v>
      </c>
      <c r="Y31" s="126">
        <v>7.78</v>
      </c>
      <c r="Z31" s="126">
        <v>7.78</v>
      </c>
      <c r="AA31" s="126">
        <v>7.78</v>
      </c>
      <c r="AB31" s="126">
        <v>7.78</v>
      </c>
      <c r="AC31" s="126">
        <v>7.78</v>
      </c>
      <c r="AD31" s="126">
        <v>7.78</v>
      </c>
      <c r="AE31" s="126">
        <v>7.78</v>
      </c>
      <c r="AF31" s="126">
        <v>7.78</v>
      </c>
      <c r="AG31" s="126">
        <v>7.78</v>
      </c>
      <c r="AH31" s="126">
        <v>7.78</v>
      </c>
      <c r="AI31" s="126">
        <v>7.78</v>
      </c>
      <c r="AJ31" s="126">
        <v>7.78</v>
      </c>
      <c r="AK31" s="126">
        <v>7.78</v>
      </c>
      <c r="AL31" s="126">
        <v>7.78</v>
      </c>
      <c r="AM31" s="126">
        <v>7.78</v>
      </c>
      <c r="AN31" s="126">
        <v>7.78</v>
      </c>
      <c r="AO31" s="126">
        <v>7.78</v>
      </c>
      <c r="AP31" s="126">
        <v>7.78</v>
      </c>
      <c r="AQ31" s="126">
        <v>7.78</v>
      </c>
      <c r="AR31" s="126">
        <v>7.78</v>
      </c>
      <c r="AS31" s="126">
        <v>7.78</v>
      </c>
      <c r="AT31" s="126">
        <v>7.78</v>
      </c>
      <c r="AU31" s="126">
        <v>7.78</v>
      </c>
      <c r="AV31" s="126">
        <v>7.78</v>
      </c>
      <c r="AW31" s="126">
        <v>7.78</v>
      </c>
      <c r="AX31" s="126">
        <v>7.78</v>
      </c>
      <c r="AY31" s="126">
        <v>7.78</v>
      </c>
      <c r="AZ31" s="126">
        <v>7.78</v>
      </c>
      <c r="BA31" s="126">
        <v>7.78</v>
      </c>
      <c r="BB31" s="126">
        <v>7.78</v>
      </c>
      <c r="BC31" s="126">
        <v>7.78</v>
      </c>
      <c r="BD31" s="126">
        <v>7.78</v>
      </c>
      <c r="BE31" s="126">
        <v>7.78</v>
      </c>
    </row>
    <row r="32" spans="1:57" x14ac:dyDescent="0.35">
      <c r="A32" s="127" t="s">
        <v>28</v>
      </c>
      <c r="G32" s="126">
        <v>15.94</v>
      </c>
      <c r="H32" s="126">
        <v>15.94</v>
      </c>
      <c r="I32" s="126">
        <v>15.94</v>
      </c>
      <c r="J32" s="126">
        <v>15.94</v>
      </c>
      <c r="K32" s="126">
        <v>15.94</v>
      </c>
      <c r="L32" s="126">
        <v>15.94</v>
      </c>
      <c r="M32" s="126">
        <v>15.94</v>
      </c>
      <c r="N32" s="126">
        <v>15.94</v>
      </c>
      <c r="O32" s="126">
        <v>15.94</v>
      </c>
      <c r="P32" s="126">
        <v>15.94</v>
      </c>
      <c r="Q32" s="126">
        <v>15.94</v>
      </c>
      <c r="R32" s="126">
        <v>15.94</v>
      </c>
      <c r="S32" s="126">
        <v>15.94</v>
      </c>
      <c r="T32" s="126">
        <v>15.94</v>
      </c>
      <c r="U32" s="126">
        <v>15.94</v>
      </c>
      <c r="V32" s="126">
        <v>15.94</v>
      </c>
      <c r="W32" s="126">
        <v>15.94</v>
      </c>
      <c r="X32" s="126">
        <v>15.94</v>
      </c>
      <c r="Y32" s="126">
        <v>15.94</v>
      </c>
      <c r="Z32" s="126">
        <v>15.94</v>
      </c>
      <c r="AA32" s="126">
        <v>15.94</v>
      </c>
      <c r="AB32" s="126">
        <v>15.94</v>
      </c>
      <c r="AC32" s="126">
        <v>15.94</v>
      </c>
      <c r="AD32" s="126">
        <v>15.94</v>
      </c>
      <c r="AE32" s="126">
        <v>15.94</v>
      </c>
      <c r="AF32" s="126">
        <v>15.94</v>
      </c>
      <c r="AG32" s="126">
        <v>15.94</v>
      </c>
      <c r="AH32" s="126">
        <v>15.94</v>
      </c>
      <c r="AI32" s="126">
        <v>15.94</v>
      </c>
      <c r="AJ32" s="126">
        <v>15.94</v>
      </c>
      <c r="AK32" s="126">
        <v>15.94</v>
      </c>
      <c r="AL32" s="126">
        <v>15.94</v>
      </c>
      <c r="AM32" s="126">
        <v>15.94</v>
      </c>
      <c r="AN32" s="126">
        <v>15.94</v>
      </c>
      <c r="AO32" s="126">
        <v>15.94</v>
      </c>
      <c r="AP32" s="126">
        <v>15.94</v>
      </c>
      <c r="AQ32" s="126">
        <v>15.94</v>
      </c>
      <c r="AR32" s="126">
        <v>15.94</v>
      </c>
      <c r="AS32" s="126">
        <v>15.94</v>
      </c>
      <c r="AT32" s="126">
        <v>15.94</v>
      </c>
      <c r="AU32" s="126">
        <v>15.94</v>
      </c>
      <c r="AV32" s="126">
        <v>15.94</v>
      </c>
      <c r="AW32" s="126">
        <v>15.94</v>
      </c>
      <c r="AX32" s="126">
        <v>15.94</v>
      </c>
      <c r="AY32" s="126">
        <v>15.94</v>
      </c>
      <c r="AZ32" s="126">
        <v>15.94</v>
      </c>
      <c r="BA32" s="126">
        <v>15.94</v>
      </c>
      <c r="BB32" s="126">
        <v>15.94</v>
      </c>
      <c r="BC32" s="126">
        <v>15.94</v>
      </c>
      <c r="BD32" s="126">
        <v>15.94</v>
      </c>
      <c r="BE32" s="126">
        <v>15.94</v>
      </c>
    </row>
    <row r="33" spans="1:57" x14ac:dyDescent="0.35">
      <c r="A33" s="127" t="s">
        <v>29</v>
      </c>
      <c r="G33" s="126">
        <v>12.18</v>
      </c>
      <c r="H33" s="126">
        <v>12.18</v>
      </c>
      <c r="I33" s="126">
        <v>12.18</v>
      </c>
      <c r="J33" s="126">
        <v>12.18</v>
      </c>
      <c r="K33" s="126">
        <v>12.18</v>
      </c>
      <c r="L33" s="126">
        <v>12.18</v>
      </c>
      <c r="M33" s="126">
        <v>12.18</v>
      </c>
      <c r="N33" s="126">
        <v>12.18</v>
      </c>
      <c r="O33" s="126">
        <v>12.18</v>
      </c>
      <c r="P33" s="126">
        <v>12.18</v>
      </c>
      <c r="Q33" s="126">
        <v>12.18</v>
      </c>
      <c r="R33" s="126">
        <v>12.18</v>
      </c>
      <c r="S33" s="126">
        <v>12.18</v>
      </c>
      <c r="T33" s="126">
        <v>12.18</v>
      </c>
      <c r="U33" s="126">
        <v>12.18</v>
      </c>
      <c r="V33" s="126">
        <v>12.18</v>
      </c>
      <c r="W33" s="126">
        <v>12.18</v>
      </c>
      <c r="X33" s="126">
        <v>12.18</v>
      </c>
      <c r="Y33" s="126">
        <v>12.18</v>
      </c>
      <c r="Z33" s="126">
        <v>12.18</v>
      </c>
      <c r="AA33" s="126">
        <v>12.18</v>
      </c>
      <c r="AB33" s="126">
        <v>12.18</v>
      </c>
      <c r="AC33" s="126">
        <v>12.18</v>
      </c>
      <c r="AD33" s="126">
        <v>12.18</v>
      </c>
      <c r="AE33" s="126">
        <v>12.18</v>
      </c>
      <c r="AF33" s="126">
        <v>12.18</v>
      </c>
      <c r="AG33" s="126">
        <v>12.18</v>
      </c>
      <c r="AH33" s="126">
        <v>12.18</v>
      </c>
      <c r="AI33" s="126">
        <v>12.18</v>
      </c>
      <c r="AJ33" s="126">
        <v>12.18</v>
      </c>
      <c r="AK33" s="126">
        <v>12.18</v>
      </c>
      <c r="AL33" s="126">
        <v>12.18</v>
      </c>
      <c r="AM33" s="126">
        <v>12.18</v>
      </c>
      <c r="AN33" s="126">
        <v>12.18</v>
      </c>
      <c r="AO33" s="126">
        <v>12.18</v>
      </c>
      <c r="AP33" s="126">
        <v>12.18</v>
      </c>
      <c r="AQ33" s="126">
        <v>12.18</v>
      </c>
      <c r="AR33" s="126">
        <v>12.18</v>
      </c>
      <c r="AS33" s="126">
        <v>12.18</v>
      </c>
      <c r="AT33" s="126">
        <v>12.18</v>
      </c>
      <c r="AU33" s="126">
        <v>12.18</v>
      </c>
      <c r="AV33" s="126">
        <v>12.18</v>
      </c>
      <c r="AW33" s="126">
        <v>12.18</v>
      </c>
      <c r="AX33" s="126">
        <v>12.18</v>
      </c>
      <c r="AY33" s="126">
        <v>12.18</v>
      </c>
      <c r="AZ33" s="126">
        <v>12.18</v>
      </c>
      <c r="BA33" s="126">
        <v>12.18</v>
      </c>
      <c r="BB33" s="126">
        <v>12.18</v>
      </c>
      <c r="BC33" s="126">
        <v>12.18</v>
      </c>
      <c r="BD33" s="126">
        <v>12.18</v>
      </c>
      <c r="BE33" s="126">
        <v>12.18</v>
      </c>
    </row>
    <row r="34" spans="1:57" x14ac:dyDescent="0.35">
      <c r="A34" s="127" t="s">
        <v>30</v>
      </c>
      <c r="G34" s="126">
        <v>9.8699999999999992</v>
      </c>
      <c r="H34" s="126">
        <v>9.8699999999999992</v>
      </c>
      <c r="I34" s="126">
        <v>9.8699999999999992</v>
      </c>
      <c r="J34" s="126">
        <v>9.8699999999999992</v>
      </c>
      <c r="K34" s="126">
        <v>9.8699999999999992</v>
      </c>
      <c r="L34" s="126">
        <v>9.8699999999999992</v>
      </c>
      <c r="M34" s="126">
        <v>9.8699999999999992</v>
      </c>
      <c r="N34" s="126">
        <v>9.8699999999999992</v>
      </c>
      <c r="O34" s="126">
        <v>9.8699999999999992</v>
      </c>
      <c r="P34" s="126">
        <v>9.8699999999999992</v>
      </c>
      <c r="Q34" s="126">
        <v>9.8699999999999992</v>
      </c>
      <c r="R34" s="126">
        <v>9.8699999999999992</v>
      </c>
      <c r="S34" s="126">
        <v>9.8699999999999992</v>
      </c>
      <c r="T34" s="126">
        <v>9.8699999999999992</v>
      </c>
      <c r="U34" s="126">
        <v>9.8699999999999992</v>
      </c>
      <c r="V34" s="126">
        <v>9.8699999999999992</v>
      </c>
      <c r="W34" s="126">
        <v>9.8699999999999992</v>
      </c>
      <c r="X34" s="126">
        <v>9.8699999999999992</v>
      </c>
      <c r="Y34" s="126">
        <v>9.8699999999999992</v>
      </c>
      <c r="Z34" s="126">
        <v>9.8699999999999992</v>
      </c>
      <c r="AA34" s="126">
        <v>9.8699999999999992</v>
      </c>
      <c r="AB34" s="126">
        <v>9.8699999999999992</v>
      </c>
      <c r="AC34" s="126">
        <v>9.8699999999999992</v>
      </c>
      <c r="AD34" s="126">
        <v>9.8699999999999992</v>
      </c>
      <c r="AE34" s="126">
        <v>9.8699999999999992</v>
      </c>
      <c r="AF34" s="126">
        <v>9.8699999999999992</v>
      </c>
      <c r="AG34" s="126">
        <v>9.8699999999999992</v>
      </c>
      <c r="AH34" s="126">
        <v>9.8699999999999992</v>
      </c>
      <c r="AI34" s="126">
        <v>9.8699999999999992</v>
      </c>
      <c r="AJ34" s="126">
        <v>9.8699999999999992</v>
      </c>
      <c r="AK34" s="126">
        <v>9.8699999999999992</v>
      </c>
      <c r="AL34" s="126">
        <v>9.8699999999999992</v>
      </c>
      <c r="AM34" s="126">
        <v>9.8699999999999992</v>
      </c>
      <c r="AN34" s="126">
        <v>9.8699999999999992</v>
      </c>
      <c r="AO34" s="126">
        <v>9.8699999999999992</v>
      </c>
      <c r="AP34" s="126">
        <v>9.8699999999999992</v>
      </c>
      <c r="AQ34" s="126">
        <v>9.8699999999999992</v>
      </c>
      <c r="AR34" s="126">
        <v>9.8699999999999992</v>
      </c>
      <c r="AS34" s="126">
        <v>9.8699999999999992</v>
      </c>
      <c r="AT34" s="126">
        <v>9.8699999999999992</v>
      </c>
      <c r="AU34" s="126">
        <v>9.8699999999999992</v>
      </c>
      <c r="AV34" s="126">
        <v>9.8699999999999992</v>
      </c>
      <c r="AW34" s="126">
        <v>9.8699999999999992</v>
      </c>
      <c r="AX34" s="126">
        <v>9.8699999999999992</v>
      </c>
      <c r="AY34" s="126">
        <v>9.8699999999999992</v>
      </c>
      <c r="AZ34" s="126">
        <v>9.8699999999999992</v>
      </c>
      <c r="BA34" s="126">
        <v>9.8699999999999992</v>
      </c>
      <c r="BB34" s="126">
        <v>9.8699999999999992</v>
      </c>
      <c r="BC34" s="126">
        <v>9.8699999999999992</v>
      </c>
      <c r="BD34" s="126">
        <v>9.8699999999999992</v>
      </c>
      <c r="BE34" s="126">
        <v>9.8699999999999992</v>
      </c>
    </row>
    <row r="35" spans="1:57" x14ac:dyDescent="0.35">
      <c r="A35" s="127" t="s">
        <v>31</v>
      </c>
      <c r="G35" s="126">
        <v>10.01</v>
      </c>
      <c r="H35" s="126">
        <v>10.01</v>
      </c>
      <c r="I35" s="126">
        <v>10.01</v>
      </c>
      <c r="J35" s="126">
        <v>10.01</v>
      </c>
      <c r="K35" s="126">
        <v>10.01</v>
      </c>
      <c r="L35" s="126">
        <v>10.01</v>
      </c>
      <c r="M35" s="126">
        <v>10.01</v>
      </c>
      <c r="N35" s="126">
        <v>10.01</v>
      </c>
      <c r="O35" s="126">
        <v>10.01</v>
      </c>
      <c r="P35" s="126">
        <v>10.01</v>
      </c>
      <c r="Q35" s="126">
        <v>10.01</v>
      </c>
      <c r="R35" s="126">
        <v>10.01</v>
      </c>
      <c r="S35" s="126">
        <v>10.01</v>
      </c>
      <c r="T35" s="126">
        <v>10.01</v>
      </c>
      <c r="U35" s="126">
        <v>10.01</v>
      </c>
      <c r="V35" s="126">
        <v>10.01</v>
      </c>
      <c r="W35" s="126">
        <v>10.01</v>
      </c>
      <c r="X35" s="126">
        <v>10.01</v>
      </c>
      <c r="Y35" s="126">
        <v>10.01</v>
      </c>
      <c r="Z35" s="126">
        <v>10.01</v>
      </c>
      <c r="AA35" s="126">
        <v>10.01</v>
      </c>
      <c r="AB35" s="126">
        <v>10.01</v>
      </c>
      <c r="AC35" s="126">
        <v>10.01</v>
      </c>
      <c r="AD35" s="126">
        <v>10.01</v>
      </c>
      <c r="AE35" s="126">
        <v>10.01</v>
      </c>
      <c r="AF35" s="126">
        <v>10.01</v>
      </c>
      <c r="AG35" s="126">
        <v>10.01</v>
      </c>
      <c r="AH35" s="126">
        <v>10.01</v>
      </c>
      <c r="AI35" s="126">
        <v>10.01</v>
      </c>
      <c r="AJ35" s="126">
        <v>10.01</v>
      </c>
      <c r="AK35" s="126">
        <v>10.01</v>
      </c>
      <c r="AL35" s="126">
        <v>10.01</v>
      </c>
      <c r="AM35" s="126">
        <v>10.01</v>
      </c>
      <c r="AN35" s="126">
        <v>10.01</v>
      </c>
      <c r="AO35" s="126">
        <v>10.01</v>
      </c>
      <c r="AP35" s="126">
        <v>10.01</v>
      </c>
      <c r="AQ35" s="126">
        <v>10.01</v>
      </c>
      <c r="AR35" s="126">
        <v>10.01</v>
      </c>
      <c r="AS35" s="126">
        <v>10.01</v>
      </c>
      <c r="AT35" s="126">
        <v>10.01</v>
      </c>
      <c r="AU35" s="126">
        <v>10.01</v>
      </c>
      <c r="AV35" s="126">
        <v>10.01</v>
      </c>
      <c r="AW35" s="126">
        <v>10.01</v>
      </c>
      <c r="AX35" s="126">
        <v>10.01</v>
      </c>
      <c r="AY35" s="126">
        <v>10.01</v>
      </c>
      <c r="AZ35" s="126">
        <v>10.01</v>
      </c>
      <c r="BA35" s="126">
        <v>10.01</v>
      </c>
      <c r="BB35" s="126">
        <v>10.01</v>
      </c>
      <c r="BC35" s="126">
        <v>10.01</v>
      </c>
      <c r="BD35" s="126">
        <v>10.01</v>
      </c>
      <c r="BE35" s="126">
        <v>10.01</v>
      </c>
    </row>
    <row r="36" spans="1:57" x14ac:dyDescent="0.35">
      <c r="A36" s="127" t="s">
        <v>32</v>
      </c>
      <c r="G36" s="126">
        <v>10</v>
      </c>
      <c r="H36" s="126">
        <v>10</v>
      </c>
      <c r="I36" s="126">
        <v>10</v>
      </c>
      <c r="J36" s="126">
        <v>10</v>
      </c>
      <c r="K36" s="126">
        <v>10</v>
      </c>
      <c r="L36" s="126">
        <v>10</v>
      </c>
      <c r="M36" s="126">
        <v>10</v>
      </c>
      <c r="N36" s="126">
        <v>10</v>
      </c>
      <c r="O36" s="126">
        <v>10</v>
      </c>
      <c r="P36" s="126">
        <v>10</v>
      </c>
      <c r="Q36" s="126">
        <v>10</v>
      </c>
      <c r="R36" s="126">
        <v>10</v>
      </c>
      <c r="S36" s="126">
        <v>10</v>
      </c>
      <c r="T36" s="126">
        <v>10</v>
      </c>
      <c r="U36" s="126">
        <v>10</v>
      </c>
      <c r="V36" s="126">
        <v>10</v>
      </c>
      <c r="W36" s="126">
        <v>10</v>
      </c>
      <c r="X36" s="126">
        <v>10</v>
      </c>
      <c r="Y36" s="126">
        <v>10</v>
      </c>
      <c r="Z36" s="126">
        <v>10</v>
      </c>
      <c r="AA36" s="126">
        <v>10</v>
      </c>
      <c r="AB36" s="126">
        <v>10</v>
      </c>
      <c r="AC36" s="126">
        <v>10</v>
      </c>
      <c r="AD36" s="126">
        <v>10</v>
      </c>
      <c r="AE36" s="126">
        <v>10</v>
      </c>
      <c r="AF36" s="126">
        <v>10</v>
      </c>
      <c r="AG36" s="126">
        <v>10</v>
      </c>
      <c r="AH36" s="126">
        <v>10</v>
      </c>
      <c r="AI36" s="126">
        <v>10</v>
      </c>
      <c r="AJ36" s="126">
        <v>10</v>
      </c>
      <c r="AK36" s="126">
        <v>10</v>
      </c>
      <c r="AL36" s="126">
        <v>10</v>
      </c>
      <c r="AM36" s="126">
        <v>10</v>
      </c>
      <c r="AN36" s="126">
        <v>10</v>
      </c>
      <c r="AO36" s="126">
        <v>10</v>
      </c>
      <c r="AP36" s="126">
        <v>10</v>
      </c>
      <c r="AQ36" s="126">
        <v>10</v>
      </c>
      <c r="AR36" s="126">
        <v>10</v>
      </c>
      <c r="AS36" s="126">
        <v>10</v>
      </c>
      <c r="AT36" s="126">
        <v>10</v>
      </c>
      <c r="AU36" s="126">
        <v>10</v>
      </c>
      <c r="AV36" s="126">
        <v>10</v>
      </c>
      <c r="AW36" s="126">
        <v>10</v>
      </c>
      <c r="AX36" s="126">
        <v>10</v>
      </c>
      <c r="AY36" s="126">
        <v>10</v>
      </c>
      <c r="AZ36" s="126">
        <v>10</v>
      </c>
      <c r="BA36" s="126">
        <v>10</v>
      </c>
      <c r="BB36" s="126">
        <v>10</v>
      </c>
      <c r="BC36" s="126">
        <v>10</v>
      </c>
      <c r="BD36" s="126">
        <v>10</v>
      </c>
      <c r="BE36" s="126">
        <v>10</v>
      </c>
    </row>
    <row r="37" spans="1:57" x14ac:dyDescent="0.35">
      <c r="A37" s="127" t="s">
        <v>33</v>
      </c>
      <c r="G37" s="126">
        <v>8.33</v>
      </c>
      <c r="H37" s="126">
        <v>8.33</v>
      </c>
      <c r="I37" s="126">
        <v>8.33</v>
      </c>
      <c r="J37" s="126">
        <v>8.33</v>
      </c>
      <c r="K37" s="126">
        <v>8.33</v>
      </c>
      <c r="L37" s="126">
        <v>8.33</v>
      </c>
      <c r="M37" s="126">
        <v>8.33</v>
      </c>
      <c r="N37" s="126">
        <v>8.33</v>
      </c>
      <c r="O37" s="126">
        <v>8.33</v>
      </c>
      <c r="P37" s="126">
        <v>8.33</v>
      </c>
      <c r="Q37" s="126">
        <v>8.33</v>
      </c>
      <c r="R37" s="126">
        <v>8.33</v>
      </c>
      <c r="S37" s="126">
        <v>8.33</v>
      </c>
      <c r="T37" s="126">
        <v>8.33</v>
      </c>
      <c r="U37" s="126">
        <v>8.33</v>
      </c>
      <c r="V37" s="126">
        <v>8.33</v>
      </c>
      <c r="W37" s="126">
        <v>8.33</v>
      </c>
      <c r="X37" s="126">
        <v>8.33</v>
      </c>
      <c r="Y37" s="126">
        <v>8.33</v>
      </c>
      <c r="Z37" s="126">
        <v>8.33</v>
      </c>
      <c r="AA37" s="126">
        <v>8.33</v>
      </c>
      <c r="AB37" s="126">
        <v>8.33</v>
      </c>
      <c r="AC37" s="126">
        <v>8.33</v>
      </c>
      <c r="AD37" s="126">
        <v>8.33</v>
      </c>
      <c r="AE37" s="126">
        <v>8.33</v>
      </c>
      <c r="AF37" s="126">
        <v>8.33</v>
      </c>
      <c r="AG37" s="126">
        <v>8.33</v>
      </c>
      <c r="AH37" s="126">
        <v>8.33</v>
      </c>
      <c r="AI37" s="126">
        <v>8.33</v>
      </c>
      <c r="AJ37" s="126">
        <v>8.33</v>
      </c>
      <c r="AK37" s="126">
        <v>8.33</v>
      </c>
      <c r="AL37" s="126">
        <v>8.33</v>
      </c>
      <c r="AM37" s="126">
        <v>8.33</v>
      </c>
      <c r="AN37" s="126">
        <v>8.33</v>
      </c>
      <c r="AO37" s="126">
        <v>8.33</v>
      </c>
      <c r="AP37" s="126">
        <v>8.33</v>
      </c>
      <c r="AQ37" s="126">
        <v>8.33</v>
      </c>
      <c r="AR37" s="126">
        <v>8.33</v>
      </c>
      <c r="AS37" s="126">
        <v>8.33</v>
      </c>
      <c r="AT37" s="126">
        <v>8.33</v>
      </c>
      <c r="AU37" s="126">
        <v>8.33</v>
      </c>
      <c r="AV37" s="126">
        <v>8.33</v>
      </c>
      <c r="AW37" s="126">
        <v>8.33</v>
      </c>
      <c r="AX37" s="126">
        <v>8.33</v>
      </c>
      <c r="AY37" s="126">
        <v>8.33</v>
      </c>
      <c r="AZ37" s="126">
        <v>8.33</v>
      </c>
      <c r="BA37" s="126">
        <v>8.33</v>
      </c>
      <c r="BB37" s="126">
        <v>8.33</v>
      </c>
      <c r="BC37" s="126">
        <v>8.33</v>
      </c>
      <c r="BD37" s="126">
        <v>8.33</v>
      </c>
      <c r="BE37" s="126">
        <v>8.33</v>
      </c>
    </row>
    <row r="38" spans="1:57" x14ac:dyDescent="0.35">
      <c r="A38" s="127" t="s">
        <v>34</v>
      </c>
      <c r="G38" s="126">
        <v>12.54</v>
      </c>
      <c r="H38" s="126">
        <v>12.54</v>
      </c>
      <c r="I38" s="126">
        <v>12.54</v>
      </c>
      <c r="J38" s="126">
        <v>12.54</v>
      </c>
      <c r="K38" s="126">
        <v>12.54</v>
      </c>
      <c r="L38" s="126">
        <v>12.54</v>
      </c>
      <c r="M38" s="126">
        <v>12.54</v>
      </c>
      <c r="N38" s="126">
        <v>12.54</v>
      </c>
      <c r="O38" s="126">
        <v>12.54</v>
      </c>
      <c r="P38" s="126">
        <v>12.54</v>
      </c>
      <c r="Q38" s="126">
        <v>12.54</v>
      </c>
      <c r="R38" s="126">
        <v>12.54</v>
      </c>
      <c r="S38" s="126">
        <v>12.54</v>
      </c>
      <c r="T38" s="126">
        <v>12.54</v>
      </c>
      <c r="U38" s="126">
        <v>12.54</v>
      </c>
      <c r="V38" s="126">
        <v>12.54</v>
      </c>
      <c r="W38" s="126">
        <v>12.54</v>
      </c>
      <c r="X38" s="126">
        <v>12.54</v>
      </c>
      <c r="Y38" s="126">
        <v>12.54</v>
      </c>
      <c r="Z38" s="126">
        <v>12.54</v>
      </c>
      <c r="AA38" s="126">
        <v>12.54</v>
      </c>
      <c r="AB38" s="126">
        <v>12.54</v>
      </c>
      <c r="AC38" s="126">
        <v>12.54</v>
      </c>
      <c r="AD38" s="126">
        <v>12.54</v>
      </c>
      <c r="AE38" s="126">
        <v>12.54</v>
      </c>
      <c r="AF38" s="126">
        <v>12.54</v>
      </c>
      <c r="AG38" s="126">
        <v>12.54</v>
      </c>
      <c r="AH38" s="126">
        <v>12.54</v>
      </c>
      <c r="AI38" s="126">
        <v>12.54</v>
      </c>
      <c r="AJ38" s="126">
        <v>12.54</v>
      </c>
      <c r="AK38" s="126">
        <v>12.54</v>
      </c>
      <c r="AL38" s="126">
        <v>12.54</v>
      </c>
      <c r="AM38" s="126">
        <v>12.54</v>
      </c>
      <c r="AN38" s="126">
        <v>12.54</v>
      </c>
      <c r="AO38" s="126">
        <v>12.54</v>
      </c>
      <c r="AP38" s="126">
        <v>12.54</v>
      </c>
      <c r="AQ38" s="126">
        <v>12.54</v>
      </c>
      <c r="AR38" s="126">
        <v>12.54</v>
      </c>
      <c r="AS38" s="126">
        <v>12.54</v>
      </c>
      <c r="AT38" s="126">
        <v>12.54</v>
      </c>
      <c r="AU38" s="126">
        <v>12.54</v>
      </c>
      <c r="AV38" s="126">
        <v>12.54</v>
      </c>
      <c r="AW38" s="126">
        <v>12.54</v>
      </c>
      <c r="AX38" s="126">
        <v>12.54</v>
      </c>
      <c r="AY38" s="126">
        <v>12.54</v>
      </c>
      <c r="AZ38" s="126">
        <v>12.54</v>
      </c>
      <c r="BA38" s="126">
        <v>12.54</v>
      </c>
      <c r="BB38" s="126">
        <v>12.54</v>
      </c>
      <c r="BC38" s="126">
        <v>12.54</v>
      </c>
      <c r="BD38" s="126">
        <v>12.54</v>
      </c>
      <c r="BE38" s="126">
        <v>12.54</v>
      </c>
    </row>
    <row r="39" spans="1:57" x14ac:dyDescent="0.35">
      <c r="A39" s="127" t="s">
        <v>35</v>
      </c>
      <c r="G39" s="126">
        <v>6.75</v>
      </c>
      <c r="H39" s="126">
        <v>6.75</v>
      </c>
      <c r="I39" s="126">
        <v>6.75</v>
      </c>
      <c r="J39" s="126">
        <v>6.75</v>
      </c>
      <c r="K39" s="126">
        <v>6.75</v>
      </c>
      <c r="L39" s="126">
        <v>6.75</v>
      </c>
      <c r="M39" s="126">
        <v>6.75</v>
      </c>
      <c r="N39" s="126">
        <v>6.75</v>
      </c>
      <c r="O39" s="126">
        <v>6.75</v>
      </c>
      <c r="P39" s="126">
        <v>6.75</v>
      </c>
      <c r="Q39" s="126">
        <v>6.75</v>
      </c>
      <c r="R39" s="126">
        <v>6.75</v>
      </c>
      <c r="S39" s="126">
        <v>6.75</v>
      </c>
      <c r="T39" s="126">
        <v>6.75</v>
      </c>
      <c r="U39" s="126">
        <v>6.75</v>
      </c>
      <c r="V39" s="126">
        <v>6.75</v>
      </c>
      <c r="W39" s="126">
        <v>6.75</v>
      </c>
      <c r="X39" s="126">
        <v>6.75</v>
      </c>
      <c r="Y39" s="126">
        <v>6.75</v>
      </c>
      <c r="Z39" s="126">
        <v>6.75</v>
      </c>
      <c r="AA39" s="126">
        <v>6.75</v>
      </c>
      <c r="AB39" s="126">
        <v>6.75</v>
      </c>
      <c r="AC39" s="126">
        <v>6.75</v>
      </c>
      <c r="AD39" s="126">
        <v>6.75</v>
      </c>
      <c r="AE39" s="126">
        <v>6.75</v>
      </c>
      <c r="AF39" s="126">
        <v>6.75</v>
      </c>
      <c r="AG39" s="126">
        <v>6.75</v>
      </c>
      <c r="AH39" s="126">
        <v>6.75</v>
      </c>
      <c r="AI39" s="126">
        <v>6.75</v>
      </c>
      <c r="AJ39" s="126">
        <v>6.75</v>
      </c>
      <c r="AK39" s="126">
        <v>6.75</v>
      </c>
      <c r="AL39" s="126">
        <v>6.75</v>
      </c>
      <c r="AM39" s="126">
        <v>6.75</v>
      </c>
      <c r="AN39" s="126">
        <v>6.75</v>
      </c>
      <c r="AO39" s="126">
        <v>6.75</v>
      </c>
      <c r="AP39" s="126">
        <v>6.75</v>
      </c>
      <c r="AQ39" s="126">
        <v>6.75</v>
      </c>
      <c r="AR39" s="126">
        <v>6.75</v>
      </c>
      <c r="AS39" s="126">
        <v>6.75</v>
      </c>
      <c r="AT39" s="126">
        <v>6.75</v>
      </c>
      <c r="AU39" s="126">
        <v>6.75</v>
      </c>
      <c r="AV39" s="126">
        <v>6.75</v>
      </c>
      <c r="AW39" s="126">
        <v>6.75</v>
      </c>
      <c r="AX39" s="126">
        <v>6.75</v>
      </c>
      <c r="AY39" s="126">
        <v>6.75</v>
      </c>
      <c r="AZ39" s="126">
        <v>6.75</v>
      </c>
      <c r="BA39" s="126">
        <v>6.75</v>
      </c>
      <c r="BB39" s="126">
        <v>6.75</v>
      </c>
      <c r="BC39" s="126">
        <v>6.75</v>
      </c>
      <c r="BD39" s="126">
        <v>6.75</v>
      </c>
      <c r="BE39" s="126">
        <v>6.75</v>
      </c>
    </row>
    <row r="40" spans="1:57" x14ac:dyDescent="0.35">
      <c r="A40" s="127" t="s">
        <v>36</v>
      </c>
      <c r="G40" s="126">
        <v>12.08</v>
      </c>
      <c r="H40" s="126">
        <v>12.08</v>
      </c>
      <c r="I40" s="126">
        <v>12.08</v>
      </c>
      <c r="J40" s="126">
        <v>12.08</v>
      </c>
      <c r="K40" s="126">
        <v>12.08</v>
      </c>
      <c r="L40" s="126">
        <v>12.08</v>
      </c>
      <c r="M40" s="126">
        <v>12.08</v>
      </c>
      <c r="N40" s="126">
        <v>12.08</v>
      </c>
      <c r="O40" s="126">
        <v>12.08</v>
      </c>
      <c r="P40" s="126">
        <v>12.08</v>
      </c>
      <c r="Q40" s="126">
        <v>12.08</v>
      </c>
      <c r="R40" s="126">
        <v>12.08</v>
      </c>
      <c r="S40" s="126">
        <v>12.08</v>
      </c>
      <c r="T40" s="126">
        <v>12.08</v>
      </c>
      <c r="U40" s="126">
        <v>12.08</v>
      </c>
      <c r="V40" s="126">
        <v>12.08</v>
      </c>
      <c r="W40" s="126">
        <v>12.08</v>
      </c>
      <c r="X40" s="126">
        <v>12.08</v>
      </c>
      <c r="Y40" s="126">
        <v>12.08</v>
      </c>
      <c r="Z40" s="126">
        <v>12.08</v>
      </c>
      <c r="AA40" s="126">
        <v>12.08</v>
      </c>
      <c r="AB40" s="126">
        <v>12.08</v>
      </c>
      <c r="AC40" s="126">
        <v>12.08</v>
      </c>
      <c r="AD40" s="126">
        <v>12.08</v>
      </c>
      <c r="AE40" s="126">
        <v>12.08</v>
      </c>
      <c r="AF40" s="126">
        <v>12.08</v>
      </c>
      <c r="AG40" s="126">
        <v>12.08</v>
      </c>
      <c r="AH40" s="126">
        <v>12.08</v>
      </c>
      <c r="AI40" s="126">
        <v>12.08</v>
      </c>
      <c r="AJ40" s="126">
        <v>12.08</v>
      </c>
      <c r="AK40" s="126">
        <v>12.08</v>
      </c>
      <c r="AL40" s="126">
        <v>12.08</v>
      </c>
      <c r="AM40" s="126">
        <v>12.08</v>
      </c>
      <c r="AN40" s="126">
        <v>12.08</v>
      </c>
      <c r="AO40" s="126">
        <v>12.08</v>
      </c>
      <c r="AP40" s="126">
        <v>12.08</v>
      </c>
      <c r="AQ40" s="126">
        <v>12.08</v>
      </c>
      <c r="AR40" s="126">
        <v>12.08</v>
      </c>
      <c r="AS40" s="126">
        <v>12.08</v>
      </c>
      <c r="AT40" s="126">
        <v>12.08</v>
      </c>
      <c r="AU40" s="126">
        <v>12.08</v>
      </c>
      <c r="AV40" s="126">
        <v>12.08</v>
      </c>
      <c r="AW40" s="126">
        <v>12.08</v>
      </c>
      <c r="AX40" s="126">
        <v>12.08</v>
      </c>
      <c r="AY40" s="126">
        <v>12.08</v>
      </c>
      <c r="AZ40" s="126">
        <v>12.08</v>
      </c>
      <c r="BA40" s="126">
        <v>12.08</v>
      </c>
      <c r="BB40" s="126">
        <v>12.08</v>
      </c>
      <c r="BC40" s="126">
        <v>12.08</v>
      </c>
      <c r="BD40" s="126">
        <v>12.08</v>
      </c>
      <c r="BE40" s="126">
        <v>12.08</v>
      </c>
    </row>
    <row r="41" spans="1:57" x14ac:dyDescent="0.35">
      <c r="A41" s="127" t="s">
        <v>37</v>
      </c>
      <c r="G41" s="126">
        <v>10.95</v>
      </c>
      <c r="H41" s="126">
        <v>10.95</v>
      </c>
      <c r="I41" s="126">
        <v>10.95</v>
      </c>
      <c r="J41" s="126">
        <v>10.95</v>
      </c>
      <c r="K41" s="126">
        <v>10.95</v>
      </c>
      <c r="L41" s="126">
        <v>10.95</v>
      </c>
      <c r="M41" s="126">
        <v>10.95</v>
      </c>
      <c r="N41" s="126">
        <v>10.95</v>
      </c>
      <c r="O41" s="126">
        <v>10.95</v>
      </c>
      <c r="P41" s="126">
        <v>10.95</v>
      </c>
      <c r="Q41" s="126">
        <v>10.95</v>
      </c>
      <c r="R41" s="126">
        <v>10.95</v>
      </c>
      <c r="S41" s="126">
        <v>10.95</v>
      </c>
      <c r="T41" s="126">
        <v>10.95</v>
      </c>
      <c r="U41" s="126">
        <v>10.95</v>
      </c>
      <c r="V41" s="126">
        <v>10.95</v>
      </c>
      <c r="W41" s="126">
        <v>10.95</v>
      </c>
      <c r="X41" s="126">
        <v>10.95</v>
      </c>
      <c r="Y41" s="126">
        <v>10.95</v>
      </c>
      <c r="Z41" s="126">
        <v>10.95</v>
      </c>
      <c r="AA41" s="126">
        <v>10.95</v>
      </c>
      <c r="AB41" s="126">
        <v>10.95</v>
      </c>
      <c r="AC41" s="126">
        <v>10.95</v>
      </c>
      <c r="AD41" s="126">
        <v>10.95</v>
      </c>
      <c r="AE41" s="126">
        <v>10.95</v>
      </c>
      <c r="AF41" s="126">
        <v>10.95</v>
      </c>
      <c r="AG41" s="126">
        <v>10.95</v>
      </c>
      <c r="AH41" s="126">
        <v>10.95</v>
      </c>
      <c r="AI41" s="126">
        <v>10.95</v>
      </c>
      <c r="AJ41" s="126">
        <v>10.95</v>
      </c>
      <c r="AK41" s="126">
        <v>10.95</v>
      </c>
      <c r="AL41" s="126">
        <v>10.95</v>
      </c>
      <c r="AM41" s="126">
        <v>10.95</v>
      </c>
      <c r="AN41" s="126">
        <v>10.95</v>
      </c>
      <c r="AO41" s="126">
        <v>10.95</v>
      </c>
      <c r="AP41" s="126">
        <v>10.95</v>
      </c>
      <c r="AQ41" s="126">
        <v>10.95</v>
      </c>
      <c r="AR41" s="126">
        <v>10.95</v>
      </c>
      <c r="AS41" s="126">
        <v>10.95</v>
      </c>
      <c r="AT41" s="126">
        <v>10.95</v>
      </c>
      <c r="AU41" s="126">
        <v>10.95</v>
      </c>
      <c r="AV41" s="126">
        <v>10.95</v>
      </c>
      <c r="AW41" s="126">
        <v>10.95</v>
      </c>
      <c r="AX41" s="126">
        <v>10.95</v>
      </c>
      <c r="AY41" s="126">
        <v>10.95</v>
      </c>
      <c r="AZ41" s="126">
        <v>10.95</v>
      </c>
      <c r="BA41" s="126">
        <v>10.95</v>
      </c>
      <c r="BB41" s="126">
        <v>10.95</v>
      </c>
      <c r="BC41" s="126">
        <v>10.95</v>
      </c>
      <c r="BD41" s="126">
        <v>10.95</v>
      </c>
      <c r="BE41" s="126">
        <v>10.95</v>
      </c>
    </row>
    <row r="42" spans="1:57" x14ac:dyDescent="0.35">
      <c r="A42" s="127" t="s">
        <v>38</v>
      </c>
      <c r="G42" s="126">
        <v>8.7200000000000006</v>
      </c>
      <c r="H42" s="126">
        <v>8.7200000000000006</v>
      </c>
      <c r="I42" s="126">
        <v>8.7200000000000006</v>
      </c>
      <c r="J42" s="126">
        <v>8.7200000000000006</v>
      </c>
      <c r="K42" s="126">
        <v>8.7200000000000006</v>
      </c>
      <c r="L42" s="126">
        <v>8.7200000000000006</v>
      </c>
      <c r="M42" s="126">
        <v>8.7200000000000006</v>
      </c>
      <c r="N42" s="126">
        <v>8.7200000000000006</v>
      </c>
      <c r="O42" s="126">
        <v>8.7200000000000006</v>
      </c>
      <c r="P42" s="126">
        <v>8.7200000000000006</v>
      </c>
      <c r="Q42" s="126">
        <v>8.7200000000000006</v>
      </c>
      <c r="R42" s="126">
        <v>8.7200000000000006</v>
      </c>
      <c r="S42" s="126">
        <v>8.7200000000000006</v>
      </c>
      <c r="T42" s="126">
        <v>8.7200000000000006</v>
      </c>
      <c r="U42" s="126">
        <v>8.7200000000000006</v>
      </c>
      <c r="V42" s="126">
        <v>8.7200000000000006</v>
      </c>
      <c r="W42" s="126">
        <v>8.7200000000000006</v>
      </c>
      <c r="X42" s="126">
        <v>8.7200000000000006</v>
      </c>
      <c r="Y42" s="126">
        <v>8.7200000000000006</v>
      </c>
      <c r="Z42" s="126">
        <v>8.7200000000000006</v>
      </c>
      <c r="AA42" s="126">
        <v>8.7200000000000006</v>
      </c>
      <c r="AB42" s="126">
        <v>8.7200000000000006</v>
      </c>
      <c r="AC42" s="126">
        <v>8.7200000000000006</v>
      </c>
      <c r="AD42" s="126">
        <v>8.7200000000000006</v>
      </c>
      <c r="AE42" s="126">
        <v>8.7200000000000006</v>
      </c>
      <c r="AF42" s="126">
        <v>8.7200000000000006</v>
      </c>
      <c r="AG42" s="126">
        <v>8.7200000000000006</v>
      </c>
      <c r="AH42" s="126">
        <v>8.7200000000000006</v>
      </c>
      <c r="AI42" s="126">
        <v>8.7200000000000006</v>
      </c>
      <c r="AJ42" s="126">
        <v>8.7200000000000006</v>
      </c>
      <c r="AK42" s="126">
        <v>8.7200000000000006</v>
      </c>
      <c r="AL42" s="126">
        <v>8.7200000000000006</v>
      </c>
      <c r="AM42" s="126">
        <v>8.7200000000000006</v>
      </c>
      <c r="AN42" s="126">
        <v>8.7200000000000006</v>
      </c>
      <c r="AO42" s="126">
        <v>8.7200000000000006</v>
      </c>
      <c r="AP42" s="126">
        <v>8.7200000000000006</v>
      </c>
      <c r="AQ42" s="126">
        <v>8.7200000000000006</v>
      </c>
      <c r="AR42" s="126">
        <v>8.7200000000000006</v>
      </c>
      <c r="AS42" s="126">
        <v>8.7200000000000006</v>
      </c>
      <c r="AT42" s="126">
        <v>8.7200000000000006</v>
      </c>
      <c r="AU42" s="126">
        <v>8.7200000000000006</v>
      </c>
      <c r="AV42" s="126">
        <v>8.7200000000000006</v>
      </c>
      <c r="AW42" s="126">
        <v>8.7200000000000006</v>
      </c>
      <c r="AX42" s="126">
        <v>8.7200000000000006</v>
      </c>
      <c r="AY42" s="126">
        <v>8.7200000000000006</v>
      </c>
      <c r="AZ42" s="126">
        <v>8.7200000000000006</v>
      </c>
      <c r="BA42" s="126">
        <v>8.7200000000000006</v>
      </c>
      <c r="BB42" s="126">
        <v>8.7200000000000006</v>
      </c>
      <c r="BC42" s="126">
        <v>8.7200000000000006</v>
      </c>
      <c r="BD42" s="126">
        <v>8.7200000000000006</v>
      </c>
      <c r="BE42" s="126">
        <v>8.7200000000000006</v>
      </c>
    </row>
    <row r="43" spans="1:57" x14ac:dyDescent="0.35">
      <c r="A43" s="127" t="s">
        <v>39</v>
      </c>
      <c r="G43" s="126">
        <v>7.11</v>
      </c>
      <c r="H43" s="126">
        <v>7.11</v>
      </c>
      <c r="I43" s="126">
        <v>7.11</v>
      </c>
      <c r="J43" s="126">
        <v>7.11</v>
      </c>
      <c r="K43" s="126">
        <v>7.11</v>
      </c>
      <c r="L43" s="126">
        <v>7.11</v>
      </c>
      <c r="M43" s="126">
        <v>7.11</v>
      </c>
      <c r="N43" s="126">
        <v>7.11</v>
      </c>
      <c r="O43" s="126">
        <v>7.11</v>
      </c>
      <c r="P43" s="126">
        <v>7.11</v>
      </c>
      <c r="Q43" s="126">
        <v>7.11</v>
      </c>
      <c r="R43" s="126">
        <v>7.11</v>
      </c>
      <c r="S43" s="126">
        <v>7.11</v>
      </c>
      <c r="T43" s="126">
        <v>7.11</v>
      </c>
      <c r="U43" s="126">
        <v>7.11</v>
      </c>
      <c r="V43" s="126">
        <v>7.11</v>
      </c>
      <c r="W43" s="126">
        <v>7.11</v>
      </c>
      <c r="X43" s="126">
        <v>7.11</v>
      </c>
      <c r="Y43" s="126">
        <v>7.11</v>
      </c>
      <c r="Z43" s="126">
        <v>7.11</v>
      </c>
      <c r="AA43" s="126">
        <v>7.11</v>
      </c>
      <c r="AB43" s="126">
        <v>7.11</v>
      </c>
      <c r="AC43" s="126">
        <v>7.11</v>
      </c>
      <c r="AD43" s="126">
        <v>7.11</v>
      </c>
      <c r="AE43" s="126">
        <v>7.11</v>
      </c>
      <c r="AF43" s="126">
        <v>7.11</v>
      </c>
      <c r="AG43" s="126">
        <v>7.11</v>
      </c>
      <c r="AH43" s="126">
        <v>7.11</v>
      </c>
      <c r="AI43" s="126">
        <v>7.11</v>
      </c>
      <c r="AJ43" s="126">
        <v>7.11</v>
      </c>
      <c r="AK43" s="126">
        <v>7.11</v>
      </c>
      <c r="AL43" s="126">
        <v>7.11</v>
      </c>
      <c r="AM43" s="126">
        <v>7.11</v>
      </c>
      <c r="AN43" s="126">
        <v>7.11</v>
      </c>
      <c r="AO43" s="126">
        <v>7.11</v>
      </c>
      <c r="AP43" s="126">
        <v>7.11</v>
      </c>
      <c r="AQ43" s="126">
        <v>7.11</v>
      </c>
      <c r="AR43" s="126">
        <v>7.11</v>
      </c>
      <c r="AS43" s="126">
        <v>7.11</v>
      </c>
      <c r="AT43" s="126">
        <v>7.11</v>
      </c>
      <c r="AU43" s="126">
        <v>7.11</v>
      </c>
      <c r="AV43" s="126">
        <v>7.11</v>
      </c>
      <c r="AW43" s="126">
        <v>7.11</v>
      </c>
      <c r="AX43" s="126">
        <v>7.11</v>
      </c>
      <c r="AY43" s="126">
        <v>7.11</v>
      </c>
      <c r="AZ43" s="126">
        <v>7.11</v>
      </c>
      <c r="BA43" s="126">
        <v>7.11</v>
      </c>
      <c r="BB43" s="126">
        <v>7.11</v>
      </c>
      <c r="BC43" s="126">
        <v>7.11</v>
      </c>
      <c r="BD43" s="126">
        <v>7.11</v>
      </c>
      <c r="BE43" s="126">
        <v>7.11</v>
      </c>
    </row>
    <row r="44" spans="1:57" x14ac:dyDescent="0.35">
      <c r="A44" s="127" t="s">
        <v>40</v>
      </c>
      <c r="G44" s="126">
        <v>8.6999999999999993</v>
      </c>
      <c r="H44" s="126">
        <v>8.6999999999999993</v>
      </c>
      <c r="I44" s="126">
        <v>8.6999999999999993</v>
      </c>
      <c r="J44" s="126">
        <v>8.6999999999999993</v>
      </c>
      <c r="K44" s="126">
        <v>8.6999999999999993</v>
      </c>
      <c r="L44" s="126">
        <v>8.6999999999999993</v>
      </c>
      <c r="M44" s="126">
        <v>8.6999999999999993</v>
      </c>
      <c r="N44" s="126">
        <v>8.6999999999999993</v>
      </c>
      <c r="O44" s="126">
        <v>8.6999999999999993</v>
      </c>
      <c r="P44" s="126">
        <v>8.6999999999999993</v>
      </c>
      <c r="Q44" s="126">
        <v>8.6999999999999993</v>
      </c>
      <c r="R44" s="126">
        <v>8.6999999999999993</v>
      </c>
      <c r="S44" s="126">
        <v>8.6999999999999993</v>
      </c>
      <c r="T44" s="126">
        <v>8.6999999999999993</v>
      </c>
      <c r="U44" s="126">
        <v>8.6999999999999993</v>
      </c>
      <c r="V44" s="126">
        <v>8.6999999999999993</v>
      </c>
      <c r="W44" s="126">
        <v>8.6999999999999993</v>
      </c>
      <c r="X44" s="126">
        <v>8.6999999999999993</v>
      </c>
      <c r="Y44" s="126">
        <v>8.6999999999999993</v>
      </c>
      <c r="Z44" s="126">
        <v>8.6999999999999993</v>
      </c>
      <c r="AA44" s="126">
        <v>8.6999999999999993</v>
      </c>
      <c r="AB44" s="126">
        <v>8.6999999999999993</v>
      </c>
      <c r="AC44" s="126">
        <v>8.6999999999999993</v>
      </c>
      <c r="AD44" s="126">
        <v>8.6999999999999993</v>
      </c>
      <c r="AE44" s="126">
        <v>8.6999999999999993</v>
      </c>
      <c r="AF44" s="126">
        <v>8.6999999999999993</v>
      </c>
      <c r="AG44" s="126">
        <v>8.6999999999999993</v>
      </c>
      <c r="AH44" s="126">
        <v>8.6999999999999993</v>
      </c>
      <c r="AI44" s="126">
        <v>8.6999999999999993</v>
      </c>
      <c r="AJ44" s="126">
        <v>8.6999999999999993</v>
      </c>
      <c r="AK44" s="126">
        <v>8.6999999999999993</v>
      </c>
      <c r="AL44" s="126">
        <v>8.6999999999999993</v>
      </c>
      <c r="AM44" s="126">
        <v>8.6999999999999993</v>
      </c>
      <c r="AN44" s="126">
        <v>8.6999999999999993</v>
      </c>
      <c r="AO44" s="126">
        <v>8.6999999999999993</v>
      </c>
      <c r="AP44" s="126">
        <v>8.6999999999999993</v>
      </c>
      <c r="AQ44" s="126">
        <v>8.6999999999999993</v>
      </c>
      <c r="AR44" s="126">
        <v>8.6999999999999993</v>
      </c>
      <c r="AS44" s="126">
        <v>8.6999999999999993</v>
      </c>
      <c r="AT44" s="126">
        <v>8.6999999999999993</v>
      </c>
      <c r="AU44" s="126">
        <v>8.6999999999999993</v>
      </c>
      <c r="AV44" s="126">
        <v>8.6999999999999993</v>
      </c>
      <c r="AW44" s="126">
        <v>8.6999999999999993</v>
      </c>
      <c r="AX44" s="126">
        <v>8.6999999999999993</v>
      </c>
      <c r="AY44" s="126">
        <v>8.6999999999999993</v>
      </c>
      <c r="AZ44" s="126">
        <v>8.6999999999999993</v>
      </c>
      <c r="BA44" s="126">
        <v>8.6999999999999993</v>
      </c>
      <c r="BB44" s="126">
        <v>8.6999999999999993</v>
      </c>
      <c r="BC44" s="126">
        <v>8.6999999999999993</v>
      </c>
      <c r="BD44" s="126">
        <v>8.6999999999999993</v>
      </c>
      <c r="BE44" s="126">
        <v>8.6999999999999993</v>
      </c>
    </row>
    <row r="45" spans="1:57" x14ac:dyDescent="0.35">
      <c r="A45" s="127" t="s">
        <v>41</v>
      </c>
      <c r="G45" s="126">
        <v>7.3</v>
      </c>
      <c r="H45" s="126">
        <v>7.3</v>
      </c>
      <c r="I45" s="126">
        <v>7.3</v>
      </c>
      <c r="J45" s="126">
        <v>7.3</v>
      </c>
      <c r="K45" s="126">
        <v>7.3</v>
      </c>
      <c r="L45" s="126">
        <v>7.3</v>
      </c>
      <c r="M45" s="126">
        <v>7.3</v>
      </c>
      <c r="N45" s="126">
        <v>7.3</v>
      </c>
      <c r="O45" s="126">
        <v>7.3</v>
      </c>
      <c r="P45" s="126">
        <v>7.3</v>
      </c>
      <c r="Q45" s="126">
        <v>7.3</v>
      </c>
      <c r="R45" s="126">
        <v>7.3</v>
      </c>
      <c r="S45" s="126">
        <v>7.3</v>
      </c>
      <c r="T45" s="126">
        <v>7.3</v>
      </c>
      <c r="U45" s="126">
        <v>7.3</v>
      </c>
      <c r="V45" s="126">
        <v>7.3</v>
      </c>
      <c r="W45" s="126">
        <v>7.3</v>
      </c>
      <c r="X45" s="126">
        <v>7.3</v>
      </c>
      <c r="Y45" s="126">
        <v>7.3</v>
      </c>
      <c r="Z45" s="126">
        <v>7.3</v>
      </c>
      <c r="AA45" s="126">
        <v>7.3</v>
      </c>
      <c r="AB45" s="126">
        <v>7.3</v>
      </c>
      <c r="AC45" s="126">
        <v>7.3</v>
      </c>
      <c r="AD45" s="126">
        <v>7.3</v>
      </c>
      <c r="AE45" s="126">
        <v>7.3</v>
      </c>
      <c r="AF45" s="126">
        <v>7.3</v>
      </c>
      <c r="AG45" s="126">
        <v>7.3</v>
      </c>
      <c r="AH45" s="126">
        <v>7.3</v>
      </c>
      <c r="AI45" s="126">
        <v>7.3</v>
      </c>
      <c r="AJ45" s="126">
        <v>7.3</v>
      </c>
      <c r="AK45" s="126">
        <v>7.3</v>
      </c>
      <c r="AL45" s="126">
        <v>7.3</v>
      </c>
      <c r="AM45" s="126">
        <v>7.3</v>
      </c>
      <c r="AN45" s="126">
        <v>7.3</v>
      </c>
      <c r="AO45" s="126">
        <v>7.3</v>
      </c>
      <c r="AP45" s="126">
        <v>7.3</v>
      </c>
      <c r="AQ45" s="126">
        <v>7.3</v>
      </c>
      <c r="AR45" s="126">
        <v>7.3</v>
      </c>
      <c r="AS45" s="126">
        <v>7.3</v>
      </c>
      <c r="AT45" s="126">
        <v>7.3</v>
      </c>
      <c r="AU45" s="126">
        <v>7.3</v>
      </c>
      <c r="AV45" s="126">
        <v>7.3</v>
      </c>
      <c r="AW45" s="126">
        <v>7.3</v>
      </c>
      <c r="AX45" s="126">
        <v>7.3</v>
      </c>
      <c r="AY45" s="126">
        <v>7.3</v>
      </c>
      <c r="AZ45" s="126">
        <v>7.3</v>
      </c>
      <c r="BA45" s="126">
        <v>7.3</v>
      </c>
      <c r="BB45" s="126">
        <v>7.3</v>
      </c>
      <c r="BC45" s="126">
        <v>7.3</v>
      </c>
      <c r="BD45" s="126">
        <v>7.3</v>
      </c>
      <c r="BE45" s="126">
        <v>7.3</v>
      </c>
    </row>
    <row r="46" spans="1:57" x14ac:dyDescent="0.35">
      <c r="A46" s="127" t="s">
        <v>42</v>
      </c>
      <c r="G46" s="126">
        <v>12.914999999999999</v>
      </c>
      <c r="H46" s="126">
        <v>12.914999999999999</v>
      </c>
      <c r="I46" s="126">
        <v>12.914999999999999</v>
      </c>
      <c r="J46" s="126">
        <v>12.914999999999999</v>
      </c>
      <c r="K46" s="126">
        <v>12.914999999999999</v>
      </c>
      <c r="L46" s="126">
        <v>12.914999999999999</v>
      </c>
      <c r="M46" s="126">
        <v>12.914999999999999</v>
      </c>
      <c r="N46" s="126">
        <v>12.914999999999999</v>
      </c>
      <c r="O46" s="126">
        <v>12.914999999999999</v>
      </c>
      <c r="P46" s="126">
        <v>12.914999999999999</v>
      </c>
      <c r="Q46" s="126">
        <v>12.914999999999999</v>
      </c>
      <c r="R46" s="126">
        <v>12.914999999999999</v>
      </c>
      <c r="S46" s="126">
        <v>12.914999999999999</v>
      </c>
      <c r="T46" s="126">
        <v>12.914999999999999</v>
      </c>
      <c r="U46" s="126">
        <v>12.914999999999999</v>
      </c>
      <c r="V46" s="126">
        <v>12.914999999999999</v>
      </c>
      <c r="W46" s="126">
        <v>12.914999999999999</v>
      </c>
      <c r="X46" s="126">
        <v>12.914999999999999</v>
      </c>
      <c r="Y46" s="126">
        <v>12.914999999999999</v>
      </c>
      <c r="Z46" s="126">
        <v>12.914999999999999</v>
      </c>
      <c r="AA46" s="126">
        <v>12.914999999999999</v>
      </c>
      <c r="AB46" s="126">
        <v>12.914999999999999</v>
      </c>
      <c r="AC46" s="126">
        <v>12.914999999999999</v>
      </c>
      <c r="AD46" s="126">
        <v>12.914999999999999</v>
      </c>
      <c r="AE46" s="126">
        <v>12.914999999999999</v>
      </c>
      <c r="AF46" s="126">
        <v>12.914999999999999</v>
      </c>
      <c r="AG46" s="126">
        <v>12.914999999999999</v>
      </c>
      <c r="AH46" s="126">
        <v>12.914999999999999</v>
      </c>
      <c r="AI46" s="126">
        <v>12.914999999999999</v>
      </c>
      <c r="AJ46" s="126">
        <v>12.914999999999999</v>
      </c>
      <c r="AK46" s="126">
        <v>12.914999999999999</v>
      </c>
      <c r="AL46" s="126">
        <v>12.914999999999999</v>
      </c>
      <c r="AM46" s="126">
        <v>12.914999999999999</v>
      </c>
      <c r="AN46" s="126">
        <v>12.914999999999999</v>
      </c>
      <c r="AO46" s="126">
        <v>12.914999999999999</v>
      </c>
      <c r="AP46" s="126">
        <v>12.914999999999999</v>
      </c>
      <c r="AQ46" s="126">
        <v>12.914999999999999</v>
      </c>
      <c r="AR46" s="126">
        <v>12.914999999999999</v>
      </c>
      <c r="AS46" s="126">
        <v>12.914999999999999</v>
      </c>
      <c r="AT46" s="126">
        <v>12.914999999999999</v>
      </c>
      <c r="AU46" s="126">
        <v>12.914999999999999</v>
      </c>
      <c r="AV46" s="126">
        <v>12.914999999999999</v>
      </c>
      <c r="AW46" s="126">
        <v>12.914999999999999</v>
      </c>
      <c r="AX46" s="126">
        <v>12.914999999999999</v>
      </c>
      <c r="AY46" s="126">
        <v>12.914999999999999</v>
      </c>
      <c r="AZ46" s="126">
        <v>12.914999999999999</v>
      </c>
      <c r="BA46" s="126">
        <v>12.914999999999999</v>
      </c>
      <c r="BB46" s="126">
        <v>12.914999999999999</v>
      </c>
      <c r="BC46" s="126">
        <v>12.914999999999999</v>
      </c>
      <c r="BD46" s="126">
        <v>12.914999999999999</v>
      </c>
      <c r="BE46" s="126">
        <v>12.914999999999999</v>
      </c>
    </row>
    <row r="47" spans="1:57" x14ac:dyDescent="0.35">
      <c r="A47" s="127" t="s">
        <v>43</v>
      </c>
      <c r="G47" s="126">
        <v>16.59</v>
      </c>
      <c r="H47" s="126">
        <v>16.59</v>
      </c>
      <c r="I47" s="126">
        <v>16.59</v>
      </c>
      <c r="J47" s="126">
        <v>16.59</v>
      </c>
      <c r="K47" s="126">
        <v>16.59</v>
      </c>
      <c r="L47" s="126">
        <v>16.59</v>
      </c>
      <c r="M47" s="126">
        <v>16.59</v>
      </c>
      <c r="N47" s="126">
        <v>16.59</v>
      </c>
      <c r="O47" s="126">
        <v>16.59</v>
      </c>
      <c r="P47" s="126">
        <v>16.59</v>
      </c>
      <c r="Q47" s="126">
        <v>16.59</v>
      </c>
      <c r="R47" s="126">
        <v>16.59</v>
      </c>
      <c r="S47" s="126">
        <v>16.59</v>
      </c>
      <c r="T47" s="126">
        <v>16.59</v>
      </c>
      <c r="U47" s="126">
        <v>16.59</v>
      </c>
      <c r="V47" s="126">
        <v>16.59</v>
      </c>
      <c r="W47" s="126">
        <v>16.59</v>
      </c>
      <c r="X47" s="126">
        <v>16.59</v>
      </c>
      <c r="Y47" s="126">
        <v>16.59</v>
      </c>
      <c r="Z47" s="126">
        <v>16.59</v>
      </c>
      <c r="AA47" s="126">
        <v>16.59</v>
      </c>
      <c r="AB47" s="126">
        <v>16.59</v>
      </c>
      <c r="AC47" s="126">
        <v>16.59</v>
      </c>
      <c r="AD47" s="126">
        <v>16.59</v>
      </c>
      <c r="AE47" s="126">
        <v>16.59</v>
      </c>
      <c r="AF47" s="126">
        <v>16.59</v>
      </c>
      <c r="AG47" s="126">
        <v>16.59</v>
      </c>
      <c r="AH47" s="126">
        <v>16.59</v>
      </c>
      <c r="AI47" s="126">
        <v>16.59</v>
      </c>
      <c r="AJ47" s="126">
        <v>16.59</v>
      </c>
      <c r="AK47" s="126">
        <v>16.59</v>
      </c>
      <c r="AL47" s="126">
        <v>16.59</v>
      </c>
      <c r="AM47" s="126">
        <v>16.59</v>
      </c>
      <c r="AN47" s="126">
        <v>16.59</v>
      </c>
      <c r="AO47" s="126">
        <v>16.59</v>
      </c>
      <c r="AP47" s="126">
        <v>16.59</v>
      </c>
      <c r="AQ47" s="126">
        <v>16.59</v>
      </c>
      <c r="AR47" s="126">
        <v>16.59</v>
      </c>
      <c r="AS47" s="126">
        <v>16.59</v>
      </c>
      <c r="AT47" s="126">
        <v>16.59</v>
      </c>
      <c r="AU47" s="126">
        <v>16.59</v>
      </c>
      <c r="AV47" s="126">
        <v>16.59</v>
      </c>
      <c r="AW47" s="126">
        <v>16.59</v>
      </c>
      <c r="AX47" s="126">
        <v>16.59</v>
      </c>
      <c r="AY47" s="126">
        <v>16.59</v>
      </c>
      <c r="AZ47" s="126">
        <v>16.59</v>
      </c>
      <c r="BA47" s="126">
        <v>16.59</v>
      </c>
      <c r="BB47" s="126">
        <v>16.59</v>
      </c>
      <c r="BC47" s="126">
        <v>16.59</v>
      </c>
      <c r="BD47" s="126">
        <v>16.59</v>
      </c>
      <c r="BE47" s="126">
        <v>16.59</v>
      </c>
    </row>
    <row r="48" spans="1:57" x14ac:dyDescent="0.35">
      <c r="A48" s="127" t="s">
        <v>44</v>
      </c>
      <c r="G48" s="126">
        <v>20.5</v>
      </c>
      <c r="H48" s="126">
        <v>20.5</v>
      </c>
      <c r="I48" s="126">
        <v>20.5</v>
      </c>
      <c r="J48" s="126">
        <v>20.5</v>
      </c>
      <c r="K48" s="126">
        <v>20.5</v>
      </c>
      <c r="L48" s="126">
        <v>20.5</v>
      </c>
      <c r="M48" s="126">
        <v>20.5</v>
      </c>
      <c r="N48" s="126">
        <v>20.5</v>
      </c>
      <c r="O48" s="126">
        <v>20.5</v>
      </c>
      <c r="P48" s="126">
        <v>20.5</v>
      </c>
      <c r="Q48" s="126">
        <v>20.5</v>
      </c>
      <c r="R48" s="126">
        <v>20.5</v>
      </c>
      <c r="S48" s="126">
        <v>20.5</v>
      </c>
      <c r="T48" s="126">
        <v>20.5</v>
      </c>
      <c r="U48" s="126">
        <v>20.5</v>
      </c>
      <c r="V48" s="126">
        <v>20.5</v>
      </c>
      <c r="W48" s="126">
        <v>20.5</v>
      </c>
      <c r="X48" s="126">
        <v>20.5</v>
      </c>
      <c r="Y48" s="126">
        <v>20.5</v>
      </c>
      <c r="Z48" s="126">
        <v>20.5</v>
      </c>
      <c r="AA48" s="126">
        <v>20.5</v>
      </c>
      <c r="AB48" s="126">
        <v>20.5</v>
      </c>
      <c r="AC48" s="126">
        <v>20.5</v>
      </c>
      <c r="AD48" s="126">
        <v>20.5</v>
      </c>
      <c r="AE48" s="126">
        <v>20.5</v>
      </c>
      <c r="AF48" s="126">
        <v>20.5</v>
      </c>
      <c r="AG48" s="126">
        <v>20.5</v>
      </c>
      <c r="AH48" s="126">
        <v>20.5</v>
      </c>
      <c r="AI48" s="126">
        <v>20.5</v>
      </c>
      <c r="AJ48" s="126">
        <v>20.5</v>
      </c>
      <c r="AK48" s="126">
        <v>20.5</v>
      </c>
      <c r="AL48" s="126">
        <v>20.5</v>
      </c>
      <c r="AM48" s="126">
        <v>20.5</v>
      </c>
      <c r="AN48" s="126">
        <v>20.5</v>
      </c>
      <c r="AO48" s="126">
        <v>20.5</v>
      </c>
      <c r="AP48" s="126">
        <v>20.5</v>
      </c>
      <c r="AQ48" s="126">
        <v>20.5</v>
      </c>
      <c r="AR48" s="126">
        <v>20.5</v>
      </c>
      <c r="AS48" s="126">
        <v>20.5</v>
      </c>
      <c r="AT48" s="126">
        <v>20.5</v>
      </c>
      <c r="AU48" s="126">
        <v>20.5</v>
      </c>
      <c r="AV48" s="126">
        <v>20.5</v>
      </c>
      <c r="AW48" s="126">
        <v>20.5</v>
      </c>
      <c r="AX48" s="126">
        <v>20.5</v>
      </c>
      <c r="AY48" s="126">
        <v>20.5</v>
      </c>
      <c r="AZ48" s="126">
        <v>20.5</v>
      </c>
      <c r="BA48" s="126">
        <v>20.5</v>
      </c>
      <c r="BB48" s="126">
        <v>20.5</v>
      </c>
      <c r="BC48" s="126">
        <v>20.5</v>
      </c>
      <c r="BD48" s="126">
        <v>20.5</v>
      </c>
      <c r="BE48" s="126">
        <v>20.5</v>
      </c>
    </row>
    <row r="49" spans="1:57" x14ac:dyDescent="0.35">
      <c r="A49" s="127" t="s">
        <v>45</v>
      </c>
      <c r="G49" s="126">
        <v>14.98</v>
      </c>
      <c r="H49" s="126">
        <v>14.98</v>
      </c>
      <c r="I49" s="126">
        <v>14.98</v>
      </c>
      <c r="J49" s="126">
        <v>14.98</v>
      </c>
      <c r="K49" s="126">
        <v>14.98</v>
      </c>
      <c r="L49" s="126">
        <v>14.98</v>
      </c>
      <c r="M49" s="126">
        <v>14.98</v>
      </c>
      <c r="N49" s="126">
        <v>14.98</v>
      </c>
      <c r="O49" s="126">
        <v>14.98</v>
      </c>
      <c r="P49" s="126">
        <v>14.98</v>
      </c>
      <c r="Q49" s="126">
        <v>14.98</v>
      </c>
      <c r="R49" s="126">
        <v>14.98</v>
      </c>
      <c r="S49" s="126">
        <v>14.98</v>
      </c>
      <c r="T49" s="126">
        <v>14.98</v>
      </c>
      <c r="U49" s="126">
        <v>14.98</v>
      </c>
      <c r="V49" s="126">
        <v>14.98</v>
      </c>
      <c r="W49" s="126">
        <v>14.98</v>
      </c>
      <c r="X49" s="126">
        <v>14.98</v>
      </c>
      <c r="Y49" s="126">
        <v>14.98</v>
      </c>
      <c r="Z49" s="126">
        <v>14.98</v>
      </c>
      <c r="AA49" s="126">
        <v>14.98</v>
      </c>
      <c r="AB49" s="126">
        <v>14.98</v>
      </c>
      <c r="AC49" s="126">
        <v>14.98</v>
      </c>
      <c r="AD49" s="126">
        <v>14.98</v>
      </c>
      <c r="AE49" s="126">
        <v>14.98</v>
      </c>
      <c r="AF49" s="126">
        <v>14.98</v>
      </c>
      <c r="AG49" s="126">
        <v>14.98</v>
      </c>
      <c r="AH49" s="126">
        <v>14.98</v>
      </c>
      <c r="AI49" s="126">
        <v>14.98</v>
      </c>
      <c r="AJ49" s="126">
        <v>14.98</v>
      </c>
      <c r="AK49" s="126">
        <v>14.98</v>
      </c>
      <c r="AL49" s="126">
        <v>14.98</v>
      </c>
      <c r="AM49" s="126">
        <v>14.98</v>
      </c>
      <c r="AN49" s="126">
        <v>14.98</v>
      </c>
      <c r="AO49" s="126">
        <v>14.98</v>
      </c>
      <c r="AP49" s="126">
        <v>14.98</v>
      </c>
      <c r="AQ49" s="126">
        <v>14.98</v>
      </c>
      <c r="AR49" s="126">
        <v>14.98</v>
      </c>
      <c r="AS49" s="126">
        <v>14.98</v>
      </c>
      <c r="AT49" s="126">
        <v>14.98</v>
      </c>
      <c r="AU49" s="126">
        <v>14.98</v>
      </c>
      <c r="AV49" s="126">
        <v>14.98</v>
      </c>
      <c r="AW49" s="126">
        <v>14.98</v>
      </c>
      <c r="AX49" s="126">
        <v>14.98</v>
      </c>
      <c r="AY49" s="126">
        <v>14.98</v>
      </c>
      <c r="AZ49" s="126">
        <v>14.98</v>
      </c>
      <c r="BA49" s="126">
        <v>14.98</v>
      </c>
      <c r="BB49" s="126">
        <v>14.98</v>
      </c>
      <c r="BC49" s="126">
        <v>14.98</v>
      </c>
      <c r="BD49" s="126">
        <v>14.98</v>
      </c>
      <c r="BE49" s="126">
        <v>14.98</v>
      </c>
    </row>
    <row r="50" spans="1:57" x14ac:dyDescent="0.35">
      <c r="A50" s="127" t="s">
        <v>46</v>
      </c>
      <c r="G50" s="126">
        <v>15.5</v>
      </c>
      <c r="H50" s="126">
        <v>15.5</v>
      </c>
      <c r="I50" s="126">
        <v>15.5</v>
      </c>
      <c r="J50" s="126">
        <v>15.5</v>
      </c>
      <c r="K50" s="126">
        <v>15.5</v>
      </c>
      <c r="L50" s="126">
        <v>15.5</v>
      </c>
      <c r="M50" s="126">
        <v>15.5</v>
      </c>
      <c r="N50" s="126">
        <v>15.5</v>
      </c>
      <c r="O50" s="126">
        <v>15.5</v>
      </c>
      <c r="P50" s="126">
        <v>15.5</v>
      </c>
      <c r="Q50" s="126">
        <v>15.5</v>
      </c>
      <c r="R50" s="126">
        <v>15.5</v>
      </c>
      <c r="S50" s="126">
        <v>15.5</v>
      </c>
      <c r="T50" s="126">
        <v>15.5</v>
      </c>
      <c r="U50" s="126">
        <v>15.5</v>
      </c>
      <c r="V50" s="126">
        <v>15.5</v>
      </c>
      <c r="W50" s="126">
        <v>15.5</v>
      </c>
      <c r="X50" s="126">
        <v>15.5</v>
      </c>
      <c r="Y50" s="126">
        <v>15.5</v>
      </c>
      <c r="Z50" s="126">
        <v>15.5</v>
      </c>
      <c r="AA50" s="126">
        <v>15.5</v>
      </c>
      <c r="AB50" s="126">
        <v>15.5</v>
      </c>
      <c r="AC50" s="126">
        <v>15.5</v>
      </c>
      <c r="AD50" s="126">
        <v>15.5</v>
      </c>
      <c r="AE50" s="126">
        <v>15.5</v>
      </c>
      <c r="AF50" s="126">
        <v>15.5</v>
      </c>
      <c r="AG50" s="126">
        <v>15.5</v>
      </c>
      <c r="AH50" s="126">
        <v>15.5</v>
      </c>
      <c r="AI50" s="126">
        <v>15.5</v>
      </c>
      <c r="AJ50" s="126">
        <v>15.5</v>
      </c>
      <c r="AK50" s="126">
        <v>15.5</v>
      </c>
      <c r="AL50" s="126">
        <v>15.5</v>
      </c>
      <c r="AM50" s="126">
        <v>15.5</v>
      </c>
      <c r="AN50" s="126">
        <v>15.5</v>
      </c>
      <c r="AO50" s="126">
        <v>15.5</v>
      </c>
      <c r="AP50" s="126">
        <v>15.5</v>
      </c>
      <c r="AQ50" s="126">
        <v>15.5</v>
      </c>
      <c r="AR50" s="126">
        <v>15.5</v>
      </c>
      <c r="AS50" s="126">
        <v>15.5</v>
      </c>
      <c r="AT50" s="126">
        <v>15.5</v>
      </c>
      <c r="AU50" s="126">
        <v>15.5</v>
      </c>
      <c r="AV50" s="126">
        <v>15.5</v>
      </c>
      <c r="AW50" s="126">
        <v>15.5</v>
      </c>
      <c r="AX50" s="126">
        <v>15.5</v>
      </c>
      <c r="AY50" s="126">
        <v>15.5</v>
      </c>
      <c r="AZ50" s="126">
        <v>15.5</v>
      </c>
      <c r="BA50" s="126">
        <v>15.5</v>
      </c>
      <c r="BB50" s="126">
        <v>15.5</v>
      </c>
      <c r="BC50" s="126">
        <v>15.5</v>
      </c>
      <c r="BD50" s="126">
        <v>15.5</v>
      </c>
      <c r="BE50" s="126">
        <v>15.5</v>
      </c>
    </row>
    <row r="51" spans="1:57" x14ac:dyDescent="0.35">
      <c r="A51" s="127" t="s">
        <v>47</v>
      </c>
      <c r="G51" s="126">
        <v>4.5599999999999996</v>
      </c>
      <c r="H51" s="126">
        <v>4.5599999999999996</v>
      </c>
      <c r="I51" s="126">
        <v>4.5599999999999996</v>
      </c>
      <c r="J51" s="126">
        <v>4.5599999999999996</v>
      </c>
      <c r="K51" s="126">
        <v>4.5599999999999996</v>
      </c>
      <c r="L51" s="126">
        <v>4.5599999999999996</v>
      </c>
      <c r="M51" s="126">
        <v>4.5599999999999996</v>
      </c>
      <c r="N51" s="126">
        <v>4.5599999999999996</v>
      </c>
      <c r="O51" s="126">
        <v>4.5599999999999996</v>
      </c>
      <c r="P51" s="126">
        <v>4.5599999999999996</v>
      </c>
      <c r="Q51" s="126">
        <v>4.5599999999999996</v>
      </c>
      <c r="R51" s="126">
        <v>4.5599999999999996</v>
      </c>
      <c r="S51" s="126">
        <v>4.5599999999999996</v>
      </c>
      <c r="T51" s="126">
        <v>4.5599999999999996</v>
      </c>
      <c r="U51" s="126">
        <v>4.5599999999999996</v>
      </c>
      <c r="V51" s="126">
        <v>4.5599999999999996</v>
      </c>
      <c r="W51" s="126">
        <v>4.5599999999999996</v>
      </c>
      <c r="X51" s="126">
        <v>4.5599999999999996</v>
      </c>
      <c r="Y51" s="126">
        <v>4.5599999999999996</v>
      </c>
      <c r="Z51" s="126">
        <v>4.5599999999999996</v>
      </c>
      <c r="AA51" s="126">
        <v>4.5599999999999996</v>
      </c>
      <c r="AB51" s="126">
        <v>4.5599999999999996</v>
      </c>
      <c r="AC51" s="126">
        <v>4.5599999999999996</v>
      </c>
      <c r="AD51" s="126">
        <v>4.5599999999999996</v>
      </c>
      <c r="AE51" s="126">
        <v>4.5599999999999996</v>
      </c>
      <c r="AF51" s="126">
        <v>4.5599999999999996</v>
      </c>
      <c r="AG51" s="126">
        <v>4.5599999999999996</v>
      </c>
      <c r="AH51" s="126">
        <v>4.5599999999999996</v>
      </c>
      <c r="AI51" s="126">
        <v>4.5599999999999996</v>
      </c>
      <c r="AJ51" s="126">
        <v>4.5599999999999996</v>
      </c>
      <c r="AK51" s="126">
        <v>4.5599999999999996</v>
      </c>
      <c r="AL51" s="126">
        <v>4.5599999999999996</v>
      </c>
      <c r="AM51" s="126">
        <v>4.5599999999999996</v>
      </c>
      <c r="AN51" s="126">
        <v>4.5599999999999996</v>
      </c>
      <c r="AO51" s="126">
        <v>4.5599999999999996</v>
      </c>
      <c r="AP51" s="126">
        <v>4.5599999999999996</v>
      </c>
      <c r="AQ51" s="126">
        <v>4.5599999999999996</v>
      </c>
      <c r="AR51" s="126">
        <v>4.5599999999999996</v>
      </c>
      <c r="AS51" s="126">
        <v>4.5599999999999996</v>
      </c>
      <c r="AT51" s="126">
        <v>4.5599999999999996</v>
      </c>
      <c r="AU51" s="126">
        <v>4.5599999999999996</v>
      </c>
      <c r="AV51" s="126">
        <v>4.5599999999999996</v>
      </c>
      <c r="AW51" s="126">
        <v>4.5599999999999996</v>
      </c>
      <c r="AX51" s="126">
        <v>4.5599999999999996</v>
      </c>
      <c r="AY51" s="126">
        <v>4.5599999999999996</v>
      </c>
      <c r="AZ51" s="126">
        <v>4.5599999999999996</v>
      </c>
      <c r="BA51" s="126">
        <v>4.5599999999999996</v>
      </c>
      <c r="BB51" s="126">
        <v>4.5599999999999996</v>
      </c>
      <c r="BC51" s="126">
        <v>4.5599999999999996</v>
      </c>
      <c r="BD51" s="126">
        <v>4.5599999999999996</v>
      </c>
      <c r="BE51" s="126">
        <v>4.5599999999999996</v>
      </c>
    </row>
    <row r="52" spans="1:57" x14ac:dyDescent="0.35">
      <c r="A52" s="127" t="s">
        <v>48</v>
      </c>
      <c r="G52" s="126">
        <v>4.78</v>
      </c>
      <c r="H52" s="126">
        <v>4.78</v>
      </c>
      <c r="I52" s="126">
        <v>4.78</v>
      </c>
      <c r="J52" s="126">
        <v>4.78</v>
      </c>
      <c r="K52" s="126">
        <v>4.78</v>
      </c>
      <c r="L52" s="126">
        <v>4.78</v>
      </c>
      <c r="M52" s="126">
        <v>4.78</v>
      </c>
      <c r="N52" s="126">
        <v>4.78</v>
      </c>
      <c r="O52" s="126">
        <v>4.78</v>
      </c>
      <c r="P52" s="126">
        <v>4.78</v>
      </c>
      <c r="Q52" s="126">
        <v>4.78</v>
      </c>
      <c r="R52" s="126">
        <v>4.78</v>
      </c>
      <c r="S52" s="126">
        <v>4.78</v>
      </c>
      <c r="T52" s="126">
        <v>4.78</v>
      </c>
      <c r="U52" s="126">
        <v>4.78</v>
      </c>
      <c r="V52" s="126">
        <v>4.78</v>
      </c>
      <c r="W52" s="126">
        <v>4.78</v>
      </c>
      <c r="X52" s="126">
        <v>4.78</v>
      </c>
      <c r="Y52" s="126">
        <v>4.78</v>
      </c>
      <c r="Z52" s="126">
        <v>4.78</v>
      </c>
      <c r="AA52" s="126">
        <v>4.78</v>
      </c>
      <c r="AB52" s="126">
        <v>4.78</v>
      </c>
      <c r="AC52" s="126">
        <v>4.78</v>
      </c>
      <c r="AD52" s="126">
        <v>4.78</v>
      </c>
      <c r="AE52" s="126">
        <v>4.78</v>
      </c>
      <c r="AF52" s="126">
        <v>4.78</v>
      </c>
      <c r="AG52" s="126">
        <v>4.78</v>
      </c>
      <c r="AH52" s="126">
        <v>4.78</v>
      </c>
      <c r="AI52" s="126">
        <v>4.78</v>
      </c>
      <c r="AJ52" s="126">
        <v>4.78</v>
      </c>
      <c r="AK52" s="126">
        <v>4.78</v>
      </c>
      <c r="AL52" s="126">
        <v>4.78</v>
      </c>
      <c r="AM52" s="126">
        <v>4.78</v>
      </c>
      <c r="AN52" s="126">
        <v>4.78</v>
      </c>
      <c r="AO52" s="126">
        <v>4.78</v>
      </c>
      <c r="AP52" s="126">
        <v>4.78</v>
      </c>
      <c r="AQ52" s="126">
        <v>4.78</v>
      </c>
      <c r="AR52" s="126">
        <v>4.78</v>
      </c>
      <c r="AS52" s="126">
        <v>4.78</v>
      </c>
      <c r="AT52" s="126">
        <v>4.78</v>
      </c>
      <c r="AU52" s="126">
        <v>4.78</v>
      </c>
      <c r="AV52" s="126">
        <v>4.78</v>
      </c>
      <c r="AW52" s="126">
        <v>4.78</v>
      </c>
      <c r="AX52" s="126">
        <v>4.78</v>
      </c>
      <c r="AY52" s="126">
        <v>4.78</v>
      </c>
      <c r="AZ52" s="126">
        <v>4.78</v>
      </c>
      <c r="BA52" s="126">
        <v>4.78</v>
      </c>
      <c r="BB52" s="126">
        <v>4.78</v>
      </c>
      <c r="BC52" s="126">
        <v>4.78</v>
      </c>
      <c r="BD52" s="126">
        <v>4.78</v>
      </c>
      <c r="BE52" s="126">
        <v>4.78</v>
      </c>
    </row>
    <row r="53" spans="1:57" x14ac:dyDescent="0.35">
      <c r="A53" s="127" t="s">
        <v>49</v>
      </c>
      <c r="G53" s="126">
        <v>11.56</v>
      </c>
      <c r="H53" s="126">
        <v>11.56</v>
      </c>
      <c r="I53" s="126">
        <v>11.56</v>
      </c>
      <c r="J53" s="126">
        <v>11.56</v>
      </c>
      <c r="K53" s="126">
        <v>11.56</v>
      </c>
      <c r="L53" s="126">
        <v>11.56</v>
      </c>
      <c r="M53" s="126">
        <v>11.56</v>
      </c>
      <c r="N53" s="126">
        <v>11.56</v>
      </c>
      <c r="O53" s="126">
        <v>11.56</v>
      </c>
      <c r="P53" s="126">
        <v>11.56</v>
      </c>
      <c r="Q53" s="126">
        <v>11.56</v>
      </c>
      <c r="R53" s="126">
        <v>11.56</v>
      </c>
      <c r="S53" s="126">
        <v>11.56</v>
      </c>
      <c r="T53" s="126">
        <v>11.56</v>
      </c>
      <c r="U53" s="126">
        <v>11.56</v>
      </c>
      <c r="V53" s="126">
        <v>11.56</v>
      </c>
      <c r="W53" s="126">
        <v>11.56</v>
      </c>
      <c r="X53" s="126">
        <v>11.56</v>
      </c>
      <c r="Y53" s="126">
        <v>11.56</v>
      </c>
      <c r="Z53" s="126">
        <v>11.56</v>
      </c>
      <c r="AA53" s="126">
        <v>11.56</v>
      </c>
      <c r="AB53" s="126">
        <v>11.56</v>
      </c>
      <c r="AC53" s="126">
        <v>11.56</v>
      </c>
      <c r="AD53" s="126">
        <v>11.56</v>
      </c>
      <c r="AE53" s="126">
        <v>11.56</v>
      </c>
      <c r="AF53" s="126">
        <v>11.56</v>
      </c>
      <c r="AG53" s="126">
        <v>11.56</v>
      </c>
      <c r="AH53" s="126">
        <v>11.56</v>
      </c>
      <c r="AI53" s="126">
        <v>11.56</v>
      </c>
      <c r="AJ53" s="126">
        <v>11.56</v>
      </c>
      <c r="AK53" s="126">
        <v>11.56</v>
      </c>
      <c r="AL53" s="126">
        <v>11.56</v>
      </c>
      <c r="AM53" s="126">
        <v>11.56</v>
      </c>
      <c r="AN53" s="126">
        <v>11.56</v>
      </c>
      <c r="AO53" s="126">
        <v>11.56</v>
      </c>
      <c r="AP53" s="126">
        <v>11.56</v>
      </c>
      <c r="AQ53" s="126">
        <v>11.56</v>
      </c>
      <c r="AR53" s="126">
        <v>11.56</v>
      </c>
      <c r="AS53" s="126">
        <v>11.56</v>
      </c>
      <c r="AT53" s="126">
        <v>11.56</v>
      </c>
      <c r="AU53" s="126">
        <v>11.56</v>
      </c>
      <c r="AV53" s="126">
        <v>11.56</v>
      </c>
      <c r="AW53" s="126">
        <v>11.56</v>
      </c>
      <c r="AX53" s="126">
        <v>11.56</v>
      </c>
      <c r="AY53" s="126">
        <v>11.56</v>
      </c>
      <c r="AZ53" s="126">
        <v>11.56</v>
      </c>
      <c r="BA53" s="126">
        <v>11.56</v>
      </c>
      <c r="BB53" s="126">
        <v>11.56</v>
      </c>
      <c r="BC53" s="126">
        <v>11.56</v>
      </c>
      <c r="BD53" s="126">
        <v>11.56</v>
      </c>
      <c r="BE53" s="126">
        <v>11.56</v>
      </c>
    </row>
    <row r="54" spans="1:57" x14ac:dyDescent="0.35">
      <c r="A54" s="127" t="s">
        <v>50</v>
      </c>
      <c r="G54" s="126">
        <v>13.46</v>
      </c>
      <c r="H54" s="126">
        <v>13.46</v>
      </c>
      <c r="I54" s="126">
        <v>13.46</v>
      </c>
      <c r="J54" s="126">
        <v>13.46</v>
      </c>
      <c r="K54" s="126">
        <v>13.46</v>
      </c>
      <c r="L54" s="126">
        <v>13.46</v>
      </c>
      <c r="M54" s="126">
        <v>13.46</v>
      </c>
      <c r="N54" s="126">
        <v>13.46</v>
      </c>
      <c r="O54" s="126">
        <v>13.46</v>
      </c>
      <c r="P54" s="126">
        <v>13.46</v>
      </c>
      <c r="Q54" s="126">
        <v>13.46</v>
      </c>
      <c r="R54" s="126">
        <v>13.46</v>
      </c>
      <c r="S54" s="126">
        <v>13.46</v>
      </c>
      <c r="T54" s="126">
        <v>13.46</v>
      </c>
      <c r="U54" s="126">
        <v>13.46</v>
      </c>
      <c r="V54" s="126">
        <v>13.46</v>
      </c>
      <c r="W54" s="126">
        <v>13.46</v>
      </c>
      <c r="X54" s="126">
        <v>13.46</v>
      </c>
      <c r="Y54" s="126">
        <v>13.46</v>
      </c>
      <c r="Z54" s="126">
        <v>13.46</v>
      </c>
      <c r="AA54" s="126">
        <v>13.46</v>
      </c>
      <c r="AB54" s="126">
        <v>13.46</v>
      </c>
      <c r="AC54" s="126">
        <v>13.46</v>
      </c>
      <c r="AD54" s="126">
        <v>13.46</v>
      </c>
      <c r="AE54" s="126">
        <v>13.46</v>
      </c>
      <c r="AF54" s="126">
        <v>13.46</v>
      </c>
      <c r="AG54" s="126">
        <v>13.46</v>
      </c>
      <c r="AH54" s="126">
        <v>13.46</v>
      </c>
      <c r="AI54" s="126">
        <v>13.46</v>
      </c>
      <c r="AJ54" s="126">
        <v>13.46</v>
      </c>
      <c r="AK54" s="126">
        <v>13.46</v>
      </c>
      <c r="AL54" s="126">
        <v>13.46</v>
      </c>
      <c r="AM54" s="126">
        <v>13.46</v>
      </c>
      <c r="AN54" s="126">
        <v>13.46</v>
      </c>
      <c r="AO54" s="126">
        <v>13.46</v>
      </c>
      <c r="AP54" s="126">
        <v>13.46</v>
      </c>
      <c r="AQ54" s="126">
        <v>13.46</v>
      </c>
      <c r="AR54" s="126">
        <v>13.46</v>
      </c>
      <c r="AS54" s="126">
        <v>13.46</v>
      </c>
      <c r="AT54" s="126">
        <v>13.46</v>
      </c>
      <c r="AU54" s="126">
        <v>13.46</v>
      </c>
      <c r="AV54" s="126">
        <v>13.46</v>
      </c>
      <c r="AW54" s="126">
        <v>13.46</v>
      </c>
      <c r="AX54" s="126">
        <v>13.46</v>
      </c>
      <c r="AY54" s="126">
        <v>13.46</v>
      </c>
      <c r="AZ54" s="126">
        <v>13.46</v>
      </c>
      <c r="BA54" s="126">
        <v>13.46</v>
      </c>
      <c r="BB54" s="126">
        <v>13.46</v>
      </c>
      <c r="BC54" s="126">
        <v>13.46</v>
      </c>
      <c r="BD54" s="126">
        <v>13.46</v>
      </c>
      <c r="BE54" s="126">
        <v>13.46</v>
      </c>
    </row>
    <row r="55" spans="1:57" x14ac:dyDescent="0.35">
      <c r="A55" s="127" t="s">
        <v>51</v>
      </c>
      <c r="G55" s="126">
        <v>13.52</v>
      </c>
      <c r="H55" s="126">
        <v>13.52</v>
      </c>
      <c r="I55" s="126">
        <v>13.52</v>
      </c>
      <c r="J55" s="126">
        <v>13.52</v>
      </c>
      <c r="K55" s="126">
        <v>13.52</v>
      </c>
      <c r="L55" s="126">
        <v>13.52</v>
      </c>
      <c r="M55" s="126">
        <v>13.52</v>
      </c>
      <c r="N55" s="126">
        <v>13.52</v>
      </c>
      <c r="O55" s="126">
        <v>13.52</v>
      </c>
      <c r="P55" s="126">
        <v>13.52</v>
      </c>
      <c r="Q55" s="126">
        <v>13.52</v>
      </c>
      <c r="R55" s="126">
        <v>13.52</v>
      </c>
      <c r="S55" s="126">
        <v>13.52</v>
      </c>
      <c r="T55" s="126">
        <v>13.52</v>
      </c>
      <c r="U55" s="126">
        <v>13.52</v>
      </c>
      <c r="V55" s="126">
        <v>13.52</v>
      </c>
      <c r="W55" s="126">
        <v>13.52</v>
      </c>
      <c r="X55" s="126">
        <v>13.52</v>
      </c>
      <c r="Y55" s="126">
        <v>13.52</v>
      </c>
      <c r="Z55" s="126">
        <v>13.52</v>
      </c>
      <c r="AA55" s="126">
        <v>13.52</v>
      </c>
      <c r="AB55" s="126">
        <v>13.52</v>
      </c>
      <c r="AC55" s="126">
        <v>13.52</v>
      </c>
      <c r="AD55" s="126">
        <v>13.52</v>
      </c>
      <c r="AE55" s="126">
        <v>13.52</v>
      </c>
      <c r="AF55" s="126">
        <v>13.52</v>
      </c>
      <c r="AG55" s="126">
        <v>13.52</v>
      </c>
      <c r="AH55" s="126">
        <v>13.52</v>
      </c>
      <c r="AI55" s="126">
        <v>13.52</v>
      </c>
      <c r="AJ55" s="126">
        <v>13.52</v>
      </c>
      <c r="AK55" s="126">
        <v>13.52</v>
      </c>
      <c r="AL55" s="126">
        <v>13.52</v>
      </c>
      <c r="AM55" s="126">
        <v>13.52</v>
      </c>
      <c r="AN55" s="126">
        <v>13.52</v>
      </c>
      <c r="AO55" s="126">
        <v>13.52</v>
      </c>
      <c r="AP55" s="126">
        <v>13.52</v>
      </c>
      <c r="AQ55" s="126">
        <v>13.52</v>
      </c>
      <c r="AR55" s="126">
        <v>13.52</v>
      </c>
      <c r="AS55" s="126">
        <v>13.52</v>
      </c>
      <c r="AT55" s="126">
        <v>13.52</v>
      </c>
      <c r="AU55" s="126">
        <v>13.52</v>
      </c>
      <c r="AV55" s="126">
        <v>13.52</v>
      </c>
      <c r="AW55" s="126">
        <v>13.52</v>
      </c>
      <c r="AX55" s="126">
        <v>13.52</v>
      </c>
      <c r="AY55" s="126">
        <v>13.52</v>
      </c>
      <c r="AZ55" s="126">
        <v>13.52</v>
      </c>
      <c r="BA55" s="126">
        <v>13.52</v>
      </c>
      <c r="BB55" s="126">
        <v>13.52</v>
      </c>
      <c r="BC55" s="126">
        <v>13.52</v>
      </c>
      <c r="BD55" s="126">
        <v>13.52</v>
      </c>
      <c r="BE55" s="126">
        <v>13.52</v>
      </c>
    </row>
    <row r="56" spans="1:57" x14ac:dyDescent="0.35">
      <c r="A56" s="127" t="s">
        <v>52</v>
      </c>
      <c r="G56" s="126">
        <v>5.89</v>
      </c>
      <c r="H56" s="126">
        <v>5.89</v>
      </c>
      <c r="I56" s="126">
        <v>5.89</v>
      </c>
      <c r="J56" s="126">
        <v>5.89</v>
      </c>
      <c r="K56" s="126">
        <v>5.89</v>
      </c>
      <c r="L56" s="126">
        <v>5.89</v>
      </c>
      <c r="M56" s="126">
        <v>5.89</v>
      </c>
      <c r="N56" s="126">
        <v>5.89</v>
      </c>
      <c r="O56" s="126">
        <v>5.89</v>
      </c>
      <c r="P56" s="126">
        <v>5.89</v>
      </c>
      <c r="Q56" s="126">
        <v>5.89</v>
      </c>
      <c r="R56" s="126">
        <v>5.89</v>
      </c>
      <c r="S56" s="126">
        <v>5.89</v>
      </c>
      <c r="T56" s="126">
        <v>5.89</v>
      </c>
      <c r="U56" s="126">
        <v>5.89</v>
      </c>
      <c r="V56" s="126">
        <v>5.89</v>
      </c>
      <c r="W56" s="126">
        <v>5.89</v>
      </c>
      <c r="X56" s="126">
        <v>5.89</v>
      </c>
      <c r="Y56" s="126">
        <v>5.89</v>
      </c>
      <c r="Z56" s="126">
        <v>5.89</v>
      </c>
      <c r="AA56" s="126">
        <v>5.89</v>
      </c>
      <c r="AB56" s="126">
        <v>5.89</v>
      </c>
      <c r="AC56" s="126">
        <v>5.89</v>
      </c>
      <c r="AD56" s="126">
        <v>5.89</v>
      </c>
      <c r="AE56" s="126">
        <v>5.89</v>
      </c>
      <c r="AF56" s="126">
        <v>5.89</v>
      </c>
      <c r="AG56" s="126">
        <v>5.89</v>
      </c>
      <c r="AH56" s="126">
        <v>5.89</v>
      </c>
      <c r="AI56" s="126">
        <v>5.89</v>
      </c>
      <c r="AJ56" s="126">
        <v>5.89</v>
      </c>
      <c r="AK56" s="126">
        <v>5.89</v>
      </c>
      <c r="AL56" s="126">
        <v>5.89</v>
      </c>
      <c r="AM56" s="126">
        <v>5.89</v>
      </c>
      <c r="AN56" s="126">
        <v>5.89</v>
      </c>
      <c r="AO56" s="126">
        <v>5.89</v>
      </c>
      <c r="AP56" s="126">
        <v>5.89</v>
      </c>
      <c r="AQ56" s="126">
        <v>5.89</v>
      </c>
      <c r="AR56" s="126">
        <v>5.89</v>
      </c>
      <c r="AS56" s="126">
        <v>5.89</v>
      </c>
      <c r="AT56" s="126">
        <v>5.89</v>
      </c>
      <c r="AU56" s="126">
        <v>5.89</v>
      </c>
      <c r="AV56" s="126">
        <v>5.89</v>
      </c>
      <c r="AW56" s="126">
        <v>5.89</v>
      </c>
      <c r="AX56" s="126">
        <v>5.89</v>
      </c>
      <c r="AY56" s="126">
        <v>5.89</v>
      </c>
      <c r="AZ56" s="126">
        <v>5.89</v>
      </c>
      <c r="BA56" s="126">
        <v>5.89</v>
      </c>
      <c r="BB56" s="126">
        <v>5.89</v>
      </c>
      <c r="BC56" s="126">
        <v>5.89</v>
      </c>
      <c r="BD56" s="126">
        <v>5.89</v>
      </c>
      <c r="BE56" s="126">
        <v>5.89</v>
      </c>
    </row>
    <row r="57" spans="1:57" x14ac:dyDescent="0.35">
      <c r="A57" s="127" t="s">
        <v>53</v>
      </c>
      <c r="G57" s="126">
        <v>11.56</v>
      </c>
      <c r="H57" s="126">
        <v>11.56</v>
      </c>
      <c r="I57" s="126">
        <v>11.56</v>
      </c>
      <c r="J57" s="126">
        <v>11.56</v>
      </c>
      <c r="K57" s="126">
        <v>11.56</v>
      </c>
      <c r="L57" s="126">
        <v>11.56</v>
      </c>
      <c r="M57" s="126">
        <v>11.56</v>
      </c>
      <c r="N57" s="126">
        <v>11.56</v>
      </c>
      <c r="O57" s="126">
        <v>11.56</v>
      </c>
      <c r="P57" s="126">
        <v>11.56</v>
      </c>
      <c r="Q57" s="126">
        <v>11.56</v>
      </c>
      <c r="R57" s="126">
        <v>11.56</v>
      </c>
      <c r="S57" s="126">
        <v>11.56</v>
      </c>
      <c r="T57" s="126">
        <v>11.56</v>
      </c>
      <c r="U57" s="126">
        <v>11.56</v>
      </c>
      <c r="V57" s="126">
        <v>11.56</v>
      </c>
      <c r="W57" s="126">
        <v>11.56</v>
      </c>
      <c r="X57" s="126">
        <v>11.56</v>
      </c>
      <c r="Y57" s="126">
        <v>11.56</v>
      </c>
      <c r="Z57" s="126">
        <v>11.56</v>
      </c>
      <c r="AA57" s="126">
        <v>11.56</v>
      </c>
      <c r="AB57" s="126">
        <v>11.56</v>
      </c>
      <c r="AC57" s="126">
        <v>11.56</v>
      </c>
      <c r="AD57" s="126">
        <v>11.56</v>
      </c>
      <c r="AE57" s="126">
        <v>11.56</v>
      </c>
      <c r="AF57" s="126">
        <v>11.56</v>
      </c>
      <c r="AG57" s="126">
        <v>11.56</v>
      </c>
      <c r="AH57" s="126">
        <v>11.56</v>
      </c>
      <c r="AI57" s="126">
        <v>11.56</v>
      </c>
      <c r="AJ57" s="126">
        <v>11.56</v>
      </c>
      <c r="AK57" s="126">
        <v>11.56</v>
      </c>
      <c r="AL57" s="126">
        <v>11.56</v>
      </c>
      <c r="AM57" s="126">
        <v>11.56</v>
      </c>
      <c r="AN57" s="126">
        <v>11.56</v>
      </c>
      <c r="AO57" s="126">
        <v>11.56</v>
      </c>
      <c r="AP57" s="126">
        <v>11.56</v>
      </c>
      <c r="AQ57" s="126">
        <v>11.56</v>
      </c>
      <c r="AR57" s="126">
        <v>11.56</v>
      </c>
      <c r="AS57" s="126">
        <v>11.56</v>
      </c>
      <c r="AT57" s="126">
        <v>11.56</v>
      </c>
      <c r="AU57" s="126">
        <v>11.56</v>
      </c>
      <c r="AV57" s="126">
        <v>11.56</v>
      </c>
      <c r="AW57" s="126">
        <v>11.56</v>
      </c>
      <c r="AX57" s="126">
        <v>11.56</v>
      </c>
      <c r="AY57" s="126">
        <v>11.56</v>
      </c>
      <c r="AZ57" s="126">
        <v>11.56</v>
      </c>
      <c r="BA57" s="126">
        <v>11.56</v>
      </c>
      <c r="BB57" s="126">
        <v>11.56</v>
      </c>
      <c r="BC57" s="126">
        <v>11.56</v>
      </c>
      <c r="BD57" s="126">
        <v>11.56</v>
      </c>
      <c r="BE57" s="126">
        <v>11.56</v>
      </c>
    </row>
    <row r="58" spans="1:57" x14ac:dyDescent="0.35">
      <c r="A58" s="127" t="s">
        <v>54</v>
      </c>
      <c r="G58" s="126">
        <v>10.06</v>
      </c>
      <c r="H58" s="126">
        <v>10.06</v>
      </c>
      <c r="I58" s="126">
        <v>10.06</v>
      </c>
      <c r="J58" s="126">
        <v>10.06</v>
      </c>
      <c r="K58" s="126">
        <v>10.06</v>
      </c>
      <c r="L58" s="126">
        <v>10.06</v>
      </c>
      <c r="M58" s="126">
        <v>10.06</v>
      </c>
      <c r="N58" s="126">
        <v>10.06</v>
      </c>
      <c r="O58" s="126">
        <v>10.06</v>
      </c>
      <c r="P58" s="126">
        <v>10.06</v>
      </c>
      <c r="Q58" s="126">
        <v>10.06</v>
      </c>
      <c r="R58" s="126">
        <v>10.06</v>
      </c>
      <c r="S58" s="126">
        <v>10.06</v>
      </c>
      <c r="T58" s="126">
        <v>10.06</v>
      </c>
      <c r="U58" s="126">
        <v>10.06</v>
      </c>
      <c r="V58" s="126">
        <v>10.06</v>
      </c>
      <c r="W58" s="126">
        <v>10.06</v>
      </c>
      <c r="X58" s="126">
        <v>10.06</v>
      </c>
      <c r="Y58" s="126">
        <v>10.06</v>
      </c>
      <c r="Z58" s="126">
        <v>10.06</v>
      </c>
      <c r="AA58" s="126">
        <v>10.06</v>
      </c>
      <c r="AB58" s="126">
        <v>10.06</v>
      </c>
      <c r="AC58" s="126">
        <v>10.06</v>
      </c>
      <c r="AD58" s="126">
        <v>10.06</v>
      </c>
      <c r="AE58" s="126">
        <v>10.06</v>
      </c>
      <c r="AF58" s="126">
        <v>10.06</v>
      </c>
      <c r="AG58" s="126">
        <v>10.06</v>
      </c>
      <c r="AH58" s="126">
        <v>10.06</v>
      </c>
      <c r="AI58" s="126">
        <v>10.06</v>
      </c>
      <c r="AJ58" s="126">
        <v>10.06</v>
      </c>
      <c r="AK58" s="126">
        <v>10.06</v>
      </c>
      <c r="AL58" s="126">
        <v>10.06</v>
      </c>
      <c r="AM58" s="126">
        <v>10.06</v>
      </c>
      <c r="AN58" s="126">
        <v>10.06</v>
      </c>
      <c r="AO58" s="126">
        <v>10.06</v>
      </c>
      <c r="AP58" s="126">
        <v>10.06</v>
      </c>
      <c r="AQ58" s="126">
        <v>10.06</v>
      </c>
      <c r="AR58" s="126">
        <v>10.06</v>
      </c>
      <c r="AS58" s="126">
        <v>10.06</v>
      </c>
      <c r="AT58" s="126">
        <v>10.06</v>
      </c>
      <c r="AU58" s="126">
        <v>10.06</v>
      </c>
      <c r="AV58" s="126">
        <v>10.06</v>
      </c>
      <c r="AW58" s="126">
        <v>10.06</v>
      </c>
      <c r="AX58" s="126">
        <v>10.06</v>
      </c>
      <c r="AY58" s="126">
        <v>10.06</v>
      </c>
      <c r="AZ58" s="126">
        <v>10.06</v>
      </c>
      <c r="BA58" s="126">
        <v>10.06</v>
      </c>
      <c r="BB58" s="126">
        <v>10.06</v>
      </c>
      <c r="BC58" s="126">
        <v>10.06</v>
      </c>
      <c r="BD58" s="126">
        <v>10.06</v>
      </c>
      <c r="BE58" s="126">
        <v>10.06</v>
      </c>
    </row>
    <row r="59" spans="1:57" x14ac:dyDescent="0.35">
      <c r="A59" s="127" t="s">
        <v>55</v>
      </c>
      <c r="G59" s="126">
        <v>15</v>
      </c>
      <c r="H59" s="126">
        <v>15</v>
      </c>
      <c r="I59" s="126">
        <v>15</v>
      </c>
      <c r="J59" s="126">
        <v>15</v>
      </c>
      <c r="K59" s="126">
        <v>15</v>
      </c>
      <c r="L59" s="126">
        <v>15</v>
      </c>
      <c r="M59" s="126">
        <v>15</v>
      </c>
      <c r="N59" s="126">
        <v>15</v>
      </c>
      <c r="O59" s="126">
        <v>15</v>
      </c>
      <c r="P59" s="126">
        <v>15</v>
      </c>
      <c r="Q59" s="126">
        <v>15</v>
      </c>
      <c r="R59" s="126">
        <v>15</v>
      </c>
      <c r="S59" s="126">
        <v>15</v>
      </c>
      <c r="T59" s="126">
        <v>15</v>
      </c>
      <c r="U59" s="126">
        <v>15</v>
      </c>
      <c r="V59" s="126">
        <v>15</v>
      </c>
      <c r="W59" s="126">
        <v>15</v>
      </c>
      <c r="X59" s="126">
        <v>15</v>
      </c>
      <c r="Y59" s="126">
        <v>15</v>
      </c>
      <c r="Z59" s="126">
        <v>15</v>
      </c>
      <c r="AA59" s="126">
        <v>15</v>
      </c>
      <c r="AB59" s="126">
        <v>15</v>
      </c>
      <c r="AC59" s="126">
        <v>15</v>
      </c>
      <c r="AD59" s="126">
        <v>15</v>
      </c>
      <c r="AE59" s="126">
        <v>15</v>
      </c>
      <c r="AF59" s="126">
        <v>15</v>
      </c>
      <c r="AG59" s="126">
        <v>15</v>
      </c>
      <c r="AH59" s="126">
        <v>15</v>
      </c>
      <c r="AI59" s="126">
        <v>15</v>
      </c>
      <c r="AJ59" s="126">
        <v>15</v>
      </c>
      <c r="AK59" s="126">
        <v>15</v>
      </c>
      <c r="AL59" s="126">
        <v>15</v>
      </c>
      <c r="AM59" s="126">
        <v>15</v>
      </c>
      <c r="AN59" s="126">
        <v>15</v>
      </c>
      <c r="AO59" s="126">
        <v>15</v>
      </c>
      <c r="AP59" s="126">
        <v>15</v>
      </c>
      <c r="AQ59" s="126">
        <v>15</v>
      </c>
      <c r="AR59" s="126">
        <v>15</v>
      </c>
      <c r="AS59" s="126">
        <v>15</v>
      </c>
      <c r="AT59" s="126">
        <v>15</v>
      </c>
      <c r="AU59" s="126">
        <v>15</v>
      </c>
      <c r="AV59" s="126">
        <v>15</v>
      </c>
      <c r="AW59" s="126">
        <v>15</v>
      </c>
      <c r="AX59" s="126">
        <v>15</v>
      </c>
      <c r="AY59" s="126">
        <v>15</v>
      </c>
      <c r="AZ59" s="126">
        <v>15</v>
      </c>
      <c r="BA59" s="126">
        <v>15</v>
      </c>
      <c r="BB59" s="126">
        <v>15</v>
      </c>
      <c r="BC59" s="126">
        <v>15</v>
      </c>
      <c r="BD59" s="126">
        <v>15</v>
      </c>
      <c r="BE59" s="126">
        <v>15</v>
      </c>
    </row>
  </sheetData>
  <conditionalFormatting sqref="G6:BE59">
    <cfRule type="cellIs" dxfId="4" priority="1" operator="notEqual">
      <formula>G6</formula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10"/>
  <dimension ref="A1:I15"/>
  <sheetViews>
    <sheetView workbookViewId="0">
      <selection activeCell="C7" sqref="C7"/>
    </sheetView>
  </sheetViews>
  <sheetFormatPr defaultColWidth="8.81640625" defaultRowHeight="14.5" x14ac:dyDescent="0.35"/>
  <cols>
    <col min="1" max="1" width="8.81640625" style="18"/>
    <col min="2" max="2" width="53.453125" style="18" customWidth="1"/>
    <col min="3" max="3" width="12.81640625" style="18" customWidth="1"/>
    <col min="4" max="16384" width="8.81640625" style="18"/>
  </cols>
  <sheetData>
    <row r="1" spans="1:9" ht="21" x14ac:dyDescent="0.5">
      <c r="A1" s="20"/>
    </row>
    <row r="4" spans="1:9" x14ac:dyDescent="0.35">
      <c r="C4" s="43" t="s">
        <v>81</v>
      </c>
    </row>
    <row r="5" spans="1:9" ht="16" thickBot="1" x14ac:dyDescent="0.4">
      <c r="A5" s="44" t="s">
        <v>69</v>
      </c>
      <c r="B5" s="44" t="s">
        <v>1</v>
      </c>
      <c r="C5" s="45" t="s">
        <v>82</v>
      </c>
    </row>
    <row r="6" spans="1:9" ht="16" thickBot="1" x14ac:dyDescent="0.4">
      <c r="A6" s="46"/>
    </row>
    <row r="7" spans="1:9" x14ac:dyDescent="0.35">
      <c r="A7" s="47">
        <v>1</v>
      </c>
      <c r="B7" s="18" t="s">
        <v>75</v>
      </c>
      <c r="C7" s="23"/>
      <c r="E7" s="11" t="s">
        <v>115</v>
      </c>
      <c r="F7" s="12"/>
      <c r="G7" s="12"/>
      <c r="H7" s="12"/>
      <c r="I7" s="13"/>
    </row>
    <row r="8" spans="1:9" ht="15" thickBot="1" x14ac:dyDescent="0.4">
      <c r="A8" s="47">
        <v>2</v>
      </c>
      <c r="B8" s="18" t="s">
        <v>80</v>
      </c>
      <c r="C8" s="23"/>
      <c r="E8" s="14" t="s">
        <v>116</v>
      </c>
      <c r="F8" s="15"/>
      <c r="G8" s="15"/>
      <c r="H8" s="15"/>
      <c r="I8" s="16"/>
    </row>
    <row r="9" spans="1:9" x14ac:dyDescent="0.35">
      <c r="A9" s="47">
        <v>3</v>
      </c>
      <c r="B9" s="18" t="s">
        <v>76</v>
      </c>
      <c r="C9" s="23"/>
    </row>
    <row r="10" spans="1:9" x14ac:dyDescent="0.35">
      <c r="A10" s="47">
        <v>4</v>
      </c>
      <c r="B10" s="18" t="s">
        <v>77</v>
      </c>
      <c r="C10" s="23"/>
    </row>
    <row r="11" spans="1:9" x14ac:dyDescent="0.35">
      <c r="A11" s="47">
        <v>5</v>
      </c>
      <c r="B11" s="18" t="s">
        <v>78</v>
      </c>
      <c r="C11" s="23"/>
    </row>
    <row r="12" spans="1:9" ht="15" thickBot="1" x14ac:dyDescent="0.4">
      <c r="A12" s="48">
        <v>6</v>
      </c>
      <c r="B12" s="15" t="s">
        <v>79</v>
      </c>
      <c r="C12" s="23"/>
    </row>
    <row r="13" spans="1:9" ht="15.5" x14ac:dyDescent="0.35">
      <c r="B13" s="50" t="s">
        <v>126</v>
      </c>
      <c r="C13" s="51">
        <f>SUM(C7:C12)</f>
        <v>0</v>
      </c>
    </row>
    <row r="15" spans="1:9" x14ac:dyDescent="0.35">
      <c r="B15" s="49"/>
      <c r="C15" s="49"/>
    </row>
  </sheetData>
  <conditionalFormatting sqref="A7">
    <cfRule type="expression" dxfId="3" priority="1">
      <formula>#REF!&gt;1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ProcessInput10">
                <anchor moveWithCells="1" sizeWithCells="1">
                  <from>
                    <xdr:col>4</xdr:col>
                    <xdr:colOff>12700</xdr:colOff>
                    <xdr:row>1</xdr:row>
                    <xdr:rowOff>107950</xdr:rowOff>
                  </from>
                  <to>
                    <xdr:col>5</xdr:col>
                    <xdr:colOff>488950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CancelInput">
                <anchor moveWithCells="1" sizeWithCells="1">
                  <from>
                    <xdr:col>4</xdr:col>
                    <xdr:colOff>12700</xdr:colOff>
                    <xdr:row>3</xdr:row>
                    <xdr:rowOff>107950</xdr:rowOff>
                  </from>
                  <to>
                    <xdr:col>5</xdr:col>
                    <xdr:colOff>488950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24"/>
  <dimension ref="A1:I16"/>
  <sheetViews>
    <sheetView workbookViewId="0">
      <selection activeCell="D27" sqref="D27"/>
    </sheetView>
  </sheetViews>
  <sheetFormatPr defaultColWidth="8.81640625" defaultRowHeight="14.5" x14ac:dyDescent="0.35"/>
  <cols>
    <col min="1" max="1" width="8.81640625" style="18"/>
    <col min="2" max="2" width="53.453125" style="18" customWidth="1"/>
    <col min="3" max="3" width="12.81640625" style="18" customWidth="1"/>
    <col min="4" max="16384" width="8.81640625" style="18"/>
  </cols>
  <sheetData>
    <row r="1" spans="1:9" ht="21" x14ac:dyDescent="0.5">
      <c r="A1" s="20"/>
    </row>
    <row r="2" spans="1:9" x14ac:dyDescent="0.35">
      <c r="A2" s="18" t="s">
        <v>244</v>
      </c>
    </row>
    <row r="4" spans="1:9" x14ac:dyDescent="0.35">
      <c r="C4" s="43" t="s">
        <v>81</v>
      </c>
    </row>
    <row r="5" spans="1:9" ht="16" thickBot="1" x14ac:dyDescent="0.4">
      <c r="A5" s="44" t="s">
        <v>69</v>
      </c>
      <c r="B5" s="44" t="s">
        <v>1</v>
      </c>
      <c r="C5" s="45" t="s">
        <v>82</v>
      </c>
    </row>
    <row r="6" spans="1:9" ht="16" thickBot="1" x14ac:dyDescent="0.4">
      <c r="A6" s="46"/>
    </row>
    <row r="7" spans="1:9" x14ac:dyDescent="0.35">
      <c r="A7" s="47">
        <v>1</v>
      </c>
      <c r="B7" s="18" t="s">
        <v>75</v>
      </c>
      <c r="C7" s="23">
        <v>3</v>
      </c>
      <c r="E7" s="11" t="s">
        <v>115</v>
      </c>
      <c r="F7" s="12"/>
      <c r="G7" s="12"/>
      <c r="H7" s="12"/>
      <c r="I7" s="13"/>
    </row>
    <row r="8" spans="1:9" ht="15" thickBot="1" x14ac:dyDescent="0.4">
      <c r="A8" s="47">
        <v>2</v>
      </c>
      <c r="B8" s="18" t="s">
        <v>80</v>
      </c>
      <c r="C8" s="23">
        <v>3</v>
      </c>
      <c r="E8" s="14" t="s">
        <v>116</v>
      </c>
      <c r="F8" s="15"/>
      <c r="G8" s="15"/>
      <c r="H8" s="15"/>
      <c r="I8" s="16"/>
    </row>
    <row r="9" spans="1:9" x14ac:dyDescent="0.35">
      <c r="A9" s="47">
        <v>3</v>
      </c>
      <c r="B9" s="18" t="s">
        <v>76</v>
      </c>
      <c r="C9" s="23">
        <v>3</v>
      </c>
    </row>
    <row r="10" spans="1:9" x14ac:dyDescent="0.35">
      <c r="A10" s="47" t="s">
        <v>120</v>
      </c>
      <c r="B10" s="18" t="s">
        <v>123</v>
      </c>
      <c r="C10" s="23">
        <v>3</v>
      </c>
    </row>
    <row r="11" spans="1:9" x14ac:dyDescent="0.35">
      <c r="A11" s="47" t="s">
        <v>121</v>
      </c>
      <c r="B11" s="18" t="s">
        <v>122</v>
      </c>
      <c r="C11" s="23">
        <v>3</v>
      </c>
    </row>
    <row r="12" spans="1:9" x14ac:dyDescent="0.35">
      <c r="A12" s="47">
        <v>5</v>
      </c>
      <c r="B12" s="18" t="s">
        <v>78</v>
      </c>
      <c r="C12" s="23">
        <v>3</v>
      </c>
    </row>
    <row r="13" spans="1:9" ht="15" thickBot="1" x14ac:dyDescent="0.4">
      <c r="A13" s="48">
        <v>6</v>
      </c>
      <c r="B13" s="15" t="s">
        <v>79</v>
      </c>
      <c r="C13" s="23">
        <v>3</v>
      </c>
    </row>
    <row r="14" spans="1:9" ht="15.5" x14ac:dyDescent="0.35">
      <c r="B14" s="50" t="s">
        <v>126</v>
      </c>
      <c r="C14" s="51">
        <f>SUM(C7:C13)</f>
        <v>21</v>
      </c>
    </row>
    <row r="16" spans="1:9" x14ac:dyDescent="0.35">
      <c r="B16" s="49"/>
      <c r="C16" s="49"/>
    </row>
  </sheetData>
  <conditionalFormatting sqref="A7">
    <cfRule type="expression" dxfId="2" priority="1">
      <formula>#REF!&gt;1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ProcessInput11">
                <anchor moveWithCells="1" sizeWithCells="1">
                  <from>
                    <xdr:col>4</xdr:col>
                    <xdr:colOff>12700</xdr:colOff>
                    <xdr:row>1</xdr:row>
                    <xdr:rowOff>107950</xdr:rowOff>
                  </from>
                  <to>
                    <xdr:col>5</xdr:col>
                    <xdr:colOff>488950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ancelInput">
                <anchor moveWithCells="1" sizeWithCells="1">
                  <from>
                    <xdr:col>4</xdr:col>
                    <xdr:colOff>12700</xdr:colOff>
                    <xdr:row>3</xdr:row>
                    <xdr:rowOff>114300</xdr:rowOff>
                  </from>
                  <to>
                    <xdr:col>5</xdr:col>
                    <xdr:colOff>488950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14"/>
  <dimension ref="A1:I19"/>
  <sheetViews>
    <sheetView workbookViewId="0"/>
  </sheetViews>
  <sheetFormatPr defaultColWidth="9.1796875" defaultRowHeight="14.5" x14ac:dyDescent="0.35"/>
  <cols>
    <col min="1" max="1" width="9.1796875" style="18"/>
    <col min="2" max="2" width="53.54296875" style="18" customWidth="1"/>
    <col min="3" max="3" width="12.81640625" style="18" customWidth="1"/>
    <col min="4" max="16384" width="9.1796875" style="18"/>
  </cols>
  <sheetData>
    <row r="1" spans="1:9" ht="21" x14ac:dyDescent="0.5">
      <c r="A1" s="20"/>
    </row>
    <row r="4" spans="1:9" x14ac:dyDescent="0.35">
      <c r="C4" s="43" t="s">
        <v>81</v>
      </c>
    </row>
    <row r="5" spans="1:9" ht="16" thickBot="1" x14ac:dyDescent="0.4">
      <c r="A5" s="44" t="s">
        <v>70</v>
      </c>
      <c r="B5" s="44" t="s">
        <v>1</v>
      </c>
      <c r="C5" s="45" t="s">
        <v>82</v>
      </c>
    </row>
    <row r="6" spans="1:9" ht="16" thickBot="1" x14ac:dyDescent="0.4">
      <c r="A6" s="46"/>
    </row>
    <row r="7" spans="1:9" x14ac:dyDescent="0.35">
      <c r="A7" s="47">
        <v>1</v>
      </c>
      <c r="B7" s="18" t="s">
        <v>221</v>
      </c>
      <c r="C7" s="67"/>
      <c r="E7" s="11" t="s">
        <v>115</v>
      </c>
      <c r="F7" s="12"/>
      <c r="G7" s="12"/>
      <c r="H7" s="12"/>
      <c r="I7" s="13"/>
    </row>
    <row r="8" spans="1:9" ht="15" thickBot="1" x14ac:dyDescent="0.4">
      <c r="A8" s="47">
        <v>2</v>
      </c>
      <c r="B8" s="18" t="s">
        <v>222</v>
      </c>
      <c r="C8" s="67"/>
      <c r="E8" s="14" t="s">
        <v>116</v>
      </c>
      <c r="F8" s="15"/>
      <c r="G8" s="15"/>
      <c r="H8" s="15"/>
      <c r="I8" s="16"/>
    </row>
    <row r="9" spans="1:9" x14ac:dyDescent="0.35">
      <c r="A9" s="47">
        <v>3</v>
      </c>
      <c r="B9" s="18" t="s">
        <v>223</v>
      </c>
      <c r="C9" s="67"/>
    </row>
    <row r="10" spans="1:9" x14ac:dyDescent="0.35">
      <c r="A10" s="47">
        <v>4</v>
      </c>
      <c r="B10" s="18" t="s">
        <v>231</v>
      </c>
      <c r="C10" s="67"/>
    </row>
    <row r="11" spans="1:9" x14ac:dyDescent="0.35">
      <c r="A11" s="47">
        <v>5</v>
      </c>
      <c r="B11" s="18" t="s">
        <v>225</v>
      </c>
      <c r="C11" s="67"/>
    </row>
    <row r="12" spans="1:9" x14ac:dyDescent="0.35">
      <c r="A12" s="47">
        <v>6</v>
      </c>
      <c r="B12" s="18" t="s">
        <v>226</v>
      </c>
      <c r="C12" s="67"/>
    </row>
    <row r="13" spans="1:9" x14ac:dyDescent="0.35">
      <c r="A13" s="47">
        <v>7</v>
      </c>
      <c r="B13" s="18" t="s">
        <v>227</v>
      </c>
      <c r="C13" s="67"/>
    </row>
    <row r="14" spans="1:9" x14ac:dyDescent="0.35">
      <c r="A14" s="47">
        <v>8</v>
      </c>
      <c r="B14" s="18" t="s">
        <v>228</v>
      </c>
      <c r="C14" s="67"/>
    </row>
    <row r="15" spans="1:9" x14ac:dyDescent="0.35">
      <c r="A15" s="47">
        <v>9</v>
      </c>
      <c r="B15" s="18" t="s">
        <v>229</v>
      </c>
      <c r="C15" s="67"/>
    </row>
    <row r="16" spans="1:9" ht="15" thickBot="1" x14ac:dyDescent="0.4">
      <c r="A16" s="48">
        <v>10</v>
      </c>
      <c r="B16" s="15" t="s">
        <v>230</v>
      </c>
      <c r="C16" s="67"/>
    </row>
    <row r="17" spans="1:3" ht="15.5" x14ac:dyDescent="0.35">
      <c r="A17" s="66"/>
      <c r="B17" s="64" t="s">
        <v>119</v>
      </c>
      <c r="C17" s="65">
        <f>SUM(C7:C16)</f>
        <v>0</v>
      </c>
    </row>
    <row r="19" spans="1:3" x14ac:dyDescent="0.35">
      <c r="B19" s="49"/>
      <c r="C19" s="49"/>
    </row>
  </sheetData>
  <conditionalFormatting sqref="A7">
    <cfRule type="expression" dxfId="1" priority="1">
      <formula>#REF!&gt;1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ProcessInput20">
                <anchor moveWithCells="1" sizeWithCells="1">
                  <from>
                    <xdr:col>4</xdr:col>
                    <xdr:colOff>12700</xdr:colOff>
                    <xdr:row>1</xdr:row>
                    <xdr:rowOff>88900</xdr:rowOff>
                  </from>
                  <to>
                    <xdr:col>5</xdr:col>
                    <xdr:colOff>482600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CancelInput">
                <anchor moveWithCells="1" sizeWithCells="1">
                  <from>
                    <xdr:col>4</xdr:col>
                    <xdr:colOff>12700</xdr:colOff>
                    <xdr:row>3</xdr:row>
                    <xdr:rowOff>107950</xdr:rowOff>
                  </from>
                  <to>
                    <xdr:col>5</xdr:col>
                    <xdr:colOff>482600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Blad25"/>
  <dimension ref="A1:I20"/>
  <sheetViews>
    <sheetView workbookViewId="0">
      <selection activeCell="H20" sqref="H20"/>
    </sheetView>
  </sheetViews>
  <sheetFormatPr defaultColWidth="9.1796875" defaultRowHeight="14.5" x14ac:dyDescent="0.35"/>
  <cols>
    <col min="1" max="1" width="9.1796875" style="18"/>
    <col min="2" max="2" width="53.54296875" style="18" customWidth="1"/>
    <col min="3" max="3" width="12.81640625" style="18" customWidth="1"/>
    <col min="4" max="16384" width="9.1796875" style="18"/>
  </cols>
  <sheetData>
    <row r="1" spans="1:9" ht="21" x14ac:dyDescent="0.5">
      <c r="A1" s="20"/>
    </row>
    <row r="4" spans="1:9" x14ac:dyDescent="0.35">
      <c r="C4" s="43" t="s">
        <v>81</v>
      </c>
    </row>
    <row r="5" spans="1:9" ht="16" thickBot="1" x14ac:dyDescent="0.4">
      <c r="A5" s="44" t="s">
        <v>70</v>
      </c>
      <c r="B5" s="44" t="s">
        <v>1</v>
      </c>
      <c r="C5" s="45" t="s">
        <v>82</v>
      </c>
    </row>
    <row r="6" spans="1:9" ht="16" thickBot="1" x14ac:dyDescent="0.4">
      <c r="A6" s="46"/>
    </row>
    <row r="7" spans="1:9" x14ac:dyDescent="0.35">
      <c r="A7" s="47">
        <v>1</v>
      </c>
      <c r="B7" s="18" t="s">
        <v>221</v>
      </c>
      <c r="C7" s="67"/>
      <c r="E7" s="11" t="s">
        <v>115</v>
      </c>
      <c r="F7" s="12"/>
      <c r="G7" s="12"/>
      <c r="H7" s="12"/>
      <c r="I7" s="13"/>
    </row>
    <row r="8" spans="1:9" ht="15" thickBot="1" x14ac:dyDescent="0.4">
      <c r="A8" s="47">
        <v>2</v>
      </c>
      <c r="B8" s="18" t="s">
        <v>222</v>
      </c>
      <c r="C8" s="67"/>
      <c r="E8" s="14" t="s">
        <v>116</v>
      </c>
      <c r="F8" s="15"/>
      <c r="G8" s="15"/>
      <c r="H8" s="15"/>
      <c r="I8" s="16"/>
    </row>
    <row r="9" spans="1:9" x14ac:dyDescent="0.35">
      <c r="A9" s="47">
        <v>3</v>
      </c>
      <c r="B9" s="18" t="s">
        <v>223</v>
      </c>
      <c r="C9" s="67"/>
    </row>
    <row r="10" spans="1:9" x14ac:dyDescent="0.35">
      <c r="A10" s="47" t="s">
        <v>120</v>
      </c>
      <c r="B10" s="18" t="s">
        <v>224</v>
      </c>
      <c r="C10" s="67"/>
    </row>
    <row r="11" spans="1:9" x14ac:dyDescent="0.35">
      <c r="A11" s="47" t="s">
        <v>121</v>
      </c>
      <c r="B11" s="18" t="s">
        <v>122</v>
      </c>
      <c r="C11" s="67"/>
    </row>
    <row r="12" spans="1:9" x14ac:dyDescent="0.35">
      <c r="A12" s="47">
        <v>5</v>
      </c>
      <c r="B12" s="18" t="s">
        <v>225</v>
      </c>
      <c r="C12" s="67"/>
    </row>
    <row r="13" spans="1:9" x14ac:dyDescent="0.35">
      <c r="A13" s="47">
        <v>6</v>
      </c>
      <c r="B13" s="18" t="s">
        <v>226</v>
      </c>
      <c r="C13" s="67"/>
    </row>
    <row r="14" spans="1:9" x14ac:dyDescent="0.35">
      <c r="A14" s="47">
        <v>7</v>
      </c>
      <c r="B14" s="18" t="s">
        <v>227</v>
      </c>
      <c r="C14" s="67"/>
    </row>
    <row r="15" spans="1:9" x14ac:dyDescent="0.35">
      <c r="A15" s="47">
        <v>8</v>
      </c>
      <c r="B15" s="18" t="s">
        <v>228</v>
      </c>
      <c r="C15" s="67"/>
    </row>
    <row r="16" spans="1:9" x14ac:dyDescent="0.35">
      <c r="A16" s="47">
        <v>9</v>
      </c>
      <c r="B16" s="18" t="s">
        <v>229</v>
      </c>
      <c r="C16" s="67"/>
    </row>
    <row r="17" spans="1:3" ht="15" thickBot="1" x14ac:dyDescent="0.4">
      <c r="A17" s="48">
        <v>10</v>
      </c>
      <c r="B17" s="68" t="s">
        <v>230</v>
      </c>
      <c r="C17" s="67"/>
    </row>
    <row r="18" spans="1:3" ht="15.5" x14ac:dyDescent="0.35">
      <c r="A18" s="66"/>
      <c r="B18" s="64" t="s">
        <v>126</v>
      </c>
      <c r="C18" s="65">
        <f>SUM(C7:C17)</f>
        <v>0</v>
      </c>
    </row>
    <row r="20" spans="1:3" x14ac:dyDescent="0.35">
      <c r="B20" s="49"/>
      <c r="C20" s="49"/>
    </row>
  </sheetData>
  <conditionalFormatting sqref="A7">
    <cfRule type="expression" dxfId="0" priority="1">
      <formula>#REF!&gt;1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ProcessInput21">
                <anchor moveWithCells="1" sizeWithCells="1">
                  <from>
                    <xdr:col>4</xdr:col>
                    <xdr:colOff>12700</xdr:colOff>
                    <xdr:row>1</xdr:row>
                    <xdr:rowOff>88900</xdr:rowOff>
                  </from>
                  <to>
                    <xdr:col>5</xdr:col>
                    <xdr:colOff>482600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CancelInput">
                <anchor moveWithCells="1" sizeWithCells="1">
                  <from>
                    <xdr:col>4</xdr:col>
                    <xdr:colOff>12700</xdr:colOff>
                    <xdr:row>3</xdr:row>
                    <xdr:rowOff>107950</xdr:rowOff>
                  </from>
                  <to>
                    <xdr:col>5</xdr:col>
                    <xdr:colOff>482600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lad11"/>
  <dimension ref="A1:I63"/>
  <sheetViews>
    <sheetView workbookViewId="0"/>
  </sheetViews>
  <sheetFormatPr defaultColWidth="8.81640625" defaultRowHeight="14.5" x14ac:dyDescent="0.35"/>
  <cols>
    <col min="1" max="1" width="9.81640625" style="18" customWidth="1"/>
    <col min="2" max="2" width="73.1796875" style="18" customWidth="1"/>
    <col min="3" max="3" width="12.81640625" style="18" customWidth="1"/>
    <col min="4" max="10" width="8.81640625" style="18"/>
    <col min="11" max="11" width="9.1796875" style="18" customWidth="1"/>
    <col min="12" max="16384" width="8.81640625" style="18"/>
  </cols>
  <sheetData>
    <row r="1" spans="1:9" ht="21" x14ac:dyDescent="0.5">
      <c r="A1" s="20"/>
    </row>
    <row r="4" spans="1:9" x14ac:dyDescent="0.35">
      <c r="C4" s="43" t="s">
        <v>81</v>
      </c>
    </row>
    <row r="5" spans="1:9" ht="16" thickBot="1" x14ac:dyDescent="0.4">
      <c r="A5" s="44" t="s">
        <v>174</v>
      </c>
      <c r="B5" s="44" t="s">
        <v>1</v>
      </c>
      <c r="C5" s="45" t="s">
        <v>82</v>
      </c>
    </row>
    <row r="6" spans="1:9" ht="16" thickBot="1" x14ac:dyDescent="0.4">
      <c r="A6" s="46"/>
    </row>
    <row r="7" spans="1:9" x14ac:dyDescent="0.35">
      <c r="A7" s="52" t="s">
        <v>2</v>
      </c>
      <c r="B7" s="52" t="s">
        <v>93</v>
      </c>
      <c r="C7" s="23"/>
      <c r="E7" s="11" t="s">
        <v>115</v>
      </c>
      <c r="F7" s="12"/>
      <c r="G7" s="12"/>
      <c r="H7" s="12"/>
      <c r="I7" s="13"/>
    </row>
    <row r="8" spans="1:9" ht="15" thickBot="1" x14ac:dyDescent="0.4">
      <c r="A8" s="52" t="s">
        <v>3</v>
      </c>
      <c r="B8" s="52" t="s">
        <v>131</v>
      </c>
      <c r="C8" s="23"/>
      <c r="E8" s="14" t="s">
        <v>116</v>
      </c>
      <c r="F8" s="15"/>
      <c r="G8" s="15"/>
      <c r="H8" s="15"/>
      <c r="I8" s="16"/>
    </row>
    <row r="9" spans="1:9" x14ac:dyDescent="0.35">
      <c r="A9" s="52" t="s">
        <v>4</v>
      </c>
      <c r="B9" s="52" t="s">
        <v>94</v>
      </c>
      <c r="C9" s="23"/>
    </row>
    <row r="10" spans="1:9" x14ac:dyDescent="0.35">
      <c r="A10" s="52" t="s">
        <v>5</v>
      </c>
      <c r="B10" s="52" t="s">
        <v>95</v>
      </c>
      <c r="C10" s="23"/>
    </row>
    <row r="11" spans="1:9" x14ac:dyDescent="0.35">
      <c r="A11" s="52" t="s">
        <v>6</v>
      </c>
      <c r="B11" s="52" t="s">
        <v>133</v>
      </c>
      <c r="C11" s="23"/>
    </row>
    <row r="12" spans="1:9" x14ac:dyDescent="0.35">
      <c r="A12" s="52" t="s">
        <v>7</v>
      </c>
      <c r="B12" s="52" t="s">
        <v>96</v>
      </c>
      <c r="C12" s="23"/>
    </row>
    <row r="13" spans="1:9" x14ac:dyDescent="0.35">
      <c r="A13" s="52" t="s">
        <v>8</v>
      </c>
      <c r="B13" s="52" t="s">
        <v>97</v>
      </c>
      <c r="C13" s="23"/>
    </row>
    <row r="14" spans="1:9" x14ac:dyDescent="0.35">
      <c r="A14" s="52" t="s">
        <v>9</v>
      </c>
      <c r="B14" s="52" t="s">
        <v>134</v>
      </c>
      <c r="C14" s="23"/>
    </row>
    <row r="15" spans="1:9" x14ac:dyDescent="0.35">
      <c r="A15" s="52" t="s">
        <v>10</v>
      </c>
      <c r="B15" s="52" t="s">
        <v>98</v>
      </c>
      <c r="C15" s="23"/>
    </row>
    <row r="16" spans="1:9" x14ac:dyDescent="0.35">
      <c r="A16" s="52" t="s">
        <v>11</v>
      </c>
      <c r="B16" s="52" t="s">
        <v>99</v>
      </c>
      <c r="C16" s="23"/>
    </row>
    <row r="17" spans="1:3" x14ac:dyDescent="0.35">
      <c r="A17" s="52" t="s">
        <v>12</v>
      </c>
      <c r="B17" s="52" t="s">
        <v>100</v>
      </c>
      <c r="C17" s="23"/>
    </row>
    <row r="18" spans="1:3" x14ac:dyDescent="0.35">
      <c r="A18" s="52" t="s">
        <v>13</v>
      </c>
      <c r="B18" s="52" t="s">
        <v>135</v>
      </c>
      <c r="C18" s="23"/>
    </row>
    <row r="19" spans="1:3" x14ac:dyDescent="0.35">
      <c r="A19" s="52" t="s">
        <v>14</v>
      </c>
      <c r="B19" s="52" t="s">
        <v>136</v>
      </c>
      <c r="C19" s="23"/>
    </row>
    <row r="20" spans="1:3" x14ac:dyDescent="0.35">
      <c r="A20" s="52" t="s">
        <v>15</v>
      </c>
      <c r="B20" s="52" t="s">
        <v>101</v>
      </c>
      <c r="C20" s="23"/>
    </row>
    <row r="21" spans="1:3" x14ac:dyDescent="0.35">
      <c r="A21" s="52" t="s">
        <v>16</v>
      </c>
      <c r="B21" s="52" t="s">
        <v>137</v>
      </c>
      <c r="C21" s="23"/>
    </row>
    <row r="22" spans="1:3" x14ac:dyDescent="0.35">
      <c r="A22" s="52" t="s">
        <v>17</v>
      </c>
      <c r="B22" s="52" t="s">
        <v>158</v>
      </c>
      <c r="C22" s="23"/>
    </row>
    <row r="23" spans="1:3" ht="29" x14ac:dyDescent="0.35">
      <c r="A23" s="52" t="s">
        <v>18</v>
      </c>
      <c r="B23" s="52" t="s">
        <v>159</v>
      </c>
      <c r="C23" s="23"/>
    </row>
    <row r="24" spans="1:3" x14ac:dyDescent="0.35">
      <c r="A24" s="52" t="s">
        <v>19</v>
      </c>
      <c r="B24" s="52" t="s">
        <v>102</v>
      </c>
      <c r="C24" s="23"/>
    </row>
    <row r="25" spans="1:3" x14ac:dyDescent="0.35">
      <c r="A25" s="52" t="s">
        <v>20</v>
      </c>
      <c r="B25" s="52" t="s">
        <v>138</v>
      </c>
      <c r="C25" s="23"/>
    </row>
    <row r="26" spans="1:3" x14ac:dyDescent="0.35">
      <c r="A26" s="52" t="s">
        <v>21</v>
      </c>
      <c r="B26" s="52" t="s">
        <v>139</v>
      </c>
      <c r="C26" s="23"/>
    </row>
    <row r="27" spans="1:3" x14ac:dyDescent="0.35">
      <c r="A27" s="52" t="s">
        <v>22</v>
      </c>
      <c r="B27" s="52" t="s">
        <v>103</v>
      </c>
      <c r="C27" s="23"/>
    </row>
    <row r="28" spans="1:3" x14ac:dyDescent="0.35">
      <c r="A28" s="52" t="s">
        <v>23</v>
      </c>
      <c r="B28" s="52" t="s">
        <v>104</v>
      </c>
      <c r="C28" s="23"/>
    </row>
    <row r="29" spans="1:3" x14ac:dyDescent="0.35">
      <c r="A29" s="52" t="s">
        <v>24</v>
      </c>
      <c r="B29" s="52" t="s">
        <v>140</v>
      </c>
      <c r="C29" s="23"/>
    </row>
    <row r="30" spans="1:3" x14ac:dyDescent="0.35">
      <c r="A30" s="52" t="s">
        <v>25</v>
      </c>
      <c r="B30" s="52" t="s">
        <v>141</v>
      </c>
      <c r="C30" s="23"/>
    </row>
    <row r="31" spans="1:3" x14ac:dyDescent="0.35">
      <c r="A31" s="52" t="s">
        <v>26</v>
      </c>
      <c r="B31" s="52" t="s">
        <v>105</v>
      </c>
      <c r="C31" s="23"/>
    </row>
    <row r="32" spans="1:3" x14ac:dyDescent="0.35">
      <c r="A32" s="52" t="s">
        <v>27</v>
      </c>
      <c r="B32" s="52" t="s">
        <v>142</v>
      </c>
      <c r="C32" s="23"/>
    </row>
    <row r="33" spans="1:3" x14ac:dyDescent="0.35">
      <c r="A33" s="52" t="s">
        <v>28</v>
      </c>
      <c r="B33" s="52" t="s">
        <v>106</v>
      </c>
      <c r="C33" s="23"/>
    </row>
    <row r="34" spans="1:3" x14ac:dyDescent="0.35">
      <c r="A34" s="52" t="s">
        <v>29</v>
      </c>
      <c r="B34" s="52" t="s">
        <v>107</v>
      </c>
      <c r="C34" s="23"/>
    </row>
    <row r="35" spans="1:3" x14ac:dyDescent="0.35">
      <c r="A35" s="52" t="s">
        <v>30</v>
      </c>
      <c r="B35" s="52" t="s">
        <v>143</v>
      </c>
      <c r="C35" s="23"/>
    </row>
    <row r="36" spans="1:3" x14ac:dyDescent="0.35">
      <c r="A36" s="52" t="s">
        <v>31</v>
      </c>
      <c r="B36" s="52" t="s">
        <v>144</v>
      </c>
      <c r="C36" s="23"/>
    </row>
    <row r="37" spans="1:3" x14ac:dyDescent="0.35">
      <c r="A37" s="52" t="s">
        <v>32</v>
      </c>
      <c r="B37" s="52" t="s">
        <v>145</v>
      </c>
      <c r="C37" s="23"/>
    </row>
    <row r="38" spans="1:3" ht="29" x14ac:dyDescent="0.35">
      <c r="A38" s="52" t="s">
        <v>33</v>
      </c>
      <c r="B38" s="52" t="s">
        <v>146</v>
      </c>
      <c r="C38" s="23"/>
    </row>
    <row r="39" spans="1:3" x14ac:dyDescent="0.35">
      <c r="A39" s="52" t="s">
        <v>34</v>
      </c>
      <c r="B39" s="52" t="s">
        <v>88</v>
      </c>
      <c r="C39" s="23"/>
    </row>
    <row r="40" spans="1:3" x14ac:dyDescent="0.35">
      <c r="A40" s="52" t="s">
        <v>35</v>
      </c>
      <c r="B40" s="52" t="s">
        <v>147</v>
      </c>
      <c r="C40" s="23"/>
    </row>
    <row r="41" spans="1:3" x14ac:dyDescent="0.35">
      <c r="A41" s="52" t="s">
        <v>36</v>
      </c>
      <c r="B41" s="52" t="s">
        <v>108</v>
      </c>
      <c r="C41" s="23"/>
    </row>
    <row r="42" spans="1:3" x14ac:dyDescent="0.35">
      <c r="A42" s="52" t="s">
        <v>37</v>
      </c>
      <c r="B42" s="52" t="s">
        <v>109</v>
      </c>
      <c r="C42" s="23"/>
    </row>
    <row r="43" spans="1:3" x14ac:dyDescent="0.35">
      <c r="A43" s="52" t="s">
        <v>38</v>
      </c>
      <c r="B43" s="52" t="s">
        <v>132</v>
      </c>
      <c r="C43" s="23"/>
    </row>
    <row r="44" spans="1:3" x14ac:dyDescent="0.35">
      <c r="A44" s="52" t="s">
        <v>39</v>
      </c>
      <c r="B44" s="52" t="s">
        <v>110</v>
      </c>
      <c r="C44" s="23"/>
    </row>
    <row r="45" spans="1:3" x14ac:dyDescent="0.35">
      <c r="A45" s="52" t="s">
        <v>40</v>
      </c>
      <c r="B45" s="52" t="s">
        <v>111</v>
      </c>
      <c r="C45" s="23"/>
    </row>
    <row r="46" spans="1:3" x14ac:dyDescent="0.35">
      <c r="A46" s="52" t="s">
        <v>41</v>
      </c>
      <c r="B46" s="52" t="s">
        <v>148</v>
      </c>
      <c r="C46" s="23"/>
    </row>
    <row r="47" spans="1:3" x14ac:dyDescent="0.35">
      <c r="A47" s="52" t="s">
        <v>42</v>
      </c>
      <c r="B47" s="52" t="s">
        <v>129</v>
      </c>
      <c r="C47" s="23"/>
    </row>
    <row r="48" spans="1:3" ht="29" x14ac:dyDescent="0.35">
      <c r="A48" s="52" t="s">
        <v>43</v>
      </c>
      <c r="B48" s="52" t="s">
        <v>130</v>
      </c>
      <c r="C48" s="23"/>
    </row>
    <row r="49" spans="1:3" x14ac:dyDescent="0.35">
      <c r="A49" s="52" t="s">
        <v>44</v>
      </c>
      <c r="B49" s="52" t="s">
        <v>112</v>
      </c>
      <c r="C49" s="23"/>
    </row>
    <row r="50" spans="1:3" x14ac:dyDescent="0.35">
      <c r="A50" s="52" t="s">
        <v>45</v>
      </c>
      <c r="B50" s="52" t="s">
        <v>149</v>
      </c>
      <c r="C50" s="23"/>
    </row>
    <row r="51" spans="1:3" x14ac:dyDescent="0.35">
      <c r="A51" s="52" t="s">
        <v>46</v>
      </c>
      <c r="B51" s="52" t="s">
        <v>150</v>
      </c>
      <c r="C51" s="23"/>
    </row>
    <row r="52" spans="1:3" x14ac:dyDescent="0.35">
      <c r="A52" s="52" t="s">
        <v>47</v>
      </c>
      <c r="B52" s="52" t="s">
        <v>160</v>
      </c>
      <c r="C52" s="23"/>
    </row>
    <row r="53" spans="1:3" x14ac:dyDescent="0.35">
      <c r="A53" s="52" t="s">
        <v>48</v>
      </c>
      <c r="B53" s="52" t="s">
        <v>113</v>
      </c>
      <c r="C53" s="23"/>
    </row>
    <row r="54" spans="1:3" x14ac:dyDescent="0.35">
      <c r="A54" s="52" t="s">
        <v>49</v>
      </c>
      <c r="B54" s="52" t="s">
        <v>151</v>
      </c>
      <c r="C54" s="23"/>
    </row>
    <row r="55" spans="1:3" x14ac:dyDescent="0.35">
      <c r="A55" s="52" t="s">
        <v>50</v>
      </c>
      <c r="B55" s="52" t="s">
        <v>152</v>
      </c>
      <c r="C55" s="23"/>
    </row>
    <row r="56" spans="1:3" x14ac:dyDescent="0.35">
      <c r="A56" s="52" t="s">
        <v>51</v>
      </c>
      <c r="B56" s="52" t="s">
        <v>153</v>
      </c>
      <c r="C56" s="23"/>
    </row>
    <row r="57" spans="1:3" x14ac:dyDescent="0.35">
      <c r="A57" s="52" t="s">
        <v>52</v>
      </c>
      <c r="B57" s="52" t="s">
        <v>154</v>
      </c>
      <c r="C57" s="23"/>
    </row>
    <row r="58" spans="1:3" x14ac:dyDescent="0.35">
      <c r="A58" s="52" t="s">
        <v>53</v>
      </c>
      <c r="B58" s="52" t="s">
        <v>155</v>
      </c>
      <c r="C58" s="23"/>
    </row>
    <row r="59" spans="1:3" x14ac:dyDescent="0.35">
      <c r="A59" s="52" t="s">
        <v>54</v>
      </c>
      <c r="B59" s="52" t="s">
        <v>156</v>
      </c>
      <c r="C59" s="23"/>
    </row>
    <row r="60" spans="1:3" ht="15" thickBot="1" x14ac:dyDescent="0.4">
      <c r="A60" s="53" t="s">
        <v>55</v>
      </c>
      <c r="B60" s="53" t="s">
        <v>157</v>
      </c>
      <c r="C60" s="23"/>
    </row>
    <row r="61" spans="1:3" ht="15.5" x14ac:dyDescent="0.35">
      <c r="B61" s="50" t="s">
        <v>119</v>
      </c>
      <c r="C61" s="50">
        <f>SUM(C7:C60)</f>
        <v>0</v>
      </c>
    </row>
    <row r="63" spans="1:3" x14ac:dyDescent="0.35">
      <c r="B63" s="49"/>
      <c r="C63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1" r:id="rId3" name="Button 3">
              <controlPr defaultSize="0" print="0" autoFill="0" autoPict="0" macro="[0]!ProcessInput30">
                <anchor moveWithCells="1" sizeWithCells="1">
                  <from>
                    <xdr:col>4</xdr:col>
                    <xdr:colOff>12700</xdr:colOff>
                    <xdr:row>1</xdr:row>
                    <xdr:rowOff>107950</xdr:rowOff>
                  </from>
                  <to>
                    <xdr:col>5</xdr:col>
                    <xdr:colOff>488950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4" name="Button 4">
              <controlPr defaultSize="0" print="0" autoFill="0" autoPict="0" macro="[0]!CancelInput">
                <anchor moveWithCells="1" sizeWithCells="1">
                  <from>
                    <xdr:col>4</xdr:col>
                    <xdr:colOff>12700</xdr:colOff>
                    <xdr:row>3</xdr:row>
                    <xdr:rowOff>107950</xdr:rowOff>
                  </from>
                  <to>
                    <xdr:col>5</xdr:col>
                    <xdr:colOff>488950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Blad13"/>
  <dimension ref="A1:L63"/>
  <sheetViews>
    <sheetView workbookViewId="0">
      <selection activeCell="C8" sqref="C8"/>
    </sheetView>
  </sheetViews>
  <sheetFormatPr defaultColWidth="8.81640625" defaultRowHeight="14.5" x14ac:dyDescent="0.35"/>
  <cols>
    <col min="1" max="1" width="9.81640625" style="18" customWidth="1"/>
    <col min="2" max="2" width="73.1796875" style="18" customWidth="1"/>
    <col min="3" max="3" width="19.1796875" style="18" customWidth="1"/>
    <col min="4" max="10" width="8.81640625" style="18"/>
    <col min="11" max="11" width="9.1796875" style="18" customWidth="1"/>
    <col min="12" max="16384" width="8.81640625" style="18"/>
  </cols>
  <sheetData>
    <row r="1" spans="1:12" ht="21" x14ac:dyDescent="0.5">
      <c r="A1" s="20"/>
    </row>
    <row r="2" spans="1:12" x14ac:dyDescent="0.35">
      <c r="A2" s="136" t="s">
        <v>234</v>
      </c>
    </row>
    <row r="5" spans="1:12" ht="16" thickBot="1" x14ac:dyDescent="0.4">
      <c r="A5" s="44" t="s">
        <v>174</v>
      </c>
      <c r="B5" s="44" t="s">
        <v>1</v>
      </c>
      <c r="C5" s="44" t="s">
        <v>179</v>
      </c>
    </row>
    <row r="6" spans="1:12" ht="16" thickBot="1" x14ac:dyDescent="0.4">
      <c r="A6" s="46"/>
    </row>
    <row r="7" spans="1:12" ht="18.5" x14ac:dyDescent="0.45">
      <c r="A7" s="52" t="s">
        <v>2</v>
      </c>
      <c r="B7" s="52" t="s">
        <v>93</v>
      </c>
      <c r="C7" s="23"/>
      <c r="E7" s="72" t="s">
        <v>233</v>
      </c>
      <c r="F7" s="73"/>
      <c r="G7" s="73"/>
      <c r="H7" s="73"/>
      <c r="I7" s="73"/>
      <c r="J7" s="73"/>
      <c r="K7" s="12"/>
      <c r="L7" s="13"/>
    </row>
    <row r="8" spans="1:12" ht="19" thickBot="1" x14ac:dyDescent="0.5">
      <c r="A8" s="52" t="s">
        <v>3</v>
      </c>
      <c r="B8" s="52" t="s">
        <v>131</v>
      </c>
      <c r="C8" s="23"/>
      <c r="E8" s="74" t="s">
        <v>116</v>
      </c>
      <c r="F8" s="75"/>
      <c r="G8" s="75"/>
      <c r="H8" s="75"/>
      <c r="I8" s="75"/>
      <c r="J8" s="75"/>
      <c r="K8" s="15"/>
      <c r="L8" s="16"/>
    </row>
    <row r="9" spans="1:12" x14ac:dyDescent="0.35">
      <c r="A9" s="52" t="s">
        <v>4</v>
      </c>
      <c r="B9" s="52" t="s">
        <v>94</v>
      </c>
      <c r="C9" s="23"/>
    </row>
    <row r="10" spans="1:12" x14ac:dyDescent="0.35">
      <c r="A10" s="52" t="s">
        <v>5</v>
      </c>
      <c r="B10" s="52" t="s">
        <v>95</v>
      </c>
      <c r="C10" s="23"/>
    </row>
    <row r="11" spans="1:12" x14ac:dyDescent="0.35">
      <c r="A11" s="52" t="s">
        <v>6</v>
      </c>
      <c r="B11" s="52" t="s">
        <v>133</v>
      </c>
      <c r="C11" s="23"/>
    </row>
    <row r="12" spans="1:12" x14ac:dyDescent="0.35">
      <c r="A12" s="52" t="s">
        <v>7</v>
      </c>
      <c r="B12" s="52" t="s">
        <v>96</v>
      </c>
      <c r="C12" s="23"/>
    </row>
    <row r="13" spans="1:12" x14ac:dyDescent="0.35">
      <c r="A13" s="52" t="s">
        <v>8</v>
      </c>
      <c r="B13" s="52" t="s">
        <v>97</v>
      </c>
      <c r="C13" s="23"/>
    </row>
    <row r="14" spans="1:12" x14ac:dyDescent="0.35">
      <c r="A14" s="52" t="s">
        <v>9</v>
      </c>
      <c r="B14" s="52" t="s">
        <v>134</v>
      </c>
      <c r="C14" s="23"/>
    </row>
    <row r="15" spans="1:12" x14ac:dyDescent="0.35">
      <c r="A15" s="52" t="s">
        <v>10</v>
      </c>
      <c r="B15" s="52" t="s">
        <v>98</v>
      </c>
      <c r="C15" s="23"/>
    </row>
    <row r="16" spans="1:12" x14ac:dyDescent="0.35">
      <c r="A16" s="52" t="s">
        <v>11</v>
      </c>
      <c r="B16" s="52" t="s">
        <v>99</v>
      </c>
      <c r="C16" s="23"/>
    </row>
    <row r="17" spans="1:3" x14ac:dyDescent="0.35">
      <c r="A17" s="52" t="s">
        <v>12</v>
      </c>
      <c r="B17" s="52" t="s">
        <v>100</v>
      </c>
      <c r="C17" s="23"/>
    </row>
    <row r="18" spans="1:3" x14ac:dyDescent="0.35">
      <c r="A18" s="52" t="s">
        <v>13</v>
      </c>
      <c r="B18" s="52" t="s">
        <v>135</v>
      </c>
      <c r="C18" s="23"/>
    </row>
    <row r="19" spans="1:3" x14ac:dyDescent="0.35">
      <c r="A19" s="52" t="s">
        <v>14</v>
      </c>
      <c r="B19" s="52" t="s">
        <v>136</v>
      </c>
      <c r="C19" s="23"/>
    </row>
    <row r="20" spans="1:3" x14ac:dyDescent="0.35">
      <c r="A20" s="52" t="s">
        <v>15</v>
      </c>
      <c r="B20" s="52" t="s">
        <v>101</v>
      </c>
      <c r="C20" s="23"/>
    </row>
    <row r="21" spans="1:3" x14ac:dyDescent="0.35">
      <c r="A21" s="52" t="s">
        <v>16</v>
      </c>
      <c r="B21" s="52" t="s">
        <v>137</v>
      </c>
      <c r="C21" s="23"/>
    </row>
    <row r="22" spans="1:3" x14ac:dyDescent="0.35">
      <c r="A22" s="52" t="s">
        <v>17</v>
      </c>
      <c r="B22" s="52" t="s">
        <v>158</v>
      </c>
      <c r="C22" s="23"/>
    </row>
    <row r="23" spans="1:3" ht="29" x14ac:dyDescent="0.35">
      <c r="A23" s="52" t="s">
        <v>18</v>
      </c>
      <c r="B23" s="52" t="s">
        <v>159</v>
      </c>
      <c r="C23" s="23"/>
    </row>
    <row r="24" spans="1:3" x14ac:dyDescent="0.35">
      <c r="A24" s="52" t="s">
        <v>19</v>
      </c>
      <c r="B24" s="52" t="s">
        <v>102</v>
      </c>
      <c r="C24" s="23"/>
    </row>
    <row r="25" spans="1:3" x14ac:dyDescent="0.35">
      <c r="A25" s="52" t="s">
        <v>20</v>
      </c>
      <c r="B25" s="52" t="s">
        <v>138</v>
      </c>
      <c r="C25" s="23"/>
    </row>
    <row r="26" spans="1:3" x14ac:dyDescent="0.35">
      <c r="A26" s="52" t="s">
        <v>21</v>
      </c>
      <c r="B26" s="52" t="s">
        <v>139</v>
      </c>
      <c r="C26" s="23"/>
    </row>
    <row r="27" spans="1:3" x14ac:dyDescent="0.35">
      <c r="A27" s="52" t="s">
        <v>22</v>
      </c>
      <c r="B27" s="52" t="s">
        <v>103</v>
      </c>
      <c r="C27" s="23"/>
    </row>
    <row r="28" spans="1:3" x14ac:dyDescent="0.35">
      <c r="A28" s="52" t="s">
        <v>23</v>
      </c>
      <c r="B28" s="52" t="s">
        <v>104</v>
      </c>
      <c r="C28" s="23"/>
    </row>
    <row r="29" spans="1:3" x14ac:dyDescent="0.35">
      <c r="A29" s="52" t="s">
        <v>24</v>
      </c>
      <c r="B29" s="52" t="s">
        <v>140</v>
      </c>
      <c r="C29" s="23"/>
    </row>
    <row r="30" spans="1:3" x14ac:dyDescent="0.35">
      <c r="A30" s="52" t="s">
        <v>25</v>
      </c>
      <c r="B30" s="52" t="s">
        <v>141</v>
      </c>
      <c r="C30" s="23"/>
    </row>
    <row r="31" spans="1:3" x14ac:dyDescent="0.35">
      <c r="A31" s="52" t="s">
        <v>26</v>
      </c>
      <c r="B31" s="52" t="s">
        <v>105</v>
      </c>
      <c r="C31" s="23"/>
    </row>
    <row r="32" spans="1:3" x14ac:dyDescent="0.35">
      <c r="A32" s="52" t="s">
        <v>27</v>
      </c>
      <c r="B32" s="52" t="s">
        <v>142</v>
      </c>
      <c r="C32" s="23"/>
    </row>
    <row r="33" spans="1:3" x14ac:dyDescent="0.35">
      <c r="A33" s="52" t="s">
        <v>28</v>
      </c>
      <c r="B33" s="52" t="s">
        <v>106</v>
      </c>
      <c r="C33" s="23"/>
    </row>
    <row r="34" spans="1:3" x14ac:dyDescent="0.35">
      <c r="A34" s="52" t="s">
        <v>29</v>
      </c>
      <c r="B34" s="52" t="s">
        <v>107</v>
      </c>
      <c r="C34" s="23"/>
    </row>
    <row r="35" spans="1:3" x14ac:dyDescent="0.35">
      <c r="A35" s="52" t="s">
        <v>30</v>
      </c>
      <c r="B35" s="52" t="s">
        <v>143</v>
      </c>
      <c r="C35" s="23"/>
    </row>
    <row r="36" spans="1:3" x14ac:dyDescent="0.35">
      <c r="A36" s="52" t="s">
        <v>31</v>
      </c>
      <c r="B36" s="52" t="s">
        <v>144</v>
      </c>
      <c r="C36" s="23"/>
    </row>
    <row r="37" spans="1:3" x14ac:dyDescent="0.35">
      <c r="A37" s="52" t="s">
        <v>32</v>
      </c>
      <c r="B37" s="52" t="s">
        <v>145</v>
      </c>
      <c r="C37" s="23"/>
    </row>
    <row r="38" spans="1:3" ht="29" x14ac:dyDescent="0.35">
      <c r="A38" s="52" t="s">
        <v>33</v>
      </c>
      <c r="B38" s="52" t="s">
        <v>146</v>
      </c>
      <c r="C38" s="23"/>
    </row>
    <row r="39" spans="1:3" x14ac:dyDescent="0.35">
      <c r="A39" s="52" t="s">
        <v>34</v>
      </c>
      <c r="B39" s="52" t="s">
        <v>88</v>
      </c>
      <c r="C39" s="23"/>
    </row>
    <row r="40" spans="1:3" x14ac:dyDescent="0.35">
      <c r="A40" s="52" t="s">
        <v>35</v>
      </c>
      <c r="B40" s="52" t="s">
        <v>147</v>
      </c>
      <c r="C40" s="23"/>
    </row>
    <row r="41" spans="1:3" x14ac:dyDescent="0.35">
      <c r="A41" s="52" t="s">
        <v>36</v>
      </c>
      <c r="B41" s="52" t="s">
        <v>108</v>
      </c>
      <c r="C41" s="23"/>
    </row>
    <row r="42" spans="1:3" x14ac:dyDescent="0.35">
      <c r="A42" s="52" t="s">
        <v>37</v>
      </c>
      <c r="B42" s="52" t="s">
        <v>109</v>
      </c>
      <c r="C42" s="23"/>
    </row>
    <row r="43" spans="1:3" x14ac:dyDescent="0.35">
      <c r="A43" s="52" t="s">
        <v>38</v>
      </c>
      <c r="B43" s="52" t="s">
        <v>132</v>
      </c>
      <c r="C43" s="23"/>
    </row>
    <row r="44" spans="1:3" x14ac:dyDescent="0.35">
      <c r="A44" s="52" t="s">
        <v>39</v>
      </c>
      <c r="B44" s="52" t="s">
        <v>110</v>
      </c>
      <c r="C44" s="23"/>
    </row>
    <row r="45" spans="1:3" x14ac:dyDescent="0.35">
      <c r="A45" s="52" t="s">
        <v>40</v>
      </c>
      <c r="B45" s="52" t="s">
        <v>111</v>
      </c>
      <c r="C45" s="23"/>
    </row>
    <row r="46" spans="1:3" x14ac:dyDescent="0.35">
      <c r="A46" s="52" t="s">
        <v>41</v>
      </c>
      <c r="B46" s="52" t="s">
        <v>148</v>
      </c>
      <c r="C46" s="23"/>
    </row>
    <row r="47" spans="1:3" x14ac:dyDescent="0.35">
      <c r="A47" s="52" t="s">
        <v>42</v>
      </c>
      <c r="B47" s="52" t="s">
        <v>129</v>
      </c>
      <c r="C47" s="23"/>
    </row>
    <row r="48" spans="1:3" ht="29" x14ac:dyDescent="0.35">
      <c r="A48" s="52" t="s">
        <v>43</v>
      </c>
      <c r="B48" s="52" t="s">
        <v>130</v>
      </c>
      <c r="C48" s="23"/>
    </row>
    <row r="49" spans="1:3" x14ac:dyDescent="0.35">
      <c r="A49" s="52" t="s">
        <v>44</v>
      </c>
      <c r="B49" s="52" t="s">
        <v>112</v>
      </c>
      <c r="C49" s="23"/>
    </row>
    <row r="50" spans="1:3" x14ac:dyDescent="0.35">
      <c r="A50" s="52" t="s">
        <v>45</v>
      </c>
      <c r="B50" s="52" t="s">
        <v>149</v>
      </c>
      <c r="C50" s="23"/>
    </row>
    <row r="51" spans="1:3" x14ac:dyDescent="0.35">
      <c r="A51" s="52" t="s">
        <v>46</v>
      </c>
      <c r="B51" s="52" t="s">
        <v>150</v>
      </c>
      <c r="C51" s="23"/>
    </row>
    <row r="52" spans="1:3" x14ac:dyDescent="0.35">
      <c r="A52" s="52" t="s">
        <v>47</v>
      </c>
      <c r="B52" s="52" t="s">
        <v>160</v>
      </c>
      <c r="C52" s="23"/>
    </row>
    <row r="53" spans="1:3" x14ac:dyDescent="0.35">
      <c r="A53" s="52" t="s">
        <v>48</v>
      </c>
      <c r="B53" s="52" t="s">
        <v>113</v>
      </c>
      <c r="C53" s="23"/>
    </row>
    <row r="54" spans="1:3" x14ac:dyDescent="0.35">
      <c r="A54" s="52" t="s">
        <v>49</v>
      </c>
      <c r="B54" s="52" t="s">
        <v>151</v>
      </c>
      <c r="C54" s="23"/>
    </row>
    <row r="55" spans="1:3" x14ac:dyDescent="0.35">
      <c r="A55" s="52" t="s">
        <v>50</v>
      </c>
      <c r="B55" s="52" t="s">
        <v>152</v>
      </c>
      <c r="C55" s="23"/>
    </row>
    <row r="56" spans="1:3" x14ac:dyDescent="0.35">
      <c r="A56" s="52" t="s">
        <v>51</v>
      </c>
      <c r="B56" s="52" t="s">
        <v>153</v>
      </c>
      <c r="C56" s="23"/>
    </row>
    <row r="57" spans="1:3" x14ac:dyDescent="0.35">
      <c r="A57" s="52" t="s">
        <v>52</v>
      </c>
      <c r="B57" s="52" t="s">
        <v>154</v>
      </c>
      <c r="C57" s="23"/>
    </row>
    <row r="58" spans="1:3" x14ac:dyDescent="0.35">
      <c r="A58" s="52" t="s">
        <v>53</v>
      </c>
      <c r="B58" s="52" t="s">
        <v>155</v>
      </c>
      <c r="C58" s="23"/>
    </row>
    <row r="59" spans="1:3" x14ac:dyDescent="0.35">
      <c r="A59" s="62" t="s">
        <v>54</v>
      </c>
      <c r="B59" s="62" t="s">
        <v>156</v>
      </c>
      <c r="C59" s="23"/>
    </row>
    <row r="60" spans="1:3" x14ac:dyDescent="0.35">
      <c r="A60" s="63" t="s">
        <v>55</v>
      </c>
      <c r="B60" s="63" t="s">
        <v>157</v>
      </c>
      <c r="C60" s="23"/>
    </row>
    <row r="63" spans="1:3" x14ac:dyDescent="0.35">
      <c r="B63" s="49"/>
      <c r="C63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LifetimeScaleUpdate">
                <anchor moveWithCells="1" sizeWithCells="1">
                  <from>
                    <xdr:col>4</xdr:col>
                    <xdr:colOff>12700</xdr:colOff>
                    <xdr:row>1</xdr:row>
                    <xdr:rowOff>107950</xdr:rowOff>
                  </from>
                  <to>
                    <xdr:col>5</xdr:col>
                    <xdr:colOff>488950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CancelUpdate">
                <anchor moveWithCells="1" sizeWithCells="1">
                  <from>
                    <xdr:col>4</xdr:col>
                    <xdr:colOff>12700</xdr:colOff>
                    <xdr:row>3</xdr:row>
                    <xdr:rowOff>107950</xdr:rowOff>
                  </from>
                  <to>
                    <xdr:col>5</xdr:col>
                    <xdr:colOff>488950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28" baseType="lpstr">
      <vt:lpstr>FrontPage</vt:lpstr>
      <vt:lpstr>Indicators</vt:lpstr>
      <vt:lpstr>ResultPOM</vt:lpstr>
      <vt:lpstr>ResultWG</vt:lpstr>
      <vt:lpstr>ResultDetail</vt:lpstr>
      <vt:lpstr>GraphLifespan</vt:lpstr>
      <vt:lpstr>UNUkeys</vt:lpstr>
      <vt:lpstr>CN Codes-UNU Key</vt:lpstr>
      <vt:lpstr>POMFlag</vt:lpstr>
      <vt:lpstr>POM</vt:lpstr>
      <vt:lpstr>Benchmark</vt:lpstr>
      <vt:lpstr>Shape</vt:lpstr>
      <vt:lpstr>Scale</vt:lpstr>
      <vt:lpstr>Weibull</vt:lpstr>
      <vt:lpstr>POM_copy</vt:lpstr>
      <vt:lpstr>Shape_copy</vt:lpstr>
      <vt:lpstr>Scale_copy</vt:lpstr>
      <vt:lpstr>inputEU6</vt:lpstr>
      <vt:lpstr>inputEU6PV</vt:lpstr>
      <vt:lpstr>inputEU10</vt:lpstr>
      <vt:lpstr>inputEU10PV</vt:lpstr>
      <vt:lpstr>inputUNUkey</vt:lpstr>
      <vt:lpstr>inputUNUkey_Lifetime</vt:lpstr>
      <vt:lpstr>GraphPOM_EU6</vt:lpstr>
      <vt:lpstr>GraphWG_EU6</vt:lpstr>
      <vt:lpstr>GraphPOM_EU10</vt:lpstr>
      <vt:lpstr>GraphWG_EU10</vt:lpstr>
      <vt:lpstr>'CN Codes-UNU Key'!htbl_CN_Match_Key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</dc:creator>
  <cp:lastModifiedBy>BANTI Maria (ENV)</cp:lastModifiedBy>
  <dcterms:created xsi:type="dcterms:W3CDTF">2006-09-16T00:00:00Z</dcterms:created>
  <dcterms:modified xsi:type="dcterms:W3CDTF">2024-06-13T08:10:18Z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d9ddd1-4d20-43f6-abfa-fc3c07406f94_Enabled">
    <vt:lpwstr>true</vt:lpwstr>
  </property>
  <property fmtid="{D5CDD505-2E9C-101B-9397-08002B2CF9AE}" pid="3" name="MSIP_Label_6bd9ddd1-4d20-43f6-abfa-fc3c07406f94_SetDate">
    <vt:lpwstr>2024-06-13T08:09:53Z</vt:lpwstr>
  </property>
  <property fmtid="{D5CDD505-2E9C-101B-9397-08002B2CF9AE}" pid="4" name="MSIP_Label_6bd9ddd1-4d20-43f6-abfa-fc3c07406f94_Method">
    <vt:lpwstr>Standard</vt:lpwstr>
  </property>
  <property fmtid="{D5CDD505-2E9C-101B-9397-08002B2CF9AE}" pid="5" name="MSIP_Label_6bd9ddd1-4d20-43f6-abfa-fc3c07406f94_Name">
    <vt:lpwstr>Commission Use</vt:lpwstr>
  </property>
  <property fmtid="{D5CDD505-2E9C-101B-9397-08002B2CF9AE}" pid="6" name="MSIP_Label_6bd9ddd1-4d20-43f6-abfa-fc3c07406f94_SiteId">
    <vt:lpwstr>b24c8b06-522c-46fe-9080-70926f8dddb1</vt:lpwstr>
  </property>
  <property fmtid="{D5CDD505-2E9C-101B-9397-08002B2CF9AE}" pid="7" name="MSIP_Label_6bd9ddd1-4d20-43f6-abfa-fc3c07406f94_ActionId">
    <vt:lpwstr>a0b0fee8-1184-4fa4-91ed-6cddc76adc18</vt:lpwstr>
  </property>
  <property fmtid="{D5CDD505-2E9C-101B-9397-08002B2CF9AE}" pid="8" name="MSIP_Label_6bd9ddd1-4d20-43f6-abfa-fc3c07406f94_ContentBits">
    <vt:lpwstr>0</vt:lpwstr>
  </property>
</Properties>
</file>